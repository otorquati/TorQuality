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7 - Outras Perdas\"/>
    </mc:Choice>
  </mc:AlternateContent>
  <xr:revisionPtr revIDLastSave="0" documentId="13_ncr:1_{555F245E-6AD6-469B-9DC4-CBD2D280C935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Configurações" sheetId="2" r:id="rId1"/>
    <sheet name="Outras Perdas" sheetId="1" r:id="rId2"/>
  </sheets>
  <externalReferences>
    <externalReference r:id="rId3"/>
    <externalReference r:id="rId4"/>
  </externalReferences>
  <definedNames>
    <definedName name="_xlnm.Print_Area" localSheetId="1">'Outras Perdas'!$A$1:$AF$80</definedName>
    <definedName name="Feriados">Configurações!$D$22:$D$41</definedName>
    <definedName name="FInal_de_Semana">Configurações!$D$20</definedName>
    <definedName name="_xlnm.Print_Titles" localSheetId="1">'Outras Perdas'!$1:$5</definedName>
    <definedName name="Turnos">OFFSET(Configurações!$D$10,,,COUNTA(Configurações!$D$10:$D$16))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62" i="1" l="1"/>
  <c r="AH62" i="1" s="1"/>
  <c r="AN62" i="1" s="1"/>
  <c r="AO62" i="1"/>
  <c r="AP62" i="1"/>
  <c r="AG63" i="1"/>
  <c r="AH63" i="1" s="1"/>
  <c r="AN63" i="1" s="1"/>
  <c r="AO63" i="1"/>
  <c r="AP63" i="1"/>
  <c r="AG64" i="1"/>
  <c r="AO64" i="1"/>
  <c r="AP64" i="1"/>
  <c r="AG65" i="1"/>
  <c r="AH65" i="1" s="1"/>
  <c r="AN65" i="1" s="1"/>
  <c r="AO65" i="1"/>
  <c r="AP65" i="1"/>
  <c r="AG66" i="1"/>
  <c r="AH66" i="1" s="1"/>
  <c r="AN66" i="1" s="1"/>
  <c r="AO66" i="1"/>
  <c r="AP66" i="1"/>
  <c r="AG67" i="1"/>
  <c r="AH67" i="1" s="1"/>
  <c r="AN67" i="1" s="1"/>
  <c r="AO67" i="1"/>
  <c r="AP67" i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5" i="1" a="1"/>
  <c r="F45" i="1" s="1"/>
  <c r="F44" i="1" a="1"/>
  <c r="F44" i="1" s="1"/>
  <c r="F43" i="1" a="1"/>
  <c r="F43" i="1" s="1"/>
  <c r="F41" i="1" a="1"/>
  <c r="F41" i="1" s="1"/>
  <c r="F40" i="1" a="1"/>
  <c r="F40" i="1" s="1"/>
  <c r="E38" i="1" a="1"/>
  <c r="E38" i="1" s="1"/>
  <c r="E37" i="1" a="1"/>
  <c r="E37" i="1" s="1"/>
  <c r="E36" i="1" a="1"/>
  <c r="E36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E27" i="1" a="1"/>
  <c r="E27" i="1" s="1"/>
  <c r="F26" i="1" a="1"/>
  <c r="F26" i="1" s="1"/>
  <c r="E22" i="1" a="1"/>
  <c r="E22" i="1" s="1"/>
  <c r="F17" i="1" a="1"/>
  <c r="F17" i="1" s="1"/>
  <c r="F16" i="1" a="1"/>
  <c r="F16" i="1" s="1"/>
  <c r="E34" i="1" a="1"/>
  <c r="E34" i="1" s="1"/>
  <c r="E59" i="1"/>
  <c r="F58" i="1"/>
  <c r="F54" i="1"/>
  <c r="AQ67" i="1" l="1"/>
  <c r="AT67" i="1" s="1"/>
  <c r="AQ66" i="1"/>
  <c r="AT66" i="1" s="1"/>
  <c r="AQ65" i="1"/>
  <c r="AT65" i="1" s="1"/>
  <c r="AQ64" i="1"/>
  <c r="AT64" i="1" s="1"/>
  <c r="AH64" i="1"/>
  <c r="AN64" i="1" s="1"/>
  <c r="AQ63" i="1"/>
  <c r="AT63" i="1" s="1"/>
  <c r="AQ62" i="1"/>
  <c r="AT62" i="1" s="1"/>
  <c r="AE4" i="1"/>
  <c r="AC4" i="1"/>
  <c r="AA4" i="1"/>
  <c r="Y4" i="1"/>
  <c r="W4" i="1"/>
  <c r="U4" i="1"/>
  <c r="S4" i="1"/>
  <c r="Q4" i="1"/>
  <c r="O4" i="1"/>
  <c r="M4" i="1"/>
  <c r="K4" i="1"/>
  <c r="I4" i="1"/>
  <c r="G4" i="1"/>
  <c r="F61" i="1" l="1"/>
  <c r="F46" i="1"/>
  <c r="F60" i="1" s="1"/>
  <c r="F42" i="1"/>
  <c r="F38" i="1"/>
  <c r="F57" i="1"/>
  <c r="E39" i="1"/>
  <c r="E23" i="1"/>
  <c r="E24" i="1" s="1"/>
  <c r="F21" i="1"/>
  <c r="F33" i="1"/>
  <c r="F47" i="1" l="1"/>
  <c r="F18" i="1"/>
  <c r="F19" i="1"/>
  <c r="F20" i="1"/>
  <c r="E57" i="1" l="1"/>
  <c r="E43" i="1"/>
  <c r="E44" i="1"/>
  <c r="E45" i="1"/>
  <c r="E46" i="1"/>
  <c r="E47" i="1"/>
  <c r="E42" i="1"/>
  <c r="E52" i="1"/>
  <c r="E51" i="1"/>
  <c r="E50" i="1"/>
  <c r="E49" i="1"/>
  <c r="AG53" i="1"/>
  <c r="AH53" i="1" s="1"/>
  <c r="AG52" i="1"/>
  <c r="AH52" i="1" s="1"/>
  <c r="AG51" i="1"/>
  <c r="AH51" i="1" s="1"/>
  <c r="AG50" i="1"/>
  <c r="AH50" i="1" s="1"/>
  <c r="AG49" i="1"/>
  <c r="AH49" i="1" s="1"/>
  <c r="AG48" i="1"/>
  <c r="AH48" i="1" s="1"/>
  <c r="F53" i="1"/>
  <c r="AP61" i="1"/>
  <c r="AG61" i="1"/>
  <c r="AH61" i="1" s="1"/>
  <c r="D59" i="1"/>
  <c r="AT34" i="1"/>
  <c r="AT27" i="1"/>
  <c r="AT26" i="1"/>
  <c r="AG42" i="1"/>
  <c r="AH42" i="1" s="1"/>
  <c r="AT42" i="1" s="1"/>
  <c r="AG41" i="1"/>
  <c r="AH41" i="1" s="1"/>
  <c r="AG40" i="1"/>
  <c r="AS40" i="1" s="1"/>
  <c r="AG39" i="1"/>
  <c r="AG36" i="1"/>
  <c r="AH36" i="1" s="1"/>
  <c r="AG35" i="1"/>
  <c r="AG34" i="1"/>
  <c r="AH34" i="1" s="1"/>
  <c r="AG33" i="1"/>
  <c r="AH33" i="1" s="1"/>
  <c r="AG32" i="1"/>
  <c r="AH32" i="1" s="1"/>
  <c r="AG31" i="1"/>
  <c r="AH31" i="1" s="1"/>
  <c r="AG30" i="1"/>
  <c r="AH30" i="1" s="1"/>
  <c r="AG55" i="1"/>
  <c r="AN55" i="1" s="1"/>
  <c r="AG47" i="1"/>
  <c r="AH47" i="1" s="1"/>
  <c r="AG46" i="1"/>
  <c r="AH46" i="1" s="1"/>
  <c r="AG45" i="1"/>
  <c r="AH45" i="1" s="1"/>
  <c r="AG44" i="1"/>
  <c r="AH44" i="1" s="1"/>
  <c r="AG43" i="1"/>
  <c r="AH43" i="1" s="1"/>
  <c r="AG38" i="1"/>
  <c r="AG37" i="1"/>
  <c r="AH37" i="1" s="1"/>
  <c r="AG29" i="1"/>
  <c r="AG28" i="1"/>
  <c r="AG27" i="1"/>
  <c r="E54" i="1"/>
  <c r="AM1" i="1"/>
  <c r="AW6" i="1"/>
  <c r="AW7" i="1"/>
  <c r="AW8" i="1"/>
  <c r="AW9" i="1"/>
  <c r="AW10" i="1"/>
  <c r="AW11" i="1"/>
  <c r="AW12" i="1"/>
  <c r="AW13" i="1"/>
  <c r="AW14" i="1"/>
  <c r="AW15" i="1"/>
  <c r="D78" i="1"/>
  <c r="AG80" i="1"/>
  <c r="AH80" i="1" s="1"/>
  <c r="AG79" i="1"/>
  <c r="AH79" i="1" s="1"/>
  <c r="AG78" i="1"/>
  <c r="AG77" i="1"/>
  <c r="AO77" i="1" s="1"/>
  <c r="AG76" i="1"/>
  <c r="AG75" i="1"/>
  <c r="AG74" i="1"/>
  <c r="AG73" i="1"/>
  <c r="AG72" i="1"/>
  <c r="AG71" i="1"/>
  <c r="AG70" i="1"/>
  <c r="AG69" i="1"/>
  <c r="AG68" i="1"/>
  <c r="AG60" i="1"/>
  <c r="AH60" i="1" s="1"/>
  <c r="AG59" i="1"/>
  <c r="AG58" i="1"/>
  <c r="AH58" i="1" s="1"/>
  <c r="AG57" i="1"/>
  <c r="AH57" i="1" s="1"/>
  <c r="AG56" i="1"/>
  <c r="AN56" i="1" s="1"/>
  <c r="AG54" i="1"/>
  <c r="AN54" i="1" s="1"/>
  <c r="AG26" i="1"/>
  <c r="AH26" i="1" s="1"/>
  <c r="AG25" i="1"/>
  <c r="AG24" i="1"/>
  <c r="AS24" i="1" s="1"/>
  <c r="AG23" i="1"/>
  <c r="AS23" i="1" s="1"/>
  <c r="AG22" i="1"/>
  <c r="AG21" i="1"/>
  <c r="AH21" i="1" s="1"/>
  <c r="AG20" i="1"/>
  <c r="AH20" i="1" s="1"/>
  <c r="AG19" i="1"/>
  <c r="AG18" i="1"/>
  <c r="AG17" i="1"/>
  <c r="AG16" i="1"/>
  <c r="AG15" i="1"/>
  <c r="AG14" i="1"/>
  <c r="AK14" i="1" s="1"/>
  <c r="AN14" i="1" s="1"/>
  <c r="AG13" i="1"/>
  <c r="AJ13" i="1" s="1"/>
  <c r="AT13" i="1" s="1"/>
  <c r="AG12" i="1"/>
  <c r="AJ12" i="1" s="1"/>
  <c r="AT12" i="1" s="1"/>
  <c r="AG11" i="1"/>
  <c r="AJ11" i="1" s="1"/>
  <c r="AT11" i="1" s="1"/>
  <c r="AG10" i="1"/>
  <c r="AJ10" i="1" s="1"/>
  <c r="AT10" i="1" s="1"/>
  <c r="AG9" i="1"/>
  <c r="AJ9" i="1" s="1"/>
  <c r="AT9" i="1" s="1"/>
  <c r="AG8" i="1"/>
  <c r="AJ8" i="1" s="1"/>
  <c r="AT8" i="1" s="1"/>
  <c r="AG7" i="1"/>
  <c r="AS7" i="1" s="1"/>
  <c r="AG6" i="1"/>
  <c r="AJ6" i="1" s="1"/>
  <c r="AP25" i="1"/>
  <c r="E7" i="1"/>
  <c r="AR14" i="1"/>
  <c r="E15" i="1"/>
  <c r="AR15" i="1"/>
  <c r="AT15" i="1"/>
  <c r="AP28" i="1"/>
  <c r="AP29" i="1"/>
  <c r="AP30" i="1"/>
  <c r="AP31" i="1"/>
  <c r="AP32" i="1"/>
  <c r="F34" i="1"/>
  <c r="F36" i="1"/>
  <c r="F37" i="1"/>
  <c r="AP43" i="1"/>
  <c r="AP44" i="1"/>
  <c r="AP45" i="1"/>
  <c r="AP46" i="1"/>
  <c r="AP47" i="1"/>
  <c r="D55" i="1"/>
  <c r="F55" i="1" s="1"/>
  <c r="D56" i="1"/>
  <c r="F56" i="1" s="1"/>
  <c r="AP57" i="1"/>
  <c r="AP60" i="1"/>
  <c r="D68" i="1"/>
  <c r="D69" i="1" s="1"/>
  <c r="F69" i="1" s="1"/>
  <c r="D70" i="1"/>
  <c r="D73" i="1"/>
  <c r="F73" i="1" s="1"/>
  <c r="D75" i="1"/>
  <c r="F75" i="1" s="1"/>
  <c r="F59" i="1"/>
  <c r="AH40" i="1" l="1"/>
  <c r="AT40" i="1" s="1"/>
  <c r="D74" i="1"/>
  <c r="F74" i="1" s="1"/>
  <c r="D76" i="1"/>
  <c r="F76" i="1" s="1"/>
  <c r="AH59" i="1"/>
  <c r="F68" i="1"/>
  <c r="AT41" i="1"/>
  <c r="AS20" i="1"/>
  <c r="AT20" i="1" s="1"/>
  <c r="AQ30" i="1"/>
  <c r="AT30" i="1" s="1"/>
  <c r="AS71" i="1"/>
  <c r="AQ43" i="1"/>
  <c r="AS72" i="1"/>
  <c r="AQ25" i="1"/>
  <c r="AT25" i="1" s="1"/>
  <c r="AH73" i="1"/>
  <c r="AQ29" i="1"/>
  <c r="AT29" i="1" s="1"/>
  <c r="AJ7" i="1"/>
  <c r="AO7" i="1" s="1"/>
  <c r="AH75" i="1"/>
  <c r="AO22" i="1"/>
  <c r="AS21" i="1"/>
  <c r="AT21" i="1" s="1"/>
  <c r="AH78" i="1"/>
  <c r="AT78" i="1" s="1"/>
  <c r="AH70" i="1"/>
  <c r="AH54" i="1"/>
  <c r="AO54" i="1" s="1"/>
  <c r="AS70" i="1"/>
  <c r="AO27" i="1"/>
  <c r="AT6" i="1"/>
  <c r="AO6" i="1"/>
  <c r="D72" i="1"/>
  <c r="F70" i="1"/>
  <c r="D77" i="1"/>
  <c r="F77" i="1" s="1"/>
  <c r="AS36" i="1"/>
  <c r="AT36" i="1" s="1"/>
  <c r="AJ14" i="1"/>
  <c r="AT38" i="1"/>
  <c r="AQ31" i="1"/>
  <c r="AT31" i="1" s="1"/>
  <c r="AH69" i="1"/>
  <c r="AT59" i="1"/>
  <c r="AQ32" i="1"/>
  <c r="AT32" i="1" s="1"/>
  <c r="AS14" i="1"/>
  <c r="AS22" i="1"/>
  <c r="AT77" i="1"/>
  <c r="D71" i="1"/>
  <c r="F71" i="1" s="1"/>
  <c r="AQ28" i="1"/>
  <c r="AT28" i="1" s="1"/>
  <c r="AS69" i="1"/>
  <c r="AQ61" i="1"/>
  <c r="AH56" i="1"/>
  <c r="AH38" i="1"/>
  <c r="AH29" i="1"/>
  <c r="AO74" i="1"/>
  <c r="AT74" i="1"/>
  <c r="AO25" i="1"/>
  <c r="AT76" i="1"/>
  <c r="AO76" i="1"/>
  <c r="AT39" i="1"/>
  <c r="AO79" i="1"/>
  <c r="AT79" i="1"/>
  <c r="AO58" i="1"/>
  <c r="AT58" i="1"/>
  <c r="AT73" i="1"/>
  <c r="AO73" i="1"/>
  <c r="AO80" i="1"/>
  <c r="AT80" i="1"/>
  <c r="AT75" i="1"/>
  <c r="AT24" i="1"/>
  <c r="AO75" i="1"/>
  <c r="AH74" i="1"/>
  <c r="AH28" i="1"/>
  <c r="AH68" i="1"/>
  <c r="AS68" i="1"/>
  <c r="AQ47" i="1"/>
  <c r="AT47" i="1" s="1"/>
  <c r="AO71" i="1"/>
  <c r="AO26" i="1"/>
  <c r="AN61" i="1"/>
  <c r="AO60" i="1"/>
  <c r="AQ60" i="1"/>
  <c r="AT60" i="1" s="1"/>
  <c r="AN57" i="1"/>
  <c r="AQ57" i="1"/>
  <c r="AH55" i="1"/>
  <c r="AQ46" i="1"/>
  <c r="AT46" i="1" s="1"/>
  <c r="AQ45" i="1"/>
  <c r="AT45" i="1" s="1"/>
  <c r="AN43" i="1"/>
  <c r="AQ44" i="1"/>
  <c r="AS37" i="1"/>
  <c r="AT37" i="1" s="1"/>
  <c r="AS33" i="1"/>
  <c r="AT23" i="1"/>
  <c r="AO33" i="1"/>
  <c r="AU37" i="1"/>
  <c r="AO28" i="1"/>
  <c r="AH76" i="1" l="1"/>
  <c r="AO78" i="1"/>
  <c r="AU80" i="1"/>
  <c r="AT71" i="1"/>
  <c r="AT22" i="1"/>
  <c r="AU60" i="1"/>
  <c r="AT7" i="1"/>
  <c r="AT54" i="1"/>
  <c r="AO38" i="1"/>
  <c r="AN28" i="1"/>
  <c r="AH77" i="1"/>
  <c r="AH71" i="1"/>
  <c r="AM14" i="1"/>
  <c r="AO14" i="1" s="1"/>
  <c r="AT14" i="1"/>
  <c r="F72" i="1"/>
  <c r="AH72" i="1"/>
  <c r="AT68" i="1"/>
  <c r="AT84" i="1"/>
  <c r="AT85" i="1" s="1"/>
  <c r="AO59" i="1"/>
  <c r="AO68" i="1"/>
  <c r="AT61" i="1"/>
  <c r="AO61" i="1"/>
  <c r="AO57" i="1"/>
  <c r="AT57" i="1"/>
  <c r="AT56" i="1"/>
  <c r="AO55" i="1"/>
  <c r="AU57" i="1"/>
  <c r="AT55" i="1"/>
  <c r="AQ81" i="1"/>
  <c r="AT44" i="1"/>
  <c r="AT43" i="1"/>
  <c r="AU47" i="1"/>
  <c r="AS81" i="1"/>
  <c r="AT33" i="1"/>
  <c r="AM81" i="1" l="1"/>
  <c r="AO56" i="1"/>
  <c r="AT81" i="1"/>
  <c r="AT8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nbmartins</author>
  </authors>
  <commentList>
    <comment ref="AG6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BLISTER DIVERSOS DA ALLOYD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<sst xmlns="http://schemas.openxmlformats.org/spreadsheetml/2006/main" count="135" uniqueCount="123">
  <si>
    <t>LEVANTAMENTO DE PERDAS DOS PROCESSO - PILHAS MANGANÊS</t>
  </si>
  <si>
    <t>SETOR</t>
  </si>
  <si>
    <t>MATERIAL</t>
  </si>
  <si>
    <t>Padrão</t>
  </si>
  <si>
    <t>Calculado</t>
  </si>
  <si>
    <t>Sistema</t>
  </si>
  <si>
    <t>Diferença</t>
  </si>
  <si>
    <t>Descarte</t>
  </si>
  <si>
    <t>Venda</t>
  </si>
  <si>
    <t>Após Descarte e Venda TTL R$</t>
  </si>
  <si>
    <t>Peso  (kg)</t>
  </si>
  <si>
    <t>R$/kg</t>
  </si>
  <si>
    <t>R$/pc</t>
  </si>
  <si>
    <t>Pesagem (kg)</t>
  </si>
  <si>
    <t>QTD  Pçs</t>
  </si>
  <si>
    <t>Valor MP (R$)</t>
  </si>
  <si>
    <t>Qtd</t>
  </si>
  <si>
    <t>R$/1000</t>
  </si>
  <si>
    <t>Valor (R$)</t>
  </si>
  <si>
    <t>Valor Descarte (R$)</t>
  </si>
  <si>
    <t>Valor Venda (R$)</t>
  </si>
  <si>
    <t>PPM</t>
  </si>
  <si>
    <t>ESTAMPARIA</t>
  </si>
  <si>
    <t>Papel parafinado</t>
  </si>
  <si>
    <t>JUNDÍAI</t>
  </si>
  <si>
    <t>Chapa de Aço UM-1 CAP</t>
  </si>
  <si>
    <t>Chapa de Aço UM-1 B.Plate</t>
  </si>
  <si>
    <t>Chapa de Aço UM-2 CAP</t>
  </si>
  <si>
    <t>Chapa de Aço UM-2 B.Plate</t>
  </si>
  <si>
    <t>Chapa de Aço UM-3</t>
  </si>
  <si>
    <t>Chapa de Aço Washer LR6</t>
  </si>
  <si>
    <t>Chapa de Aço B.Plate LR6</t>
  </si>
  <si>
    <t>FUNDIÇÃO</t>
  </si>
  <si>
    <t>Borra de zinco</t>
  </si>
  <si>
    <t>PRENSA</t>
  </si>
  <si>
    <t>Tubo zinco c/  graxa</t>
  </si>
  <si>
    <t>BLINDAGEM</t>
  </si>
  <si>
    <t>Tira de Aço UM-1</t>
  </si>
  <si>
    <t>Tira de Aço UM-3</t>
  </si>
  <si>
    <t>Blank UM-1</t>
  </si>
  <si>
    <t>Blank UM-3</t>
  </si>
  <si>
    <t>Tubo de Chapa UM-1</t>
  </si>
  <si>
    <t>Tubo de Chapa UM-3</t>
  </si>
  <si>
    <t>PVC</t>
  </si>
  <si>
    <t>PVC sucata TTL</t>
  </si>
  <si>
    <t>PVC sucata UM-1</t>
  </si>
  <si>
    <t>PVC sucata UM-3</t>
  </si>
  <si>
    <t>Mistura</t>
  </si>
  <si>
    <t>Varredura</t>
  </si>
  <si>
    <t>MONT UM-1</t>
  </si>
  <si>
    <t>Pilha semi pronta até tampão</t>
  </si>
  <si>
    <t>Pilha semi pronta até evertack</t>
  </si>
  <si>
    <t>Pilha semi pronta até PY</t>
  </si>
  <si>
    <t>Pilha semi pronta até CAP</t>
  </si>
  <si>
    <t>Pilha semi pronta até shima</t>
  </si>
  <si>
    <t>Tubo Chapa descascada</t>
  </si>
  <si>
    <t xml:space="preserve">Arruela </t>
  </si>
  <si>
    <t>Anel Vermelho</t>
  </si>
  <si>
    <t>Cap / Term. Inf.</t>
  </si>
  <si>
    <t>PVC Descascado</t>
  </si>
  <si>
    <t>MONT UM-3</t>
  </si>
  <si>
    <t>Terminal Inf / Arruela</t>
  </si>
  <si>
    <t>Pilha semi pronta até PVC</t>
  </si>
  <si>
    <t>Pilhas acabadas</t>
  </si>
  <si>
    <t>Pilha pronta</t>
  </si>
  <si>
    <t>BLISTER</t>
  </si>
  <si>
    <t>PVC Blister  407 x 0,18</t>
  </si>
  <si>
    <t>PVC Blister  407 x 0,20</t>
  </si>
  <si>
    <t>PVC Blister  477 x 0,18</t>
  </si>
  <si>
    <t>PVC Blister  477 x 0,25</t>
  </si>
  <si>
    <t>PVC Blister  477 x 0,30</t>
  </si>
  <si>
    <t>PVC Blister Selado 407 x 0,18</t>
  </si>
  <si>
    <t>PVC Blister Selado 407 x 0,20</t>
  </si>
  <si>
    <t>PVC Blister Selado 477 x 0,18</t>
  </si>
  <si>
    <t>PVC Blister Selado 477 x 0,25</t>
  </si>
  <si>
    <t>PVC Blister Selado 477 x 0,30</t>
  </si>
  <si>
    <t>Cartela selada (CARTELÃO)</t>
  </si>
  <si>
    <t>Cartela selada manganês (PADRÃO)</t>
  </si>
  <si>
    <t>Cartela selada alkalina (PADRÃO)</t>
  </si>
  <si>
    <t>TOTAL</t>
  </si>
  <si>
    <t>DIAS TRAB.</t>
  </si>
  <si>
    <t>CUSTO SISTEMA</t>
  </si>
  <si>
    <t>MÊS</t>
  </si>
  <si>
    <t>CUSTO YIELD</t>
  </si>
  <si>
    <t>Componentes</t>
  </si>
  <si>
    <t>TTL CUSTO SISTEMA</t>
  </si>
  <si>
    <t>Montagem</t>
  </si>
  <si>
    <t>CUSTO INVISÍVEL</t>
  </si>
  <si>
    <t>Embalagem</t>
  </si>
  <si>
    <r>
      <t xml:space="preserve">Tubo de zinco </t>
    </r>
    <r>
      <rPr>
        <sz val="12"/>
        <color indexed="12"/>
        <rFont val="Arial"/>
        <family val="2"/>
      </rPr>
      <t>(Forno)</t>
    </r>
  </si>
  <si>
    <r>
      <t>(metro)</t>
    </r>
    <r>
      <rPr>
        <sz val="12"/>
        <rFont val="Arial"/>
        <family val="2"/>
      </rPr>
      <t xml:space="preserve"> Papel Kraft</t>
    </r>
  </si>
  <si>
    <r>
      <t xml:space="preserve">Pilha pronta </t>
    </r>
    <r>
      <rPr>
        <sz val="12"/>
        <color indexed="12"/>
        <rFont val="Arial"/>
        <family val="2"/>
      </rPr>
      <t>(testador)</t>
    </r>
  </si>
  <si>
    <t>Total Apontado</t>
  </si>
  <si>
    <t>Pilha semi pronta até PY (Isolador)</t>
  </si>
  <si>
    <t>CESTO 
Nº</t>
  </si>
  <si>
    <t>ALLOYD 1
E
ALLOYD 2</t>
  </si>
  <si>
    <t>ACAB
UM-1</t>
  </si>
  <si>
    <t>ACAB
UM-3</t>
  </si>
  <si>
    <t>MONT. UM-4</t>
  </si>
  <si>
    <t>ACAB UM-4</t>
  </si>
  <si>
    <t>Papel separador</t>
  </si>
  <si>
    <t>PY / CAP</t>
  </si>
  <si>
    <t xml:space="preserve">Terminal Inf </t>
  </si>
  <si>
    <t>Tubo de PVC Sleeve</t>
  </si>
  <si>
    <t>Filme PVC 4S</t>
  </si>
  <si>
    <t>Testador - Pilha Pronta</t>
  </si>
  <si>
    <t>GPER-370-60</t>
  </si>
  <si>
    <t>PVC Shrink (PPV-PVC-145X25)</t>
  </si>
  <si>
    <t>PVC Shrink (PPV-PVC-210X25)</t>
  </si>
  <si>
    <t>Bandeja PDBB-UM1SH300-BT0)</t>
  </si>
  <si>
    <t>Cartucho (PDBB-UM3SH936-TBT0)</t>
  </si>
  <si>
    <t>Dado de Custos atualizados em 20/01/2021</t>
  </si>
  <si>
    <t>Cartucho (PDB-R03UAL/4S40-B)</t>
  </si>
  <si>
    <t>Configurações</t>
  </si>
  <si>
    <t>Responsável</t>
  </si>
  <si>
    <t>Turnos</t>
  </si>
  <si>
    <t>D</t>
  </si>
  <si>
    <t>N</t>
  </si>
  <si>
    <t>Juliano</t>
  </si>
  <si>
    <t>Feriados</t>
  </si>
  <si>
    <t>Finais de Semana e Feriado</t>
  </si>
  <si>
    <t>Finais de Semana</t>
  </si>
  <si>
    <t>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</si>
</sst>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00"/>
    <numFmt numFmtId="166" formatCode="0.00000"/>
    <numFmt numFmtId="167" formatCode="0.000"/>
    <numFmt numFmtId="168" formatCode="dd/mm"/>
    <numFmt numFmtId="169" formatCode="[$-416]dd\-mmm\-yy;@"/>
  </numFmts>
  <fonts count="3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sz val="10"/>
      <color theme="0" tint="-0.249977111117893"/>
      <name val="Arial"/>
      <family val="2"/>
    </font>
    <font>
      <sz val="20"/>
      <color rgb="FF0070C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10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4" borderId="0" applyNumberFormat="0" applyBorder="0" applyAlignment="0" applyProtection="0"/>
    <xf numFmtId="0" fontId="4" fillId="16" borderId="1" applyNumberFormat="0" applyAlignment="0" applyProtection="0"/>
    <xf numFmtId="0" fontId="5" fillId="17" borderId="2" applyNumberFormat="0" applyAlignment="0" applyProtection="0"/>
    <xf numFmtId="0" fontId="6" fillId="0" borderId="3" applyNumberFormat="0" applyFill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21" borderId="0" applyNumberFormat="0" applyBorder="0" applyAlignment="0" applyProtection="0"/>
    <xf numFmtId="0" fontId="7" fillId="7" borderId="1" applyNumberFormat="0" applyAlignment="0" applyProtection="0"/>
    <xf numFmtId="0" fontId="8" fillId="3" borderId="0" applyNumberFormat="0" applyBorder="0" applyAlignment="0" applyProtection="0"/>
    <xf numFmtId="0" fontId="10" fillId="22" borderId="0" applyNumberFormat="0" applyBorder="0" applyAlignment="0" applyProtection="0"/>
    <xf numFmtId="0" fontId="9" fillId="23" borderId="4" applyNumberFormat="0" applyFont="0" applyAlignment="0" applyProtection="0"/>
    <xf numFmtId="0" fontId="11" fillId="16" borderId="5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9" fillId="0" borderId="0"/>
  </cellStyleXfs>
  <cellXfs count="540">
    <xf numFmtId="0" fontId="0" fillId="0" borderId="0" xfId="0"/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wrapText="1"/>
    </xf>
    <xf numFmtId="0" fontId="21" fillId="0" borderId="13" xfId="0" applyFont="1" applyBorder="1" applyAlignment="1">
      <alignment horizontal="center" wrapText="1"/>
    </xf>
    <xf numFmtId="0" fontId="21" fillId="0" borderId="14" xfId="0" applyFont="1" applyBorder="1" applyAlignment="1">
      <alignment horizontal="center" wrapText="1"/>
    </xf>
    <xf numFmtId="0" fontId="21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2" fontId="22" fillId="24" borderId="20" xfId="0" applyNumberFormat="1" applyFont="1" applyFill="1" applyBorder="1" applyAlignment="1">
      <alignment horizontal="right"/>
    </xf>
    <xf numFmtId="1" fontId="22" fillId="0" borderId="17" xfId="0" applyNumberFormat="1" applyFont="1" applyBorder="1" applyAlignment="1">
      <alignment horizontal="right"/>
    </xf>
    <xf numFmtId="1" fontId="22" fillId="0" borderId="16" xfId="0" applyNumberFormat="1" applyFont="1" applyBorder="1" applyAlignment="1">
      <alignment horizontal="right"/>
    </xf>
    <xf numFmtId="1" fontId="22" fillId="25" borderId="20" xfId="0" applyNumberFormat="1" applyFont="1" applyFill="1" applyBorder="1" applyAlignment="1">
      <alignment horizontal="right"/>
    </xf>
    <xf numFmtId="2" fontId="22" fillId="26" borderId="20" xfId="0" applyNumberFormat="1" applyFont="1" applyFill="1" applyBorder="1" applyAlignment="1">
      <alignment horizontal="right"/>
    </xf>
    <xf numFmtId="1" fontId="22" fillId="0" borderId="20" xfId="0" applyNumberFormat="1" applyFont="1" applyBorder="1" applyAlignment="1">
      <alignment horizontal="right"/>
    </xf>
    <xf numFmtId="1" fontId="22" fillId="27" borderId="15" xfId="0" applyNumberFormat="1" applyFont="1" applyFill="1" applyBorder="1" applyAlignment="1">
      <alignment horizontal="right"/>
    </xf>
    <xf numFmtId="0" fontId="22" fillId="0" borderId="22" xfId="0" applyFont="1" applyBorder="1" applyAlignment="1">
      <alignment horizontal="center"/>
    </xf>
    <xf numFmtId="2" fontId="22" fillId="0" borderId="23" xfId="0" applyNumberFormat="1" applyFont="1" applyBorder="1" applyAlignment="1">
      <alignment horizontal="center"/>
    </xf>
    <xf numFmtId="0" fontId="22" fillId="0" borderId="24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2" fontId="22" fillId="24" borderId="25" xfId="0" applyNumberFormat="1" applyFont="1" applyFill="1" applyBorder="1" applyAlignment="1">
      <alignment horizontal="right"/>
    </xf>
    <xf numFmtId="1" fontId="22" fillId="0" borderId="22" xfId="0" applyNumberFormat="1" applyFont="1" applyBorder="1" applyAlignment="1">
      <alignment horizontal="right"/>
    </xf>
    <xf numFmtId="1" fontId="22" fillId="0" borderId="26" xfId="0" applyNumberFormat="1" applyFont="1" applyBorder="1" applyAlignment="1">
      <alignment horizontal="right"/>
    </xf>
    <xf numFmtId="1" fontId="22" fillId="25" borderId="25" xfId="0" applyNumberFormat="1" applyFont="1" applyFill="1" applyBorder="1" applyAlignment="1">
      <alignment horizontal="right"/>
    </xf>
    <xf numFmtId="1" fontId="22" fillId="26" borderId="25" xfId="0" applyNumberFormat="1" applyFont="1" applyFill="1" applyBorder="1" applyAlignment="1">
      <alignment horizontal="right"/>
    </xf>
    <xf numFmtId="1" fontId="22" fillId="0" borderId="25" xfId="0" applyNumberFormat="1" applyFont="1" applyBorder="1" applyAlignment="1">
      <alignment horizontal="right"/>
    </xf>
    <xf numFmtId="1" fontId="22" fillId="27" borderId="27" xfId="0" applyNumberFormat="1" applyFont="1" applyFill="1" applyBorder="1" applyAlignment="1">
      <alignment horizontal="right"/>
    </xf>
    <xf numFmtId="0" fontId="22" fillId="0" borderId="28" xfId="0" applyFont="1" applyBorder="1" applyAlignment="1">
      <alignment horizontal="center"/>
    </xf>
    <xf numFmtId="0" fontId="22" fillId="0" borderId="29" xfId="0" applyFont="1" applyBorder="1" applyAlignment="1">
      <alignment horizontal="center"/>
    </xf>
    <xf numFmtId="0" fontId="22" fillId="0" borderId="30" xfId="0" applyFont="1" applyBorder="1" applyAlignment="1">
      <alignment horizontal="center"/>
    </xf>
    <xf numFmtId="2" fontId="22" fillId="24" borderId="31" xfId="0" applyNumberFormat="1" applyFont="1" applyFill="1" applyBorder="1" applyAlignment="1">
      <alignment horizontal="right"/>
    </xf>
    <xf numFmtId="1" fontId="22" fillId="0" borderId="32" xfId="0" applyNumberFormat="1" applyFont="1" applyBorder="1" applyAlignment="1">
      <alignment horizontal="right"/>
    </xf>
    <xf numFmtId="1" fontId="22" fillId="0" borderId="33" xfId="0" applyNumberFormat="1" applyFont="1" applyBorder="1" applyAlignment="1">
      <alignment horizontal="right"/>
    </xf>
    <xf numFmtId="1" fontId="22" fillId="25" borderId="34" xfId="0" applyNumberFormat="1" applyFont="1" applyFill="1" applyBorder="1" applyAlignment="1">
      <alignment horizontal="right"/>
    </xf>
    <xf numFmtId="1" fontId="22" fillId="26" borderId="34" xfId="0" applyNumberFormat="1" applyFont="1" applyFill="1" applyBorder="1" applyAlignment="1">
      <alignment horizontal="right"/>
    </xf>
    <xf numFmtId="1" fontId="22" fillId="0" borderId="34" xfId="0" applyNumberFormat="1" applyFont="1" applyBorder="1" applyAlignment="1">
      <alignment horizontal="right"/>
    </xf>
    <xf numFmtId="1" fontId="22" fillId="27" borderId="35" xfId="0" applyNumberFormat="1" applyFont="1" applyFill="1" applyBorder="1" applyAlignment="1">
      <alignment horizontal="right"/>
    </xf>
    <xf numFmtId="0" fontId="22" fillId="28" borderId="28" xfId="0" applyFont="1" applyFill="1" applyBorder="1" applyAlignment="1">
      <alignment horizontal="center"/>
    </xf>
    <xf numFmtId="0" fontId="22" fillId="28" borderId="29" xfId="0" applyFont="1" applyFill="1" applyBorder="1" applyAlignment="1">
      <alignment horizontal="center"/>
    </xf>
    <xf numFmtId="0" fontId="22" fillId="0" borderId="32" xfId="0" applyFont="1" applyBorder="1" applyAlignment="1">
      <alignment horizontal="center"/>
    </xf>
    <xf numFmtId="0" fontId="22" fillId="0" borderId="36" xfId="0" applyFont="1" applyBorder="1" applyAlignment="1">
      <alignment horizontal="center"/>
    </xf>
    <xf numFmtId="2" fontId="22" fillId="24" borderId="34" xfId="0" applyNumberFormat="1" applyFont="1" applyFill="1" applyBorder="1" applyAlignment="1">
      <alignment horizontal="right"/>
    </xf>
    <xf numFmtId="0" fontId="22" fillId="0" borderId="39" xfId="0" applyFont="1" applyBorder="1" applyAlignment="1">
      <alignment horizontal="center"/>
    </xf>
    <xf numFmtId="0" fontId="22" fillId="0" borderId="40" xfId="0" applyFont="1" applyBorder="1" applyAlignment="1">
      <alignment horizontal="center"/>
    </xf>
    <xf numFmtId="1" fontId="22" fillId="0" borderId="39" xfId="0" applyNumberFormat="1" applyFont="1" applyBorder="1" applyAlignment="1">
      <alignment horizontal="right"/>
    </xf>
    <xf numFmtId="1" fontId="22" fillId="0" borderId="38" xfId="0" applyNumberFormat="1" applyFont="1" applyBorder="1" applyAlignment="1">
      <alignment horizontal="right"/>
    </xf>
    <xf numFmtId="1" fontId="22" fillId="25" borderId="41" xfId="0" applyNumberFormat="1" applyFont="1" applyFill="1" applyBorder="1" applyAlignment="1">
      <alignment horizontal="right"/>
    </xf>
    <xf numFmtId="1" fontId="22" fillId="26" borderId="41" xfId="0" applyNumberFormat="1" applyFont="1" applyFill="1" applyBorder="1" applyAlignment="1">
      <alignment horizontal="right"/>
    </xf>
    <xf numFmtId="1" fontId="22" fillId="0" borderId="41" xfId="0" applyNumberFormat="1" applyFont="1" applyBorder="1" applyAlignment="1">
      <alignment horizontal="right"/>
    </xf>
    <xf numFmtId="1" fontId="22" fillId="27" borderId="42" xfId="0" applyNumberFormat="1" applyFont="1" applyFill="1" applyBorder="1" applyAlignment="1">
      <alignment horizontal="right"/>
    </xf>
    <xf numFmtId="164" fontId="22" fillId="0" borderId="43" xfId="0" applyNumberFormat="1" applyFont="1" applyBorder="1" applyAlignment="1">
      <alignment horizontal="center"/>
    </xf>
    <xf numFmtId="0" fontId="22" fillId="28" borderId="32" xfId="0" applyFont="1" applyFill="1" applyBorder="1" applyAlignment="1">
      <alignment horizontal="center"/>
    </xf>
    <xf numFmtId="0" fontId="22" fillId="28" borderId="36" xfId="0" applyFont="1" applyFill="1" applyBorder="1" applyAlignment="1">
      <alignment horizontal="center"/>
    </xf>
    <xf numFmtId="0" fontId="22" fillId="28" borderId="45" xfId="0" applyFont="1" applyFill="1" applyBorder="1" applyAlignment="1">
      <alignment horizontal="center"/>
    </xf>
    <xf numFmtId="0" fontId="22" fillId="28" borderId="46" xfId="0" applyFont="1" applyFill="1" applyBorder="1" applyAlignment="1">
      <alignment horizontal="center"/>
    </xf>
    <xf numFmtId="0" fontId="22" fillId="0" borderId="46" xfId="0" applyFont="1" applyBorder="1" applyAlignment="1">
      <alignment horizontal="center"/>
    </xf>
    <xf numFmtId="1" fontId="22" fillId="0" borderId="45" xfId="0" applyNumberFormat="1" applyFont="1" applyBorder="1" applyAlignment="1">
      <alignment horizontal="right"/>
    </xf>
    <xf numFmtId="1" fontId="22" fillId="0" borderId="48" xfId="0" applyNumberFormat="1" applyFont="1" applyBorder="1" applyAlignment="1">
      <alignment horizontal="right"/>
    </xf>
    <xf numFmtId="1" fontId="22" fillId="25" borderId="49" xfId="0" applyNumberFormat="1" applyFont="1" applyFill="1" applyBorder="1" applyAlignment="1">
      <alignment horizontal="right"/>
    </xf>
    <xf numFmtId="1" fontId="22" fillId="26" borderId="49" xfId="0" applyNumberFormat="1" applyFont="1" applyFill="1" applyBorder="1" applyAlignment="1">
      <alignment horizontal="right"/>
    </xf>
    <xf numFmtId="1" fontId="22" fillId="0" borderId="49" xfId="0" applyNumberFormat="1" applyFont="1" applyBorder="1" applyAlignment="1">
      <alignment horizontal="right"/>
    </xf>
    <xf numFmtId="1" fontId="22" fillId="27" borderId="50" xfId="0" applyNumberFormat="1" applyFont="1" applyFill="1" applyBorder="1" applyAlignment="1">
      <alignment horizontal="right"/>
    </xf>
    <xf numFmtId="0" fontId="22" fillId="0" borderId="47" xfId="0" applyFont="1" applyBorder="1" applyAlignment="1">
      <alignment horizontal="center"/>
    </xf>
    <xf numFmtId="1" fontId="22" fillId="26" borderId="20" xfId="0" applyNumberFormat="1" applyFont="1" applyFill="1" applyBorder="1" applyAlignment="1">
      <alignment horizontal="right"/>
    </xf>
    <xf numFmtId="166" fontId="22" fillId="0" borderId="28" xfId="0" applyNumberFormat="1" applyFont="1" applyBorder="1" applyAlignment="1">
      <alignment horizontal="center"/>
    </xf>
    <xf numFmtId="3" fontId="22" fillId="0" borderId="29" xfId="0" applyNumberFormat="1" applyFont="1" applyBorder="1" applyAlignment="1">
      <alignment horizontal="center"/>
    </xf>
    <xf numFmtId="1" fontId="22" fillId="0" borderId="51" xfId="0" applyNumberFormat="1" applyFont="1" applyBorder="1" applyAlignment="1">
      <alignment horizontal="right"/>
    </xf>
    <xf numFmtId="1" fontId="22" fillId="0" borderId="28" xfId="0" applyNumberFormat="1" applyFont="1" applyBorder="1"/>
    <xf numFmtId="1" fontId="22" fillId="0" borderId="21" xfId="0" applyNumberFormat="1" applyFont="1" applyBorder="1"/>
    <xf numFmtId="1" fontId="22" fillId="26" borderId="31" xfId="0" applyNumberFormat="1" applyFont="1" applyFill="1" applyBorder="1"/>
    <xf numFmtId="1" fontId="0" fillId="0" borderId="31" xfId="0" applyNumberFormat="1" applyBorder="1"/>
    <xf numFmtId="1" fontId="22" fillId="0" borderId="31" xfId="0" applyNumberFormat="1" applyFont="1" applyBorder="1"/>
    <xf numFmtId="1" fontId="22" fillId="27" borderId="52" xfId="0" applyNumberFormat="1" applyFont="1" applyFill="1" applyBorder="1"/>
    <xf numFmtId="2" fontId="22" fillId="24" borderId="31" xfId="0" applyNumberFormat="1" applyFont="1" applyFill="1" applyBorder="1"/>
    <xf numFmtId="1" fontId="22" fillId="0" borderId="21" xfId="0" applyNumberFormat="1" applyFont="1" applyBorder="1" applyAlignment="1">
      <alignment horizontal="right"/>
    </xf>
    <xf numFmtId="166" fontId="22" fillId="0" borderId="32" xfId="0" applyNumberFormat="1" applyFont="1" applyBorder="1" applyAlignment="1">
      <alignment horizontal="center"/>
    </xf>
    <xf numFmtId="3" fontId="22" fillId="0" borderId="36" xfId="0" applyNumberFormat="1" applyFont="1" applyBorder="1" applyAlignment="1">
      <alignment horizontal="center"/>
    </xf>
    <xf numFmtId="1" fontId="22" fillId="0" borderId="53" xfId="0" applyNumberFormat="1" applyFont="1" applyBorder="1" applyAlignment="1">
      <alignment horizontal="right"/>
    </xf>
    <xf numFmtId="1" fontId="22" fillId="0" borderId="32" xfId="0" applyNumberFormat="1" applyFont="1" applyBorder="1"/>
    <xf numFmtId="1" fontId="22" fillId="0" borderId="33" xfId="0" applyNumberFormat="1" applyFont="1" applyBorder="1"/>
    <xf numFmtId="1" fontId="22" fillId="26" borderId="34" xfId="0" applyNumberFormat="1" applyFont="1" applyFill="1" applyBorder="1"/>
    <xf numFmtId="1" fontId="0" fillId="0" borderId="34" xfId="0" applyNumberFormat="1" applyBorder="1"/>
    <xf numFmtId="1" fontId="22" fillId="0" borderId="34" xfId="0" applyNumberFormat="1" applyFont="1" applyBorder="1"/>
    <xf numFmtId="1" fontId="22" fillId="27" borderId="35" xfId="0" applyNumberFormat="1" applyFont="1" applyFill="1" applyBorder="1"/>
    <xf numFmtId="2" fontId="22" fillId="24" borderId="34" xfId="0" applyNumberFormat="1" applyFont="1" applyFill="1" applyBorder="1"/>
    <xf numFmtId="166" fontId="22" fillId="28" borderId="39" xfId="0" applyNumberFormat="1" applyFont="1" applyFill="1" applyBorder="1" applyAlignment="1">
      <alignment horizontal="center"/>
    </xf>
    <xf numFmtId="3" fontId="22" fillId="28" borderId="36" xfId="0" applyNumberFormat="1" applyFont="1" applyFill="1" applyBorder="1" applyAlignment="1">
      <alignment horizontal="center"/>
    </xf>
    <xf numFmtId="165" fontId="22" fillId="0" borderId="32" xfId="0" applyNumberFormat="1" applyFont="1" applyBorder="1" applyAlignment="1">
      <alignment horizontal="center"/>
    </xf>
    <xf numFmtId="2" fontId="22" fillId="24" borderId="31" xfId="0" applyNumberFormat="1" applyFont="1" applyFill="1" applyBorder="1" applyAlignment="1">
      <alignment vertical="center"/>
    </xf>
    <xf numFmtId="1" fontId="22" fillId="0" borderId="28" xfId="0" applyNumberFormat="1" applyFont="1" applyBorder="1" applyAlignment="1">
      <alignment vertical="center"/>
    </xf>
    <xf numFmtId="2" fontId="22" fillId="0" borderId="21" xfId="0" applyNumberFormat="1" applyFont="1" applyBorder="1" applyAlignment="1">
      <alignment vertical="center"/>
    </xf>
    <xf numFmtId="1" fontId="22" fillId="26" borderId="31" xfId="0" applyNumberFormat="1" applyFont="1" applyFill="1" applyBorder="1" applyAlignment="1">
      <alignment vertical="center"/>
    </xf>
    <xf numFmtId="1" fontId="22" fillId="0" borderId="31" xfId="0" applyNumberFormat="1" applyFont="1" applyBorder="1" applyAlignment="1">
      <alignment vertical="center"/>
    </xf>
    <xf numFmtId="2" fontId="22" fillId="0" borderId="31" xfId="0" applyNumberFormat="1" applyFont="1" applyBorder="1" applyAlignment="1">
      <alignment vertical="center"/>
    </xf>
    <xf numFmtId="1" fontId="22" fillId="27" borderId="52" xfId="0" applyNumberFormat="1" applyFont="1" applyFill="1" applyBorder="1" applyAlignment="1">
      <alignment vertical="center"/>
    </xf>
    <xf numFmtId="1" fontId="22" fillId="0" borderId="30" xfId="0" applyNumberFormat="1" applyFont="1" applyBorder="1" applyAlignment="1">
      <alignment horizontal="right"/>
    </xf>
    <xf numFmtId="166" fontId="22" fillId="0" borderId="45" xfId="0" applyNumberFormat="1" applyFont="1" applyBorder="1" applyAlignment="1">
      <alignment horizontal="center"/>
    </xf>
    <xf numFmtId="3" fontId="22" fillId="0" borderId="46" xfId="0" applyNumberFormat="1" applyFont="1" applyBorder="1" applyAlignment="1">
      <alignment horizontal="center"/>
    </xf>
    <xf numFmtId="1" fontId="22" fillId="0" borderId="39" xfId="0" applyNumberFormat="1" applyFont="1" applyBorder="1"/>
    <xf numFmtId="2" fontId="22" fillId="0" borderId="38" xfId="0" applyNumberFormat="1" applyFont="1" applyBorder="1"/>
    <xf numFmtId="1" fontId="22" fillId="26" borderId="41" xfId="0" applyNumberFormat="1" applyFont="1" applyFill="1" applyBorder="1"/>
    <xf numFmtId="1" fontId="0" fillId="0" borderId="41" xfId="0" applyNumberFormat="1" applyBorder="1"/>
    <xf numFmtId="2" fontId="22" fillId="0" borderId="41" xfId="0" applyNumberFormat="1" applyFont="1" applyBorder="1"/>
    <xf numFmtId="0" fontId="22" fillId="0" borderId="33" xfId="0" applyFont="1" applyBorder="1"/>
    <xf numFmtId="0" fontId="22" fillId="0" borderId="45" xfId="0" applyFont="1" applyBorder="1" applyAlignment="1">
      <alignment horizontal="center"/>
    </xf>
    <xf numFmtId="0" fontId="22" fillId="0" borderId="19" xfId="0" applyFont="1" applyBorder="1"/>
    <xf numFmtId="2" fontId="22" fillId="27" borderId="34" xfId="0" applyNumberFormat="1" applyFont="1" applyFill="1" applyBorder="1" applyAlignment="1">
      <alignment horizontal="right"/>
    </xf>
    <xf numFmtId="1" fontId="22" fillId="0" borderId="22" xfId="0" applyNumberFormat="1" applyFont="1" applyBorder="1" applyAlignment="1">
      <alignment horizontal="center"/>
    </xf>
    <xf numFmtId="1" fontId="22" fillId="0" borderId="37" xfId="0" applyNumberFormat="1" applyFont="1" applyBorder="1"/>
    <xf numFmtId="1" fontId="22" fillId="0" borderId="28" xfId="0" applyNumberFormat="1" applyFont="1" applyBorder="1" applyAlignment="1">
      <alignment horizontal="center"/>
    </xf>
    <xf numFmtId="1" fontId="22" fillId="0" borderId="28" xfId="0" applyNumberFormat="1" applyFont="1" applyBorder="1" applyAlignment="1">
      <alignment horizontal="right"/>
    </xf>
    <xf numFmtId="1" fontId="22" fillId="26" borderId="31" xfId="0" applyNumberFormat="1" applyFont="1" applyFill="1" applyBorder="1" applyAlignment="1">
      <alignment horizontal="right"/>
    </xf>
    <xf numFmtId="1" fontId="22" fillId="0" borderId="31" xfId="0" applyNumberFormat="1" applyFont="1" applyBorder="1" applyAlignment="1">
      <alignment horizontal="right"/>
    </xf>
    <xf numFmtId="1" fontId="22" fillId="27" borderId="52" xfId="0" applyNumberFormat="1" applyFont="1" applyFill="1" applyBorder="1" applyAlignment="1">
      <alignment horizontal="right"/>
    </xf>
    <xf numFmtId="2" fontId="22" fillId="0" borderId="31" xfId="0" applyNumberFormat="1" applyFont="1" applyBorder="1" applyAlignment="1">
      <alignment horizontal="right"/>
    </xf>
    <xf numFmtId="166" fontId="22" fillId="28" borderId="28" xfId="0" applyNumberFormat="1" applyFont="1" applyFill="1" applyBorder="1" applyAlignment="1">
      <alignment horizontal="center"/>
    </xf>
    <xf numFmtId="2" fontId="0" fillId="0" borderId="0" xfId="0" applyNumberFormat="1"/>
    <xf numFmtId="166" fontId="22" fillId="0" borderId="22" xfId="0" applyNumberFormat="1" applyFont="1" applyBorder="1" applyAlignment="1">
      <alignment horizontal="center"/>
    </xf>
    <xf numFmtId="2" fontId="22" fillId="27" borderId="34" xfId="0" applyNumberFormat="1" applyFont="1" applyFill="1" applyBorder="1"/>
    <xf numFmtId="1" fontId="22" fillId="0" borderId="38" xfId="0" applyNumberFormat="1" applyFont="1" applyBorder="1"/>
    <xf numFmtId="1" fontId="22" fillId="0" borderId="41" xfId="0" applyNumberFormat="1" applyFont="1" applyBorder="1"/>
    <xf numFmtId="0" fontId="22" fillId="28" borderId="34" xfId="0" applyFont="1" applyFill="1" applyBorder="1" applyAlignment="1">
      <alignment horizontal="center"/>
    </xf>
    <xf numFmtId="2" fontId="22" fillId="27" borderId="25" xfId="0" applyNumberFormat="1" applyFont="1" applyFill="1" applyBorder="1"/>
    <xf numFmtId="1" fontId="22" fillId="0" borderId="22" xfId="0" applyNumberFormat="1" applyFont="1" applyBorder="1"/>
    <xf numFmtId="1" fontId="22" fillId="0" borderId="26" xfId="0" applyNumberFormat="1" applyFont="1" applyBorder="1"/>
    <xf numFmtId="1" fontId="22" fillId="0" borderId="25" xfId="0" applyNumberFormat="1" applyFont="1" applyBorder="1"/>
    <xf numFmtId="1" fontId="22" fillId="27" borderId="27" xfId="0" applyNumberFormat="1" applyFont="1" applyFill="1" applyBorder="1"/>
    <xf numFmtId="1" fontId="22" fillId="0" borderId="24" xfId="0" applyNumberFormat="1" applyFont="1" applyBorder="1"/>
    <xf numFmtId="2" fontId="22" fillId="0" borderId="34" xfId="0" applyNumberFormat="1" applyFont="1" applyBorder="1"/>
    <xf numFmtId="1" fontId="22" fillId="0" borderId="39" xfId="0" applyNumberFormat="1" applyFont="1" applyBorder="1" applyAlignment="1">
      <alignment vertical="center"/>
    </xf>
    <xf numFmtId="1" fontId="22" fillId="0" borderId="55" xfId="0" applyNumberFormat="1" applyFont="1" applyBorder="1" applyAlignment="1">
      <alignment vertical="center"/>
    </xf>
    <xf numFmtId="2" fontId="22" fillId="27" borderId="49" xfId="0" applyNumberFormat="1" applyFont="1" applyFill="1" applyBorder="1"/>
    <xf numFmtId="1" fontId="22" fillId="0" borderId="48" xfId="0" applyNumberFormat="1" applyFont="1" applyBorder="1"/>
    <xf numFmtId="1" fontId="22" fillId="0" borderId="49" xfId="0" applyNumberFormat="1" applyFont="1" applyBorder="1"/>
    <xf numFmtId="1" fontId="22" fillId="0" borderId="57" xfId="0" applyNumberFormat="1" applyFont="1" applyBorder="1" applyAlignment="1">
      <alignment vertical="center"/>
    </xf>
    <xf numFmtId="1" fontId="22" fillId="0" borderId="47" xfId="0" applyNumberFormat="1" applyFont="1" applyBorder="1"/>
    <xf numFmtId="2" fontId="22" fillId="29" borderId="25" xfId="0" applyNumberFormat="1" applyFont="1" applyFill="1" applyBorder="1"/>
    <xf numFmtId="2" fontId="22" fillId="26" borderId="25" xfId="0" applyNumberFormat="1" applyFont="1" applyFill="1" applyBorder="1"/>
    <xf numFmtId="2" fontId="22" fillId="29" borderId="31" xfId="0" applyNumberFormat="1" applyFont="1" applyFill="1" applyBorder="1"/>
    <xf numFmtId="1" fontId="22" fillId="0" borderId="30" xfId="0" applyNumberFormat="1" applyFont="1" applyBorder="1"/>
    <xf numFmtId="2" fontId="22" fillId="29" borderId="34" xfId="0" applyNumberFormat="1" applyFont="1" applyFill="1" applyBorder="1"/>
    <xf numFmtId="2" fontId="22" fillId="26" borderId="34" xfId="0" applyNumberFormat="1" applyFont="1" applyFill="1" applyBorder="1"/>
    <xf numFmtId="1" fontId="25" fillId="0" borderId="34" xfId="0" applyNumberFormat="1" applyFont="1" applyBorder="1"/>
    <xf numFmtId="164" fontId="22" fillId="0" borderId="32" xfId="0" applyNumberFormat="1" applyFont="1" applyBorder="1"/>
    <xf numFmtId="1" fontId="22" fillId="0" borderId="54" xfId="0" applyNumberFormat="1" applyFont="1" applyBorder="1"/>
    <xf numFmtId="2" fontId="22" fillId="29" borderId="49" xfId="0" applyNumberFormat="1" applyFont="1" applyFill="1" applyBorder="1"/>
    <xf numFmtId="1" fontId="22" fillId="0" borderId="45" xfId="0" applyNumberFormat="1" applyFont="1" applyBorder="1"/>
    <xf numFmtId="2" fontId="22" fillId="0" borderId="48" xfId="0" applyNumberFormat="1" applyFont="1" applyBorder="1"/>
    <xf numFmtId="2" fontId="22" fillId="26" borderId="49" xfId="0" applyNumberFormat="1" applyFont="1" applyFill="1" applyBorder="1"/>
    <xf numFmtId="1" fontId="22" fillId="27" borderId="50" xfId="0" applyNumberFormat="1" applyFont="1" applyFill="1" applyBorder="1"/>
    <xf numFmtId="1" fontId="22" fillId="26" borderId="25" xfId="0" applyNumberFormat="1" applyFont="1" applyFill="1" applyBorder="1"/>
    <xf numFmtId="1" fontId="22" fillId="26" borderId="49" xfId="0" applyNumberFormat="1" applyFont="1" applyFill="1" applyBorder="1"/>
    <xf numFmtId="1" fontId="22" fillId="0" borderId="59" xfId="0" applyNumberFormat="1" applyFont="1" applyBorder="1"/>
    <xf numFmtId="1" fontId="22" fillId="0" borderId="53" xfId="0" applyNumberFormat="1" applyFont="1" applyBorder="1"/>
    <xf numFmtId="2" fontId="22" fillId="0" borderId="25" xfId="0" applyNumberFormat="1" applyFont="1" applyBorder="1" applyAlignment="1">
      <alignment horizontal="right"/>
    </xf>
    <xf numFmtId="2" fontId="22" fillId="29" borderId="31" xfId="0" applyNumberFormat="1" applyFont="1" applyFill="1" applyBorder="1" applyAlignment="1">
      <alignment horizontal="right"/>
    </xf>
    <xf numFmtId="2" fontId="22" fillId="0" borderId="34" xfId="0" applyNumberFormat="1" applyFont="1" applyBorder="1" applyAlignment="1">
      <alignment horizontal="right"/>
    </xf>
    <xf numFmtId="0" fontId="22" fillId="0" borderId="21" xfId="0" applyFont="1" applyBorder="1"/>
    <xf numFmtId="0" fontId="22" fillId="0" borderId="49" xfId="0" applyFont="1" applyBorder="1" applyAlignment="1">
      <alignment horizontal="center"/>
    </xf>
    <xf numFmtId="2" fontId="22" fillId="29" borderId="25" xfId="0" applyNumberFormat="1" applyFont="1" applyFill="1" applyBorder="1" applyAlignment="1">
      <alignment horizontal="right"/>
    </xf>
    <xf numFmtId="167" fontId="22" fillId="0" borderId="21" xfId="0" applyNumberFormat="1" applyFont="1" applyBorder="1" applyAlignment="1">
      <alignment horizontal="right"/>
    </xf>
    <xf numFmtId="1" fontId="22" fillId="0" borderId="51" xfId="0" applyNumberFormat="1" applyFont="1" applyBorder="1"/>
    <xf numFmtId="0" fontId="22" fillId="0" borderId="24" xfId="0" applyFont="1" applyBorder="1"/>
    <xf numFmtId="0" fontId="22" fillId="0" borderId="36" xfId="0" applyFont="1" applyBorder="1"/>
    <xf numFmtId="2" fontId="22" fillId="29" borderId="34" xfId="0" applyNumberFormat="1" applyFont="1" applyFill="1" applyBorder="1" applyAlignment="1">
      <alignment horizontal="right"/>
    </xf>
    <xf numFmtId="0" fontId="22" fillId="0" borderId="37" xfId="0" applyFont="1" applyBorder="1"/>
    <xf numFmtId="167" fontId="22" fillId="0" borderId="33" xfId="0" applyNumberFormat="1" applyFont="1" applyBorder="1" applyAlignment="1">
      <alignment horizontal="right"/>
    </xf>
    <xf numFmtId="0" fontId="21" fillId="30" borderId="61" xfId="0" applyFont="1" applyFill="1" applyBorder="1"/>
    <xf numFmtId="0" fontId="21" fillId="30" borderId="60" xfId="0" applyFont="1" applyFill="1" applyBorder="1"/>
    <xf numFmtId="0" fontId="21" fillId="30" borderId="62" xfId="0" applyFont="1" applyFill="1" applyBorder="1"/>
    <xf numFmtId="3" fontId="21" fillId="30" borderId="63" xfId="0" applyNumberFormat="1" applyFont="1" applyFill="1" applyBorder="1"/>
    <xf numFmtId="1" fontId="21" fillId="30" borderId="17" xfId="0" applyNumberFormat="1" applyFont="1" applyFill="1" applyBorder="1"/>
    <xf numFmtId="0" fontId="26" fillId="0" borderId="0" xfId="0" applyFont="1"/>
    <xf numFmtId="4" fontId="27" fillId="0" borderId="64" xfId="0" applyNumberFormat="1" applyFont="1" applyBorder="1" applyAlignment="1">
      <alignment horizontal="center"/>
    </xf>
    <xf numFmtId="3" fontId="21" fillId="0" borderId="0" xfId="0" applyNumberFormat="1" applyFont="1"/>
    <xf numFmtId="0" fontId="27" fillId="0" borderId="64" xfId="0" applyFont="1" applyBorder="1" applyAlignment="1">
      <alignment horizontal="center"/>
    </xf>
    <xf numFmtId="3" fontId="21" fillId="28" borderId="65" xfId="0" applyNumberFormat="1" applyFont="1" applyFill="1" applyBorder="1"/>
    <xf numFmtId="1" fontId="22" fillId="0" borderId="17" xfId="0" applyNumberFormat="1" applyFont="1" applyBorder="1" applyAlignment="1" applyProtection="1">
      <alignment horizontal="right"/>
      <protection locked="0"/>
    </xf>
    <xf numFmtId="1" fontId="22" fillId="0" borderId="22" xfId="0" applyNumberFormat="1" applyFont="1" applyBorder="1" applyAlignment="1" applyProtection="1">
      <alignment horizontal="right"/>
      <protection locked="0"/>
    </xf>
    <xf numFmtId="1" fontId="22" fillId="0" borderId="32" xfId="0" applyNumberFormat="1" applyFont="1" applyBorder="1" applyAlignment="1" applyProtection="1">
      <alignment horizontal="right"/>
      <protection locked="0"/>
    </xf>
    <xf numFmtId="1" fontId="22" fillId="0" borderId="39" xfId="0" applyNumberFormat="1" applyFont="1" applyBorder="1" applyAlignment="1" applyProtection="1">
      <alignment horizontal="right"/>
      <protection locked="0"/>
    </xf>
    <xf numFmtId="1" fontId="22" fillId="0" borderId="45" xfId="0" applyNumberFormat="1" applyFont="1" applyBorder="1" applyAlignment="1" applyProtection="1">
      <alignment horizontal="right"/>
      <protection locked="0"/>
    </xf>
    <xf numFmtId="1" fontId="0" fillId="0" borderId="28" xfId="0" applyNumberFormat="1" applyBorder="1" applyProtection="1">
      <protection locked="0"/>
    </xf>
    <xf numFmtId="1" fontId="0" fillId="0" borderId="32" xfId="0" applyNumberFormat="1" applyBorder="1" applyProtection="1">
      <protection locked="0"/>
    </xf>
    <xf numFmtId="1" fontId="22" fillId="0" borderId="28" xfId="0" applyNumberFormat="1" applyFont="1" applyBorder="1" applyAlignment="1" applyProtection="1">
      <alignment vertical="center"/>
      <protection locked="0"/>
    </xf>
    <xf numFmtId="1" fontId="0" fillId="0" borderId="39" xfId="0" applyNumberFormat="1" applyBorder="1" applyProtection="1">
      <protection locked="0"/>
    </xf>
    <xf numFmtId="167" fontId="22" fillId="0" borderId="28" xfId="0" applyNumberFormat="1" applyFont="1" applyBorder="1" applyAlignment="1" applyProtection="1">
      <alignment horizontal="right"/>
      <protection locked="0"/>
    </xf>
    <xf numFmtId="1" fontId="22" fillId="0" borderId="28" xfId="0" applyNumberFormat="1" applyFont="1" applyBorder="1" applyAlignment="1" applyProtection="1">
      <alignment horizontal="right"/>
      <protection locked="0"/>
    </xf>
    <xf numFmtId="1" fontId="22" fillId="0" borderId="22" xfId="0" applyNumberFormat="1" applyFont="1" applyBorder="1" applyProtection="1">
      <protection locked="0"/>
    </xf>
    <xf numFmtId="1" fontId="22" fillId="0" borderId="32" xfId="0" applyNumberFormat="1" applyFont="1" applyBorder="1" applyProtection="1">
      <protection locked="0"/>
    </xf>
    <xf numFmtId="2" fontId="22" fillId="0" borderId="22" xfId="0" applyNumberFormat="1" applyFont="1" applyBorder="1" applyAlignment="1" applyProtection="1">
      <alignment horizontal="right"/>
      <protection locked="0"/>
    </xf>
    <xf numFmtId="2" fontId="22" fillId="0" borderId="32" xfId="0" applyNumberFormat="1" applyFont="1" applyBorder="1" applyAlignment="1" applyProtection="1">
      <alignment horizontal="right"/>
      <protection locked="0"/>
    </xf>
    <xf numFmtId="2" fontId="22" fillId="0" borderId="39" xfId="0" applyNumberFormat="1" applyFont="1" applyBorder="1" applyAlignment="1" applyProtection="1">
      <alignment horizontal="right"/>
      <protection locked="0"/>
    </xf>
    <xf numFmtId="2" fontId="22" fillId="0" borderId="45" xfId="0" applyNumberFormat="1" applyFont="1" applyBorder="1" applyAlignment="1" applyProtection="1">
      <alignment horizontal="right"/>
      <protection locked="0"/>
    </xf>
    <xf numFmtId="2" fontId="22" fillId="0" borderId="17" xfId="0" applyNumberFormat="1" applyFont="1" applyBorder="1" applyAlignment="1" applyProtection="1">
      <alignment horizontal="right"/>
      <protection locked="0"/>
    </xf>
    <xf numFmtId="2" fontId="22" fillId="0" borderId="28" xfId="0" applyNumberFormat="1" applyFont="1" applyBorder="1" applyProtection="1">
      <protection locked="0"/>
    </xf>
    <xf numFmtId="2" fontId="22" fillId="0" borderId="32" xfId="0" applyNumberFormat="1" applyFont="1" applyBorder="1" applyProtection="1">
      <protection locked="0"/>
    </xf>
    <xf numFmtId="2" fontId="22" fillId="0" borderId="28" xfId="0" applyNumberFormat="1" applyFont="1" applyBorder="1" applyAlignment="1" applyProtection="1">
      <alignment vertical="center"/>
      <protection locked="0"/>
    </xf>
    <xf numFmtId="2" fontId="22" fillId="0" borderId="39" xfId="0" applyNumberFormat="1" applyFont="1" applyBorder="1" applyProtection="1">
      <protection locked="0"/>
    </xf>
    <xf numFmtId="2" fontId="22" fillId="0" borderId="28" xfId="0" applyNumberFormat="1" applyFont="1" applyBorder="1" applyAlignment="1" applyProtection="1">
      <alignment horizontal="right"/>
      <protection locked="0"/>
    </xf>
    <xf numFmtId="1" fontId="22" fillId="0" borderId="39" xfId="0" applyNumberFormat="1" applyFont="1" applyBorder="1" applyProtection="1">
      <protection locked="0"/>
    </xf>
    <xf numFmtId="1" fontId="22" fillId="0" borderId="45" xfId="0" applyNumberFormat="1" applyFont="1" applyBorder="1" applyProtection="1">
      <protection locked="0"/>
    </xf>
    <xf numFmtId="1" fontId="25" fillId="0" borderId="32" xfId="0" applyNumberFormat="1" applyFont="1" applyBorder="1" applyProtection="1">
      <protection locked="0"/>
    </xf>
    <xf numFmtId="0" fontId="22" fillId="31" borderId="67" xfId="0" applyFont="1" applyFill="1" applyBorder="1"/>
    <xf numFmtId="2" fontId="22" fillId="31" borderId="25" xfId="0" applyNumberFormat="1" applyFont="1" applyFill="1" applyBorder="1" applyAlignment="1">
      <alignment horizontal="right"/>
    </xf>
    <xf numFmtId="1" fontId="22" fillId="31" borderId="69" xfId="0" applyNumberFormat="1" applyFont="1" applyFill="1" applyBorder="1" applyAlignment="1">
      <alignment horizontal="right"/>
    </xf>
    <xf numFmtId="1" fontId="22" fillId="31" borderId="67" xfId="0" applyNumberFormat="1" applyFont="1" applyFill="1" applyBorder="1" applyAlignment="1">
      <alignment horizontal="right"/>
    </xf>
    <xf numFmtId="1" fontId="22" fillId="31" borderId="71" xfId="0" applyNumberFormat="1" applyFont="1" applyFill="1" applyBorder="1" applyAlignment="1">
      <alignment horizontal="right"/>
    </xf>
    <xf numFmtId="1" fontId="22" fillId="31" borderId="69" xfId="0" applyNumberFormat="1" applyFont="1" applyFill="1" applyBorder="1" applyAlignment="1" applyProtection="1">
      <alignment horizontal="right"/>
      <protection locked="0"/>
    </xf>
    <xf numFmtId="2" fontId="22" fillId="31" borderId="69" xfId="0" applyNumberFormat="1" applyFont="1" applyFill="1" applyBorder="1" applyAlignment="1" applyProtection="1">
      <alignment horizontal="right"/>
      <protection locked="0"/>
    </xf>
    <xf numFmtId="1" fontId="22" fillId="31" borderId="72" xfId="0" applyNumberFormat="1" applyFont="1" applyFill="1" applyBorder="1" applyAlignment="1">
      <alignment horizontal="right"/>
    </xf>
    <xf numFmtId="4" fontId="0" fillId="0" borderId="0" xfId="0" applyNumberFormat="1"/>
    <xf numFmtId="0" fontId="27" fillId="0" borderId="0" xfId="0" applyFont="1" applyAlignment="1">
      <alignment horizontal="center"/>
    </xf>
    <xf numFmtId="0" fontId="22" fillId="0" borderId="86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59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51" xfId="0" applyFont="1" applyBorder="1" applyAlignment="1">
      <alignment horizontal="center"/>
    </xf>
    <xf numFmtId="0" fontId="22" fillId="0" borderId="31" xfId="0" applyFont="1" applyBorder="1" applyAlignment="1">
      <alignment horizontal="center"/>
    </xf>
    <xf numFmtId="0" fontId="22" fillId="28" borderId="31" xfId="0" applyFont="1" applyFill="1" applyBorder="1" applyAlignment="1">
      <alignment horizontal="center"/>
    </xf>
    <xf numFmtId="0" fontId="22" fillId="0" borderId="53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2" fillId="0" borderId="41" xfId="0" applyFont="1" applyBorder="1" applyAlignment="1">
      <alignment horizontal="center"/>
    </xf>
    <xf numFmtId="0" fontId="22" fillId="28" borderId="49" xfId="0" applyFont="1" applyFill="1" applyBorder="1" applyAlignment="1">
      <alignment horizontal="center"/>
    </xf>
    <xf numFmtId="0" fontId="22" fillId="0" borderId="54" xfId="0" applyFont="1" applyBorder="1" applyAlignment="1">
      <alignment horizontal="center"/>
    </xf>
    <xf numFmtId="167" fontId="22" fillId="0" borderId="34" xfId="0" applyNumberFormat="1" applyFont="1" applyBorder="1" applyAlignment="1">
      <alignment horizontal="center"/>
    </xf>
    <xf numFmtId="0" fontId="21" fillId="0" borderId="60" xfId="0" applyFont="1" applyBorder="1" applyAlignment="1">
      <alignment horizontal="center" vertical="center" wrapText="1"/>
    </xf>
    <xf numFmtId="0" fontId="21" fillId="0" borderId="62" xfId="0" applyFont="1" applyBorder="1" applyAlignment="1">
      <alignment horizontal="center" vertical="center" wrapText="1"/>
    </xf>
    <xf numFmtId="0" fontId="21" fillId="0" borderId="63" xfId="0" applyFont="1" applyBorder="1" applyAlignment="1">
      <alignment horizontal="center" vertical="center" wrapText="1"/>
    </xf>
    <xf numFmtId="17" fontId="20" fillId="0" borderId="84" xfId="0" applyNumberFormat="1" applyFont="1" applyBorder="1"/>
    <xf numFmtId="17" fontId="20" fillId="0" borderId="89" xfId="0" applyNumberFormat="1" applyFont="1" applyBorder="1"/>
    <xf numFmtId="0" fontId="21" fillId="0" borderId="91" xfId="0" applyFont="1" applyBorder="1" applyAlignment="1">
      <alignment horizontal="center" vertical="center" wrapText="1"/>
    </xf>
    <xf numFmtId="164" fontId="22" fillId="0" borderId="87" xfId="0" applyNumberFormat="1" applyFont="1" applyBorder="1" applyAlignment="1">
      <alignment horizontal="center"/>
    </xf>
    <xf numFmtId="0" fontId="22" fillId="0" borderId="86" xfId="0" applyFont="1" applyBorder="1"/>
    <xf numFmtId="0" fontId="21" fillId="30" borderId="92" xfId="0" applyFont="1" applyFill="1" applyBorder="1"/>
    <xf numFmtId="0" fontId="21" fillId="0" borderId="72" xfId="0" applyFont="1" applyBorder="1" applyAlignment="1">
      <alignment horizontal="center" wrapText="1"/>
    </xf>
    <xf numFmtId="0" fontId="21" fillId="0" borderId="93" xfId="0" applyFont="1" applyBorder="1" applyAlignment="1">
      <alignment horizontal="center" vertical="center" wrapText="1"/>
    </xf>
    <xf numFmtId="2" fontId="22" fillId="25" borderId="15" xfId="0" applyNumberFormat="1" applyFont="1" applyFill="1" applyBorder="1" applyAlignment="1">
      <alignment horizontal="center"/>
    </xf>
    <xf numFmtId="2" fontId="22" fillId="25" borderId="27" xfId="0" applyNumberFormat="1" applyFont="1" applyFill="1" applyBorder="1" applyAlignment="1">
      <alignment horizontal="center"/>
    </xf>
    <xf numFmtId="2" fontId="22" fillId="25" borderId="52" xfId="0" applyNumberFormat="1" applyFont="1" applyFill="1" applyBorder="1" applyAlignment="1">
      <alignment horizontal="center"/>
    </xf>
    <xf numFmtId="2" fontId="22" fillId="25" borderId="35" xfId="0" applyNumberFormat="1" applyFont="1" applyFill="1" applyBorder="1" applyAlignment="1">
      <alignment horizontal="center"/>
    </xf>
    <xf numFmtId="2" fontId="22" fillId="25" borderId="42" xfId="0" applyNumberFormat="1" applyFont="1" applyFill="1" applyBorder="1" applyAlignment="1">
      <alignment horizontal="center"/>
    </xf>
    <xf numFmtId="2" fontId="22" fillId="25" borderId="50" xfId="0" applyNumberFormat="1" applyFont="1" applyFill="1" applyBorder="1" applyAlignment="1">
      <alignment horizontal="center"/>
    </xf>
    <xf numFmtId="2" fontId="22" fillId="25" borderId="73" xfId="0" applyNumberFormat="1" applyFont="1" applyFill="1" applyBorder="1" applyAlignment="1">
      <alignment horizontal="center"/>
    </xf>
    <xf numFmtId="2" fontId="21" fillId="30" borderId="15" xfId="0" applyNumberFormat="1" applyFont="1" applyFill="1" applyBorder="1"/>
    <xf numFmtId="0" fontId="22" fillId="34" borderId="69" xfId="0" applyFont="1" applyFill="1" applyBorder="1" applyAlignment="1">
      <alignment horizontal="center"/>
    </xf>
    <xf numFmtId="0" fontId="22" fillId="34" borderId="23" xfId="0" applyFont="1" applyFill="1" applyBorder="1" applyAlignment="1">
      <alignment horizontal="center"/>
    </xf>
    <xf numFmtId="2" fontId="22" fillId="34" borderId="72" xfId="0" applyNumberFormat="1" applyFont="1" applyFill="1" applyBorder="1" applyAlignment="1">
      <alignment horizontal="center"/>
    </xf>
    <xf numFmtId="0" fontId="22" fillId="32" borderId="16" xfId="0" applyFont="1" applyFill="1" applyBorder="1" applyAlignment="1">
      <alignment horizontal="left"/>
    </xf>
    <xf numFmtId="0" fontId="22" fillId="32" borderId="21" xfId="0" applyFont="1" applyFill="1" applyBorder="1" applyAlignment="1">
      <alignment horizontal="left"/>
    </xf>
    <xf numFmtId="0" fontId="22" fillId="32" borderId="33" xfId="0" applyFont="1" applyFill="1" applyBorder="1" applyAlignment="1">
      <alignment horizontal="left"/>
    </xf>
    <xf numFmtId="0" fontId="22" fillId="32" borderId="38" xfId="0" applyFont="1" applyFill="1" applyBorder="1" applyAlignment="1">
      <alignment horizontal="left"/>
    </xf>
    <xf numFmtId="0" fontId="22" fillId="32" borderId="44" xfId="0" applyFont="1" applyFill="1" applyBorder="1" applyAlignment="1">
      <alignment horizontal="left"/>
    </xf>
    <xf numFmtId="0" fontId="22" fillId="32" borderId="68" xfId="0" applyFont="1" applyFill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33" xfId="0" applyFont="1" applyBorder="1" applyAlignment="1">
      <alignment horizontal="left"/>
    </xf>
    <xf numFmtId="0" fontId="22" fillId="0" borderId="48" xfId="0" applyFont="1" applyBorder="1" applyAlignment="1">
      <alignment horizontal="left"/>
    </xf>
    <xf numFmtId="0" fontId="22" fillId="34" borderId="67" xfId="0" applyFont="1" applyFill="1" applyBorder="1" applyAlignment="1">
      <alignment horizontal="left"/>
    </xf>
    <xf numFmtId="0" fontId="23" fillId="0" borderId="33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4" fontId="22" fillId="0" borderId="28" xfId="0" applyNumberFormat="1" applyFont="1" applyBorder="1" applyAlignment="1">
      <alignment horizontal="right"/>
    </xf>
    <xf numFmtId="4" fontId="22" fillId="0" borderId="29" xfId="0" applyNumberFormat="1" applyFont="1" applyBorder="1" applyAlignment="1">
      <alignment horizontal="right"/>
    </xf>
    <xf numFmtId="4" fontId="22" fillId="0" borderId="31" xfId="0" applyNumberFormat="1" applyFont="1" applyBorder="1" applyAlignment="1">
      <alignment horizontal="right"/>
    </xf>
    <xf numFmtId="4" fontId="22" fillId="0" borderId="32" xfId="0" applyNumberFormat="1" applyFont="1" applyBorder="1" applyAlignment="1">
      <alignment horizontal="right"/>
    </xf>
    <xf numFmtId="4" fontId="22" fillId="0" borderId="36" xfId="0" applyNumberFormat="1" applyFont="1" applyBorder="1" applyAlignment="1">
      <alignment horizontal="right"/>
    </xf>
    <xf numFmtId="4" fontId="22" fillId="0" borderId="34" xfId="0" applyNumberFormat="1" applyFont="1" applyBorder="1" applyAlignment="1">
      <alignment horizontal="right"/>
    </xf>
    <xf numFmtId="4" fontId="22" fillId="28" borderId="36" xfId="0" applyNumberFormat="1" applyFont="1" applyFill="1" applyBorder="1" applyAlignment="1">
      <alignment horizontal="right"/>
    </xf>
    <xf numFmtId="4" fontId="22" fillId="28" borderId="34" xfId="0" applyNumberFormat="1" applyFont="1" applyFill="1" applyBorder="1" applyAlignment="1">
      <alignment horizontal="right"/>
    </xf>
    <xf numFmtId="4" fontId="22" fillId="0" borderId="40" xfId="0" applyNumberFormat="1" applyFont="1" applyBorder="1" applyAlignment="1">
      <alignment horizontal="right"/>
    </xf>
    <xf numFmtId="4" fontId="22" fillId="0" borderId="41" xfId="0" applyNumberFormat="1" applyFont="1" applyBorder="1" applyAlignment="1">
      <alignment horizontal="right"/>
    </xf>
    <xf numFmtId="4" fontId="22" fillId="34" borderId="83" xfId="0" applyNumberFormat="1" applyFont="1" applyFill="1" applyBorder="1" applyAlignment="1">
      <alignment horizontal="right"/>
    </xf>
    <xf numFmtId="4" fontId="22" fillId="34" borderId="71" xfId="0" applyNumberFormat="1" applyFont="1" applyFill="1" applyBorder="1" applyAlignment="1">
      <alignment horizontal="right"/>
    </xf>
    <xf numFmtId="4" fontId="22" fillId="0" borderId="45" xfId="0" applyNumberFormat="1" applyFont="1" applyBorder="1" applyAlignment="1">
      <alignment horizontal="right"/>
    </xf>
    <xf numFmtId="4" fontId="22" fillId="0" borderId="46" xfId="0" applyNumberFormat="1" applyFont="1" applyBorder="1" applyAlignment="1">
      <alignment horizontal="right"/>
    </xf>
    <xf numFmtId="4" fontId="22" fillId="0" borderId="49" xfId="0" applyNumberFormat="1" applyFont="1" applyBorder="1" applyAlignment="1">
      <alignment horizontal="right"/>
    </xf>
    <xf numFmtId="4" fontId="22" fillId="0" borderId="82" xfId="0" applyNumberFormat="1" applyFont="1" applyBorder="1" applyAlignment="1">
      <alignment horizontal="right"/>
    </xf>
    <xf numFmtId="4" fontId="22" fillId="0" borderId="66" xfId="0" applyNumberFormat="1" applyFont="1" applyBorder="1" applyAlignment="1">
      <alignment horizontal="right"/>
    </xf>
    <xf numFmtId="4" fontId="22" fillId="28" borderId="29" xfId="0" applyNumberFormat="1" applyFont="1" applyFill="1" applyBorder="1" applyAlignment="1">
      <alignment horizontal="right"/>
    </xf>
    <xf numFmtId="4" fontId="22" fillId="28" borderId="31" xfId="0" applyNumberFormat="1" applyFont="1" applyFill="1" applyBorder="1" applyAlignment="1">
      <alignment horizontal="right"/>
    </xf>
    <xf numFmtId="4" fontId="22" fillId="0" borderId="22" xfId="0" applyNumberFormat="1" applyFont="1" applyBorder="1" applyAlignment="1">
      <alignment horizontal="right"/>
    </xf>
    <xf numFmtId="4" fontId="22" fillId="0" borderId="23" xfId="0" applyNumberFormat="1" applyFont="1" applyBorder="1" applyAlignment="1">
      <alignment horizontal="right"/>
    </xf>
    <xf numFmtId="4" fontId="22" fillId="0" borderId="25" xfId="0" applyNumberFormat="1" applyFont="1" applyBorder="1" applyAlignment="1">
      <alignment horizontal="right"/>
    </xf>
    <xf numFmtId="4" fontId="25" fillId="0" borderId="46" xfId="0" applyNumberFormat="1" applyFont="1" applyBorder="1" applyAlignment="1">
      <alignment horizontal="right"/>
    </xf>
    <xf numFmtId="4" fontId="25" fillId="0" borderId="49" xfId="0" applyNumberFormat="1" applyFont="1" applyBorder="1" applyAlignment="1">
      <alignment horizontal="right"/>
    </xf>
    <xf numFmtId="0" fontId="20" fillId="0" borderId="0" xfId="0" applyFont="1"/>
    <xf numFmtId="0" fontId="21" fillId="0" borderId="16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94" xfId="0" applyFont="1" applyBorder="1" applyAlignment="1">
      <alignment horizontal="center" vertical="center"/>
    </xf>
    <xf numFmtId="0" fontId="21" fillId="0" borderId="95" xfId="0" applyFont="1" applyBorder="1" applyAlignment="1">
      <alignment horizontal="center" vertical="center"/>
    </xf>
    <xf numFmtId="0" fontId="22" fillId="0" borderId="96" xfId="0" applyFont="1" applyBorder="1" applyAlignment="1">
      <alignment horizontal="left" vertical="center"/>
    </xf>
    <xf numFmtId="0" fontId="22" fillId="0" borderId="33" xfId="0" applyFont="1" applyBorder="1" applyAlignment="1">
      <alignment horizontal="left" shrinkToFit="1"/>
    </xf>
    <xf numFmtId="0" fontId="22" fillId="0" borderId="48" xfId="0" applyFont="1" applyBorder="1" applyAlignment="1">
      <alignment horizontal="left" shrinkToFit="1"/>
    </xf>
    <xf numFmtId="0" fontId="22" fillId="0" borderId="27" xfId="0" applyFont="1" applyBorder="1" applyAlignment="1">
      <alignment horizontal="center"/>
    </xf>
    <xf numFmtId="0" fontId="22" fillId="0" borderId="35" xfId="0" applyFont="1" applyBorder="1"/>
    <xf numFmtId="0" fontId="22" fillId="0" borderId="50" xfId="0" applyFont="1" applyBorder="1"/>
    <xf numFmtId="0" fontId="22" fillId="0" borderId="35" xfId="0" applyFont="1" applyBorder="1" applyAlignment="1">
      <alignment horizontal="center"/>
    </xf>
    <xf numFmtId="0" fontId="22" fillId="0" borderId="50" xfId="0" applyFont="1" applyBorder="1" applyAlignment="1">
      <alignment horizontal="center"/>
    </xf>
    <xf numFmtId="0" fontId="22" fillId="34" borderId="72" xfId="0" applyFont="1" applyFill="1" applyBorder="1" applyAlignment="1">
      <alignment horizontal="center"/>
    </xf>
    <xf numFmtId="0" fontId="22" fillId="0" borderId="15" xfId="0" applyFont="1" applyBorder="1"/>
    <xf numFmtId="0" fontId="22" fillId="0" borderId="35" xfId="0" applyFont="1" applyBorder="1" applyAlignment="1">
      <alignment vertical="center"/>
    </xf>
    <xf numFmtId="0" fontId="22" fillId="0" borderId="27" xfId="0" applyFont="1" applyBorder="1"/>
    <xf numFmtId="0" fontId="22" fillId="0" borderId="35" xfId="0" applyFont="1" applyBorder="1" applyAlignment="1">
      <alignment shrinkToFit="1"/>
    </xf>
    <xf numFmtId="0" fontId="22" fillId="0" borderId="50" xfId="0" applyFont="1" applyBorder="1" applyAlignment="1">
      <alignment shrinkToFit="1"/>
    </xf>
    <xf numFmtId="0" fontId="21" fillId="0" borderId="35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50" xfId="0" applyFont="1" applyBorder="1" applyAlignment="1">
      <alignment horizontal="center"/>
    </xf>
    <xf numFmtId="0" fontId="21" fillId="0" borderId="15" xfId="0" applyFont="1" applyBorder="1" applyAlignment="1">
      <alignment horizontal="center" textRotation="90"/>
    </xf>
    <xf numFmtId="0" fontId="29" fillId="0" borderId="0" xfId="0" applyFont="1"/>
    <xf numFmtId="0" fontId="22" fillId="0" borderId="78" xfId="0" applyFont="1" applyBorder="1" applyAlignment="1">
      <alignment horizontal="center"/>
    </xf>
    <xf numFmtId="0" fontId="22" fillId="0" borderId="99" xfId="0" applyFont="1" applyBorder="1" applyAlignment="1">
      <alignment horizontal="center"/>
    </xf>
    <xf numFmtId="0" fontId="22" fillId="0" borderId="100" xfId="0" applyFont="1" applyBorder="1" applyAlignment="1">
      <alignment horizontal="center"/>
    </xf>
    <xf numFmtId="0" fontId="22" fillId="28" borderId="44" xfId="0" applyFont="1" applyFill="1" applyBorder="1" applyAlignment="1">
      <alignment horizontal="center"/>
    </xf>
    <xf numFmtId="0" fontId="22" fillId="28" borderId="68" xfId="0" applyFont="1" applyFill="1" applyBorder="1" applyAlignment="1">
      <alignment horizontal="center"/>
    </xf>
    <xf numFmtId="4" fontId="22" fillId="0" borderId="99" xfId="0" applyNumberFormat="1" applyFont="1" applyBorder="1" applyAlignment="1">
      <alignment horizontal="right"/>
    </xf>
    <xf numFmtId="4" fontId="22" fillId="28" borderId="44" xfId="0" applyNumberFormat="1" applyFont="1" applyFill="1" applyBorder="1" applyAlignment="1">
      <alignment horizontal="right"/>
    </xf>
    <xf numFmtId="4" fontId="22" fillId="0" borderId="44" xfId="0" applyNumberFormat="1" applyFont="1" applyBorder="1" applyAlignment="1">
      <alignment horizontal="right"/>
    </xf>
    <xf numFmtId="4" fontId="22" fillId="0" borderId="100" xfId="0" applyNumberFormat="1" applyFont="1" applyBorder="1" applyAlignment="1">
      <alignment horizontal="right"/>
    </xf>
    <xf numFmtId="4" fontId="22" fillId="34" borderId="88" xfId="0" applyNumberFormat="1" applyFont="1" applyFill="1" applyBorder="1" applyAlignment="1">
      <alignment horizontal="right"/>
    </xf>
    <xf numFmtId="4" fontId="22" fillId="0" borderId="68" xfId="0" applyNumberFormat="1" applyFont="1" applyBorder="1" applyAlignment="1">
      <alignment horizontal="right"/>
    </xf>
    <xf numFmtId="4" fontId="22" fillId="0" borderId="95" xfId="0" applyNumberFormat="1" applyFont="1" applyBorder="1" applyAlignment="1">
      <alignment horizontal="right"/>
    </xf>
    <xf numFmtId="4" fontId="22" fillId="28" borderId="99" xfId="0" applyNumberFormat="1" applyFont="1" applyFill="1" applyBorder="1" applyAlignment="1">
      <alignment horizontal="right"/>
    </xf>
    <xf numFmtId="4" fontId="22" fillId="0" borderId="98" xfId="0" applyNumberFormat="1" applyFont="1" applyBorder="1" applyAlignment="1">
      <alignment horizontal="right"/>
    </xf>
    <xf numFmtId="4" fontId="25" fillId="0" borderId="68" xfId="0" applyNumberFormat="1" applyFont="1" applyBorder="1" applyAlignment="1">
      <alignment horizontal="right"/>
    </xf>
    <xf numFmtId="0" fontId="22" fillId="0" borderId="87" xfId="0" applyFont="1" applyBorder="1" applyAlignment="1">
      <alignment horizontal="center"/>
    </xf>
    <xf numFmtId="0" fontId="22" fillId="28" borderId="53" xfId="0" applyFont="1" applyFill="1" applyBorder="1" applyAlignment="1">
      <alignment horizontal="center"/>
    </xf>
    <xf numFmtId="0" fontId="22" fillId="28" borderId="54" xfId="0" applyFont="1" applyFill="1" applyBorder="1" applyAlignment="1">
      <alignment horizontal="center"/>
    </xf>
    <xf numFmtId="4" fontId="22" fillId="0" borderId="51" xfId="0" applyNumberFormat="1" applyFont="1" applyBorder="1" applyAlignment="1">
      <alignment horizontal="right"/>
    </xf>
    <xf numFmtId="4" fontId="22" fillId="28" borderId="53" xfId="0" applyNumberFormat="1" applyFont="1" applyFill="1" applyBorder="1" applyAlignment="1">
      <alignment horizontal="right"/>
    </xf>
    <xf numFmtId="4" fontId="22" fillId="0" borderId="53" xfId="0" applyNumberFormat="1" applyFont="1" applyBorder="1" applyAlignment="1">
      <alignment horizontal="right"/>
    </xf>
    <xf numFmtId="4" fontId="22" fillId="0" borderId="87" xfId="0" applyNumberFormat="1" applyFont="1" applyBorder="1" applyAlignment="1">
      <alignment horizontal="right"/>
    </xf>
    <xf numFmtId="4" fontId="22" fillId="34" borderId="70" xfId="0" applyNumberFormat="1" applyFont="1" applyFill="1" applyBorder="1" applyAlignment="1">
      <alignment horizontal="right"/>
    </xf>
    <xf numFmtId="4" fontId="22" fillId="0" borderId="54" xfId="0" applyNumberFormat="1" applyFont="1" applyBorder="1" applyAlignment="1">
      <alignment horizontal="right"/>
    </xf>
    <xf numFmtId="4" fontId="22" fillId="0" borderId="101" xfId="0" applyNumberFormat="1" applyFont="1" applyBorder="1" applyAlignment="1">
      <alignment horizontal="right"/>
    </xf>
    <xf numFmtId="4" fontId="22" fillId="28" borderId="51" xfId="0" applyNumberFormat="1" applyFont="1" applyFill="1" applyBorder="1" applyAlignment="1">
      <alignment horizontal="right"/>
    </xf>
    <xf numFmtId="4" fontId="22" fillId="0" borderId="59" xfId="0" applyNumberFormat="1" applyFont="1" applyBorder="1" applyAlignment="1">
      <alignment horizontal="right"/>
    </xf>
    <xf numFmtId="4" fontId="25" fillId="0" borderId="54" xfId="0" applyNumberFormat="1" applyFont="1" applyBorder="1" applyAlignment="1">
      <alignment horizontal="right"/>
    </xf>
    <xf numFmtId="0" fontId="22" fillId="31" borderId="69" xfId="0" applyFont="1" applyFill="1" applyBorder="1"/>
    <xf numFmtId="0" fontId="22" fillId="0" borderId="32" xfId="0" applyFont="1" applyBorder="1"/>
    <xf numFmtId="0" fontId="22" fillId="0" borderId="45" xfId="0" applyFont="1" applyBorder="1"/>
    <xf numFmtId="0" fontId="22" fillId="0" borderId="48" xfId="0" applyFont="1" applyBorder="1"/>
    <xf numFmtId="2" fontId="22" fillId="24" borderId="49" xfId="0" applyNumberFormat="1" applyFont="1" applyFill="1" applyBorder="1" applyAlignment="1">
      <alignment horizontal="right"/>
    </xf>
    <xf numFmtId="0" fontId="22" fillId="0" borderId="26" xfId="0" applyFont="1" applyBorder="1" applyAlignment="1">
      <alignment horizontal="center"/>
    </xf>
    <xf numFmtId="0" fontId="22" fillId="0" borderId="84" xfId="0" applyFont="1" applyBorder="1"/>
    <xf numFmtId="2" fontId="22" fillId="29" borderId="66" xfId="0" applyNumberFormat="1" applyFont="1" applyFill="1" applyBorder="1" applyAlignment="1">
      <alignment horizontal="right"/>
    </xf>
    <xf numFmtId="0" fontId="22" fillId="0" borderId="46" xfId="0" applyFont="1" applyBorder="1"/>
    <xf numFmtId="2" fontId="22" fillId="29" borderId="49" xfId="0" applyNumberFormat="1" applyFont="1" applyFill="1" applyBorder="1" applyAlignment="1">
      <alignment horizontal="right"/>
    </xf>
    <xf numFmtId="2" fontId="22" fillId="0" borderId="49" xfId="0" applyNumberFormat="1" applyFont="1" applyBorder="1" applyAlignment="1">
      <alignment horizontal="right"/>
    </xf>
    <xf numFmtId="0" fontId="21" fillId="0" borderId="52" xfId="0" applyFont="1" applyBorder="1" applyAlignment="1">
      <alignment horizontal="center"/>
    </xf>
    <xf numFmtId="0" fontId="22" fillId="0" borderId="0" xfId="0" applyFont="1" applyAlignment="1">
      <alignment horizontal="left"/>
    </xf>
    <xf numFmtId="166" fontId="22" fillId="0" borderId="55" xfId="0" applyNumberFormat="1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167" fontId="25" fillId="0" borderId="14" xfId="0" applyNumberFormat="1" applyFont="1" applyBorder="1" applyAlignment="1">
      <alignment horizontal="center"/>
    </xf>
    <xf numFmtId="4" fontId="25" fillId="0" borderId="94" xfId="0" applyNumberFormat="1" applyFont="1" applyBorder="1" applyAlignment="1">
      <alignment horizontal="right"/>
    </xf>
    <xf numFmtId="4" fontId="25" fillId="0" borderId="56" xfId="0" applyNumberFormat="1" applyFont="1" applyBorder="1" applyAlignment="1">
      <alignment horizontal="right"/>
    </xf>
    <xf numFmtId="4" fontId="25" fillId="0" borderId="102" xfId="0" applyNumberFormat="1" applyFont="1" applyBorder="1" applyAlignment="1">
      <alignment horizontal="right"/>
    </xf>
    <xf numFmtId="4" fontId="25" fillId="0" borderId="14" xfId="0" applyNumberFormat="1" applyFont="1" applyBorder="1" applyAlignment="1">
      <alignment horizontal="right"/>
    </xf>
    <xf numFmtId="0" fontId="21" fillId="0" borderId="42" xfId="0" applyFont="1" applyBorder="1" applyAlignment="1">
      <alignment horizontal="center"/>
    </xf>
    <xf numFmtId="0" fontId="22" fillId="0" borderId="38" xfId="0" applyFont="1" applyBorder="1" applyAlignment="1">
      <alignment horizontal="left"/>
    </xf>
    <xf numFmtId="166" fontId="22" fillId="0" borderId="39" xfId="0" applyNumberFormat="1" applyFont="1" applyBorder="1" applyAlignment="1">
      <alignment horizontal="center"/>
    </xf>
    <xf numFmtId="167" fontId="25" fillId="0" borderId="41" xfId="0" applyNumberFormat="1" applyFont="1" applyBorder="1" applyAlignment="1">
      <alignment horizontal="center"/>
    </xf>
    <xf numFmtId="0" fontId="22" fillId="0" borderId="67" xfId="0" applyFont="1" applyBorder="1" applyAlignment="1">
      <alignment horizontal="left"/>
    </xf>
    <xf numFmtId="166" fontId="22" fillId="0" borderId="69" xfId="0" applyNumberFormat="1" applyFont="1" applyBorder="1" applyAlignment="1">
      <alignment horizontal="center"/>
    </xf>
    <xf numFmtId="0" fontId="22" fillId="0" borderId="83" xfId="0" applyFont="1" applyBorder="1" applyAlignment="1">
      <alignment horizontal="center"/>
    </xf>
    <xf numFmtId="167" fontId="25" fillId="0" borderId="71" xfId="0" applyNumberFormat="1" applyFont="1" applyBorder="1" applyAlignment="1">
      <alignment horizontal="center"/>
    </xf>
    <xf numFmtId="0" fontId="21" fillId="0" borderId="73" xfId="0" applyFont="1" applyBorder="1" applyAlignment="1">
      <alignment horizontal="center"/>
    </xf>
    <xf numFmtId="0" fontId="22" fillId="0" borderId="84" xfId="0" applyFont="1" applyBorder="1" applyAlignment="1">
      <alignment horizontal="left"/>
    </xf>
    <xf numFmtId="166" fontId="22" fillId="0" borderId="57" xfId="0" applyNumberFormat="1" applyFont="1" applyBorder="1" applyAlignment="1">
      <alignment horizontal="center"/>
    </xf>
    <xf numFmtId="0" fontId="22" fillId="0" borderId="82" xfId="0" applyFont="1" applyBorder="1" applyAlignment="1">
      <alignment horizontal="center"/>
    </xf>
    <xf numFmtId="167" fontId="25" fillId="0" borderId="66" xfId="0" applyNumberFormat="1" applyFont="1" applyBorder="1" applyAlignment="1">
      <alignment horizontal="center"/>
    </xf>
    <xf numFmtId="0" fontId="21" fillId="0" borderId="58" xfId="0" applyFont="1" applyBorder="1" applyAlignment="1">
      <alignment horizontal="center"/>
    </xf>
    <xf numFmtId="4" fontId="22" fillId="0" borderId="55" xfId="0" applyNumberFormat="1" applyFont="1" applyBorder="1" applyAlignment="1">
      <alignment horizontal="right"/>
    </xf>
    <xf numFmtId="4" fontId="22" fillId="0" borderId="56" xfId="0" applyNumberFormat="1" applyFont="1" applyBorder="1" applyAlignment="1">
      <alignment horizontal="right"/>
    </xf>
    <xf numFmtId="4" fontId="22" fillId="0" borderId="14" xfId="0" applyNumberFormat="1" applyFont="1" applyBorder="1" applyAlignment="1">
      <alignment horizontal="right"/>
    </xf>
    <xf numFmtId="0" fontId="22" fillId="0" borderId="52" xfId="0" applyFont="1" applyBorder="1" applyAlignment="1">
      <alignment vertical="center"/>
    </xf>
    <xf numFmtId="0" fontId="22" fillId="0" borderId="103" xfId="0" applyFont="1" applyBorder="1" applyAlignment="1">
      <alignment horizontal="left" vertical="center"/>
    </xf>
    <xf numFmtId="0" fontId="21" fillId="0" borderId="72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4" fontId="22" fillId="0" borderId="83" xfId="0" applyNumberFormat="1" applyFont="1" applyBorder="1" applyAlignment="1">
      <alignment horizontal="right"/>
    </xf>
    <xf numFmtId="4" fontId="22" fillId="0" borderId="71" xfId="0" applyNumberFormat="1" applyFont="1" applyBorder="1" applyAlignment="1">
      <alignment horizontal="right"/>
    </xf>
    <xf numFmtId="4" fontId="22" fillId="0" borderId="57" xfId="0" applyNumberFormat="1" applyFont="1" applyBorder="1" applyAlignment="1">
      <alignment horizontal="right"/>
    </xf>
    <xf numFmtId="0" fontId="22" fillId="0" borderId="14" xfId="0" applyFont="1" applyBorder="1" applyAlignment="1">
      <alignment horizontal="center"/>
    </xf>
    <xf numFmtId="4" fontId="25" fillId="0" borderId="88" xfId="0" applyNumberFormat="1" applyFont="1" applyBorder="1" applyAlignment="1">
      <alignment horizontal="right"/>
    </xf>
    <xf numFmtId="4" fontId="25" fillId="0" borderId="83" xfId="0" applyNumberFormat="1" applyFont="1" applyBorder="1" applyAlignment="1">
      <alignment horizontal="right"/>
    </xf>
    <xf numFmtId="4" fontId="25" fillId="0" borderId="70" xfId="0" applyNumberFormat="1" applyFont="1" applyBorder="1" applyAlignment="1">
      <alignment horizontal="right"/>
    </xf>
    <xf numFmtId="4" fontId="25" fillId="0" borderId="71" xfId="0" applyNumberFormat="1" applyFont="1" applyBorder="1" applyAlignment="1">
      <alignment horizontal="right"/>
    </xf>
    <xf numFmtId="4" fontId="25" fillId="0" borderId="95" xfId="0" applyNumberFormat="1" applyFont="1" applyBorder="1" applyAlignment="1">
      <alignment horizontal="right"/>
    </xf>
    <xf numFmtId="4" fontId="25" fillId="0" borderId="82" xfId="0" applyNumberFormat="1" applyFont="1" applyBorder="1" applyAlignment="1">
      <alignment horizontal="right"/>
    </xf>
    <xf numFmtId="4" fontId="25" fillId="0" borderId="101" xfId="0" applyNumberFormat="1" applyFont="1" applyBorder="1" applyAlignment="1">
      <alignment horizontal="right"/>
    </xf>
    <xf numFmtId="4" fontId="25" fillId="0" borderId="66" xfId="0" applyNumberFormat="1" applyFont="1" applyBorder="1" applyAlignment="1">
      <alignment horizontal="right"/>
    </xf>
    <xf numFmtId="1" fontId="22" fillId="0" borderId="28" xfId="0" applyNumberFormat="1" applyFont="1" applyBorder="1" applyProtection="1">
      <protection locked="0"/>
    </xf>
    <xf numFmtId="1" fontId="22" fillId="0" borderId="28" xfId="0" applyNumberFormat="1" applyFont="1" applyBorder="1" applyAlignment="1">
      <alignment horizontal="center" vertical="center"/>
    </xf>
    <xf numFmtId="1" fontId="22" fillId="0" borderId="39" xfId="0" applyNumberFormat="1" applyFont="1" applyBorder="1" applyAlignment="1">
      <alignment horizontal="center" vertical="center"/>
    </xf>
    <xf numFmtId="2" fontId="22" fillId="27" borderId="31" xfId="0" applyNumberFormat="1" applyFont="1" applyFill="1" applyBorder="1"/>
    <xf numFmtId="2" fontId="22" fillId="26" borderId="31" xfId="0" applyNumberFormat="1" applyFont="1" applyFill="1" applyBorder="1" applyAlignment="1">
      <alignment horizontal="right" vertical="center"/>
    </xf>
    <xf numFmtId="1" fontId="22" fillId="0" borderId="32" xfId="0" applyNumberFormat="1" applyFont="1" applyBorder="1" applyAlignment="1">
      <alignment vertical="center"/>
    </xf>
    <xf numFmtId="1" fontId="22" fillId="0" borderId="32" xfId="0" applyNumberFormat="1" applyFont="1" applyBorder="1" applyAlignment="1">
      <alignment horizontal="center" vertical="center"/>
    </xf>
    <xf numFmtId="2" fontId="22" fillId="26" borderId="34" xfId="0" applyNumberFormat="1" applyFont="1" applyFill="1" applyBorder="1" applyAlignment="1">
      <alignment horizontal="right" vertical="center"/>
    </xf>
    <xf numFmtId="167" fontId="22" fillId="0" borderId="32" xfId="0" applyNumberFormat="1" applyFont="1" applyBorder="1" applyAlignment="1" applyProtection="1">
      <alignment horizontal="right"/>
      <protection locked="0"/>
    </xf>
    <xf numFmtId="1" fontId="22" fillId="0" borderId="87" xfId="0" applyNumberFormat="1" applyFont="1" applyBorder="1"/>
    <xf numFmtId="1" fontId="22" fillId="0" borderId="104" xfId="0" applyNumberFormat="1" applyFont="1" applyBorder="1"/>
    <xf numFmtId="2" fontId="22" fillId="27" borderId="41" xfId="0" applyNumberFormat="1" applyFont="1" applyFill="1" applyBorder="1"/>
    <xf numFmtId="2" fontId="22" fillId="26" borderId="41" xfId="0" applyNumberFormat="1" applyFont="1" applyFill="1" applyBorder="1" applyAlignment="1">
      <alignment horizontal="right" vertical="center"/>
    </xf>
    <xf numFmtId="167" fontId="22" fillId="0" borderId="57" xfId="0" applyNumberFormat="1" applyFont="1" applyBorder="1" applyAlignment="1" applyProtection="1">
      <alignment horizontal="right"/>
      <protection locked="0"/>
    </xf>
    <xf numFmtId="2" fontId="22" fillId="0" borderId="56" xfId="0" applyNumberFormat="1" applyFont="1" applyBorder="1" applyAlignment="1">
      <alignment horizontal="center"/>
    </xf>
    <xf numFmtId="2" fontId="22" fillId="0" borderId="36" xfId="0" applyNumberFormat="1" applyFont="1" applyBorder="1" applyAlignment="1">
      <alignment horizontal="center"/>
    </xf>
    <xf numFmtId="2" fontId="22" fillId="0" borderId="83" xfId="0" applyNumberFormat="1" applyFont="1" applyBorder="1" applyAlignment="1">
      <alignment horizontal="center"/>
    </xf>
    <xf numFmtId="2" fontId="22" fillId="0" borderId="82" xfId="0" applyNumberFormat="1" applyFont="1" applyBorder="1" applyAlignment="1">
      <alignment horizontal="center"/>
    </xf>
    <xf numFmtId="0" fontId="22" fillId="0" borderId="27" xfId="0" applyFont="1" applyBorder="1" applyAlignment="1">
      <alignment horizontal="left"/>
    </xf>
    <xf numFmtId="0" fontId="22" fillId="0" borderId="35" xfId="0" applyFont="1" applyBorder="1" applyAlignment="1">
      <alignment horizontal="left"/>
    </xf>
    <xf numFmtId="0" fontId="22" fillId="0" borderId="50" xfId="0" applyFont="1" applyBorder="1" applyAlignment="1">
      <alignment horizontal="left"/>
    </xf>
    <xf numFmtId="0" fontId="0" fillId="0" borderId="0" xfId="0" applyAlignment="1">
      <alignment horizontal="center"/>
    </xf>
    <xf numFmtId="168" fontId="21" fillId="0" borderId="85" xfId="0" applyNumberFormat="1" applyFont="1" applyBorder="1" applyAlignment="1">
      <alignment horizontal="center" vertical="center" wrapText="1"/>
    </xf>
    <xf numFmtId="0" fontId="22" fillId="0" borderId="104" xfId="0" applyFont="1" applyBorder="1" applyAlignment="1">
      <alignment horizontal="center"/>
    </xf>
    <xf numFmtId="0" fontId="22" fillId="28" borderId="37" xfId="0" applyFont="1" applyFill="1" applyBorder="1" applyAlignment="1">
      <alignment horizontal="center"/>
    </xf>
    <xf numFmtId="0" fontId="22" fillId="28" borderId="47" xfId="0" applyFont="1" applyFill="1" applyBorder="1" applyAlignment="1">
      <alignment horizontal="center"/>
    </xf>
    <xf numFmtId="4" fontId="22" fillId="0" borderId="30" xfId="0" applyNumberFormat="1" applyFont="1" applyBorder="1" applyAlignment="1">
      <alignment horizontal="right"/>
    </xf>
    <xf numFmtId="4" fontId="22" fillId="28" borderId="37" xfId="0" applyNumberFormat="1" applyFont="1" applyFill="1" applyBorder="1" applyAlignment="1">
      <alignment horizontal="right"/>
    </xf>
    <xf numFmtId="4" fontId="22" fillId="0" borderId="37" xfId="0" applyNumberFormat="1" applyFont="1" applyBorder="1" applyAlignment="1">
      <alignment horizontal="right"/>
    </xf>
    <xf numFmtId="4" fontId="22" fillId="0" borderId="104" xfId="0" applyNumberFormat="1" applyFont="1" applyBorder="1" applyAlignment="1">
      <alignment horizontal="right"/>
    </xf>
    <xf numFmtId="4" fontId="22" fillId="34" borderId="105" xfId="0" applyNumberFormat="1" applyFont="1" applyFill="1" applyBorder="1" applyAlignment="1">
      <alignment horizontal="right"/>
    </xf>
    <xf numFmtId="4" fontId="22" fillId="0" borderId="47" xfId="0" applyNumberFormat="1" applyFont="1" applyBorder="1" applyAlignment="1">
      <alignment horizontal="right"/>
    </xf>
    <xf numFmtId="4" fontId="22" fillId="0" borderId="106" xfId="0" applyNumberFormat="1" applyFont="1" applyBorder="1" applyAlignment="1">
      <alignment horizontal="right"/>
    </xf>
    <xf numFmtId="4" fontId="22" fillId="28" borderId="30" xfId="0" applyNumberFormat="1" applyFont="1" applyFill="1" applyBorder="1" applyAlignment="1">
      <alignment horizontal="right"/>
    </xf>
    <xf numFmtId="4" fontId="22" fillId="0" borderId="24" xfId="0" applyNumberFormat="1" applyFont="1" applyBorder="1" applyAlignment="1">
      <alignment horizontal="right"/>
    </xf>
    <xf numFmtId="4" fontId="25" fillId="0" borderId="47" xfId="0" applyNumberFormat="1" applyFont="1" applyBorder="1" applyAlignment="1">
      <alignment horizontal="right"/>
    </xf>
    <xf numFmtId="4" fontId="25" fillId="0" borderId="105" xfId="0" applyNumberFormat="1" applyFont="1" applyBorder="1" applyAlignment="1">
      <alignment horizontal="right"/>
    </xf>
    <xf numFmtId="4" fontId="25" fillId="0" borderId="43" xfId="0" applyNumberFormat="1" applyFont="1" applyBorder="1" applyAlignment="1">
      <alignment horizontal="right"/>
    </xf>
    <xf numFmtId="4" fontId="25" fillId="0" borderId="106" xfId="0" applyNumberFormat="1" applyFont="1" applyBorder="1" applyAlignment="1">
      <alignment horizontal="right"/>
    </xf>
    <xf numFmtId="4" fontId="22" fillId="0" borderId="105" xfId="0" applyNumberFormat="1" applyFont="1" applyBorder="1" applyAlignment="1">
      <alignment horizontal="right"/>
    </xf>
    <xf numFmtId="4" fontId="22" fillId="0" borderId="43" xfId="0" applyNumberFormat="1" applyFont="1" applyBorder="1" applyAlignment="1">
      <alignment horizontal="right"/>
    </xf>
    <xf numFmtId="167" fontId="22" fillId="0" borderId="31" xfId="0" applyNumberFormat="1" applyFont="1" applyBorder="1" applyAlignment="1">
      <alignment horizontal="center"/>
    </xf>
    <xf numFmtId="167" fontId="22" fillId="28" borderId="34" xfId="0" applyNumberFormat="1" applyFont="1" applyFill="1" applyBorder="1" applyAlignment="1">
      <alignment horizontal="center"/>
    </xf>
    <xf numFmtId="167" fontId="22" fillId="0" borderId="49" xfId="0" applyNumberFormat="1" applyFont="1" applyBorder="1" applyAlignment="1">
      <alignment horizontal="center"/>
    </xf>
    <xf numFmtId="167" fontId="22" fillId="34" borderId="71" xfId="0" applyNumberFormat="1" applyFont="1" applyFill="1" applyBorder="1" applyAlignment="1">
      <alignment horizontal="center"/>
    </xf>
    <xf numFmtId="167" fontId="22" fillId="0" borderId="20" xfId="0" applyNumberFormat="1" applyFont="1" applyBorder="1" applyAlignment="1">
      <alignment horizontal="center"/>
    </xf>
    <xf numFmtId="167" fontId="22" fillId="28" borderId="31" xfId="0" applyNumberFormat="1" applyFont="1" applyFill="1" applyBorder="1" applyAlignment="1">
      <alignment horizontal="center"/>
    </xf>
    <xf numFmtId="167" fontId="22" fillId="0" borderId="25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30" fillId="0" borderId="0" xfId="42" applyFont="1"/>
    <xf numFmtId="0" fontId="9" fillId="0" borderId="0" xfId="42"/>
    <xf numFmtId="0" fontId="9" fillId="35" borderId="0" xfId="42" applyFill="1" applyProtection="1">
      <protection locked="0"/>
    </xf>
    <xf numFmtId="0" fontId="26" fillId="0" borderId="0" xfId="42" applyFont="1"/>
    <xf numFmtId="0" fontId="21" fillId="0" borderId="0" xfId="0" applyFont="1"/>
    <xf numFmtId="169" fontId="0" fillId="35" borderId="0" xfId="0" applyNumberFormat="1" applyFill="1" applyAlignment="1" applyProtection="1">
      <alignment horizontal="center"/>
      <protection locked="0"/>
    </xf>
    <xf numFmtId="0" fontId="0" fillId="35" borderId="0" xfId="0" applyFill="1" applyProtection="1">
      <protection locked="0"/>
    </xf>
    <xf numFmtId="49" fontId="9" fillId="35" borderId="0" xfId="0" applyNumberFormat="1" applyFont="1" applyFill="1" applyAlignment="1" applyProtection="1">
      <alignment horizontal="left" indent="1"/>
      <protection locked="0"/>
    </xf>
    <xf numFmtId="168" fontId="21" fillId="0" borderId="82" xfId="0" applyNumberFormat="1" applyFont="1" applyBorder="1" applyAlignment="1">
      <alignment horizontal="center" vertical="center" wrapText="1"/>
    </xf>
    <xf numFmtId="168" fontId="31" fillId="0" borderId="85" xfId="0" applyNumberFormat="1" applyFont="1" applyBorder="1" applyAlignment="1">
      <alignment horizontal="center" vertical="center" wrapText="1"/>
    </xf>
    <xf numFmtId="0" fontId="32" fillId="0" borderId="78" xfId="0" applyFont="1" applyBorder="1" applyAlignment="1">
      <alignment horizontal="center"/>
    </xf>
    <xf numFmtId="0" fontId="32" fillId="0" borderId="18" xfId="0" applyFont="1" applyBorder="1" applyAlignment="1">
      <alignment horizontal="center"/>
    </xf>
    <xf numFmtId="0" fontId="32" fillId="0" borderId="86" xfId="0" applyFont="1" applyBorder="1" applyAlignment="1">
      <alignment horizontal="center"/>
    </xf>
    <xf numFmtId="0" fontId="32" fillId="0" borderId="19" xfId="0" applyFont="1" applyBorder="1" applyAlignment="1">
      <alignment horizontal="center"/>
    </xf>
    <xf numFmtId="0" fontId="32" fillId="0" borderId="20" xfId="0" applyFont="1" applyBorder="1" applyAlignment="1">
      <alignment horizontal="center"/>
    </xf>
    <xf numFmtId="0" fontId="32" fillId="0" borderId="98" xfId="0" applyFont="1" applyBorder="1" applyAlignment="1">
      <alignment horizontal="center"/>
    </xf>
    <xf numFmtId="0" fontId="32" fillId="0" borderId="23" xfId="0" applyFont="1" applyBorder="1" applyAlignment="1">
      <alignment horizontal="center"/>
    </xf>
    <xf numFmtId="0" fontId="32" fillId="0" borderId="59" xfId="0" applyFont="1" applyBorder="1" applyAlignment="1">
      <alignment horizontal="center"/>
    </xf>
    <xf numFmtId="0" fontId="32" fillId="0" borderId="24" xfId="0" applyFont="1" applyBorder="1" applyAlignment="1">
      <alignment horizontal="center"/>
    </xf>
    <xf numFmtId="0" fontId="32" fillId="0" borderId="25" xfId="0" applyFont="1" applyBorder="1" applyAlignment="1">
      <alignment horizontal="center"/>
    </xf>
    <xf numFmtId="0" fontId="32" fillId="0" borderId="99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51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2" fillId="28" borderId="95" xfId="0" applyFont="1" applyFill="1" applyBorder="1" applyAlignment="1">
      <alignment horizontal="center"/>
    </xf>
    <xf numFmtId="0" fontId="32" fillId="28" borderId="82" xfId="0" applyFont="1" applyFill="1" applyBorder="1" applyAlignment="1">
      <alignment horizontal="center"/>
    </xf>
    <xf numFmtId="0" fontId="32" fillId="28" borderId="101" xfId="0" applyFont="1" applyFill="1" applyBorder="1" applyAlignment="1">
      <alignment horizontal="center"/>
    </xf>
    <xf numFmtId="0" fontId="32" fillId="28" borderId="106" xfId="0" applyFont="1" applyFill="1" applyBorder="1" applyAlignment="1">
      <alignment horizontal="center"/>
    </xf>
    <xf numFmtId="0" fontId="32" fillId="28" borderId="66" xfId="0" applyFont="1" applyFill="1" applyBorder="1" applyAlignment="1">
      <alignment horizontal="center"/>
    </xf>
    <xf numFmtId="168" fontId="21" fillId="0" borderId="97" xfId="0" applyNumberFormat="1" applyFont="1" applyBorder="1" applyAlignment="1">
      <alignment horizontal="center" vertical="center" wrapText="1"/>
    </xf>
    <xf numFmtId="168" fontId="21" fillId="0" borderId="107" xfId="0" applyNumberFormat="1" applyFont="1" applyBorder="1" applyAlignment="1">
      <alignment horizontal="center" vertical="center" wrapText="1"/>
    </xf>
    <xf numFmtId="0" fontId="26" fillId="0" borderId="0" xfId="42" applyFont="1" applyAlignment="1">
      <alignment horizontal="right"/>
    </xf>
    <xf numFmtId="0" fontId="20" fillId="0" borderId="0" xfId="0" applyFont="1" applyAlignment="1">
      <alignment horizontal="center"/>
    </xf>
    <xf numFmtId="1" fontId="22" fillId="0" borderId="39" xfId="0" applyNumberFormat="1" applyFont="1" applyBorder="1" applyAlignment="1">
      <alignment horizontal="center" vertical="center"/>
    </xf>
    <xf numFmtId="1" fontId="22" fillId="0" borderId="57" xfId="0" applyNumberFormat="1" applyFont="1" applyBorder="1" applyAlignment="1">
      <alignment horizontal="center" vertical="center"/>
    </xf>
    <xf numFmtId="167" fontId="22" fillId="0" borderId="40" xfId="0" applyNumberFormat="1" applyFont="1" applyBorder="1" applyAlignment="1">
      <alignment horizontal="center" vertical="center"/>
    </xf>
    <xf numFmtId="167" fontId="22" fillId="0" borderId="82" xfId="0" applyNumberFormat="1" applyFont="1" applyBorder="1" applyAlignment="1">
      <alignment horizontal="center" vertical="center"/>
    </xf>
    <xf numFmtId="1" fontId="22" fillId="26" borderId="41" xfId="0" applyNumberFormat="1" applyFont="1" applyFill="1" applyBorder="1" applyAlignment="1">
      <alignment horizontal="right" vertical="center"/>
    </xf>
    <xf numFmtId="1" fontId="22" fillId="26" borderId="66" xfId="0" applyNumberFormat="1" applyFont="1" applyFill="1" applyBorder="1" applyAlignment="1">
      <alignment horizontal="right" vertical="center"/>
    </xf>
    <xf numFmtId="0" fontId="21" fillId="0" borderId="80" xfId="0" applyFont="1" applyBorder="1" applyAlignment="1">
      <alignment horizontal="center" wrapText="1"/>
    </xf>
    <xf numFmtId="0" fontId="21" fillId="0" borderId="74" xfId="0" applyFont="1" applyBorder="1" applyAlignment="1">
      <alignment horizontal="center" wrapText="1"/>
    </xf>
    <xf numFmtId="0" fontId="21" fillId="0" borderId="81" xfId="0" applyFont="1" applyBorder="1" applyAlignment="1">
      <alignment horizontal="center" wrapText="1"/>
    </xf>
    <xf numFmtId="0" fontId="21" fillId="0" borderId="72" xfId="0" applyFont="1" applyBorder="1" applyAlignment="1">
      <alignment horizontal="center" vertical="center" textRotation="90"/>
    </xf>
    <xf numFmtId="0" fontId="21" fillId="0" borderId="58" xfId="0" applyFont="1" applyBorder="1" applyAlignment="1">
      <alignment horizontal="center" vertical="center" textRotation="90"/>
    </xf>
    <xf numFmtId="0" fontId="21" fillId="0" borderId="73" xfId="0" applyFont="1" applyBorder="1" applyAlignment="1">
      <alignment horizontal="center" vertical="center" textRotation="90"/>
    </xf>
    <xf numFmtId="17" fontId="20" fillId="0" borderId="88" xfId="0" applyNumberFormat="1" applyFont="1" applyBorder="1" applyAlignment="1">
      <alignment horizontal="center"/>
    </xf>
    <xf numFmtId="17" fontId="20" fillId="0" borderId="67" xfId="0" applyNumberFormat="1" applyFont="1" applyBorder="1" applyAlignment="1">
      <alignment horizontal="center"/>
    </xf>
    <xf numFmtId="17" fontId="20" fillId="0" borderId="90" xfId="0" applyNumberFormat="1" applyFont="1" applyBorder="1" applyAlignment="1">
      <alignment horizontal="center"/>
    </xf>
    <xf numFmtId="0" fontId="20" fillId="0" borderId="78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65" xfId="0" applyFont="1" applyBorder="1" applyAlignment="1">
      <alignment horizontal="center"/>
    </xf>
    <xf numFmtId="0" fontId="21" fillId="0" borderId="72" xfId="0" applyFont="1" applyBorder="1" applyAlignment="1">
      <alignment horizontal="center" vertical="center"/>
    </xf>
    <xf numFmtId="0" fontId="21" fillId="0" borderId="73" xfId="0" applyFont="1" applyBorder="1" applyAlignment="1">
      <alignment horizontal="center" vertical="center"/>
    </xf>
    <xf numFmtId="0" fontId="21" fillId="0" borderId="72" xfId="0" applyFont="1" applyBorder="1" applyAlignment="1">
      <alignment horizontal="center" vertical="center" wrapText="1"/>
    </xf>
    <xf numFmtId="0" fontId="21" fillId="0" borderId="58" xfId="0" applyFont="1" applyBorder="1" applyAlignment="1">
      <alignment horizontal="center" vertical="center"/>
    </xf>
    <xf numFmtId="0" fontId="21" fillId="0" borderId="79" xfId="0" applyFont="1" applyBorder="1" applyAlignment="1">
      <alignment horizontal="center" wrapText="1"/>
    </xf>
    <xf numFmtId="1" fontId="22" fillId="27" borderId="42" xfId="0" applyNumberFormat="1" applyFont="1" applyFill="1" applyBorder="1" applyAlignment="1">
      <alignment horizontal="right"/>
    </xf>
    <xf numFmtId="1" fontId="22" fillId="27" borderId="73" xfId="0" applyNumberFormat="1" applyFont="1" applyFill="1" applyBorder="1" applyAlignment="1">
      <alignment horizontal="right"/>
    </xf>
    <xf numFmtId="0" fontId="2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21" fillId="28" borderId="78" xfId="0" applyFont="1" applyFill="1" applyBorder="1" applyAlignment="1">
      <alignment horizontal="right"/>
    </xf>
    <xf numFmtId="0" fontId="21" fillId="28" borderId="16" xfId="0" applyFont="1" applyFill="1" applyBorder="1" applyAlignment="1">
      <alignment horizontal="right"/>
    </xf>
    <xf numFmtId="1" fontId="22" fillId="27" borderId="72" xfId="0" applyNumberFormat="1" applyFont="1" applyFill="1" applyBorder="1" applyAlignment="1">
      <alignment horizontal="right"/>
    </xf>
    <xf numFmtId="1" fontId="22" fillId="27" borderId="58" xfId="0" applyNumberFormat="1" applyFont="1" applyFill="1" applyBorder="1" applyAlignment="1">
      <alignment horizontal="right"/>
    </xf>
    <xf numFmtId="1" fontId="22" fillId="27" borderId="52" xfId="0" applyNumberFormat="1" applyFont="1" applyFill="1" applyBorder="1" applyAlignment="1">
      <alignment horizontal="right"/>
    </xf>
    <xf numFmtId="1" fontId="22" fillId="0" borderId="69" xfId="0" applyNumberFormat="1" applyFont="1" applyBorder="1" applyAlignment="1">
      <alignment horizontal="center" vertical="center"/>
    </xf>
    <xf numFmtId="1" fontId="22" fillId="0" borderId="55" xfId="0" applyNumberFormat="1" applyFont="1" applyBorder="1" applyAlignment="1">
      <alignment horizontal="center" vertical="center"/>
    </xf>
    <xf numFmtId="1" fontId="22" fillId="0" borderId="28" xfId="0" applyNumberFormat="1" applyFont="1" applyBorder="1" applyAlignment="1">
      <alignment horizontal="center" vertical="center"/>
    </xf>
    <xf numFmtId="167" fontId="22" fillId="0" borderId="83" xfId="0" applyNumberFormat="1" applyFont="1" applyBorder="1" applyAlignment="1">
      <alignment horizontal="center" vertical="center"/>
    </xf>
    <xf numFmtId="167" fontId="22" fillId="0" borderId="56" xfId="0" applyNumberFormat="1" applyFont="1" applyBorder="1" applyAlignment="1">
      <alignment horizontal="center" vertical="center"/>
    </xf>
    <xf numFmtId="167" fontId="22" fillId="0" borderId="29" xfId="0" applyNumberFormat="1" applyFont="1" applyBorder="1" applyAlignment="1">
      <alignment horizontal="center" vertical="center"/>
    </xf>
    <xf numFmtId="1" fontId="22" fillId="26" borderId="71" xfId="0" applyNumberFormat="1" applyFont="1" applyFill="1" applyBorder="1" applyAlignment="1">
      <alignment horizontal="right" vertical="center"/>
    </xf>
    <xf numFmtId="1" fontId="22" fillId="26" borderId="14" xfId="0" applyNumberFormat="1" applyFont="1" applyFill="1" applyBorder="1" applyAlignment="1">
      <alignment horizontal="right" vertical="center"/>
    </xf>
    <xf numFmtId="1" fontId="22" fillId="26" borderId="31" xfId="0" applyNumberFormat="1" applyFont="1" applyFill="1" applyBorder="1" applyAlignment="1">
      <alignment horizontal="right" vertical="center"/>
    </xf>
    <xf numFmtId="2" fontId="22" fillId="26" borderId="71" xfId="0" applyNumberFormat="1" applyFont="1" applyFill="1" applyBorder="1" applyAlignment="1">
      <alignment horizontal="right" vertical="center"/>
    </xf>
    <xf numFmtId="2" fontId="22" fillId="26" borderId="14" xfId="0" applyNumberFormat="1" applyFont="1" applyFill="1" applyBorder="1" applyAlignment="1">
      <alignment horizontal="right" vertical="center"/>
    </xf>
    <xf numFmtId="2" fontId="22" fillId="26" borderId="66" xfId="0" applyNumberFormat="1" applyFont="1" applyFill="1" applyBorder="1" applyAlignment="1">
      <alignment horizontal="right" vertical="center"/>
    </xf>
    <xf numFmtId="1" fontId="22" fillId="0" borderId="39" xfId="0" applyNumberFormat="1" applyFont="1" applyBorder="1" applyAlignment="1">
      <alignment horizontal="center" vertical="center" wrapText="1"/>
    </xf>
    <xf numFmtId="0" fontId="0" fillId="0" borderId="55" xfId="0" applyBorder="1" applyAlignment="1">
      <alignment horizontal="center"/>
    </xf>
    <xf numFmtId="0" fontId="0" fillId="0" borderId="28" xfId="0" applyBorder="1" applyAlignment="1">
      <alignment horizontal="center"/>
    </xf>
    <xf numFmtId="1" fontId="22" fillId="0" borderId="40" xfId="0" applyNumberFormat="1" applyFont="1" applyBorder="1" applyAlignment="1">
      <alignment horizontal="center" vertical="center"/>
    </xf>
    <xf numFmtId="1" fontId="22" fillId="0" borderId="56" xfId="0" applyNumberFormat="1" applyFont="1" applyBorder="1" applyAlignment="1">
      <alignment horizontal="center" vertical="center"/>
    </xf>
    <xf numFmtId="1" fontId="22" fillId="0" borderId="29" xfId="0" applyNumberFormat="1" applyFont="1" applyBorder="1" applyAlignment="1">
      <alignment horizontal="center" vertical="center"/>
    </xf>
    <xf numFmtId="0" fontId="21" fillId="0" borderId="73" xfId="0" applyFont="1" applyBorder="1" applyAlignment="1">
      <alignment horizontal="center" vertical="center" wrapText="1"/>
    </xf>
    <xf numFmtId="0" fontId="27" fillId="0" borderId="75" xfId="0" applyFont="1" applyBorder="1" applyAlignment="1">
      <alignment horizontal="center"/>
    </xf>
    <xf numFmtId="0" fontId="27" fillId="25" borderId="76" xfId="0" applyFont="1" applyFill="1" applyBorder="1" applyAlignment="1">
      <alignment horizontal="center"/>
    </xf>
    <xf numFmtId="0" fontId="27" fillId="33" borderId="75" xfId="0" applyFont="1" applyFill="1" applyBorder="1" applyAlignment="1">
      <alignment horizontal="center"/>
    </xf>
    <xf numFmtId="0" fontId="27" fillId="29" borderId="77" xfId="0" applyFont="1" applyFill="1" applyBorder="1" applyAlignment="1">
      <alignment horizontal="center"/>
    </xf>
    <xf numFmtId="0" fontId="27" fillId="24" borderId="77" xfId="0" applyFont="1" applyFill="1" applyBorder="1" applyAlignment="1">
      <alignment horizontal="center"/>
    </xf>
    <xf numFmtId="0" fontId="27" fillId="27" borderId="77" xfId="0" applyFont="1" applyFill="1" applyBorder="1" applyAlignment="1">
      <alignment horizontal="center"/>
    </xf>
    <xf numFmtId="0" fontId="21" fillId="30" borderId="78" xfId="0" applyFont="1" applyFill="1" applyBorder="1" applyAlignment="1">
      <alignment horizontal="right"/>
    </xf>
    <xf numFmtId="0" fontId="21" fillId="30" borderId="16" xfId="0" applyFont="1" applyFill="1" applyBorder="1" applyAlignment="1">
      <alignment horizontal="right"/>
    </xf>
    <xf numFmtId="0" fontId="21" fillId="30" borderId="65" xfId="0" applyFont="1" applyFill="1" applyBorder="1" applyAlignment="1">
      <alignment horizontal="right"/>
    </xf>
    <xf numFmtId="0" fontId="21" fillId="0" borderId="72" xfId="0" applyFont="1" applyBorder="1" applyAlignment="1">
      <alignment horizontal="center" vertical="center" textRotation="90" wrapText="1"/>
    </xf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Neutro" xfId="31" builtinId="28" customBuiltin="1"/>
    <cellStyle name="Normal" xfId="0" builtinId="0"/>
    <cellStyle name="Normal 2" xfId="42" xr:uid="{00000000-0005-0000-0000-000020000000}"/>
    <cellStyle name="Nota" xfId="32" builtinId="10" customBuiltin="1"/>
    <cellStyle name="Ruim" xfId="30" builtinId="27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</cellStyles>
  <dxfs count="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0)%20BASE%20DE%20CUSTOS/C&#225;lculo%20Custo%20de%20Falhas%20-%20210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0)%20CUSTOS/(0)%20BASE%20DE%20CUSTOS/C&#225;lculo%20Custo%20de%20Falhas%20-%2021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106 - UM-1SHNASPA"/>
      <sheetName val="Base Custo Falhas UM-3"/>
      <sheetName val="2106 - UM-3SHPA"/>
      <sheetName val="Base Custo Falhas UM-4"/>
      <sheetName val="2106 - UM-4SHPA"/>
      <sheetName val="Base Custo Falhas LR6"/>
      <sheetName val="2106 - LR6-NACPA"/>
      <sheetName val="Cálculo Custo de Falhas - 2106"/>
    </sheetNames>
    <definedNames>
      <definedName name="ARRUELA_UM1" refersTo="='Base Custo Falhas UM-1'!$L$47"/>
      <definedName name="ARRUELA_UM3" refersTo="='Base Custo Falhas UM-3'!$I$45"/>
      <definedName name="BP_UM4" refersTo="='Base Custo Falhas UM-4'!$P$51"/>
      <definedName name="CAP" refersTo="='Base Custo Falhas UM-1'!$L$53"/>
      <definedName name="CAP_UM4" refersTo="='Base Custo Falhas UM-4'!$R$51"/>
      <definedName name="ENCOLHIMENTO" refersTo="='Base Custo Falhas UM-1'!$S$58"/>
      <definedName name="EVERTACK" refersTo="='Base Custo Falhas UM-1'!$P$58"/>
      <definedName name="PAPEL_SEP" refersTo="='Base Custo Falhas UM-1'!$L$31"/>
      <definedName name="PAPEL_SEP_UM4" refersTo="='Base Custo Falhas UM-4'!$I$24"/>
      <definedName name="PVC" refersTo="='Base Custo Falhas UM-1'!$L$43"/>
      <definedName name="PVC_UM3" refersTo="='Base Custo Falhas UM-3'!$P$59"/>
      <definedName name="PY" refersTo="='Base Custo Falhas UM-1'!$Q$58"/>
      <definedName name="PY_UM3" refersTo="='Base Custo Falhas UM-3'!$O$59"/>
      <definedName name="SHIMA" refersTo="='Base Custo Falhas UM-1'!$T$58"/>
      <definedName name="SLEEVE" refersTo="='Base Custo Falhas UM-4'!$I$44"/>
      <definedName name="TAMPAO" refersTo="='Base Custo Falhas UM-1'!$M$58"/>
      <definedName name="TAMPAO_UM3" refersTo="='Base Custo Falhas UM-3'!$J$59"/>
      <definedName name="TAMPAO_UM4" refersTo="='Base Custo Falhas UM-4'!$J$51"/>
      <definedName name="TB_CHAPA_UM3" refersTo="='Base Custo Falhas UM-3'!$I$54"/>
      <definedName name="TB_PVC" refersTo="='Base Custo Falhas UM-1'!$L$42"/>
      <definedName name="TB_PVC_UM3" refersTo="='Base Custo Falhas UM-3'!$I$43"/>
      <definedName name="TB_UM1" refersTo="='Base Custo Falhas UM-1'!$L$52"/>
      <definedName name="TB_UM3" refersTo="='Base Custo Falhas UM-3'!$I$55"/>
      <definedName name="TB_ZINCO" refersTo="='Base Custo Falhas UM-1'!$L$24"/>
    </definedNames>
    <sheetDataSet>
      <sheetData sheetId="0">
        <row r="24">
          <cell r="L24">
            <v>223.0548</v>
          </cell>
        </row>
        <row r="31">
          <cell r="L31">
            <v>12.701000000000001</v>
          </cell>
        </row>
        <row r="42">
          <cell r="L42">
            <v>11.346299999999999</v>
          </cell>
        </row>
        <row r="43">
          <cell r="L43">
            <v>11.346299999999999</v>
          </cell>
        </row>
        <row r="47">
          <cell r="L47">
            <v>4.6170500000000008</v>
          </cell>
        </row>
        <row r="52">
          <cell r="L52">
            <v>129.37309999999999</v>
          </cell>
        </row>
        <row r="53">
          <cell r="L53">
            <v>22.655919999999998</v>
          </cell>
        </row>
        <row r="58">
          <cell r="M58">
            <v>492.93560000000002</v>
          </cell>
          <cell r="P58">
            <v>599.54750000000001</v>
          </cell>
          <cell r="Q58">
            <v>618.33109999999999</v>
          </cell>
          <cell r="S58">
            <v>656.06164999999999</v>
          </cell>
          <cell r="T58">
            <v>766.75787000000003</v>
          </cell>
        </row>
      </sheetData>
      <sheetData sheetId="1"/>
      <sheetData sheetId="2">
        <row r="43">
          <cell r="I43">
            <v>3.6581999999999999</v>
          </cell>
        </row>
        <row r="45">
          <cell r="I45">
            <v>0.92559999999999998</v>
          </cell>
        </row>
        <row r="54">
          <cell r="I54">
            <v>50.476300000000002</v>
          </cell>
        </row>
        <row r="55">
          <cell r="I55">
            <v>50.476300000000002</v>
          </cell>
        </row>
        <row r="59">
          <cell r="J59">
            <v>111.634</v>
          </cell>
          <cell r="O59">
            <v>126.66589999999999</v>
          </cell>
          <cell r="P59">
            <v>135.62549999999999</v>
          </cell>
        </row>
      </sheetData>
      <sheetData sheetId="3"/>
      <sheetData sheetId="4">
        <row r="24">
          <cell r="I24">
            <v>2.282</v>
          </cell>
        </row>
        <row r="44">
          <cell r="I44">
            <v>20</v>
          </cell>
        </row>
        <row r="51">
          <cell r="J51">
            <v>80.237800000000007</v>
          </cell>
          <cell r="P51">
            <v>112.11430000000001</v>
          </cell>
          <cell r="R51">
            <v>141.4034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usto Falhas UM-1"/>
      <sheetName val="2012 - UM-1SHNASPA"/>
      <sheetName val="Base Custo Falhas UM-3"/>
      <sheetName val="2012 - UM-3SHPA"/>
      <sheetName val="Base Custo Falhas UM-4"/>
      <sheetName val="2012 - UM-4SHPA"/>
      <sheetName val="Base Custo Falhas LR6"/>
      <sheetName val="2012 - LR6-NACPA"/>
      <sheetName val="2011 - UM-1SHNASPA"/>
      <sheetName val="Cálculo Custo de Falhas - 2101"/>
    </sheetNames>
    <sheetDataSet>
      <sheetData sheetId="0"/>
      <sheetData sheetId="1"/>
      <sheetData sheetId="2">
        <row r="15">
          <cell r="S15">
            <v>45.776800000000001</v>
          </cell>
        </row>
        <row r="60">
          <cell r="S60">
            <v>164.52930000000001</v>
          </cell>
        </row>
      </sheetData>
      <sheetData sheetId="3"/>
      <sheetData sheetId="4">
        <row r="51">
          <cell r="S51">
            <v>132.3897</v>
          </cell>
        </row>
      </sheetData>
      <sheetData sheetId="5"/>
      <sheetData sheetId="6"/>
      <sheetData sheetId="7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indexed="47"/>
  </sheetPr>
  <dimension ref="B2:D41"/>
  <sheetViews>
    <sheetView showGridLines="0" topLeftCell="A15" workbookViewId="0">
      <selection activeCell="D21" sqref="D21"/>
    </sheetView>
  </sheetViews>
  <sheetFormatPr defaultRowHeight="12.75" x14ac:dyDescent="0.2"/>
  <cols>
    <col min="1" max="3" width="9.140625" style="446"/>
    <col min="4" max="4" width="27.28515625" style="446" customWidth="1"/>
    <col min="5" max="16384" width="9.140625" style="446"/>
  </cols>
  <sheetData>
    <row r="2" spans="2:4" ht="25.5" x14ac:dyDescent="0.35">
      <c r="B2" s="445" t="s">
        <v>113</v>
      </c>
    </row>
    <row r="4" spans="2:4" x14ac:dyDescent="0.2">
      <c r="B4" s="477" t="s">
        <v>114</v>
      </c>
      <c r="C4" s="477"/>
      <c r="D4" s="447" t="s">
        <v>118</v>
      </c>
    </row>
    <row r="10" spans="2:4" x14ac:dyDescent="0.2">
      <c r="C10" s="448" t="s">
        <v>115</v>
      </c>
      <c r="D10" s="447" t="s">
        <v>116</v>
      </c>
    </row>
    <row r="11" spans="2:4" x14ac:dyDescent="0.2">
      <c r="D11" s="447" t="s">
        <v>117</v>
      </c>
    </row>
    <row r="12" spans="2:4" x14ac:dyDescent="0.2">
      <c r="D12" s="447"/>
    </row>
    <row r="13" spans="2:4" x14ac:dyDescent="0.2">
      <c r="D13" s="447"/>
    </row>
    <row r="14" spans="2:4" x14ac:dyDescent="0.2">
      <c r="D14" s="447"/>
    </row>
    <row r="15" spans="2:4" x14ac:dyDescent="0.2">
      <c r="D15" s="447"/>
    </row>
    <row r="16" spans="2:4" x14ac:dyDescent="0.2">
      <c r="D16" s="447"/>
    </row>
    <row r="18" spans="3:4" ht="15.75" x14ac:dyDescent="0.25">
      <c r="C18" s="449" t="s">
        <v>120</v>
      </c>
      <c r="D18"/>
    </row>
    <row r="19" spans="3:4" x14ac:dyDescent="0.2">
      <c r="C19"/>
      <c r="D19"/>
    </row>
    <row r="20" spans="3:4" x14ac:dyDescent="0.2">
      <c r="C20" s="177" t="s">
        <v>121</v>
      </c>
      <c r="D20" s="452" t="s">
        <v>122</v>
      </c>
    </row>
    <row r="21" spans="3:4" x14ac:dyDescent="0.2">
      <c r="C21" s="177"/>
      <c r="D21"/>
    </row>
    <row r="22" spans="3:4" x14ac:dyDescent="0.2">
      <c r="C22" s="177" t="s">
        <v>119</v>
      </c>
      <c r="D22" s="450">
        <v>44197</v>
      </c>
    </row>
    <row r="23" spans="3:4" x14ac:dyDescent="0.2">
      <c r="C23"/>
      <c r="D23" s="450">
        <v>44242</v>
      </c>
    </row>
    <row r="24" spans="3:4" x14ac:dyDescent="0.2">
      <c r="C24"/>
      <c r="D24" s="450">
        <v>44243</v>
      </c>
    </row>
    <row r="25" spans="3:4" x14ac:dyDescent="0.2">
      <c r="C25"/>
      <c r="D25" s="450">
        <v>44288</v>
      </c>
    </row>
    <row r="26" spans="3:4" x14ac:dyDescent="0.2">
      <c r="C26"/>
      <c r="D26" s="450">
        <v>44307</v>
      </c>
    </row>
    <row r="27" spans="3:4" x14ac:dyDescent="0.2">
      <c r="C27"/>
      <c r="D27" s="450">
        <v>44317</v>
      </c>
    </row>
    <row r="28" spans="3:4" x14ac:dyDescent="0.2">
      <c r="C28"/>
      <c r="D28" s="450">
        <v>44350</v>
      </c>
    </row>
    <row r="29" spans="3:4" x14ac:dyDescent="0.2">
      <c r="C29"/>
      <c r="D29" s="450">
        <v>44446</v>
      </c>
    </row>
    <row r="30" spans="3:4" x14ac:dyDescent="0.2">
      <c r="C30"/>
      <c r="D30" s="450">
        <v>44481</v>
      </c>
    </row>
    <row r="31" spans="3:4" x14ac:dyDescent="0.2">
      <c r="C31"/>
      <c r="D31" s="450">
        <v>44502</v>
      </c>
    </row>
    <row r="32" spans="3:4" x14ac:dyDescent="0.2">
      <c r="C32"/>
      <c r="D32" s="450">
        <v>44515</v>
      </c>
    </row>
    <row r="33" spans="3:4" x14ac:dyDescent="0.2">
      <c r="C33"/>
      <c r="D33" s="450">
        <v>44555</v>
      </c>
    </row>
    <row r="34" spans="3:4" x14ac:dyDescent="0.2">
      <c r="C34"/>
      <c r="D34" s="451"/>
    </row>
    <row r="35" spans="3:4" x14ac:dyDescent="0.2">
      <c r="C35"/>
      <c r="D35" s="451"/>
    </row>
    <row r="36" spans="3:4" x14ac:dyDescent="0.2">
      <c r="C36"/>
      <c r="D36" s="451"/>
    </row>
    <row r="37" spans="3:4" x14ac:dyDescent="0.2">
      <c r="C37"/>
      <c r="D37" s="451"/>
    </row>
    <row r="38" spans="3:4" x14ac:dyDescent="0.2">
      <c r="C38"/>
      <c r="D38" s="451"/>
    </row>
    <row r="39" spans="3:4" x14ac:dyDescent="0.2">
      <c r="C39"/>
      <c r="D39" s="451"/>
    </row>
    <row r="40" spans="3:4" x14ac:dyDescent="0.2">
      <c r="C40"/>
      <c r="D40" s="451"/>
    </row>
    <row r="41" spans="3:4" x14ac:dyDescent="0.2">
      <c r="C41"/>
      <c r="D41" s="451"/>
    </row>
  </sheetData>
  <mergeCells count="1">
    <mergeCell ref="B4:C4"/>
  </mergeCells>
  <dataValidations count="1">
    <dataValidation allowBlank="1" showInputMessage="1" showErrorMessage="1" promptTitle="Dados de Entrada Esperados" prompt="Digite um conjunto de 7 caracteres sendo que cada caracter representa um dia da semana._x000a_0 -&gt; dias úteis (Segunda a Sexta)_x000a_1 - &gt; final de semana (Sábado e Domingo)" sqref="D20" xr:uid="{00000000-0002-0000-0000-000000000000}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indexed="11"/>
  </sheetPr>
  <dimension ref="A1:AW88"/>
  <sheetViews>
    <sheetView showGridLines="0" showZeros="0" tabSelected="1" zoomScale="55" zoomScaleNormal="55" zoomScaleSheetLayoutView="73" workbookViewId="0">
      <pane xSplit="6" ySplit="15" topLeftCell="G47" activePane="bottomRight" state="frozen"/>
      <selection pane="topRight" activeCell="F1" sqref="F1"/>
      <selection pane="bottomLeft" activeCell="A16" sqref="A16"/>
      <selection pane="bottomRight" activeCell="G16" sqref="G16:AF80"/>
    </sheetView>
  </sheetViews>
  <sheetFormatPr defaultColWidth="9.140625" defaultRowHeight="12.75" x14ac:dyDescent="0.2"/>
  <cols>
    <col min="1" max="1" width="11.140625" style="2" customWidth="1"/>
    <col min="2" max="2" width="9.28515625" style="2" hidden="1" customWidth="1"/>
    <col min="3" max="3" width="41" bestFit="1" customWidth="1"/>
    <col min="4" max="4" width="14.140625" hidden="1" customWidth="1"/>
    <col min="5" max="5" width="8.85546875" hidden="1" customWidth="1"/>
    <col min="6" max="6" width="15.5703125" hidden="1" customWidth="1"/>
    <col min="7" max="32" width="10.140625" customWidth="1"/>
    <col min="33" max="33" width="15.5703125" hidden="1" customWidth="1"/>
    <col min="34" max="34" width="12.42578125" hidden="1" customWidth="1"/>
    <col min="35" max="35" width="12.28515625" hidden="1" customWidth="1"/>
    <col min="36" max="36" width="10.85546875" hidden="1" customWidth="1"/>
    <col min="37" max="40" width="9.28515625" hidden="1" customWidth="1"/>
    <col min="41" max="41" width="9.85546875" hidden="1" customWidth="1"/>
    <col min="42" max="45" width="9.28515625" hidden="1" customWidth="1"/>
    <col min="46" max="46" width="17.28515625" hidden="1" customWidth="1"/>
    <col min="47" max="47" width="9.28515625" customWidth="1"/>
    <col min="48" max="48" width="9.140625" customWidth="1"/>
    <col min="49" max="49" width="3.42578125" bestFit="1" customWidth="1"/>
  </cols>
  <sheetData>
    <row r="1" spans="1:49" ht="20.25" x14ac:dyDescent="0.3">
      <c r="A1" s="478" t="s">
        <v>0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8"/>
      <c r="AC1" s="478"/>
      <c r="AD1" s="478"/>
      <c r="AE1" s="478"/>
      <c r="AF1" s="478"/>
      <c r="AG1" s="291"/>
      <c r="AH1" s="291"/>
      <c r="AI1" s="291"/>
      <c r="AJ1" s="291"/>
      <c r="AK1" s="291"/>
      <c r="AL1" s="291"/>
      <c r="AM1" s="291">
        <f>COLUMN()</f>
        <v>39</v>
      </c>
      <c r="AN1" s="291"/>
      <c r="AO1" s="291"/>
      <c r="AP1" s="291"/>
      <c r="AQ1" s="291"/>
      <c r="AR1" s="291"/>
      <c r="AS1" s="291"/>
      <c r="AT1" s="291"/>
    </row>
    <row r="2" spans="1:49" ht="20.25" customHeight="1" x14ac:dyDescent="0.2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417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3" spans="1:49" ht="21" thickBot="1" x14ac:dyDescent="0.35">
      <c r="A3" s="1"/>
      <c r="B3" s="1"/>
      <c r="C3" s="1"/>
      <c r="D3" s="1"/>
      <c r="E3" s="1"/>
      <c r="F3" s="1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4"/>
      <c r="AS3" s="234"/>
      <c r="AT3" s="235"/>
    </row>
    <row r="4" spans="1:49" ht="33" thickBot="1" x14ac:dyDescent="0.35">
      <c r="A4" s="497" t="s">
        <v>1</v>
      </c>
      <c r="B4" s="499" t="s">
        <v>94</v>
      </c>
      <c r="C4" s="497" t="s">
        <v>2</v>
      </c>
      <c r="D4" s="494" t="s">
        <v>3</v>
      </c>
      <c r="E4" s="495"/>
      <c r="F4" s="496"/>
      <c r="G4" s="491" t="str">
        <f ca="1">MID(CELL("nome.arquivo"),SEARCH(".xl",CELL("nome.arquivo"))-2,2)&amp;" / 20"&amp;MID(CELL("nome.arquivo"),SEARCH(".xl",CELL("nome.arquivo"))-4,2)</f>
        <v>03 / 2022</v>
      </c>
      <c r="H4" s="492"/>
      <c r="I4" s="492" t="str">
        <f ca="1">MID(CELL("nome.arquivo"),SEARCH(".xl",CELL("nome.arquivo"))-2,2)&amp;" / 20"&amp;MID(CELL("nome.arquivo"),SEARCH(".xl",CELL("nome.arquivo"))-4,2)</f>
        <v>03 / 2022</v>
      </c>
      <c r="J4" s="492"/>
      <c r="K4" s="492" t="str">
        <f ca="1">MID(CELL("nome.arquivo"),SEARCH(".xl",CELL("nome.arquivo"))-2,2)&amp;" / 20"&amp;MID(CELL("nome.arquivo"),SEARCH(".xl",CELL("nome.arquivo"))-4,2)</f>
        <v>03 / 2022</v>
      </c>
      <c r="L4" s="492"/>
      <c r="M4" s="492" t="str">
        <f ca="1">MID(CELL("nome.arquivo"),SEARCH(".xl",CELL("nome.arquivo"))-2,2)&amp;" / 20"&amp;MID(CELL("nome.arquivo"),SEARCH(".xl",CELL("nome.arquivo"))-4,2)</f>
        <v>03 / 2022</v>
      </c>
      <c r="N4" s="492"/>
      <c r="O4" s="492" t="str">
        <f ca="1">MID(CELL("nome.arquivo"),SEARCH(".xl",CELL("nome.arquivo"))-2,2)&amp;" / 20"&amp;MID(CELL("nome.arquivo"),SEARCH(".xl",CELL("nome.arquivo"))-4,2)</f>
        <v>03 / 2022</v>
      </c>
      <c r="P4" s="492"/>
      <c r="Q4" s="492" t="str">
        <f ca="1">MID(CELL("nome.arquivo"),SEARCH(".xl",CELL("nome.arquivo"))-2,2)&amp;" / 20"&amp;MID(CELL("nome.arquivo"),SEARCH(".xl",CELL("nome.arquivo"))-4,2)</f>
        <v>03 / 2022</v>
      </c>
      <c r="R4" s="492"/>
      <c r="S4" s="492" t="str">
        <f ca="1">MID(CELL("nome.arquivo"),SEARCH(".xl",CELL("nome.arquivo"))-2,2)&amp;" / 20"&amp;MID(CELL("nome.arquivo"),SEARCH(".xl",CELL("nome.arquivo"))-4,2)</f>
        <v>03 / 2022</v>
      </c>
      <c r="T4" s="492"/>
      <c r="U4" s="492" t="str">
        <f ca="1">MID(CELL("nome.arquivo"),SEARCH(".xl",CELL("nome.arquivo"))-2,2)&amp;" / 20"&amp;MID(CELL("nome.arquivo"),SEARCH(".xl",CELL("nome.arquivo"))-4,2)</f>
        <v>03 / 2022</v>
      </c>
      <c r="V4" s="492"/>
      <c r="W4" s="492" t="str">
        <f ca="1">MID(CELL("nome.arquivo"),SEARCH(".xl",CELL("nome.arquivo"))-2,2)&amp;" / 20"&amp;MID(CELL("nome.arquivo"),SEARCH(".xl",CELL("nome.arquivo"))-4,2)</f>
        <v>03 / 2022</v>
      </c>
      <c r="X4" s="492"/>
      <c r="Y4" s="492" t="str">
        <f ca="1">MID(CELL("nome.arquivo"),SEARCH(".xl",CELL("nome.arquivo"))-2,2)&amp;" / 20"&amp;MID(CELL("nome.arquivo"),SEARCH(".xl",CELL("nome.arquivo"))-4,2)</f>
        <v>03 / 2022</v>
      </c>
      <c r="Z4" s="492"/>
      <c r="AA4" s="492" t="str">
        <f ca="1">MID(CELL("nome.arquivo"),SEARCH(".xl",CELL("nome.arquivo"))-2,2)&amp;" / 20"&amp;MID(CELL("nome.arquivo"),SEARCH(".xl",CELL("nome.arquivo"))-4,2)</f>
        <v>03 / 2022</v>
      </c>
      <c r="AB4" s="492"/>
      <c r="AC4" s="492" t="str">
        <f ca="1">MID(CELL("nome.arquivo"),SEARCH(".xl",CELL("nome.arquivo"))-2,2)&amp;" / 20"&amp;MID(CELL("nome.arquivo"),SEARCH(".xl",CELL("nome.arquivo"))-4,2)</f>
        <v>03 / 2022</v>
      </c>
      <c r="AD4" s="492"/>
      <c r="AE4" s="492" t="str">
        <f ca="1">MID(CELL("nome.arquivo"),SEARCH(".xl",CELL("nome.arquivo"))-2,2)&amp;" / 20"&amp;MID(CELL("nome.arquivo"),SEARCH(".xl",CELL("nome.arquivo"))-4,2)</f>
        <v>03 / 2022</v>
      </c>
      <c r="AF4" s="493"/>
      <c r="AG4" s="240" t="s">
        <v>92</v>
      </c>
      <c r="AH4" s="486" t="s">
        <v>4</v>
      </c>
      <c r="AI4" s="486"/>
      <c r="AJ4" s="501"/>
      <c r="AK4" s="485" t="s">
        <v>5</v>
      </c>
      <c r="AL4" s="486"/>
      <c r="AM4" s="487"/>
      <c r="AN4" s="485" t="s">
        <v>6</v>
      </c>
      <c r="AO4" s="487"/>
      <c r="AP4" s="485" t="s">
        <v>7</v>
      </c>
      <c r="AQ4" s="487"/>
      <c r="AR4" s="485" t="s">
        <v>8</v>
      </c>
      <c r="AS4" s="487"/>
      <c r="AT4" s="499" t="s">
        <v>9</v>
      </c>
      <c r="AW4" s="314"/>
    </row>
    <row r="5" spans="1:49" ht="48" thickBot="1" x14ac:dyDescent="0.3">
      <c r="A5" s="498"/>
      <c r="B5" s="498"/>
      <c r="C5" s="498"/>
      <c r="D5" s="231" t="s">
        <v>10</v>
      </c>
      <c r="E5" s="232" t="s">
        <v>11</v>
      </c>
      <c r="F5" s="233" t="s">
        <v>12</v>
      </c>
      <c r="G5" s="475">
        <v>44623</v>
      </c>
      <c r="H5" s="418">
        <f t="shared" ref="H5" si="0">WORKDAY.INTL(G5,1,FInal_de_Semana,Feriados)</f>
        <v>44624</v>
      </c>
      <c r="I5" s="418">
        <f t="shared" ref="I5" si="1">WORKDAY.INTL(H5,1,FInal_de_Semana,Feriados)</f>
        <v>44625</v>
      </c>
      <c r="J5" s="418">
        <f t="shared" ref="J5" si="2">WORKDAY.INTL(I5,1,FInal_de_Semana,Feriados)</f>
        <v>44627</v>
      </c>
      <c r="K5" s="418">
        <f t="shared" ref="K5" si="3">WORKDAY.INTL(J5,1,FInal_de_Semana,Feriados)</f>
        <v>44628</v>
      </c>
      <c r="L5" s="418">
        <f t="shared" ref="L5" si="4">WORKDAY.INTL(K5,1,FInal_de_Semana,Feriados)</f>
        <v>44629</v>
      </c>
      <c r="M5" s="418">
        <f t="shared" ref="M5" si="5">WORKDAY.INTL(L5,1,FInal_de_Semana,Feriados)</f>
        <v>44630</v>
      </c>
      <c r="N5" s="418">
        <f t="shared" ref="N5" si="6">WORKDAY.INTL(M5,1,FInal_de_Semana,Feriados)</f>
        <v>44631</v>
      </c>
      <c r="O5" s="418">
        <f t="shared" ref="O5" si="7">WORKDAY.INTL(N5,1,FInal_de_Semana,Feriados)</f>
        <v>44632</v>
      </c>
      <c r="P5" s="418">
        <f t="shared" ref="P5" si="8">WORKDAY.INTL(O5,1,FInal_de_Semana,Feriados)</f>
        <v>44634</v>
      </c>
      <c r="Q5" s="418">
        <f t="shared" ref="Q5" si="9">WORKDAY.INTL(P5,1,FInal_de_Semana,Feriados)</f>
        <v>44635</v>
      </c>
      <c r="R5" s="418">
        <f t="shared" ref="R5" si="10">WORKDAY.INTL(Q5,1,FInal_de_Semana,Feriados)</f>
        <v>44636</v>
      </c>
      <c r="S5" s="418">
        <f t="shared" ref="S5" si="11">WORKDAY.INTL(R5,1,FInal_de_Semana,Feriados)</f>
        <v>44637</v>
      </c>
      <c r="T5" s="418">
        <f t="shared" ref="T5" si="12">WORKDAY.INTL(S5,1,FInal_de_Semana,Feriados)</f>
        <v>44638</v>
      </c>
      <c r="U5" s="418">
        <f t="shared" ref="U5" si="13">WORKDAY.INTL(T5,1,FInal_de_Semana,Feriados)</f>
        <v>44639</v>
      </c>
      <c r="V5" s="418">
        <f t="shared" ref="V5" si="14">WORKDAY.INTL(U5,1,FInal_de_Semana,Feriados)</f>
        <v>44641</v>
      </c>
      <c r="W5" s="418">
        <f t="shared" ref="W5" si="15">WORKDAY.INTL(V5,1,FInal_de_Semana,Feriados)</f>
        <v>44642</v>
      </c>
      <c r="X5" s="418">
        <f t="shared" ref="X5:AF5" si="16">WORKDAY.INTL(W5,1,FInal_de_Semana,Feriados)</f>
        <v>44643</v>
      </c>
      <c r="Y5" s="418">
        <f t="shared" si="16"/>
        <v>44644</v>
      </c>
      <c r="Z5" s="418">
        <f t="shared" si="16"/>
        <v>44645</v>
      </c>
      <c r="AA5" s="418">
        <f t="shared" si="16"/>
        <v>44646</v>
      </c>
      <c r="AB5" s="418">
        <f t="shared" si="16"/>
        <v>44648</v>
      </c>
      <c r="AC5" s="418">
        <f t="shared" si="16"/>
        <v>44649</v>
      </c>
      <c r="AD5" s="418">
        <f t="shared" si="16"/>
        <v>44650</v>
      </c>
      <c r="AE5" s="418">
        <f t="shared" si="16"/>
        <v>44651</v>
      </c>
      <c r="AF5" s="476">
        <f t="shared" si="16"/>
        <v>44652</v>
      </c>
      <c r="AG5" s="241" t="s">
        <v>13</v>
      </c>
      <c r="AH5" s="236" t="s">
        <v>14</v>
      </c>
      <c r="AI5" s="4" t="s">
        <v>21</v>
      </c>
      <c r="AJ5" s="6" t="s">
        <v>15</v>
      </c>
      <c r="AK5" s="5" t="s">
        <v>16</v>
      </c>
      <c r="AL5" s="3" t="s">
        <v>17</v>
      </c>
      <c r="AM5" s="6" t="s">
        <v>18</v>
      </c>
      <c r="AN5" s="5" t="s">
        <v>16</v>
      </c>
      <c r="AO5" s="6" t="s">
        <v>18</v>
      </c>
      <c r="AP5" s="7" t="s">
        <v>11</v>
      </c>
      <c r="AQ5" s="8" t="s">
        <v>19</v>
      </c>
      <c r="AR5" s="7" t="s">
        <v>11</v>
      </c>
      <c r="AS5" s="9" t="s">
        <v>20</v>
      </c>
      <c r="AT5" s="529"/>
      <c r="AW5" s="314"/>
    </row>
    <row r="6" spans="1:49" ht="20.100000000000001" hidden="1" customHeight="1" thickBot="1" x14ac:dyDescent="0.3">
      <c r="A6" s="10" t="s">
        <v>22</v>
      </c>
      <c r="B6" s="292"/>
      <c r="C6" s="253" t="s">
        <v>23</v>
      </c>
      <c r="D6" s="11"/>
      <c r="E6" s="12">
        <v>3.91</v>
      </c>
      <c r="F6" s="219"/>
      <c r="G6" s="455"/>
      <c r="H6" s="456"/>
      <c r="I6" s="457"/>
      <c r="J6" s="456"/>
      <c r="K6" s="456"/>
      <c r="L6" s="456"/>
      <c r="M6" s="454"/>
      <c r="N6" s="454"/>
      <c r="O6" s="454"/>
      <c r="P6" s="454"/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456"/>
      <c r="AB6" s="456"/>
      <c r="AC6" s="456"/>
      <c r="AD6" s="456"/>
      <c r="AE6" s="458"/>
      <c r="AF6" s="459"/>
      <c r="AG6" s="242">
        <f t="shared" ref="AG6:AG26" si="17">SUM(I6:AF6)</f>
        <v>0</v>
      </c>
      <c r="AH6" s="218"/>
      <c r="AI6" s="13"/>
      <c r="AJ6" s="14">
        <f t="shared" ref="AJ6:AJ14" si="18">AG6*E6</f>
        <v>0</v>
      </c>
      <c r="AK6" s="15">
        <v>0</v>
      </c>
      <c r="AL6" s="16">
        <v>0</v>
      </c>
      <c r="AM6" s="17">
        <v>0</v>
      </c>
      <c r="AN6" s="15"/>
      <c r="AO6" s="18">
        <f>AJ6-AM6</f>
        <v>0</v>
      </c>
      <c r="AP6" s="182"/>
      <c r="AQ6" s="19"/>
      <c r="AR6" s="182"/>
      <c r="AS6" s="19"/>
      <c r="AT6" s="20">
        <f>AJ6</f>
        <v>0</v>
      </c>
      <c r="AW6" s="314">
        <f>ROW()</f>
        <v>6</v>
      </c>
    </row>
    <row r="7" spans="1:49" ht="20.100000000000001" hidden="1" customHeight="1" x14ac:dyDescent="0.2">
      <c r="A7" s="497" t="s">
        <v>24</v>
      </c>
      <c r="B7" s="293"/>
      <c r="C7" s="254" t="s">
        <v>25</v>
      </c>
      <c r="D7" s="21"/>
      <c r="E7" s="22">
        <f>SUM(E8:E11)/3</f>
        <v>4.0966666666666667</v>
      </c>
      <c r="F7" s="221"/>
      <c r="G7" s="460"/>
      <c r="H7" s="461"/>
      <c r="I7" s="462"/>
      <c r="J7" s="461"/>
      <c r="K7" s="461"/>
      <c r="L7" s="461"/>
      <c r="M7" s="454"/>
      <c r="N7" s="454"/>
      <c r="O7" s="454"/>
      <c r="P7" s="454"/>
      <c r="Q7" s="461"/>
      <c r="R7" s="461"/>
      <c r="S7" s="461"/>
      <c r="T7" s="461"/>
      <c r="U7" s="461"/>
      <c r="V7" s="461"/>
      <c r="W7" s="461"/>
      <c r="X7" s="461"/>
      <c r="Y7" s="461"/>
      <c r="Z7" s="461"/>
      <c r="AA7" s="461"/>
      <c r="AB7" s="461"/>
      <c r="AC7" s="461"/>
      <c r="AD7" s="461"/>
      <c r="AE7" s="463"/>
      <c r="AF7" s="464"/>
      <c r="AG7" s="243">
        <f t="shared" si="17"/>
        <v>0</v>
      </c>
      <c r="AH7" s="220"/>
      <c r="AI7" s="23"/>
      <c r="AJ7" s="25">
        <f t="shared" si="18"/>
        <v>0</v>
      </c>
      <c r="AK7" s="26">
        <v>0</v>
      </c>
      <c r="AL7" s="27">
        <v>0</v>
      </c>
      <c r="AM7" s="28">
        <v>0</v>
      </c>
      <c r="AN7" s="26"/>
      <c r="AO7" s="29">
        <f>AJ7-AM7</f>
        <v>0</v>
      </c>
      <c r="AP7" s="183"/>
      <c r="AQ7" s="30"/>
      <c r="AR7" s="195">
        <v>0.4</v>
      </c>
      <c r="AS7" s="30">
        <f>AG7*AR7</f>
        <v>0</v>
      </c>
      <c r="AT7" s="31">
        <f t="shared" ref="AT7:AT15" si="19">AJ7-AS7</f>
        <v>0</v>
      </c>
      <c r="AW7" s="314">
        <f>ROW()</f>
        <v>7</v>
      </c>
    </row>
    <row r="8" spans="1:49" ht="20.100000000000001" hidden="1" customHeight="1" x14ac:dyDescent="0.2">
      <c r="A8" s="500"/>
      <c r="B8" s="293"/>
      <c r="C8" s="254" t="s">
        <v>26</v>
      </c>
      <c r="D8" s="32"/>
      <c r="E8" s="33">
        <v>4.3499999999999996</v>
      </c>
      <c r="F8" s="223"/>
      <c r="G8" s="465"/>
      <c r="H8" s="466"/>
      <c r="I8" s="467"/>
      <c r="J8" s="466"/>
      <c r="K8" s="466"/>
      <c r="L8" s="466"/>
      <c r="M8" s="454"/>
      <c r="N8" s="454"/>
      <c r="O8" s="454"/>
      <c r="P8" s="454"/>
      <c r="Q8" s="466"/>
      <c r="R8" s="466"/>
      <c r="S8" s="466"/>
      <c r="T8" s="466"/>
      <c r="U8" s="466"/>
      <c r="V8" s="466"/>
      <c r="W8" s="466"/>
      <c r="X8" s="466"/>
      <c r="Y8" s="466"/>
      <c r="Z8" s="466"/>
      <c r="AA8" s="466"/>
      <c r="AB8" s="466"/>
      <c r="AC8" s="466"/>
      <c r="AD8" s="466"/>
      <c r="AE8" s="468"/>
      <c r="AF8" s="469"/>
      <c r="AG8" s="244">
        <f t="shared" si="17"/>
        <v>0</v>
      </c>
      <c r="AH8" s="222"/>
      <c r="AI8" s="34"/>
      <c r="AJ8" s="35">
        <f t="shared" si="18"/>
        <v>0</v>
      </c>
      <c r="AK8" s="36"/>
      <c r="AL8" s="37"/>
      <c r="AM8" s="38"/>
      <c r="AN8" s="36"/>
      <c r="AO8" s="39"/>
      <c r="AP8" s="184"/>
      <c r="AQ8" s="40"/>
      <c r="AR8" s="196">
        <v>0.4</v>
      </c>
      <c r="AS8" s="40"/>
      <c r="AT8" s="41">
        <f t="shared" si="19"/>
        <v>0</v>
      </c>
      <c r="AW8" s="314">
        <f>ROW()</f>
        <v>8</v>
      </c>
    </row>
    <row r="9" spans="1:49" ht="20.100000000000001" hidden="1" customHeight="1" x14ac:dyDescent="0.2">
      <c r="A9" s="500"/>
      <c r="B9" s="293"/>
      <c r="C9" s="255" t="s">
        <v>27</v>
      </c>
      <c r="D9" s="42"/>
      <c r="E9" s="43"/>
      <c r="F9" s="224"/>
      <c r="G9" s="470"/>
      <c r="H9" s="471"/>
      <c r="I9" s="472"/>
      <c r="J9" s="471"/>
      <c r="K9" s="471"/>
      <c r="L9" s="471"/>
      <c r="M9" s="454"/>
      <c r="N9" s="454"/>
      <c r="O9" s="454"/>
      <c r="P9" s="454"/>
      <c r="Q9" s="471"/>
      <c r="R9" s="471"/>
      <c r="S9" s="471"/>
      <c r="T9" s="471"/>
      <c r="U9" s="471"/>
      <c r="V9" s="471"/>
      <c r="W9" s="471"/>
      <c r="X9" s="471"/>
      <c r="Y9" s="471"/>
      <c r="Z9" s="471"/>
      <c r="AA9" s="471"/>
      <c r="AB9" s="471"/>
      <c r="AC9" s="471"/>
      <c r="AD9" s="471"/>
      <c r="AE9" s="473"/>
      <c r="AF9" s="474"/>
      <c r="AG9" s="244">
        <f t="shared" si="17"/>
        <v>0</v>
      </c>
      <c r="AH9" s="222"/>
      <c r="AI9" s="34"/>
      <c r="AJ9" s="35">
        <f t="shared" si="18"/>
        <v>0</v>
      </c>
      <c r="AK9" s="36"/>
      <c r="AL9" s="37"/>
      <c r="AM9" s="38"/>
      <c r="AN9" s="36"/>
      <c r="AO9" s="39"/>
      <c r="AP9" s="184"/>
      <c r="AQ9" s="40"/>
      <c r="AR9" s="196"/>
      <c r="AS9" s="40"/>
      <c r="AT9" s="41">
        <f t="shared" si="19"/>
        <v>0</v>
      </c>
      <c r="AW9" s="314">
        <f>ROW()</f>
        <v>9</v>
      </c>
    </row>
    <row r="10" spans="1:49" ht="20.100000000000001" hidden="1" customHeight="1" x14ac:dyDescent="0.2">
      <c r="A10" s="500"/>
      <c r="B10" s="293"/>
      <c r="C10" s="254" t="s">
        <v>28</v>
      </c>
      <c r="D10" s="44"/>
      <c r="E10" s="45">
        <v>3.71</v>
      </c>
      <c r="F10" s="226"/>
      <c r="G10" s="316"/>
      <c r="H10" s="33"/>
      <c r="I10" s="222"/>
      <c r="J10" s="33"/>
      <c r="K10" s="33"/>
      <c r="L10" s="33"/>
      <c r="M10" s="453"/>
      <c r="N10" s="453"/>
      <c r="O10" s="453"/>
      <c r="P10" s="45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4"/>
      <c r="AF10" s="223"/>
      <c r="AG10" s="245">
        <f t="shared" si="17"/>
        <v>0</v>
      </c>
      <c r="AH10" s="225"/>
      <c r="AI10" s="34"/>
      <c r="AJ10" s="35">
        <f t="shared" si="18"/>
        <v>0</v>
      </c>
      <c r="AK10" s="36"/>
      <c r="AL10" s="37"/>
      <c r="AM10" s="38"/>
      <c r="AN10" s="36"/>
      <c r="AO10" s="39"/>
      <c r="AP10" s="184"/>
      <c r="AQ10" s="40"/>
      <c r="AR10" s="196">
        <v>0.4</v>
      </c>
      <c r="AS10" s="40"/>
      <c r="AT10" s="41">
        <f t="shared" si="19"/>
        <v>0</v>
      </c>
      <c r="AW10" s="314">
        <f>ROW()</f>
        <v>10</v>
      </c>
    </row>
    <row r="11" spans="1:49" ht="20.100000000000001" hidden="1" customHeight="1" x14ac:dyDescent="0.2">
      <c r="A11" s="500"/>
      <c r="B11" s="293"/>
      <c r="C11" s="256" t="s">
        <v>29</v>
      </c>
      <c r="D11" s="47"/>
      <c r="E11" s="48">
        <v>4.2300000000000004</v>
      </c>
      <c r="F11" s="227"/>
      <c r="G11" s="317"/>
      <c r="H11" s="48"/>
      <c r="I11" s="330"/>
      <c r="J11" s="48"/>
      <c r="K11" s="48"/>
      <c r="L11" s="48"/>
      <c r="M11" s="418"/>
      <c r="N11" s="418"/>
      <c r="O11" s="418"/>
      <c r="P11" s="41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19"/>
      <c r="AF11" s="227"/>
      <c r="AG11" s="246">
        <f t="shared" si="17"/>
        <v>0</v>
      </c>
      <c r="AH11" s="237"/>
      <c r="AI11" s="55"/>
      <c r="AJ11" s="35">
        <f t="shared" si="18"/>
        <v>0</v>
      </c>
      <c r="AK11" s="49"/>
      <c r="AL11" s="50"/>
      <c r="AM11" s="51"/>
      <c r="AN11" s="49"/>
      <c r="AO11" s="52"/>
      <c r="AP11" s="185"/>
      <c r="AQ11" s="53"/>
      <c r="AR11" s="197">
        <v>0.4</v>
      </c>
      <c r="AS11" s="53"/>
      <c r="AT11" s="54">
        <f t="shared" si="19"/>
        <v>0</v>
      </c>
      <c r="AW11" s="314">
        <f>ROW()</f>
        <v>11</v>
      </c>
    </row>
    <row r="12" spans="1:49" ht="20.100000000000001" hidden="1" customHeight="1" x14ac:dyDescent="0.2">
      <c r="A12" s="500"/>
      <c r="B12" s="294"/>
      <c r="C12" s="257" t="s">
        <v>30</v>
      </c>
      <c r="D12" s="56"/>
      <c r="E12" s="57"/>
      <c r="F12" s="126"/>
      <c r="G12" s="318"/>
      <c r="H12" s="57"/>
      <c r="I12" s="331"/>
      <c r="J12" s="57"/>
      <c r="K12" s="57"/>
      <c r="L12" s="57"/>
      <c r="M12" s="418"/>
      <c r="N12" s="418"/>
      <c r="O12" s="418"/>
      <c r="P12" s="418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420"/>
      <c r="AF12" s="126"/>
      <c r="AG12" s="245">
        <f t="shared" si="17"/>
        <v>0</v>
      </c>
      <c r="AH12" s="225"/>
      <c r="AI12" s="34"/>
      <c r="AJ12" s="35">
        <f t="shared" si="18"/>
        <v>0</v>
      </c>
      <c r="AK12" s="36"/>
      <c r="AL12" s="37"/>
      <c r="AM12" s="38"/>
      <c r="AN12" s="36"/>
      <c r="AO12" s="39"/>
      <c r="AP12" s="184"/>
      <c r="AQ12" s="40"/>
      <c r="AR12" s="196"/>
      <c r="AS12" s="40"/>
      <c r="AT12" s="41">
        <f t="shared" si="19"/>
        <v>0</v>
      </c>
      <c r="AW12" s="314">
        <f>ROW()</f>
        <v>12</v>
      </c>
    </row>
    <row r="13" spans="1:49" ht="20.100000000000001" hidden="1" customHeight="1" thickBot="1" x14ac:dyDescent="0.25">
      <c r="A13" s="498"/>
      <c r="B13" s="295"/>
      <c r="C13" s="258" t="s">
        <v>31</v>
      </c>
      <c r="D13" s="58"/>
      <c r="E13" s="59"/>
      <c r="F13" s="228"/>
      <c r="G13" s="319"/>
      <c r="H13" s="59"/>
      <c r="I13" s="332"/>
      <c r="J13" s="59"/>
      <c r="K13" s="59"/>
      <c r="L13" s="59"/>
      <c r="M13" s="418"/>
      <c r="N13" s="418"/>
      <c r="O13" s="418"/>
      <c r="P13" s="418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421"/>
      <c r="AF13" s="228"/>
      <c r="AG13" s="247">
        <f t="shared" si="17"/>
        <v>0</v>
      </c>
      <c r="AH13" s="229"/>
      <c r="AI13" s="67"/>
      <c r="AJ13" s="35">
        <f t="shared" si="18"/>
        <v>0</v>
      </c>
      <c r="AK13" s="61"/>
      <c r="AL13" s="62"/>
      <c r="AM13" s="63"/>
      <c r="AN13" s="61"/>
      <c r="AO13" s="64"/>
      <c r="AP13" s="186"/>
      <c r="AQ13" s="65"/>
      <c r="AR13" s="198"/>
      <c r="AS13" s="65"/>
      <c r="AT13" s="66">
        <f t="shared" si="19"/>
        <v>0</v>
      </c>
      <c r="AW13" s="314">
        <f>ROW()</f>
        <v>13</v>
      </c>
    </row>
    <row r="14" spans="1:49" ht="20.100000000000001" hidden="1" customHeight="1" thickBot="1" x14ac:dyDescent="0.3">
      <c r="A14" s="10" t="s">
        <v>32</v>
      </c>
      <c r="B14" s="292"/>
      <c r="C14" s="259" t="s">
        <v>33</v>
      </c>
      <c r="D14" s="11"/>
      <c r="E14" s="12">
        <v>4.59</v>
      </c>
      <c r="F14" s="219"/>
      <c r="G14" s="315"/>
      <c r="H14" s="12"/>
      <c r="I14" s="218"/>
      <c r="J14" s="12"/>
      <c r="K14" s="12"/>
      <c r="L14" s="12"/>
      <c r="M14" s="418"/>
      <c r="N14" s="418"/>
      <c r="O14" s="418"/>
      <c r="P14" s="418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3"/>
      <c r="AF14" s="219"/>
      <c r="AG14" s="242">
        <f t="shared" si="17"/>
        <v>0</v>
      </c>
      <c r="AH14" s="218"/>
      <c r="AI14" s="13"/>
      <c r="AJ14" s="14">
        <f t="shared" si="18"/>
        <v>0</v>
      </c>
      <c r="AK14" s="15">
        <f>AG14</f>
        <v>0</v>
      </c>
      <c r="AL14" s="16"/>
      <c r="AM14" s="17">
        <f>AJ14</f>
        <v>0</v>
      </c>
      <c r="AN14" s="15">
        <f>AG14-AK14</f>
        <v>0</v>
      </c>
      <c r="AO14" s="68">
        <f>AJ14-AM14</f>
        <v>0</v>
      </c>
      <c r="AP14" s="182"/>
      <c r="AQ14" s="19"/>
      <c r="AR14" s="199">
        <f>(1911.78*2.02)*40%/1000</f>
        <v>1.5447182400000001</v>
      </c>
      <c r="AS14" s="19">
        <f>AG14*AR14</f>
        <v>0</v>
      </c>
      <c r="AT14" s="20">
        <f t="shared" si="19"/>
        <v>0</v>
      </c>
      <c r="AW14" s="314">
        <f>ROW()</f>
        <v>14</v>
      </c>
    </row>
    <row r="15" spans="1:49" ht="20.100000000000001" hidden="1" customHeight="1" thickBot="1" x14ac:dyDescent="0.3">
      <c r="A15" s="10" t="s">
        <v>34</v>
      </c>
      <c r="B15" s="292"/>
      <c r="C15" s="259" t="s">
        <v>35</v>
      </c>
      <c r="D15" s="11"/>
      <c r="E15" s="12">
        <f>E14</f>
        <v>4.59</v>
      </c>
      <c r="F15" s="219"/>
      <c r="G15" s="315"/>
      <c r="H15" s="12"/>
      <c r="I15" s="218"/>
      <c r="J15" s="12"/>
      <c r="K15" s="12"/>
      <c r="L15" s="12"/>
      <c r="M15" s="418"/>
      <c r="N15" s="418"/>
      <c r="O15" s="418"/>
      <c r="P15" s="418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3"/>
      <c r="AF15" s="219"/>
      <c r="AG15" s="242">
        <f t="shared" si="17"/>
        <v>0</v>
      </c>
      <c r="AH15" s="218"/>
      <c r="AI15" s="13"/>
      <c r="AJ15" s="14"/>
      <c r="AK15" s="15"/>
      <c r="AL15" s="16"/>
      <c r="AM15" s="17"/>
      <c r="AN15" s="15"/>
      <c r="AO15" s="68"/>
      <c r="AP15" s="182"/>
      <c r="AQ15" s="19"/>
      <c r="AR15" s="199">
        <f>(1911.78*2.02)*70%/1000</f>
        <v>2.7032569199999998</v>
      </c>
      <c r="AS15" s="19"/>
      <c r="AT15" s="20">
        <f t="shared" si="19"/>
        <v>0</v>
      </c>
      <c r="AW15" s="314">
        <f>ROW()</f>
        <v>15</v>
      </c>
    </row>
    <row r="16" spans="1:49" ht="24.95" customHeight="1" x14ac:dyDescent="0.2">
      <c r="A16" s="488" t="s">
        <v>36</v>
      </c>
      <c r="B16" s="299"/>
      <c r="C16" s="260" t="s">
        <v>37</v>
      </c>
      <c r="D16" s="69"/>
      <c r="E16" s="70"/>
      <c r="F16" s="437" cm="1">
        <f t="array" ref="F16">[1]!TB_UM1/1000</f>
        <v>0.12937309999999999</v>
      </c>
      <c r="G16" s="320"/>
      <c r="H16" s="268"/>
      <c r="I16" s="333"/>
      <c r="J16" s="268"/>
      <c r="K16" s="268"/>
      <c r="L16" s="268"/>
      <c r="M16" s="268"/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68"/>
      <c r="Y16" s="268"/>
      <c r="Z16" s="268"/>
      <c r="AA16" s="268"/>
      <c r="AB16" s="268"/>
      <c r="AC16" s="268"/>
      <c r="AD16" s="268"/>
      <c r="AE16" s="422"/>
      <c r="AF16" s="269"/>
      <c r="AG16" s="244">
        <f t="shared" si="17"/>
        <v>0</v>
      </c>
      <c r="AH16" s="71"/>
      <c r="AI16" s="79"/>
      <c r="AJ16" s="78"/>
      <c r="AK16" s="72"/>
      <c r="AL16" s="73"/>
      <c r="AM16" s="78"/>
      <c r="AN16" s="72"/>
      <c r="AO16" s="74"/>
      <c r="AP16" s="187"/>
      <c r="AQ16" s="75"/>
      <c r="AR16" s="200">
        <v>0.5</v>
      </c>
      <c r="AS16" s="76"/>
      <c r="AT16" s="77"/>
      <c r="AW16" s="314"/>
    </row>
    <row r="17" spans="1:49" ht="24.95" customHeight="1" x14ac:dyDescent="0.2">
      <c r="A17" s="489"/>
      <c r="B17" s="302"/>
      <c r="C17" s="261" t="s">
        <v>38</v>
      </c>
      <c r="D17" s="90"/>
      <c r="E17" s="91"/>
      <c r="F17" s="438" cm="1">
        <f t="array" ref="F17">[1]!TB_UM3/1000</f>
        <v>5.0476300000000002E-2</v>
      </c>
      <c r="G17" s="321"/>
      <c r="H17" s="273"/>
      <c r="I17" s="334"/>
      <c r="J17" s="273"/>
      <c r="K17" s="273"/>
      <c r="L17" s="273"/>
      <c r="M17" s="273"/>
      <c r="N17" s="273"/>
      <c r="O17" s="273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  <c r="AA17" s="273"/>
      <c r="AB17" s="273"/>
      <c r="AC17" s="273"/>
      <c r="AD17" s="273"/>
      <c r="AE17" s="423"/>
      <c r="AF17" s="274"/>
      <c r="AG17" s="245">
        <f t="shared" si="17"/>
        <v>0</v>
      </c>
      <c r="AH17" s="82"/>
      <c r="AI17" s="37"/>
      <c r="AJ17" s="89"/>
      <c r="AK17" s="83"/>
      <c r="AL17" s="84"/>
      <c r="AM17" s="89"/>
      <c r="AN17" s="83"/>
      <c r="AO17" s="85"/>
      <c r="AP17" s="188"/>
      <c r="AQ17" s="86"/>
      <c r="AR17" s="201">
        <v>0.5</v>
      </c>
      <c r="AS17" s="87"/>
      <c r="AT17" s="88"/>
      <c r="AW17" s="314"/>
    </row>
    <row r="18" spans="1:49" ht="24.95" customHeight="1" x14ac:dyDescent="0.2">
      <c r="A18" s="489"/>
      <c r="B18" s="302"/>
      <c r="C18" s="261" t="s">
        <v>39</v>
      </c>
      <c r="D18" s="80"/>
      <c r="E18" s="81"/>
      <c r="F18" s="230">
        <f>F16</f>
        <v>0.12937309999999999</v>
      </c>
      <c r="G18" s="322"/>
      <c r="H18" s="271"/>
      <c r="I18" s="335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424"/>
      <c r="AF18" s="272"/>
      <c r="AG18" s="245">
        <f t="shared" si="17"/>
        <v>0</v>
      </c>
      <c r="AH18" s="82"/>
      <c r="AI18" s="37"/>
      <c r="AJ18" s="89"/>
      <c r="AK18" s="83"/>
      <c r="AL18" s="84"/>
      <c r="AM18" s="89"/>
      <c r="AN18" s="83"/>
      <c r="AO18" s="85"/>
      <c r="AP18" s="188"/>
      <c r="AQ18" s="86"/>
      <c r="AR18" s="201">
        <v>0.5</v>
      </c>
      <c r="AS18" s="87"/>
      <c r="AT18" s="88"/>
      <c r="AW18" s="314"/>
    </row>
    <row r="19" spans="1:49" ht="24.95" customHeight="1" x14ac:dyDescent="0.2">
      <c r="A19" s="489"/>
      <c r="B19" s="302"/>
      <c r="C19" s="261" t="s">
        <v>40</v>
      </c>
      <c r="D19" s="80"/>
      <c r="E19" s="81"/>
      <c r="F19" s="230">
        <f>F17</f>
        <v>5.0476300000000002E-2</v>
      </c>
      <c r="G19" s="322"/>
      <c r="H19" s="271"/>
      <c r="I19" s="335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424"/>
      <c r="AF19" s="272"/>
      <c r="AG19" s="245">
        <f t="shared" si="17"/>
        <v>0</v>
      </c>
      <c r="AH19" s="82"/>
      <c r="AI19" s="37"/>
      <c r="AJ19" s="89"/>
      <c r="AK19" s="83"/>
      <c r="AL19" s="84"/>
      <c r="AM19" s="89"/>
      <c r="AN19" s="83"/>
      <c r="AO19" s="85"/>
      <c r="AP19" s="188"/>
      <c r="AQ19" s="86"/>
      <c r="AR19" s="201">
        <v>0.5</v>
      </c>
      <c r="AS19" s="87"/>
      <c r="AT19" s="88"/>
      <c r="AW19" s="314"/>
    </row>
    <row r="20" spans="1:49" ht="24.95" customHeight="1" x14ac:dyDescent="0.2">
      <c r="A20" s="489"/>
      <c r="B20" s="302"/>
      <c r="C20" s="261" t="s">
        <v>41</v>
      </c>
      <c r="D20" s="92">
        <v>1.1285999999999999E-2</v>
      </c>
      <c r="E20" s="81"/>
      <c r="F20" s="230">
        <f>F16</f>
        <v>0.12937309999999999</v>
      </c>
      <c r="G20" s="320"/>
      <c r="H20" s="268"/>
      <c r="I20" s="333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268"/>
      <c r="V20" s="268"/>
      <c r="W20" s="268"/>
      <c r="X20" s="268"/>
      <c r="Y20" s="268"/>
      <c r="Z20" s="268"/>
      <c r="AA20" s="268"/>
      <c r="AB20" s="268"/>
      <c r="AC20" s="268"/>
      <c r="AD20" s="268"/>
      <c r="AE20" s="422"/>
      <c r="AF20" s="269"/>
      <c r="AG20" s="244">
        <f t="shared" si="17"/>
        <v>0</v>
      </c>
      <c r="AH20" s="71">
        <f>AG20/D20</f>
        <v>0</v>
      </c>
      <c r="AI20" s="100"/>
      <c r="AJ20" s="93"/>
      <c r="AK20" s="94"/>
      <c r="AL20" s="95"/>
      <c r="AM20" s="93"/>
      <c r="AN20" s="94"/>
      <c r="AO20" s="96"/>
      <c r="AP20" s="189"/>
      <c r="AQ20" s="97"/>
      <c r="AR20" s="202">
        <v>0.5</v>
      </c>
      <c r="AS20" s="98">
        <f t="shared" ref="AS20:AS24" si="20">AG20*AR20</f>
        <v>0</v>
      </c>
      <c r="AT20" s="99">
        <f t="shared" ref="AT20:AT24" si="21">AJ20-AS20</f>
        <v>0</v>
      </c>
      <c r="AW20" s="314"/>
    </row>
    <row r="21" spans="1:49" ht="24.95" customHeight="1" thickBot="1" x14ac:dyDescent="0.25">
      <c r="A21" s="490"/>
      <c r="B21" s="303"/>
      <c r="C21" s="262" t="s">
        <v>42</v>
      </c>
      <c r="D21" s="101">
        <v>3.8630000000000001E-3</v>
      </c>
      <c r="E21" s="102"/>
      <c r="F21" s="439">
        <f>F17</f>
        <v>5.0476300000000002E-2</v>
      </c>
      <c r="G21" s="323"/>
      <c r="H21" s="275"/>
      <c r="I21" s="336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425"/>
      <c r="AF21" s="276"/>
      <c r="AG21" s="246">
        <f t="shared" si="17"/>
        <v>0</v>
      </c>
      <c r="AH21" s="71">
        <f>AG21/D21</f>
        <v>0</v>
      </c>
      <c r="AI21" s="100"/>
      <c r="AJ21" s="93"/>
      <c r="AK21" s="103"/>
      <c r="AL21" s="104"/>
      <c r="AM21" s="93"/>
      <c r="AN21" s="103"/>
      <c r="AO21" s="105"/>
      <c r="AP21" s="190"/>
      <c r="AQ21" s="106"/>
      <c r="AR21" s="203">
        <v>0.5</v>
      </c>
      <c r="AS21" s="107">
        <f t="shared" si="20"/>
        <v>0</v>
      </c>
      <c r="AT21" s="99">
        <f t="shared" si="21"/>
        <v>0</v>
      </c>
      <c r="AW21" s="314"/>
    </row>
    <row r="22" spans="1:49" ht="24.95" customHeight="1" x14ac:dyDescent="0.2">
      <c r="A22" s="488" t="s">
        <v>43</v>
      </c>
      <c r="B22" s="304"/>
      <c r="C22" s="263" t="s">
        <v>44</v>
      </c>
      <c r="D22" s="250"/>
      <c r="E22" s="251" cm="1">
        <f t="array" ref="E22">[1]!PVC</f>
        <v>11.346299999999999</v>
      </c>
      <c r="F22" s="440"/>
      <c r="G22" s="324"/>
      <c r="H22" s="277"/>
      <c r="I22" s="337"/>
      <c r="J22" s="277"/>
      <c r="K22" s="277"/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426"/>
      <c r="AF22" s="278"/>
      <c r="AG22" s="252">
        <f t="shared" si="17"/>
        <v>0</v>
      </c>
      <c r="AH22" s="343"/>
      <c r="AI22" s="208"/>
      <c r="AJ22" s="209"/>
      <c r="AK22" s="210"/>
      <c r="AL22" s="211"/>
      <c r="AM22" s="209"/>
      <c r="AN22" s="210"/>
      <c r="AO22" s="212">
        <f>AJ22-AM22</f>
        <v>0</v>
      </c>
      <c r="AP22" s="213"/>
      <c r="AQ22" s="212"/>
      <c r="AR22" s="214">
        <v>0.5</v>
      </c>
      <c r="AS22" s="212">
        <f t="shared" si="20"/>
        <v>0</v>
      </c>
      <c r="AT22" s="215">
        <f t="shared" si="21"/>
        <v>0</v>
      </c>
      <c r="AW22" s="314"/>
    </row>
    <row r="23" spans="1:49" ht="24.95" customHeight="1" x14ac:dyDescent="0.2">
      <c r="A23" s="489"/>
      <c r="B23" s="300"/>
      <c r="C23" s="261" t="s">
        <v>45</v>
      </c>
      <c r="D23" s="44"/>
      <c r="E23" s="45">
        <f>E22</f>
        <v>11.346299999999999</v>
      </c>
      <c r="F23" s="230"/>
      <c r="G23" s="322"/>
      <c r="H23" s="271"/>
      <c r="I23" s="335"/>
      <c r="J23" s="271"/>
      <c r="K23" s="271"/>
      <c r="L23" s="271"/>
      <c r="M23" s="271"/>
      <c r="N23" s="271"/>
      <c r="O23" s="271"/>
      <c r="P23" s="271"/>
      <c r="Q23" s="271"/>
      <c r="R23" s="271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424"/>
      <c r="AF23" s="272"/>
      <c r="AG23" s="245">
        <f t="shared" si="17"/>
        <v>0</v>
      </c>
      <c r="AH23" s="344"/>
      <c r="AI23" s="108"/>
      <c r="AJ23" s="46"/>
      <c r="AK23" s="36"/>
      <c r="AL23" s="37"/>
      <c r="AM23" s="46"/>
      <c r="AN23" s="36"/>
      <c r="AO23" s="39"/>
      <c r="AP23" s="184"/>
      <c r="AQ23" s="40"/>
      <c r="AR23" s="196">
        <v>0.5</v>
      </c>
      <c r="AS23" s="40">
        <f t="shared" si="20"/>
        <v>0</v>
      </c>
      <c r="AT23" s="41">
        <f t="shared" si="21"/>
        <v>0</v>
      </c>
      <c r="AW23" s="314"/>
    </row>
    <row r="24" spans="1:49" ht="24.95" customHeight="1" thickBot="1" x14ac:dyDescent="0.25">
      <c r="A24" s="490"/>
      <c r="B24" s="301"/>
      <c r="C24" s="262" t="s">
        <v>46</v>
      </c>
      <c r="D24" s="109"/>
      <c r="E24" s="60">
        <f>E23</f>
        <v>11.346299999999999</v>
      </c>
      <c r="F24" s="439"/>
      <c r="G24" s="325"/>
      <c r="H24" s="280"/>
      <c r="I24" s="338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427"/>
      <c r="AF24" s="281"/>
      <c r="AG24" s="247">
        <f t="shared" si="17"/>
        <v>0</v>
      </c>
      <c r="AH24" s="345"/>
      <c r="AI24" s="346"/>
      <c r="AJ24" s="347"/>
      <c r="AK24" s="61"/>
      <c r="AL24" s="62"/>
      <c r="AM24" s="347"/>
      <c r="AN24" s="61"/>
      <c r="AO24" s="64"/>
      <c r="AP24" s="186"/>
      <c r="AQ24" s="65"/>
      <c r="AR24" s="198">
        <v>0.5</v>
      </c>
      <c r="AS24" s="65">
        <f t="shared" si="20"/>
        <v>0</v>
      </c>
      <c r="AT24" s="66">
        <f t="shared" si="21"/>
        <v>0</v>
      </c>
      <c r="AW24" s="314"/>
    </row>
    <row r="25" spans="1:49" ht="24.95" hidden="1" customHeight="1" thickBot="1" x14ac:dyDescent="0.25">
      <c r="A25" s="313" t="s">
        <v>47</v>
      </c>
      <c r="B25" s="305"/>
      <c r="C25" s="259" t="s">
        <v>48</v>
      </c>
      <c r="D25" s="11"/>
      <c r="E25" s="12">
        <v>2.56</v>
      </c>
      <c r="F25" s="441"/>
      <c r="G25" s="326"/>
      <c r="H25" s="282"/>
      <c r="I25" s="339"/>
      <c r="J25" s="282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428"/>
      <c r="AF25" s="283"/>
      <c r="AG25" s="248">
        <f t="shared" si="17"/>
        <v>0</v>
      </c>
      <c r="AH25" s="238"/>
      <c r="AI25" s="110"/>
      <c r="AJ25" s="14"/>
      <c r="AK25" s="15"/>
      <c r="AL25" s="16"/>
      <c r="AM25" s="14"/>
      <c r="AN25" s="15"/>
      <c r="AO25" s="68">
        <f>AJ25-AM25</f>
        <v>0</v>
      </c>
      <c r="AP25" s="191">
        <f>300.56/1000</f>
        <v>0.30055999999999999</v>
      </c>
      <c r="AQ25" s="19">
        <f>AG25*AP25</f>
        <v>0</v>
      </c>
      <c r="AR25" s="182"/>
      <c r="AS25" s="19"/>
      <c r="AT25" s="20">
        <f>AJ25+AQ25</f>
        <v>0</v>
      </c>
      <c r="AW25" s="314"/>
    </row>
    <row r="26" spans="1:49" ht="24.95" customHeight="1" x14ac:dyDescent="0.25">
      <c r="A26" s="488" t="s">
        <v>49</v>
      </c>
      <c r="B26" s="310">
        <v>1</v>
      </c>
      <c r="C26" s="261" t="s">
        <v>89</v>
      </c>
      <c r="D26" s="80">
        <v>1.2999999999999999E-2</v>
      </c>
      <c r="E26" s="45"/>
      <c r="F26" s="230" cm="1">
        <f t="array" ref="F26">[1]!TB_ZINCO/1000</f>
        <v>0.2230548</v>
      </c>
      <c r="G26" s="322"/>
      <c r="H26" s="271"/>
      <c r="I26" s="335"/>
      <c r="J26" s="271"/>
      <c r="K26" s="271"/>
      <c r="L26" s="271"/>
      <c r="M26" s="271"/>
      <c r="N26" s="271"/>
      <c r="O26" s="271"/>
      <c r="P26" s="271"/>
      <c r="Q26" s="271"/>
      <c r="R26" s="271"/>
      <c r="S26" s="271"/>
      <c r="T26" s="271"/>
      <c r="U26" s="271"/>
      <c r="V26" s="271"/>
      <c r="W26" s="271"/>
      <c r="X26" s="271"/>
      <c r="Y26" s="271"/>
      <c r="Z26" s="271"/>
      <c r="AA26" s="271"/>
      <c r="AB26" s="271"/>
      <c r="AC26" s="271"/>
      <c r="AD26" s="271"/>
      <c r="AE26" s="424"/>
      <c r="AF26" s="272"/>
      <c r="AG26" s="245">
        <f t="shared" si="17"/>
        <v>0</v>
      </c>
      <c r="AH26" s="158">
        <f>AG26/D26</f>
        <v>0</v>
      </c>
      <c r="AI26" s="113"/>
      <c r="AJ26" s="111"/>
      <c r="AK26" s="112"/>
      <c r="AL26" s="27"/>
      <c r="AM26" s="111"/>
      <c r="AN26" s="26"/>
      <c r="AO26" s="29">
        <f>AJ26-AM26</f>
        <v>0</v>
      </c>
      <c r="AP26" s="183"/>
      <c r="AQ26" s="30"/>
      <c r="AR26" s="183"/>
      <c r="AS26" s="30"/>
      <c r="AT26" s="31">
        <f>AJ26</f>
        <v>0</v>
      </c>
      <c r="AW26" s="314"/>
    </row>
    <row r="27" spans="1:49" ht="24.95" customHeight="1" x14ac:dyDescent="0.25">
      <c r="A27" s="489"/>
      <c r="B27" s="310">
        <v>2</v>
      </c>
      <c r="C27" s="264" t="s">
        <v>90</v>
      </c>
      <c r="D27" s="80"/>
      <c r="E27" s="45" cm="1">
        <f t="array" ref="E27">[1]!PAPEL_SEP/1000</f>
        <v>1.2701E-2</v>
      </c>
      <c r="F27" s="230"/>
      <c r="G27" s="322"/>
      <c r="H27" s="271"/>
      <c r="I27" s="335"/>
      <c r="J27" s="271"/>
      <c r="K27" s="271"/>
      <c r="L27" s="271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1"/>
      <c r="AB27" s="271"/>
      <c r="AC27" s="271"/>
      <c r="AD27" s="271"/>
      <c r="AE27" s="424"/>
      <c r="AF27" s="272"/>
      <c r="AG27" s="245">
        <f t="shared" ref="AG27:AG61" si="22">SUM(G27:AF27)</f>
        <v>0</v>
      </c>
      <c r="AH27" s="158"/>
      <c r="AI27" s="113"/>
      <c r="AJ27" s="111"/>
      <c r="AK27" s="114"/>
      <c r="AL27" s="79"/>
      <c r="AM27" s="111"/>
      <c r="AN27" s="115"/>
      <c r="AO27" s="116">
        <f>AJ27-AM27</f>
        <v>0</v>
      </c>
      <c r="AP27" s="192"/>
      <c r="AQ27" s="117"/>
      <c r="AR27" s="192"/>
      <c r="AS27" s="117"/>
      <c r="AT27" s="118">
        <f>AJ27</f>
        <v>0</v>
      </c>
      <c r="AW27" s="314"/>
    </row>
    <row r="28" spans="1:49" ht="24.95" customHeight="1" x14ac:dyDescent="0.25">
      <c r="A28" s="489"/>
      <c r="B28" s="310">
        <v>3</v>
      </c>
      <c r="C28" s="261" t="s">
        <v>50</v>
      </c>
      <c r="D28" s="80">
        <v>6.8000000000000005E-2</v>
      </c>
      <c r="E28" s="45"/>
      <c r="F28" s="230" cm="1">
        <f t="array" ref="F28">[1]!TAMPAO/1000</f>
        <v>0.49293560000000003</v>
      </c>
      <c r="G28" s="322"/>
      <c r="H28" s="271"/>
      <c r="I28" s="335"/>
      <c r="J28" s="271"/>
      <c r="K28" s="271"/>
      <c r="L28" s="271"/>
      <c r="M28" s="271"/>
      <c r="N28" s="271"/>
      <c r="O28" s="271"/>
      <c r="P28" s="271"/>
      <c r="Q28" s="271"/>
      <c r="R28" s="271"/>
      <c r="S28" s="271"/>
      <c r="T28" s="271"/>
      <c r="U28" s="271"/>
      <c r="V28" s="271"/>
      <c r="W28" s="271"/>
      <c r="X28" s="271"/>
      <c r="Y28" s="271"/>
      <c r="Z28" s="271"/>
      <c r="AA28" s="271"/>
      <c r="AB28" s="271"/>
      <c r="AC28" s="271"/>
      <c r="AD28" s="271"/>
      <c r="AE28" s="424"/>
      <c r="AF28" s="272"/>
      <c r="AG28" s="245">
        <f t="shared" si="22"/>
        <v>0</v>
      </c>
      <c r="AH28" s="158">
        <f t="shared" ref="AH28:AH34" si="23">AG28/D28</f>
        <v>0</v>
      </c>
      <c r="AI28" s="113"/>
      <c r="AJ28" s="111"/>
      <c r="AK28" s="523"/>
      <c r="AL28" s="526"/>
      <c r="AM28" s="111"/>
      <c r="AN28" s="479">
        <f>AH28+AH29+AH30+AH31+AH32-AK28</f>
        <v>0</v>
      </c>
      <c r="AO28" s="483">
        <f>AJ28+AJ29+AJ30+AJ31+AJ32-AM28</f>
        <v>0</v>
      </c>
      <c r="AP28" s="191">
        <f>300.56/1000</f>
        <v>0.30055999999999999</v>
      </c>
      <c r="AQ28" s="117">
        <f>AG28*AP28</f>
        <v>0</v>
      </c>
      <c r="AR28" s="192"/>
      <c r="AS28" s="117"/>
      <c r="AT28" s="118">
        <f>AJ28+AQ28</f>
        <v>0</v>
      </c>
      <c r="AW28" s="314"/>
    </row>
    <row r="29" spans="1:49" ht="24.95" customHeight="1" x14ac:dyDescent="0.25">
      <c r="A29" s="489"/>
      <c r="B29" s="310">
        <v>4</v>
      </c>
      <c r="C29" s="261" t="s">
        <v>51</v>
      </c>
      <c r="D29" s="80">
        <v>7.3999999999999996E-2</v>
      </c>
      <c r="E29" s="45"/>
      <c r="F29" s="230" cm="1">
        <f t="array" ref="F29">[1]!EVERTACK/1000</f>
        <v>0.59954750000000001</v>
      </c>
      <c r="G29" s="322"/>
      <c r="H29" s="271"/>
      <c r="I29" s="335"/>
      <c r="J29" s="271"/>
      <c r="K29" s="271"/>
      <c r="L29" s="271"/>
      <c r="M29" s="271"/>
      <c r="N29" s="271"/>
      <c r="O29" s="271"/>
      <c r="P29" s="271"/>
      <c r="Q29" s="271"/>
      <c r="R29" s="271"/>
      <c r="S29" s="271"/>
      <c r="T29" s="271"/>
      <c r="U29" s="271"/>
      <c r="V29" s="271"/>
      <c r="W29" s="271"/>
      <c r="X29" s="271"/>
      <c r="Y29" s="271"/>
      <c r="Z29" s="271"/>
      <c r="AA29" s="271"/>
      <c r="AB29" s="271"/>
      <c r="AC29" s="271"/>
      <c r="AD29" s="271"/>
      <c r="AE29" s="424"/>
      <c r="AF29" s="272"/>
      <c r="AG29" s="245">
        <f t="shared" si="22"/>
        <v>0</v>
      </c>
      <c r="AH29" s="158">
        <f t="shared" si="23"/>
        <v>0</v>
      </c>
      <c r="AI29" s="113"/>
      <c r="AJ29" s="111"/>
      <c r="AK29" s="524"/>
      <c r="AL29" s="527"/>
      <c r="AM29" s="111"/>
      <c r="AN29" s="512"/>
      <c r="AO29" s="518"/>
      <c r="AP29" s="191">
        <f>300.56/1000</f>
        <v>0.30055999999999999</v>
      </c>
      <c r="AQ29" s="117">
        <f>AG29*AP29</f>
        <v>0</v>
      </c>
      <c r="AR29" s="192"/>
      <c r="AS29" s="117"/>
      <c r="AT29" s="118">
        <f>AJ29+AQ29</f>
        <v>0</v>
      </c>
      <c r="AW29" s="314"/>
    </row>
    <row r="30" spans="1:49" ht="24.95" customHeight="1" x14ac:dyDescent="0.25">
      <c r="A30" s="489"/>
      <c r="B30" s="310">
        <v>5</v>
      </c>
      <c r="C30" s="261" t="s">
        <v>52</v>
      </c>
      <c r="D30" s="80">
        <v>7.4999999999999997E-2</v>
      </c>
      <c r="E30" s="45"/>
      <c r="F30" s="230" cm="1">
        <f t="array" ref="F30">[1]!PY/1000</f>
        <v>0.61833110000000002</v>
      </c>
      <c r="G30" s="322"/>
      <c r="H30" s="271"/>
      <c r="I30" s="335"/>
      <c r="J30" s="271"/>
      <c r="K30" s="271"/>
      <c r="L30" s="271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1"/>
      <c r="AB30" s="271"/>
      <c r="AC30" s="271"/>
      <c r="AD30" s="271"/>
      <c r="AE30" s="424"/>
      <c r="AF30" s="272"/>
      <c r="AG30" s="245">
        <f t="shared" si="22"/>
        <v>0</v>
      </c>
      <c r="AH30" s="158">
        <f t="shared" si="23"/>
        <v>0</v>
      </c>
      <c r="AI30" s="113"/>
      <c r="AJ30" s="111"/>
      <c r="AK30" s="524"/>
      <c r="AL30" s="527"/>
      <c r="AM30" s="111"/>
      <c r="AN30" s="512"/>
      <c r="AO30" s="518"/>
      <c r="AP30" s="191">
        <f>300.56/1000</f>
        <v>0.30055999999999999</v>
      </c>
      <c r="AQ30" s="117">
        <f>AG30*AP30</f>
        <v>0</v>
      </c>
      <c r="AR30" s="192"/>
      <c r="AS30" s="117"/>
      <c r="AT30" s="118">
        <f>AJ30+AQ30</f>
        <v>0</v>
      </c>
      <c r="AW30" s="314"/>
    </row>
    <row r="31" spans="1:49" ht="24.95" customHeight="1" x14ac:dyDescent="0.25">
      <c r="A31" s="489"/>
      <c r="B31" s="310">
        <v>6</v>
      </c>
      <c r="C31" s="261" t="s">
        <v>53</v>
      </c>
      <c r="D31" s="80">
        <v>0.08</v>
      </c>
      <c r="E31" s="45"/>
      <c r="F31" s="230" cm="1">
        <f t="array" ref="F31">[1]!ENCOLHIMENTO/1000</f>
        <v>0.65606164999999994</v>
      </c>
      <c r="G31" s="322"/>
      <c r="H31" s="271"/>
      <c r="I31" s="335"/>
      <c r="J31" s="271"/>
      <c r="K31" s="271"/>
      <c r="L31" s="271"/>
      <c r="M31" s="271"/>
      <c r="N31" s="271"/>
      <c r="O31" s="271"/>
      <c r="P31" s="271"/>
      <c r="Q31" s="271"/>
      <c r="R31" s="271"/>
      <c r="S31" s="271"/>
      <c r="T31" s="271"/>
      <c r="U31" s="271"/>
      <c r="V31" s="271"/>
      <c r="W31" s="271"/>
      <c r="X31" s="271"/>
      <c r="Y31" s="271"/>
      <c r="Z31" s="271"/>
      <c r="AA31" s="271"/>
      <c r="AB31" s="271"/>
      <c r="AC31" s="271"/>
      <c r="AD31" s="271"/>
      <c r="AE31" s="424"/>
      <c r="AF31" s="272"/>
      <c r="AG31" s="245">
        <f t="shared" si="22"/>
        <v>0</v>
      </c>
      <c r="AH31" s="158">
        <f t="shared" si="23"/>
        <v>0</v>
      </c>
      <c r="AI31" s="113"/>
      <c r="AJ31" s="111"/>
      <c r="AK31" s="524"/>
      <c r="AL31" s="527"/>
      <c r="AM31" s="111"/>
      <c r="AN31" s="512"/>
      <c r="AO31" s="518"/>
      <c r="AP31" s="191">
        <f>300.56/1000</f>
        <v>0.30055999999999999</v>
      </c>
      <c r="AQ31" s="117">
        <f>AG31*AP31</f>
        <v>0</v>
      </c>
      <c r="AR31" s="192"/>
      <c r="AS31" s="117"/>
      <c r="AT31" s="118">
        <f>AJ31+AQ31</f>
        <v>0</v>
      </c>
      <c r="AW31" s="314"/>
    </row>
    <row r="32" spans="1:49" ht="24.95" customHeight="1" x14ac:dyDescent="0.25">
      <c r="A32" s="489"/>
      <c r="B32" s="310">
        <v>7</v>
      </c>
      <c r="C32" s="261" t="s">
        <v>54</v>
      </c>
      <c r="D32" s="80">
        <v>7.6999999999999999E-2</v>
      </c>
      <c r="E32" s="45"/>
      <c r="F32" s="230" cm="1">
        <f t="array" ref="F32">[1]!SHIMA/1000</f>
        <v>0.76675787000000006</v>
      </c>
      <c r="G32" s="322"/>
      <c r="H32" s="271"/>
      <c r="I32" s="335"/>
      <c r="J32" s="271"/>
      <c r="K32" s="271"/>
      <c r="L32" s="271"/>
      <c r="M32" s="271"/>
      <c r="N32" s="271"/>
      <c r="O32" s="271"/>
      <c r="P32" s="271"/>
      <c r="Q32" s="271"/>
      <c r="R32" s="271"/>
      <c r="S32" s="271"/>
      <c r="T32" s="271"/>
      <c r="U32" s="271"/>
      <c r="V32" s="271"/>
      <c r="W32" s="271"/>
      <c r="X32" s="271"/>
      <c r="Y32" s="271"/>
      <c r="Z32" s="271"/>
      <c r="AA32" s="271"/>
      <c r="AB32" s="271"/>
      <c r="AC32" s="271"/>
      <c r="AD32" s="271"/>
      <c r="AE32" s="424"/>
      <c r="AF32" s="272"/>
      <c r="AG32" s="245">
        <f t="shared" si="22"/>
        <v>0</v>
      </c>
      <c r="AH32" s="158">
        <f t="shared" si="23"/>
        <v>0</v>
      </c>
      <c r="AI32" s="113"/>
      <c r="AJ32" s="111"/>
      <c r="AK32" s="525"/>
      <c r="AL32" s="528"/>
      <c r="AM32" s="111"/>
      <c r="AN32" s="513"/>
      <c r="AO32" s="519"/>
      <c r="AP32" s="191">
        <f>300.56/1000</f>
        <v>0.30055999999999999</v>
      </c>
      <c r="AQ32" s="117">
        <f>AG32*AP32</f>
        <v>0</v>
      </c>
      <c r="AR32" s="192"/>
      <c r="AS32" s="117"/>
      <c r="AT32" s="118">
        <f>AJ32+AQ32</f>
        <v>0</v>
      </c>
      <c r="AW32" s="314"/>
    </row>
    <row r="33" spans="1:49" ht="24.95" customHeight="1" x14ac:dyDescent="0.25">
      <c r="A33" s="489"/>
      <c r="B33" s="310">
        <v>8</v>
      </c>
      <c r="C33" s="261" t="s">
        <v>55</v>
      </c>
      <c r="D33" s="80">
        <v>1.1285999999999999E-2</v>
      </c>
      <c r="E33" s="45"/>
      <c r="F33" s="230">
        <f>F16</f>
        <v>0.12937309999999999</v>
      </c>
      <c r="G33" s="322"/>
      <c r="H33" s="271"/>
      <c r="I33" s="335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1"/>
      <c r="AB33" s="271"/>
      <c r="AC33" s="271"/>
      <c r="AD33" s="271"/>
      <c r="AE33" s="424"/>
      <c r="AF33" s="272"/>
      <c r="AG33" s="245">
        <f t="shared" si="22"/>
        <v>0</v>
      </c>
      <c r="AH33" s="158">
        <f t="shared" si="23"/>
        <v>0</v>
      </c>
      <c r="AI33" s="113"/>
      <c r="AJ33" s="111"/>
      <c r="AK33" s="115"/>
      <c r="AL33" s="79"/>
      <c r="AM33" s="111"/>
      <c r="AN33" s="115"/>
      <c r="AO33" s="483">
        <f>AJ33+AJ34+AJ36+AJ37-AM33</f>
        <v>0</v>
      </c>
      <c r="AP33" s="192"/>
      <c r="AQ33" s="117"/>
      <c r="AR33" s="204">
        <v>0.5</v>
      </c>
      <c r="AS33" s="119">
        <f>AG33*AR33</f>
        <v>0</v>
      </c>
      <c r="AT33" s="118">
        <f>AJ33-AS33</f>
        <v>0</v>
      </c>
      <c r="AW33" s="314"/>
    </row>
    <row r="34" spans="1:49" ht="24.95" customHeight="1" x14ac:dyDescent="0.25">
      <c r="A34" s="489"/>
      <c r="B34" s="310">
        <v>9</v>
      </c>
      <c r="C34" s="260" t="s">
        <v>56</v>
      </c>
      <c r="D34" s="69">
        <v>1.377E-3</v>
      </c>
      <c r="E34" s="33" cm="1">
        <f t="array" ref="E34">[1]!ARRUELA_UM1</f>
        <v>4.6170500000000008</v>
      </c>
      <c r="F34" s="437">
        <f>D34*E34</f>
        <v>6.3576778500000009E-3</v>
      </c>
      <c r="G34" s="320"/>
      <c r="H34" s="268"/>
      <c r="I34" s="333"/>
      <c r="J34" s="268"/>
      <c r="K34" s="268"/>
      <c r="L34" s="268"/>
      <c r="M34" s="268"/>
      <c r="N34" s="268"/>
      <c r="O34" s="268"/>
      <c r="P34" s="268"/>
      <c r="Q34" s="268"/>
      <c r="R34" s="268"/>
      <c r="S34" s="268"/>
      <c r="T34" s="268"/>
      <c r="U34" s="268"/>
      <c r="V34" s="268"/>
      <c r="W34" s="268"/>
      <c r="X34" s="268"/>
      <c r="Y34" s="268"/>
      <c r="Z34" s="268"/>
      <c r="AA34" s="268"/>
      <c r="AB34" s="271"/>
      <c r="AC34" s="268"/>
      <c r="AD34" s="268"/>
      <c r="AE34" s="422"/>
      <c r="AF34" s="269"/>
      <c r="AG34" s="244">
        <f t="shared" si="22"/>
        <v>0</v>
      </c>
      <c r="AH34" s="158">
        <f t="shared" si="23"/>
        <v>0</v>
      </c>
      <c r="AI34" s="113"/>
      <c r="AJ34" s="111"/>
      <c r="AK34" s="115"/>
      <c r="AL34" s="79"/>
      <c r="AM34" s="111"/>
      <c r="AN34" s="115"/>
      <c r="AO34" s="518"/>
      <c r="AP34" s="192"/>
      <c r="AQ34" s="117"/>
      <c r="AR34" s="192"/>
      <c r="AS34" s="117"/>
      <c r="AT34" s="118">
        <f>AJ34</f>
        <v>0</v>
      </c>
      <c r="AW34" s="314"/>
    </row>
    <row r="35" spans="1:49" ht="24.95" customHeight="1" x14ac:dyDescent="0.25">
      <c r="A35" s="489"/>
      <c r="B35" s="310">
        <v>10</v>
      </c>
      <c r="C35" s="260" t="s">
        <v>57</v>
      </c>
      <c r="D35" s="120"/>
      <c r="E35" s="43"/>
      <c r="F35" s="442"/>
      <c r="G35" s="327"/>
      <c r="H35" s="284"/>
      <c r="I35" s="340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284"/>
      <c r="V35" s="284"/>
      <c r="W35" s="284"/>
      <c r="X35" s="284"/>
      <c r="Y35" s="284"/>
      <c r="Z35" s="284"/>
      <c r="AA35" s="284"/>
      <c r="AB35" s="284"/>
      <c r="AC35" s="284"/>
      <c r="AD35" s="284"/>
      <c r="AE35" s="429"/>
      <c r="AF35" s="285"/>
      <c r="AG35" s="244">
        <f t="shared" si="22"/>
        <v>0</v>
      </c>
      <c r="AH35" s="158"/>
      <c r="AI35" s="113"/>
      <c r="AJ35" s="111"/>
      <c r="AK35" s="115"/>
      <c r="AL35" s="79"/>
      <c r="AM35" s="111"/>
      <c r="AN35" s="115"/>
      <c r="AO35" s="518"/>
      <c r="AP35" s="192"/>
      <c r="AQ35" s="117"/>
      <c r="AR35" s="192"/>
      <c r="AS35" s="117"/>
      <c r="AT35" s="118"/>
      <c r="AW35" s="314"/>
    </row>
    <row r="36" spans="1:49" ht="24.95" customHeight="1" thickBot="1" x14ac:dyDescent="0.3">
      <c r="A36" s="489"/>
      <c r="B36" s="310">
        <v>11</v>
      </c>
      <c r="C36" s="261" t="s">
        <v>58</v>
      </c>
      <c r="D36" s="80">
        <v>1.5900000000000001E-3</v>
      </c>
      <c r="E36" s="45" cm="1">
        <f t="array" ref="E36">[1]!CAP</f>
        <v>22.655919999999998</v>
      </c>
      <c r="F36" s="230">
        <f t="shared" ref="F36:F37" si="24">D36*E36</f>
        <v>3.6022912800000001E-2</v>
      </c>
      <c r="G36" s="322"/>
      <c r="H36" s="271"/>
      <c r="I36" s="335"/>
      <c r="J36" s="271"/>
      <c r="K36" s="271"/>
      <c r="L36" s="271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  <c r="X36" s="271"/>
      <c r="Y36" s="271"/>
      <c r="Z36" s="271"/>
      <c r="AA36" s="271"/>
      <c r="AB36" s="271"/>
      <c r="AC36" s="271"/>
      <c r="AD36" s="271"/>
      <c r="AE36" s="424"/>
      <c r="AF36" s="272"/>
      <c r="AG36" s="245">
        <f t="shared" si="22"/>
        <v>0</v>
      </c>
      <c r="AH36" s="158">
        <f>AG36/D36</f>
        <v>0</v>
      </c>
      <c r="AI36" s="113"/>
      <c r="AJ36" s="111"/>
      <c r="AK36" s="36"/>
      <c r="AL36" s="37"/>
      <c r="AM36" s="111"/>
      <c r="AN36" s="36"/>
      <c r="AO36" s="518"/>
      <c r="AP36" s="184"/>
      <c r="AQ36" s="40"/>
      <c r="AR36" s="204">
        <v>0.5</v>
      </c>
      <c r="AS36" s="119">
        <f>AG36*AR36</f>
        <v>0</v>
      </c>
      <c r="AT36" s="41">
        <f>AJ36-AS36</f>
        <v>0</v>
      </c>
      <c r="AW36" s="314"/>
    </row>
    <row r="37" spans="1:49" ht="24.95" customHeight="1" thickBot="1" x14ac:dyDescent="0.3">
      <c r="A37" s="490"/>
      <c r="B37" s="310">
        <v>12</v>
      </c>
      <c r="C37" s="261" t="s">
        <v>59</v>
      </c>
      <c r="D37" s="80">
        <v>7.9000000000000001E-4</v>
      </c>
      <c r="E37" s="45" cm="1">
        <f t="array" ref="E37">[1]!TB_PVC</f>
        <v>11.346299999999999</v>
      </c>
      <c r="F37" s="230">
        <f t="shared" si="24"/>
        <v>8.9635770000000003E-3</v>
      </c>
      <c r="G37" s="320"/>
      <c r="H37" s="268"/>
      <c r="I37" s="333"/>
      <c r="J37" s="268"/>
      <c r="K37" s="268"/>
      <c r="L37" s="268"/>
      <c r="M37" s="268"/>
      <c r="N37" s="268"/>
      <c r="O37" s="268"/>
      <c r="P37" s="268"/>
      <c r="Q37" s="268"/>
      <c r="R37" s="268"/>
      <c r="S37" s="268"/>
      <c r="T37" s="268"/>
      <c r="U37" s="268"/>
      <c r="V37" s="268"/>
      <c r="W37" s="268"/>
      <c r="X37" s="268"/>
      <c r="Y37" s="268"/>
      <c r="Z37" s="268"/>
      <c r="AA37" s="268"/>
      <c r="AB37" s="268"/>
      <c r="AC37" s="268"/>
      <c r="AD37" s="268"/>
      <c r="AE37" s="422"/>
      <c r="AF37" s="269"/>
      <c r="AG37" s="243">
        <f t="shared" si="22"/>
        <v>0</v>
      </c>
      <c r="AH37" s="158">
        <f>AG37/D37</f>
        <v>0</v>
      </c>
      <c r="AI37" s="113"/>
      <c r="AJ37" s="111"/>
      <c r="AK37" s="61"/>
      <c r="AL37" s="62"/>
      <c r="AM37" s="111"/>
      <c r="AN37" s="61"/>
      <c r="AO37" s="484"/>
      <c r="AP37" s="184"/>
      <c r="AQ37" s="40"/>
      <c r="AR37" s="204">
        <v>1.5</v>
      </c>
      <c r="AS37" s="119">
        <f>AG37*AR37</f>
        <v>0</v>
      </c>
      <c r="AT37" s="41">
        <f>AJ37-AS37</f>
        <v>0</v>
      </c>
      <c r="AU37" s="121">
        <f>SUM(AJ26:AJ37)</f>
        <v>0</v>
      </c>
      <c r="AW37" s="314"/>
    </row>
    <row r="38" spans="1:49" ht="24.95" customHeight="1" x14ac:dyDescent="0.25">
      <c r="A38" s="488" t="s">
        <v>60</v>
      </c>
      <c r="B38" s="311">
        <v>1</v>
      </c>
      <c r="C38" s="265" t="s">
        <v>59</v>
      </c>
      <c r="D38" s="122">
        <v>2.3000000000000001E-4</v>
      </c>
      <c r="E38" s="24" cm="1">
        <f t="array" ref="E38">[1]!TB_PVC_UM3</f>
        <v>3.6581999999999999</v>
      </c>
      <c r="F38" s="443">
        <f>E38*D38</f>
        <v>8.4138599999999996E-4</v>
      </c>
      <c r="G38" s="328"/>
      <c r="H38" s="287"/>
      <c r="I38" s="341"/>
      <c r="J38" s="287"/>
      <c r="K38" s="287"/>
      <c r="L38" s="287"/>
      <c r="M38" s="287"/>
      <c r="N38" s="287"/>
      <c r="O38" s="287"/>
      <c r="P38" s="287"/>
      <c r="Q38" s="287"/>
      <c r="R38" s="287"/>
      <c r="S38" s="287"/>
      <c r="T38" s="287"/>
      <c r="U38" s="287"/>
      <c r="V38" s="287"/>
      <c r="W38" s="287"/>
      <c r="X38" s="287"/>
      <c r="Y38" s="287"/>
      <c r="Z38" s="287"/>
      <c r="AA38" s="287"/>
      <c r="AB38" s="287"/>
      <c r="AC38" s="287"/>
      <c r="AD38" s="287"/>
      <c r="AE38" s="430"/>
      <c r="AF38" s="288"/>
      <c r="AG38" s="243">
        <f t="shared" si="22"/>
        <v>0</v>
      </c>
      <c r="AH38" s="157">
        <f>AG38/D38</f>
        <v>0</v>
      </c>
      <c r="AI38" s="132"/>
      <c r="AJ38" s="127"/>
      <c r="AK38" s="128"/>
      <c r="AL38" s="129"/>
      <c r="AM38" s="127"/>
      <c r="AN38" s="128"/>
      <c r="AO38" s="520">
        <f>SUM(AJ38:AJ47)-AM38</f>
        <v>0</v>
      </c>
      <c r="AP38" s="193"/>
      <c r="AQ38" s="130"/>
      <c r="AR38" s="193"/>
      <c r="AS38" s="130"/>
      <c r="AT38" s="131">
        <f>AJ38</f>
        <v>0</v>
      </c>
      <c r="AW38" s="314"/>
    </row>
    <row r="39" spans="1:49" ht="24.95" customHeight="1" x14ac:dyDescent="0.25">
      <c r="A39" s="489"/>
      <c r="B39" s="310">
        <v>2</v>
      </c>
      <c r="C39" s="264" t="s">
        <v>90</v>
      </c>
      <c r="D39" s="80"/>
      <c r="E39" s="45">
        <f>E27</f>
        <v>1.2701E-2</v>
      </c>
      <c r="F39" s="230"/>
      <c r="G39" s="322"/>
      <c r="H39" s="271"/>
      <c r="I39" s="335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424"/>
      <c r="AF39" s="272"/>
      <c r="AG39" s="245">
        <f t="shared" si="22"/>
        <v>0</v>
      </c>
      <c r="AH39" s="158"/>
      <c r="AI39" s="113"/>
      <c r="AJ39" s="123"/>
      <c r="AK39" s="36"/>
      <c r="AL39" s="37"/>
      <c r="AM39" s="123"/>
      <c r="AN39" s="36"/>
      <c r="AO39" s="521"/>
      <c r="AP39" s="184"/>
      <c r="AQ39" s="40"/>
      <c r="AR39" s="184"/>
      <c r="AS39" s="40"/>
      <c r="AT39" s="41">
        <f>AJ39</f>
        <v>0</v>
      </c>
      <c r="AW39" s="314"/>
    </row>
    <row r="40" spans="1:49" ht="24.95" customHeight="1" x14ac:dyDescent="0.25">
      <c r="A40" s="489"/>
      <c r="B40" s="310">
        <v>3</v>
      </c>
      <c r="C40" s="261" t="s">
        <v>55</v>
      </c>
      <c r="D40" s="80">
        <v>3.8630000000000001E-3</v>
      </c>
      <c r="E40" s="45">
        <v>4.3600000000000003</v>
      </c>
      <c r="F40" s="230" cm="1">
        <f t="array" ref="F40">[1]!TB_CHAPA_UM3</f>
        <v>50.476300000000002</v>
      </c>
      <c r="G40" s="322"/>
      <c r="H40" s="271"/>
      <c r="I40" s="335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271"/>
      <c r="U40" s="271"/>
      <c r="V40" s="271"/>
      <c r="W40" s="271"/>
      <c r="X40" s="271"/>
      <c r="Y40" s="271"/>
      <c r="Z40" s="271"/>
      <c r="AA40" s="271"/>
      <c r="AB40" s="271"/>
      <c r="AC40" s="271"/>
      <c r="AD40" s="271"/>
      <c r="AE40" s="424"/>
      <c r="AF40" s="272"/>
      <c r="AG40" s="245">
        <f t="shared" si="22"/>
        <v>0</v>
      </c>
      <c r="AH40" s="158">
        <f t="shared" ref="AH40:AH61" si="25">AG40/D40</f>
        <v>0</v>
      </c>
      <c r="AI40" s="113"/>
      <c r="AJ40" s="123"/>
      <c r="AK40" s="83"/>
      <c r="AL40" s="84"/>
      <c r="AM40" s="123"/>
      <c r="AN40" s="83"/>
      <c r="AO40" s="521"/>
      <c r="AP40" s="194"/>
      <c r="AQ40" s="87"/>
      <c r="AR40" s="201">
        <v>0.5</v>
      </c>
      <c r="AS40" s="133">
        <f>AG40*AR40</f>
        <v>0</v>
      </c>
      <c r="AT40" s="88">
        <f>AJ40-AS40</f>
        <v>0</v>
      </c>
      <c r="AW40" s="314"/>
    </row>
    <row r="41" spans="1:49" ht="24.95" customHeight="1" x14ac:dyDescent="0.25">
      <c r="A41" s="489"/>
      <c r="B41" s="310">
        <v>4</v>
      </c>
      <c r="C41" s="266" t="s">
        <v>61</v>
      </c>
      <c r="D41" s="80">
        <v>4.2000000000000002E-4</v>
      </c>
      <c r="E41" s="45">
        <v>2.12</v>
      </c>
      <c r="F41" s="230" cm="1">
        <f t="array" ref="F41">[1]!ARRUELA_UM3</f>
        <v>0.92559999999999998</v>
      </c>
      <c r="G41" s="322"/>
      <c r="H41" s="271"/>
      <c r="I41" s="335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71"/>
      <c r="X41" s="271"/>
      <c r="Y41" s="271"/>
      <c r="Z41" s="271"/>
      <c r="AA41" s="271"/>
      <c r="AB41" s="271"/>
      <c r="AC41" s="271"/>
      <c r="AD41" s="271"/>
      <c r="AE41" s="424"/>
      <c r="AF41" s="272"/>
      <c r="AG41" s="245">
        <f t="shared" si="22"/>
        <v>0</v>
      </c>
      <c r="AH41" s="158">
        <f t="shared" si="25"/>
        <v>0</v>
      </c>
      <c r="AI41" s="113"/>
      <c r="AJ41" s="123"/>
      <c r="AK41" s="83"/>
      <c r="AL41" s="84"/>
      <c r="AM41" s="123"/>
      <c r="AN41" s="83"/>
      <c r="AO41" s="521"/>
      <c r="AP41" s="194"/>
      <c r="AQ41" s="87"/>
      <c r="AR41" s="194"/>
      <c r="AS41" s="87"/>
      <c r="AT41" s="88">
        <f>AJ41</f>
        <v>0</v>
      </c>
      <c r="AW41" s="314"/>
    </row>
    <row r="42" spans="1:49" ht="24.95" customHeight="1" x14ac:dyDescent="0.25">
      <c r="A42" s="489"/>
      <c r="B42" s="310">
        <v>5</v>
      </c>
      <c r="C42" s="266" t="s">
        <v>89</v>
      </c>
      <c r="D42" s="80">
        <v>3.0000000000000001E-3</v>
      </c>
      <c r="E42" s="411">
        <f>F42/D42</f>
        <v>15.258933333333333</v>
      </c>
      <c r="F42" s="230">
        <f>'[2]Base Custo Falhas UM-3'!$S$15/1000</f>
        <v>4.5776799999999999E-2</v>
      </c>
      <c r="G42" s="322"/>
      <c r="H42" s="271"/>
      <c r="I42" s="335"/>
      <c r="J42" s="271"/>
      <c r="K42" s="271"/>
      <c r="L42" s="271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  <c r="Y42" s="271"/>
      <c r="Z42" s="271"/>
      <c r="AA42" s="271"/>
      <c r="AB42" s="271"/>
      <c r="AC42" s="271"/>
      <c r="AD42" s="271"/>
      <c r="AE42" s="424"/>
      <c r="AF42" s="272"/>
      <c r="AG42" s="245">
        <f t="shared" si="22"/>
        <v>0</v>
      </c>
      <c r="AH42" s="158">
        <f t="shared" si="25"/>
        <v>0</v>
      </c>
      <c r="AI42" s="113"/>
      <c r="AJ42" s="123"/>
      <c r="AK42" s="83"/>
      <c r="AL42" s="84"/>
      <c r="AM42" s="123"/>
      <c r="AN42" s="83"/>
      <c r="AO42" s="521"/>
      <c r="AP42" s="194"/>
      <c r="AQ42" s="87"/>
      <c r="AR42" s="194"/>
      <c r="AS42" s="87"/>
      <c r="AT42" s="88">
        <f>AJ42</f>
        <v>0</v>
      </c>
      <c r="AW42" s="314"/>
    </row>
    <row r="43" spans="1:49" ht="24.95" customHeight="1" x14ac:dyDescent="0.25">
      <c r="A43" s="489"/>
      <c r="B43" s="310">
        <v>6</v>
      </c>
      <c r="C43" s="261" t="s">
        <v>50</v>
      </c>
      <c r="D43" s="80">
        <v>1.2E-2</v>
      </c>
      <c r="E43" s="411">
        <f t="shared" ref="E43:E47" si="26">F43/D43</f>
        <v>9.3028333333333322</v>
      </c>
      <c r="F43" s="230" cm="1">
        <f t="array" ref="F43">[1]!TAMPAO_UM3/1000</f>
        <v>0.111634</v>
      </c>
      <c r="G43" s="322"/>
      <c r="H43" s="271"/>
      <c r="I43" s="335"/>
      <c r="J43" s="271"/>
      <c r="K43" s="271"/>
      <c r="L43" s="271"/>
      <c r="M43" s="271"/>
      <c r="N43" s="271"/>
      <c r="O43" s="271"/>
      <c r="P43" s="271"/>
      <c r="Q43" s="271"/>
      <c r="R43" s="271"/>
      <c r="S43" s="271"/>
      <c r="T43" s="271"/>
      <c r="U43" s="271"/>
      <c r="V43" s="271"/>
      <c r="W43" s="271"/>
      <c r="X43" s="271"/>
      <c r="Y43" s="271"/>
      <c r="Z43" s="271"/>
      <c r="AA43" s="271"/>
      <c r="AB43" s="271"/>
      <c r="AC43" s="271"/>
      <c r="AD43" s="271"/>
      <c r="AE43" s="424"/>
      <c r="AF43" s="272"/>
      <c r="AG43" s="245">
        <f t="shared" si="22"/>
        <v>0</v>
      </c>
      <c r="AH43" s="158">
        <f t="shared" si="25"/>
        <v>0</v>
      </c>
      <c r="AI43" s="113"/>
      <c r="AJ43" s="123"/>
      <c r="AK43" s="134"/>
      <c r="AL43" s="84"/>
      <c r="AM43" s="123"/>
      <c r="AN43" s="479">
        <f>AH43+AH44+AH45+AH47-AK43</f>
        <v>0</v>
      </c>
      <c r="AO43" s="521"/>
      <c r="AP43" s="191">
        <f>300.56/1000</f>
        <v>0.30055999999999999</v>
      </c>
      <c r="AQ43" s="87">
        <f>AG43*AP43</f>
        <v>0</v>
      </c>
      <c r="AR43" s="194"/>
      <c r="AS43" s="87"/>
      <c r="AT43" s="88">
        <f>AJ43+AQ43</f>
        <v>0</v>
      </c>
      <c r="AW43" s="314"/>
    </row>
    <row r="44" spans="1:49" ht="24.95" customHeight="1" x14ac:dyDescent="0.25">
      <c r="A44" s="489"/>
      <c r="B44" s="310">
        <v>7</v>
      </c>
      <c r="C44" s="261" t="s">
        <v>93</v>
      </c>
      <c r="D44" s="80">
        <v>1.4E-2</v>
      </c>
      <c r="E44" s="411">
        <f t="shared" si="26"/>
        <v>9.0475642857142855</v>
      </c>
      <c r="F44" s="230" cm="1">
        <f t="array" ref="F44">[1]!PY_UM3/1000</f>
        <v>0.1266659</v>
      </c>
      <c r="G44" s="322"/>
      <c r="H44" s="271"/>
      <c r="I44" s="335"/>
      <c r="J44" s="271"/>
      <c r="K44" s="271"/>
      <c r="L44" s="271"/>
      <c r="M44" s="271"/>
      <c r="N44" s="271"/>
      <c r="O44" s="271"/>
      <c r="P44" s="271"/>
      <c r="Q44" s="271"/>
      <c r="R44" s="271"/>
      <c r="S44" s="271"/>
      <c r="T44" s="271"/>
      <c r="U44" s="271"/>
      <c r="V44" s="271"/>
      <c r="W44" s="271"/>
      <c r="X44" s="271"/>
      <c r="Y44" s="271"/>
      <c r="Z44" s="271"/>
      <c r="AA44" s="271"/>
      <c r="AB44" s="271"/>
      <c r="AC44" s="271"/>
      <c r="AD44" s="271"/>
      <c r="AE44" s="424"/>
      <c r="AF44" s="272"/>
      <c r="AG44" s="245">
        <f t="shared" si="22"/>
        <v>0</v>
      </c>
      <c r="AH44" s="158">
        <f t="shared" si="25"/>
        <v>0</v>
      </c>
      <c r="AI44" s="113"/>
      <c r="AJ44" s="123"/>
      <c r="AK44" s="135"/>
      <c r="AL44" s="84"/>
      <c r="AM44" s="123"/>
      <c r="AN44" s="512"/>
      <c r="AO44" s="521"/>
      <c r="AP44" s="191">
        <f>300.56/1000</f>
        <v>0.30055999999999999</v>
      </c>
      <c r="AQ44" s="87">
        <f>AG44*AP44</f>
        <v>0</v>
      </c>
      <c r="AR44" s="194"/>
      <c r="AS44" s="87"/>
      <c r="AT44" s="88">
        <f>AJ44+AQ44</f>
        <v>0</v>
      </c>
      <c r="AW44" s="314"/>
    </row>
    <row r="45" spans="1:49" ht="24.95" customHeight="1" x14ac:dyDescent="0.25">
      <c r="A45" s="489"/>
      <c r="B45" s="310">
        <v>8</v>
      </c>
      <c r="C45" s="261" t="s">
        <v>62</v>
      </c>
      <c r="D45" s="80">
        <v>1.4E-2</v>
      </c>
      <c r="E45" s="411">
        <f t="shared" si="26"/>
        <v>9.6875357142857137</v>
      </c>
      <c r="F45" s="230" cm="1">
        <f t="array" ref="F45">[1]!PVC_UM3/1000</f>
        <v>0.13562549999999998</v>
      </c>
      <c r="G45" s="322"/>
      <c r="H45" s="271"/>
      <c r="I45" s="335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  <c r="Y45" s="271"/>
      <c r="Z45" s="271"/>
      <c r="AA45" s="271"/>
      <c r="AB45" s="271"/>
      <c r="AC45" s="271"/>
      <c r="AD45" s="271"/>
      <c r="AE45" s="424"/>
      <c r="AF45" s="272"/>
      <c r="AG45" s="245">
        <f t="shared" si="22"/>
        <v>0</v>
      </c>
      <c r="AH45" s="158">
        <f t="shared" si="25"/>
        <v>0</v>
      </c>
      <c r="AI45" s="113"/>
      <c r="AJ45" s="123"/>
      <c r="AK45" s="135"/>
      <c r="AL45" s="84"/>
      <c r="AM45" s="123"/>
      <c r="AN45" s="512"/>
      <c r="AO45" s="521"/>
      <c r="AP45" s="191">
        <f>300.56/1000</f>
        <v>0.30055999999999999</v>
      </c>
      <c r="AQ45" s="87">
        <f>AG45*AP45</f>
        <v>0</v>
      </c>
      <c r="AR45" s="194"/>
      <c r="AS45" s="87"/>
      <c r="AT45" s="88">
        <f>AJ45+AQ45</f>
        <v>0</v>
      </c>
      <c r="AW45" s="314"/>
    </row>
    <row r="46" spans="1:49" ht="24.95" customHeight="1" x14ac:dyDescent="0.25">
      <c r="A46" s="489"/>
      <c r="B46" s="310">
        <v>9</v>
      </c>
      <c r="C46" s="261" t="s">
        <v>54</v>
      </c>
      <c r="D46" s="80">
        <v>1.4E-2</v>
      </c>
      <c r="E46" s="411">
        <f t="shared" si="26"/>
        <v>11.752092857142857</v>
      </c>
      <c r="F46" s="230">
        <f>'[2]Base Custo Falhas UM-3'!$S$60/1000</f>
        <v>0.16452930000000002</v>
      </c>
      <c r="G46" s="323"/>
      <c r="H46" s="275"/>
      <c r="I46" s="336"/>
      <c r="J46" s="275"/>
      <c r="K46" s="275"/>
      <c r="L46" s="275"/>
      <c r="M46" s="275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425"/>
      <c r="AF46" s="276"/>
      <c r="AG46" s="246">
        <f t="shared" si="22"/>
        <v>0</v>
      </c>
      <c r="AH46" s="158">
        <f t="shared" si="25"/>
        <v>0</v>
      </c>
      <c r="AI46" s="113"/>
      <c r="AJ46" s="123"/>
      <c r="AK46" s="135"/>
      <c r="AL46" s="124"/>
      <c r="AM46" s="123"/>
      <c r="AN46" s="512"/>
      <c r="AO46" s="521"/>
      <c r="AP46" s="191">
        <f>300.56/1000</f>
        <v>0.30055999999999999</v>
      </c>
      <c r="AQ46" s="87">
        <f>AG46*AP46</f>
        <v>0</v>
      </c>
      <c r="AR46" s="205"/>
      <c r="AS46" s="125"/>
      <c r="AT46" s="88">
        <f>AJ46+AQ46</f>
        <v>0</v>
      </c>
      <c r="AW46" s="314"/>
    </row>
    <row r="47" spans="1:49" ht="24.95" customHeight="1" thickBot="1" x14ac:dyDescent="0.3">
      <c r="A47" s="489"/>
      <c r="B47" s="363">
        <v>10</v>
      </c>
      <c r="C47" s="364" t="s">
        <v>63</v>
      </c>
      <c r="D47" s="365">
        <v>1.7000000000000001E-2</v>
      </c>
      <c r="E47" s="411">
        <f t="shared" si="26"/>
        <v>9.6781941176470596</v>
      </c>
      <c r="F47" s="366">
        <f>F46</f>
        <v>0.16452930000000002</v>
      </c>
      <c r="G47" s="329"/>
      <c r="H47" s="289"/>
      <c r="I47" s="342"/>
      <c r="J47" s="289"/>
      <c r="K47" s="289"/>
      <c r="L47" s="289"/>
      <c r="M47" s="289"/>
      <c r="N47" s="289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431"/>
      <c r="AF47" s="290"/>
      <c r="AG47" s="247">
        <f t="shared" si="22"/>
        <v>0</v>
      </c>
      <c r="AH47" s="149">
        <f t="shared" si="25"/>
        <v>0</v>
      </c>
      <c r="AI47" s="140">
        <v>0</v>
      </c>
      <c r="AJ47" s="136"/>
      <c r="AK47" s="139"/>
      <c r="AL47" s="137"/>
      <c r="AM47" s="136"/>
      <c r="AN47" s="480"/>
      <c r="AO47" s="522"/>
      <c r="AP47" s="409">
        <f>300.56/1000</f>
        <v>0.30055999999999999</v>
      </c>
      <c r="AQ47" s="138">
        <f>AG47*AP47</f>
        <v>0</v>
      </c>
      <c r="AR47" s="206"/>
      <c r="AS47" s="138"/>
      <c r="AT47" s="88">
        <f>AJ47+AQ47</f>
        <v>0</v>
      </c>
      <c r="AU47" s="121">
        <f>SUM(AJ38:AJ47)</f>
        <v>0</v>
      </c>
      <c r="AW47" s="314"/>
    </row>
    <row r="48" spans="1:49" ht="24.95" customHeight="1" x14ac:dyDescent="0.25">
      <c r="A48" s="488" t="s">
        <v>98</v>
      </c>
      <c r="B48" s="311">
        <v>1</v>
      </c>
      <c r="C48" s="367" t="s">
        <v>100</v>
      </c>
      <c r="D48" s="368">
        <v>9.8099999999999999E-5</v>
      </c>
      <c r="E48" s="412">
        <v>10</v>
      </c>
      <c r="F48" s="370" cm="1">
        <f t="array" ref="F48">[1]!PAPEL_SEP_UM4</f>
        <v>2.282</v>
      </c>
      <c r="G48" s="388"/>
      <c r="H48" s="389"/>
      <c r="I48" s="390"/>
      <c r="J48" s="389"/>
      <c r="K48" s="389"/>
      <c r="L48" s="389"/>
      <c r="M48" s="389"/>
      <c r="N48" s="389"/>
      <c r="O48" s="389"/>
      <c r="P48" s="389"/>
      <c r="Q48" s="389"/>
      <c r="R48" s="389"/>
      <c r="S48" s="389"/>
      <c r="T48" s="389"/>
      <c r="U48" s="389"/>
      <c r="V48" s="389"/>
      <c r="W48" s="389"/>
      <c r="X48" s="389"/>
      <c r="Y48" s="389"/>
      <c r="Z48" s="389"/>
      <c r="AA48" s="389"/>
      <c r="AB48" s="389"/>
      <c r="AC48" s="389"/>
      <c r="AD48" s="389"/>
      <c r="AE48" s="432"/>
      <c r="AF48" s="391"/>
      <c r="AG48" s="244">
        <f t="shared" si="22"/>
        <v>0</v>
      </c>
      <c r="AH48" s="166">
        <f t="shared" si="25"/>
        <v>0</v>
      </c>
      <c r="AI48" s="144"/>
      <c r="AJ48" s="399"/>
      <c r="AK48" s="94"/>
      <c r="AL48" s="73"/>
      <c r="AM48" s="399"/>
      <c r="AN48" s="397"/>
      <c r="AO48" s="400"/>
      <c r="AP48" s="191"/>
      <c r="AQ48" s="76"/>
      <c r="AR48" s="396"/>
      <c r="AS48" s="76"/>
      <c r="AT48" s="77"/>
      <c r="AU48" s="121"/>
      <c r="AW48" s="314"/>
    </row>
    <row r="49" spans="1:49" ht="24.95" customHeight="1" x14ac:dyDescent="0.25">
      <c r="A49" s="489"/>
      <c r="B49" s="354">
        <v>2</v>
      </c>
      <c r="C49" s="355" t="s">
        <v>50</v>
      </c>
      <c r="D49" s="356">
        <v>7.3600000000000002E-3</v>
      </c>
      <c r="E49" s="410">
        <f>F49/D49</f>
        <v>10.901875</v>
      </c>
      <c r="F49" s="358" cm="1">
        <f t="array" ref="F49">[1]!TAMPAO_UM4/1000</f>
        <v>8.0237800000000012E-2</v>
      </c>
      <c r="G49" s="359"/>
      <c r="H49" s="360"/>
      <c r="I49" s="361"/>
      <c r="J49" s="360"/>
      <c r="K49" s="360"/>
      <c r="L49" s="360"/>
      <c r="M49" s="360"/>
      <c r="N49" s="360"/>
      <c r="O49" s="360"/>
      <c r="P49" s="360"/>
      <c r="Q49" s="360"/>
      <c r="R49" s="360"/>
      <c r="S49" s="360"/>
      <c r="T49" s="360"/>
      <c r="U49" s="360"/>
      <c r="V49" s="360"/>
      <c r="W49" s="360"/>
      <c r="X49" s="360"/>
      <c r="Y49" s="360"/>
      <c r="Z49" s="360"/>
      <c r="AA49" s="360"/>
      <c r="AB49" s="360"/>
      <c r="AC49" s="360"/>
      <c r="AD49" s="360"/>
      <c r="AE49" s="433"/>
      <c r="AF49" s="362"/>
      <c r="AG49" s="245">
        <f t="shared" si="22"/>
        <v>0</v>
      </c>
      <c r="AH49" s="158">
        <f t="shared" si="25"/>
        <v>0</v>
      </c>
      <c r="AI49" s="113"/>
      <c r="AJ49" s="123"/>
      <c r="AK49" s="401"/>
      <c r="AL49" s="84"/>
      <c r="AM49" s="123"/>
      <c r="AN49" s="402"/>
      <c r="AO49" s="403"/>
      <c r="AP49" s="404"/>
      <c r="AQ49" s="87"/>
      <c r="AR49" s="194"/>
      <c r="AS49" s="87"/>
      <c r="AT49" s="88"/>
      <c r="AU49" s="121"/>
      <c r="AW49" s="314"/>
    </row>
    <row r="50" spans="1:49" ht="24.75" customHeight="1" x14ac:dyDescent="0.25">
      <c r="A50" s="489"/>
      <c r="B50" s="354">
        <v>3</v>
      </c>
      <c r="C50" s="355" t="s">
        <v>101</v>
      </c>
      <c r="D50" s="356">
        <v>2.3809999999999999E-3</v>
      </c>
      <c r="E50" s="410">
        <f>F50/D50</f>
        <v>59.388240235195305</v>
      </c>
      <c r="F50" s="358" cm="1">
        <f t="array" ref="F50">[1]!CAP_UM4/1000</f>
        <v>0.14140340000000001</v>
      </c>
      <c r="G50" s="359"/>
      <c r="H50" s="360"/>
      <c r="I50" s="361"/>
      <c r="J50" s="360"/>
      <c r="K50" s="360"/>
      <c r="L50" s="360"/>
      <c r="M50" s="360"/>
      <c r="N50" s="360"/>
      <c r="O50" s="360"/>
      <c r="P50" s="360"/>
      <c r="Q50" s="360"/>
      <c r="R50" s="360"/>
      <c r="S50" s="360"/>
      <c r="T50" s="360"/>
      <c r="U50" s="360"/>
      <c r="V50" s="360"/>
      <c r="W50" s="360"/>
      <c r="X50" s="360"/>
      <c r="Y50" s="360"/>
      <c r="Z50" s="360"/>
      <c r="AA50" s="360"/>
      <c r="AB50" s="360"/>
      <c r="AC50" s="360"/>
      <c r="AD50" s="360"/>
      <c r="AE50" s="433"/>
      <c r="AF50" s="362"/>
      <c r="AG50" s="245">
        <f t="shared" si="22"/>
        <v>0</v>
      </c>
      <c r="AH50" s="158">
        <f t="shared" si="25"/>
        <v>0</v>
      </c>
      <c r="AI50" s="113"/>
      <c r="AJ50" s="123"/>
      <c r="AK50" s="401"/>
      <c r="AL50" s="84"/>
      <c r="AM50" s="123"/>
      <c r="AN50" s="402"/>
      <c r="AO50" s="403"/>
      <c r="AP50" s="404"/>
      <c r="AQ50" s="87"/>
      <c r="AR50" s="194"/>
      <c r="AS50" s="87"/>
      <c r="AT50" s="88"/>
      <c r="AU50" s="121"/>
      <c r="AW50" s="314"/>
    </row>
    <row r="51" spans="1:49" ht="24.95" customHeight="1" x14ac:dyDescent="0.25">
      <c r="A51" s="489"/>
      <c r="B51" s="354">
        <v>4</v>
      </c>
      <c r="C51" s="355" t="s">
        <v>102</v>
      </c>
      <c r="D51" s="356">
        <v>2.202E-3</v>
      </c>
      <c r="E51" s="410">
        <f>F51/D51</f>
        <v>50.914759309718448</v>
      </c>
      <c r="F51" s="358" cm="1">
        <f t="array" ref="F51">[1]!BP_UM4/1000</f>
        <v>0.11211430000000001</v>
      </c>
      <c r="G51" s="359"/>
      <c r="H51" s="360"/>
      <c r="I51" s="361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360"/>
      <c r="X51" s="360"/>
      <c r="Y51" s="360"/>
      <c r="Z51" s="360"/>
      <c r="AA51" s="360"/>
      <c r="AB51" s="360"/>
      <c r="AC51" s="360"/>
      <c r="AD51" s="360"/>
      <c r="AE51" s="433"/>
      <c r="AF51" s="362"/>
      <c r="AG51" s="245">
        <f t="shared" si="22"/>
        <v>0</v>
      </c>
      <c r="AH51" s="158">
        <f t="shared" si="25"/>
        <v>0</v>
      </c>
      <c r="AI51" s="113"/>
      <c r="AJ51" s="123"/>
      <c r="AK51" s="401"/>
      <c r="AL51" s="84"/>
      <c r="AM51" s="123"/>
      <c r="AN51" s="402"/>
      <c r="AO51" s="403"/>
      <c r="AP51" s="404"/>
      <c r="AQ51" s="87"/>
      <c r="AR51" s="194"/>
      <c r="AS51" s="87"/>
      <c r="AT51" s="88"/>
      <c r="AU51" s="121"/>
      <c r="AW51" s="314"/>
    </row>
    <row r="52" spans="1:49" ht="24.95" customHeight="1" x14ac:dyDescent="0.25">
      <c r="A52" s="489"/>
      <c r="B52" s="354">
        <v>5</v>
      </c>
      <c r="C52" s="355" t="s">
        <v>103</v>
      </c>
      <c r="D52" s="356">
        <v>8.4099999999999995E-4</v>
      </c>
      <c r="E52" s="410">
        <f>F52/D52</f>
        <v>23.781212841854938</v>
      </c>
      <c r="F52" s="358" cm="1">
        <f t="array" ref="F52">[1]!SLEEVE/1000</f>
        <v>0.02</v>
      </c>
      <c r="G52" s="359"/>
      <c r="H52" s="360"/>
      <c r="I52" s="361"/>
      <c r="J52" s="360"/>
      <c r="K52" s="360"/>
      <c r="L52" s="360"/>
      <c r="M52" s="360"/>
      <c r="N52" s="360"/>
      <c r="O52" s="360"/>
      <c r="P52" s="360"/>
      <c r="Q52" s="360"/>
      <c r="R52" s="360"/>
      <c r="S52" s="360"/>
      <c r="T52" s="360"/>
      <c r="U52" s="360"/>
      <c r="V52" s="360"/>
      <c r="W52" s="360"/>
      <c r="X52" s="360"/>
      <c r="Y52" s="360"/>
      <c r="Z52" s="360"/>
      <c r="AA52" s="360"/>
      <c r="AB52" s="360"/>
      <c r="AC52" s="360"/>
      <c r="AD52" s="360"/>
      <c r="AE52" s="433"/>
      <c r="AF52" s="362"/>
      <c r="AG52" s="245">
        <f t="shared" si="22"/>
        <v>0</v>
      </c>
      <c r="AH52" s="158">
        <f t="shared" si="25"/>
        <v>0</v>
      </c>
      <c r="AI52" s="113"/>
      <c r="AJ52" s="123"/>
      <c r="AK52" s="401"/>
      <c r="AL52" s="84"/>
      <c r="AM52" s="123"/>
      <c r="AN52" s="402"/>
      <c r="AO52" s="403"/>
      <c r="AP52" s="404"/>
      <c r="AQ52" s="87"/>
      <c r="AR52" s="194"/>
      <c r="AS52" s="87"/>
      <c r="AT52" s="88"/>
      <c r="AU52" s="121"/>
      <c r="AW52" s="314"/>
    </row>
    <row r="53" spans="1:49" ht="24.95" customHeight="1" thickBot="1" x14ac:dyDescent="0.3">
      <c r="A53" s="490"/>
      <c r="B53" s="371">
        <v>6</v>
      </c>
      <c r="C53" s="372" t="s">
        <v>104</v>
      </c>
      <c r="D53" s="373">
        <v>1.7539999999999999E-3</v>
      </c>
      <c r="E53" s="413">
        <v>33.29</v>
      </c>
      <c r="F53" s="375">
        <f>E53/(1/D53)</f>
        <v>5.8390659999999997E-2</v>
      </c>
      <c r="G53" s="392"/>
      <c r="H53" s="393"/>
      <c r="I53" s="394"/>
      <c r="J53" s="39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434"/>
      <c r="AF53" s="395"/>
      <c r="AG53" s="246">
        <f t="shared" si="22"/>
        <v>0</v>
      </c>
      <c r="AH53" s="405">
        <f t="shared" si="25"/>
        <v>0</v>
      </c>
      <c r="AI53" s="406"/>
      <c r="AJ53" s="407"/>
      <c r="AK53" s="134"/>
      <c r="AL53" s="124"/>
      <c r="AM53" s="407"/>
      <c r="AN53" s="398"/>
      <c r="AO53" s="408"/>
      <c r="AP53" s="404"/>
      <c r="AQ53" s="125"/>
      <c r="AR53" s="205"/>
      <c r="AS53" s="125"/>
      <c r="AT53" s="88"/>
      <c r="AU53" s="121"/>
      <c r="AW53" s="314"/>
    </row>
    <row r="54" spans="1:49" ht="24.95" customHeight="1" x14ac:dyDescent="0.25">
      <c r="A54" s="539" t="s">
        <v>96</v>
      </c>
      <c r="B54" s="311">
        <v>1</v>
      </c>
      <c r="C54" s="414" t="s">
        <v>109</v>
      </c>
      <c r="D54" s="122">
        <v>1.4E-2</v>
      </c>
      <c r="E54" s="22">
        <f>F54/D54</f>
        <v>8.805714285714286</v>
      </c>
      <c r="F54" s="443">
        <f>123.28/1000</f>
        <v>0.12328</v>
      </c>
      <c r="G54" s="286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  <c r="AC54" s="287"/>
      <c r="AD54" s="287"/>
      <c r="AE54" s="430"/>
      <c r="AF54" s="288"/>
      <c r="AG54" s="243">
        <f t="shared" si="22"/>
        <v>0</v>
      </c>
      <c r="AH54" s="166">
        <f t="shared" si="25"/>
        <v>0</v>
      </c>
      <c r="AI54" s="144"/>
      <c r="AJ54" s="143"/>
      <c r="AK54" s="128"/>
      <c r="AL54" s="129"/>
      <c r="AM54" s="143"/>
      <c r="AN54" s="128">
        <f>AG54</f>
        <v>0</v>
      </c>
      <c r="AO54" s="142">
        <f t="shared" ref="AO54:AO61" si="27">AJ54-AM54</f>
        <v>0</v>
      </c>
      <c r="AP54" s="193"/>
      <c r="AQ54" s="130"/>
      <c r="AR54" s="193"/>
      <c r="AS54" s="130"/>
      <c r="AT54" s="131">
        <f>AJ54</f>
        <v>0</v>
      </c>
      <c r="AW54" s="314"/>
    </row>
    <row r="55" spans="1:49" ht="24.95" customHeight="1" x14ac:dyDescent="0.25">
      <c r="A55" s="489"/>
      <c r="B55" s="310">
        <v>2</v>
      </c>
      <c r="C55" s="415" t="s">
        <v>108</v>
      </c>
      <c r="D55" s="80">
        <f>0.37/1000</f>
        <v>3.6999999999999999E-4</v>
      </c>
      <c r="E55" s="45">
        <v>23.76</v>
      </c>
      <c r="F55" s="230">
        <f>E55*D55</f>
        <v>8.7912000000000007E-3</v>
      </c>
      <c r="G55" s="270"/>
      <c r="H55" s="271"/>
      <c r="I55" s="271"/>
      <c r="J55" s="271"/>
      <c r="K55" s="271"/>
      <c r="L55" s="271"/>
      <c r="M55" s="271"/>
      <c r="N55" s="271"/>
      <c r="O55" s="271"/>
      <c r="P55" s="271"/>
      <c r="Q55" s="271"/>
      <c r="R55" s="271"/>
      <c r="S55" s="271"/>
      <c r="T55" s="271"/>
      <c r="U55" s="271"/>
      <c r="V55" s="271"/>
      <c r="W55" s="271"/>
      <c r="X55" s="271"/>
      <c r="Y55" s="271"/>
      <c r="Z55" s="271"/>
      <c r="AA55" s="271"/>
      <c r="AB55" s="271"/>
      <c r="AC55" s="271"/>
      <c r="AD55" s="271"/>
      <c r="AE55" s="424"/>
      <c r="AF55" s="272"/>
      <c r="AG55" s="245">
        <f t="shared" si="22"/>
        <v>0</v>
      </c>
      <c r="AH55" s="158">
        <f t="shared" si="25"/>
        <v>0</v>
      </c>
      <c r="AI55" s="113"/>
      <c r="AJ55" s="145"/>
      <c r="AK55" s="83"/>
      <c r="AL55" s="84"/>
      <c r="AM55" s="145"/>
      <c r="AN55" s="83">
        <f>AG55</f>
        <v>0</v>
      </c>
      <c r="AO55" s="146">
        <f t="shared" si="27"/>
        <v>0</v>
      </c>
      <c r="AP55" s="194"/>
      <c r="AQ55" s="87"/>
      <c r="AR55" s="207"/>
      <c r="AS55" s="147"/>
      <c r="AT55" s="88">
        <f>AJ55</f>
        <v>0</v>
      </c>
      <c r="AW55" s="314"/>
    </row>
    <row r="56" spans="1:49" ht="24.95" customHeight="1" x14ac:dyDescent="0.25">
      <c r="A56" s="489"/>
      <c r="B56" s="310">
        <v>3</v>
      </c>
      <c r="C56" s="415" t="s">
        <v>106</v>
      </c>
      <c r="D56" s="80">
        <f>0.21/1000</f>
        <v>2.0999999999999998E-4</v>
      </c>
      <c r="E56" s="45">
        <v>10.06</v>
      </c>
      <c r="F56" s="230">
        <f>D56*E56</f>
        <v>2.1126000000000001E-3</v>
      </c>
      <c r="G56" s="270"/>
      <c r="H56" s="271"/>
      <c r="I56" s="271"/>
      <c r="J56" s="271"/>
      <c r="K56" s="271"/>
      <c r="L56" s="271"/>
      <c r="M56" s="271"/>
      <c r="N56" s="271"/>
      <c r="O56" s="271"/>
      <c r="P56" s="271"/>
      <c r="Q56" s="271"/>
      <c r="R56" s="271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424"/>
      <c r="AF56" s="272"/>
      <c r="AG56" s="245">
        <f t="shared" si="22"/>
        <v>0</v>
      </c>
      <c r="AH56" s="158">
        <f t="shared" si="25"/>
        <v>0</v>
      </c>
      <c r="AI56" s="113"/>
      <c r="AJ56" s="145"/>
      <c r="AK56" s="83"/>
      <c r="AL56" s="84"/>
      <c r="AM56" s="145"/>
      <c r="AN56" s="148">
        <f>AG56</f>
        <v>0</v>
      </c>
      <c r="AO56" s="146">
        <f t="shared" si="27"/>
        <v>0</v>
      </c>
      <c r="AP56" s="194"/>
      <c r="AQ56" s="87"/>
      <c r="AR56" s="194"/>
      <c r="AS56" s="87"/>
      <c r="AT56" s="88">
        <f>AJ56</f>
        <v>0</v>
      </c>
      <c r="AW56" s="314"/>
    </row>
    <row r="57" spans="1:49" ht="24.95" customHeight="1" thickBot="1" x14ac:dyDescent="0.3">
      <c r="A57" s="490"/>
      <c r="B57" s="310">
        <v>4</v>
      </c>
      <c r="C57" s="416" t="s">
        <v>64</v>
      </c>
      <c r="D57" s="101">
        <v>9.01E-2</v>
      </c>
      <c r="E57" s="60">
        <f>F57/D57</f>
        <v>8.5100762486126538</v>
      </c>
      <c r="F57" s="439">
        <f>F32</f>
        <v>0.76675787000000006</v>
      </c>
      <c r="G57" s="270"/>
      <c r="H57" s="271"/>
      <c r="I57" s="271"/>
      <c r="J57" s="271"/>
      <c r="K57" s="275"/>
      <c r="L57" s="275"/>
      <c r="M57" s="280"/>
      <c r="N57" s="280"/>
      <c r="O57" s="280"/>
      <c r="P57" s="280"/>
      <c r="Q57" s="280"/>
      <c r="R57" s="280"/>
      <c r="S57" s="280"/>
      <c r="T57" s="280"/>
      <c r="U57" s="280"/>
      <c r="V57" s="280"/>
      <c r="W57" s="280"/>
      <c r="X57" s="280"/>
      <c r="Y57" s="280"/>
      <c r="Z57" s="280"/>
      <c r="AA57" s="280"/>
      <c r="AB57" s="280"/>
      <c r="AC57" s="280"/>
      <c r="AD57" s="280"/>
      <c r="AE57" s="427"/>
      <c r="AF57" s="281"/>
      <c r="AG57" s="247">
        <f t="shared" si="22"/>
        <v>0</v>
      </c>
      <c r="AH57" s="158">
        <f t="shared" si="25"/>
        <v>0</v>
      </c>
      <c r="AI57" s="113"/>
      <c r="AJ57" s="145"/>
      <c r="AK57" s="151"/>
      <c r="AL57" s="152"/>
      <c r="AM57" s="145"/>
      <c r="AN57" s="151">
        <f>AH57-AK57</f>
        <v>0</v>
      </c>
      <c r="AO57" s="153">
        <f t="shared" si="27"/>
        <v>0</v>
      </c>
      <c r="AP57" s="191">
        <f>300.56/1000</f>
        <v>0.30055999999999999</v>
      </c>
      <c r="AQ57" s="138">
        <f>AG57*AP57</f>
        <v>0</v>
      </c>
      <c r="AR57" s="206"/>
      <c r="AS57" s="138"/>
      <c r="AT57" s="154">
        <f>AJ57+AQ57</f>
        <v>0</v>
      </c>
      <c r="AU57" s="121">
        <f>SUM(AJ54:AJ57)</f>
        <v>0</v>
      </c>
      <c r="AW57" s="314"/>
    </row>
    <row r="58" spans="1:49" ht="24.95" customHeight="1" x14ac:dyDescent="0.25">
      <c r="A58" s="539" t="s">
        <v>97</v>
      </c>
      <c r="B58" s="311">
        <v>1</v>
      </c>
      <c r="C58" s="265" t="s">
        <v>110</v>
      </c>
      <c r="D58" s="122">
        <v>1.4E-2</v>
      </c>
      <c r="E58" s="24"/>
      <c r="F58" s="443">
        <f>142.05/1000</f>
        <v>0.14205000000000001</v>
      </c>
      <c r="G58" s="286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7"/>
      <c r="T58" s="287"/>
      <c r="U58" s="287"/>
      <c r="V58" s="287"/>
      <c r="W58" s="287"/>
      <c r="X58" s="287"/>
      <c r="Y58" s="287"/>
      <c r="Z58" s="287"/>
      <c r="AA58" s="287"/>
      <c r="AB58" s="287"/>
      <c r="AC58" s="287"/>
      <c r="AD58" s="287"/>
      <c r="AE58" s="430"/>
      <c r="AF58" s="288"/>
      <c r="AG58" s="243">
        <f t="shared" si="22"/>
        <v>0</v>
      </c>
      <c r="AH58" s="157">
        <f t="shared" si="25"/>
        <v>0</v>
      </c>
      <c r="AI58" s="129"/>
      <c r="AJ58" s="141"/>
      <c r="AK58" s="157"/>
      <c r="AL58" s="129"/>
      <c r="AM58" s="141"/>
      <c r="AN58" s="128"/>
      <c r="AO58" s="155">
        <f t="shared" si="27"/>
        <v>0</v>
      </c>
      <c r="AP58" s="193"/>
      <c r="AQ58" s="130"/>
      <c r="AR58" s="193"/>
      <c r="AS58" s="130"/>
      <c r="AT58" s="131">
        <f>AJ58</f>
        <v>0</v>
      </c>
      <c r="AW58" s="314"/>
    </row>
    <row r="59" spans="1:49" ht="24.95" customHeight="1" x14ac:dyDescent="0.25">
      <c r="A59" s="489"/>
      <c r="B59" s="310">
        <v>2</v>
      </c>
      <c r="C59" s="261" t="s">
        <v>107</v>
      </c>
      <c r="D59" s="80">
        <f>0.089/1000</f>
        <v>8.8999999999999995E-5</v>
      </c>
      <c r="E59" s="45">
        <f>23.76</f>
        <v>23.76</v>
      </c>
      <c r="F59" s="230">
        <f>D59*E59</f>
        <v>2.1146400000000001E-3</v>
      </c>
      <c r="G59" s="270"/>
      <c r="H59" s="271"/>
      <c r="I59" s="271"/>
      <c r="J59" s="271"/>
      <c r="K59" s="271"/>
      <c r="L59" s="271"/>
      <c r="M59" s="271"/>
      <c r="N59" s="271"/>
      <c r="O59" s="271"/>
      <c r="P59" s="271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424"/>
      <c r="AF59" s="272"/>
      <c r="AG59" s="245">
        <f t="shared" si="22"/>
        <v>0</v>
      </c>
      <c r="AH59" s="158">
        <f t="shared" si="25"/>
        <v>0</v>
      </c>
      <c r="AI59" s="84"/>
      <c r="AJ59" s="145"/>
      <c r="AK59" s="158"/>
      <c r="AL59" s="84"/>
      <c r="AM59" s="145"/>
      <c r="AN59" s="83"/>
      <c r="AO59" s="85">
        <f t="shared" si="27"/>
        <v>0</v>
      </c>
      <c r="AP59" s="194"/>
      <c r="AQ59" s="87"/>
      <c r="AR59" s="194"/>
      <c r="AS59" s="87"/>
      <c r="AT59" s="88">
        <f>AJ59</f>
        <v>0</v>
      </c>
      <c r="AW59" s="314"/>
    </row>
    <row r="60" spans="1:49" ht="24.95" customHeight="1" thickBot="1" x14ac:dyDescent="0.3">
      <c r="A60" s="490"/>
      <c r="B60" s="312">
        <v>3</v>
      </c>
      <c r="C60" s="262" t="s">
        <v>91</v>
      </c>
      <c r="D60" s="101">
        <v>1.7059999999999999E-2</v>
      </c>
      <c r="E60" s="60"/>
      <c r="F60" s="439">
        <f>F46</f>
        <v>0.16452930000000002</v>
      </c>
      <c r="G60" s="270"/>
      <c r="H60" s="271"/>
      <c r="I60" s="271"/>
      <c r="J60" s="271"/>
      <c r="K60" s="275"/>
      <c r="L60" s="275"/>
      <c r="M60" s="280"/>
      <c r="N60" s="280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80"/>
      <c r="AC60" s="280"/>
      <c r="AD60" s="280"/>
      <c r="AE60" s="427"/>
      <c r="AF60" s="281"/>
      <c r="AG60" s="247">
        <f t="shared" si="22"/>
        <v>0</v>
      </c>
      <c r="AH60" s="149">
        <f t="shared" si="25"/>
        <v>0</v>
      </c>
      <c r="AI60" s="137"/>
      <c r="AJ60" s="150"/>
      <c r="AK60" s="149"/>
      <c r="AL60" s="137"/>
      <c r="AM60" s="150"/>
      <c r="AN60" s="151"/>
      <c r="AO60" s="156">
        <f t="shared" si="27"/>
        <v>0</v>
      </c>
      <c r="AP60" s="409">
        <f>300.56/1000</f>
        <v>0.30055999999999999</v>
      </c>
      <c r="AQ60" s="138">
        <f>AG60*AP60</f>
        <v>0</v>
      </c>
      <c r="AR60" s="206"/>
      <c r="AS60" s="138"/>
      <c r="AT60" s="154">
        <f>AJ60+AQ60</f>
        <v>0</v>
      </c>
      <c r="AU60" s="121">
        <f>SUM(AJ58:AJ60)</f>
        <v>0</v>
      </c>
      <c r="AW60" s="314"/>
    </row>
    <row r="61" spans="1:49" ht="24.95" customHeight="1" x14ac:dyDescent="0.25">
      <c r="A61" s="488" t="s">
        <v>99</v>
      </c>
      <c r="B61" s="382">
        <v>1</v>
      </c>
      <c r="C61" s="367" t="s">
        <v>105</v>
      </c>
      <c r="D61" s="368">
        <v>8.5000000000000006E-3</v>
      </c>
      <c r="E61" s="369">
        <v>11.544835294117647</v>
      </c>
      <c r="F61" s="383">
        <f>'[2]Base Custo Falhas UM-4'!$S$51</f>
        <v>132.3897</v>
      </c>
      <c r="G61" s="286"/>
      <c r="H61" s="287"/>
      <c r="I61" s="287"/>
      <c r="J61" s="287"/>
      <c r="K61" s="287"/>
      <c r="L61" s="287"/>
      <c r="M61" s="287"/>
      <c r="N61" s="287"/>
      <c r="O61" s="287"/>
      <c r="P61" s="287"/>
      <c r="Q61" s="384"/>
      <c r="R61" s="384"/>
      <c r="S61" s="384"/>
      <c r="T61" s="384"/>
      <c r="U61" s="384"/>
      <c r="V61" s="384"/>
      <c r="W61" s="384"/>
      <c r="X61" s="384"/>
      <c r="Y61" s="384"/>
      <c r="Z61" s="384"/>
      <c r="AA61" s="384"/>
      <c r="AB61" s="384"/>
      <c r="AC61" s="384"/>
      <c r="AD61" s="384"/>
      <c r="AE61" s="435"/>
      <c r="AF61" s="385"/>
      <c r="AG61" s="245">
        <f t="shared" si="22"/>
        <v>0</v>
      </c>
      <c r="AH61" s="166">
        <f t="shared" si="25"/>
        <v>0</v>
      </c>
      <c r="AI61" s="73"/>
      <c r="AJ61" s="143"/>
      <c r="AK61" s="166"/>
      <c r="AL61" s="73"/>
      <c r="AM61" s="143"/>
      <c r="AN61" s="72">
        <f>AH61-AK61</f>
        <v>0</v>
      </c>
      <c r="AO61" s="74">
        <f t="shared" si="27"/>
        <v>0</v>
      </c>
      <c r="AP61" s="191">
        <f>300.56/1000</f>
        <v>0.30055999999999999</v>
      </c>
      <c r="AQ61" s="76">
        <f>AG61*AP61</f>
        <v>0</v>
      </c>
      <c r="AR61" s="396"/>
      <c r="AS61" s="76"/>
      <c r="AT61" s="77">
        <f>AJ61+AQ61</f>
        <v>0</v>
      </c>
      <c r="AU61" s="121"/>
      <c r="AW61" s="314"/>
    </row>
    <row r="62" spans="1:49" ht="24.95" customHeight="1" x14ac:dyDescent="0.25">
      <c r="A62" s="489"/>
      <c r="B62" s="376"/>
      <c r="C62" s="355" t="s">
        <v>112</v>
      </c>
      <c r="D62" s="356">
        <v>6.0569999999999999E-3</v>
      </c>
      <c r="E62" s="357"/>
      <c r="F62" s="387">
        <v>0.18</v>
      </c>
      <c r="G62" s="377"/>
      <c r="H62" s="378"/>
      <c r="I62" s="378"/>
      <c r="J62" s="378"/>
      <c r="K62" s="378"/>
      <c r="L62" s="378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  <c r="AD62" s="378"/>
      <c r="AE62" s="436"/>
      <c r="AF62" s="379"/>
      <c r="AG62" s="245">
        <f t="shared" ref="AG62:AG67" si="28">SUM(G62:AF62)</f>
        <v>0</v>
      </c>
      <c r="AH62" s="166">
        <f t="shared" ref="AH62:AH67" si="29">AG62/D62</f>
        <v>0</v>
      </c>
      <c r="AI62" s="73"/>
      <c r="AJ62" s="143"/>
      <c r="AK62" s="166"/>
      <c r="AL62" s="73"/>
      <c r="AM62" s="143"/>
      <c r="AN62" s="72">
        <f t="shared" ref="AN62:AN67" si="30">AH62-AK62</f>
        <v>0</v>
      </c>
      <c r="AO62" s="74">
        <f t="shared" ref="AO62:AO67" si="31">AJ62-AM62</f>
        <v>0</v>
      </c>
      <c r="AP62" s="191">
        <f t="shared" ref="AP62:AP67" si="32">300.56/1000</f>
        <v>0.30055999999999999</v>
      </c>
      <c r="AQ62" s="76">
        <f t="shared" ref="AQ62:AQ67" si="33">AG62*AP62</f>
        <v>0</v>
      </c>
      <c r="AR62" s="396"/>
      <c r="AS62" s="76"/>
      <c r="AT62" s="77">
        <f t="shared" ref="AT62:AT67" si="34">AJ62+AQ62</f>
        <v>0</v>
      </c>
      <c r="AU62" s="121"/>
      <c r="AW62" s="314"/>
    </row>
    <row r="63" spans="1:49" ht="24.95" customHeight="1" x14ac:dyDescent="0.25">
      <c r="A63" s="489"/>
      <c r="B63" s="376"/>
      <c r="C63" s="355"/>
      <c r="D63" s="356"/>
      <c r="E63" s="357"/>
      <c r="F63" s="387"/>
      <c r="G63" s="377"/>
      <c r="H63" s="378"/>
      <c r="I63" s="378"/>
      <c r="J63" s="378"/>
      <c r="K63" s="378"/>
      <c r="L63" s="378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  <c r="AD63" s="378"/>
      <c r="AE63" s="436"/>
      <c r="AF63" s="379"/>
      <c r="AG63" s="245">
        <f t="shared" si="28"/>
        <v>0</v>
      </c>
      <c r="AH63" s="166" t="e">
        <f t="shared" si="29"/>
        <v>#DIV/0!</v>
      </c>
      <c r="AI63" s="73"/>
      <c r="AJ63" s="143"/>
      <c r="AK63" s="166"/>
      <c r="AL63" s="73"/>
      <c r="AM63" s="143"/>
      <c r="AN63" s="72" t="e">
        <f t="shared" si="30"/>
        <v>#DIV/0!</v>
      </c>
      <c r="AO63" s="74">
        <f t="shared" si="31"/>
        <v>0</v>
      </c>
      <c r="AP63" s="191">
        <f t="shared" si="32"/>
        <v>0.30055999999999999</v>
      </c>
      <c r="AQ63" s="76">
        <f t="shared" si="33"/>
        <v>0</v>
      </c>
      <c r="AR63" s="396"/>
      <c r="AS63" s="76"/>
      <c r="AT63" s="77">
        <f t="shared" si="34"/>
        <v>0</v>
      </c>
      <c r="AU63" s="121"/>
      <c r="AW63" s="314"/>
    </row>
    <row r="64" spans="1:49" ht="24.95" customHeight="1" x14ac:dyDescent="0.25">
      <c r="A64" s="489"/>
      <c r="B64" s="376"/>
      <c r="C64" s="355"/>
      <c r="D64" s="356"/>
      <c r="E64" s="357"/>
      <c r="F64" s="227"/>
      <c r="G64" s="377"/>
      <c r="H64" s="378"/>
      <c r="I64" s="378"/>
      <c r="J64" s="378"/>
      <c r="K64" s="378"/>
      <c r="L64" s="378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  <c r="AD64" s="378"/>
      <c r="AE64" s="436"/>
      <c r="AF64" s="379"/>
      <c r="AG64" s="245">
        <f t="shared" si="28"/>
        <v>0</v>
      </c>
      <c r="AH64" s="166" t="e">
        <f t="shared" si="29"/>
        <v>#DIV/0!</v>
      </c>
      <c r="AI64" s="73"/>
      <c r="AJ64" s="143"/>
      <c r="AK64" s="166"/>
      <c r="AL64" s="73"/>
      <c r="AM64" s="143"/>
      <c r="AN64" s="72" t="e">
        <f t="shared" si="30"/>
        <v>#DIV/0!</v>
      </c>
      <c r="AO64" s="74">
        <f t="shared" si="31"/>
        <v>0</v>
      </c>
      <c r="AP64" s="191">
        <f t="shared" si="32"/>
        <v>0.30055999999999999</v>
      </c>
      <c r="AQ64" s="76">
        <f t="shared" si="33"/>
        <v>0</v>
      </c>
      <c r="AR64" s="396"/>
      <c r="AS64" s="76"/>
      <c r="AT64" s="77">
        <f t="shared" si="34"/>
        <v>0</v>
      </c>
      <c r="AU64" s="121"/>
      <c r="AW64" s="314"/>
    </row>
    <row r="65" spans="1:49" ht="24.95" customHeight="1" x14ac:dyDescent="0.25">
      <c r="A65" s="489"/>
      <c r="B65" s="376"/>
      <c r="C65" s="355"/>
      <c r="D65" s="356"/>
      <c r="E65" s="357"/>
      <c r="F65" s="227"/>
      <c r="G65" s="377"/>
      <c r="H65" s="378"/>
      <c r="I65" s="378"/>
      <c r="J65" s="378"/>
      <c r="K65" s="378"/>
      <c r="L65" s="378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  <c r="AD65" s="378"/>
      <c r="AE65" s="436"/>
      <c r="AF65" s="379"/>
      <c r="AG65" s="245">
        <f t="shared" si="28"/>
        <v>0</v>
      </c>
      <c r="AH65" s="166" t="e">
        <f t="shared" si="29"/>
        <v>#DIV/0!</v>
      </c>
      <c r="AI65" s="73"/>
      <c r="AJ65" s="143"/>
      <c r="AK65" s="166"/>
      <c r="AL65" s="73"/>
      <c r="AM65" s="143"/>
      <c r="AN65" s="72" t="e">
        <f t="shared" si="30"/>
        <v>#DIV/0!</v>
      </c>
      <c r="AO65" s="74">
        <f t="shared" si="31"/>
        <v>0</v>
      </c>
      <c r="AP65" s="191">
        <f t="shared" si="32"/>
        <v>0.30055999999999999</v>
      </c>
      <c r="AQ65" s="76">
        <f t="shared" si="33"/>
        <v>0</v>
      </c>
      <c r="AR65" s="396"/>
      <c r="AS65" s="76"/>
      <c r="AT65" s="77">
        <f t="shared" si="34"/>
        <v>0</v>
      </c>
      <c r="AU65" s="121"/>
      <c r="AW65" s="314"/>
    </row>
    <row r="66" spans="1:49" ht="24.95" customHeight="1" x14ac:dyDescent="0.25">
      <c r="A66" s="489"/>
      <c r="B66" s="376"/>
      <c r="C66" s="355"/>
      <c r="D66" s="356"/>
      <c r="E66" s="357"/>
      <c r="F66" s="227"/>
      <c r="G66" s="377"/>
      <c r="H66" s="378"/>
      <c r="I66" s="378"/>
      <c r="J66" s="378"/>
      <c r="K66" s="378"/>
      <c r="L66" s="378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  <c r="AD66" s="378"/>
      <c r="AE66" s="436"/>
      <c r="AF66" s="379"/>
      <c r="AG66" s="245">
        <f t="shared" si="28"/>
        <v>0</v>
      </c>
      <c r="AH66" s="166" t="e">
        <f t="shared" si="29"/>
        <v>#DIV/0!</v>
      </c>
      <c r="AI66" s="73"/>
      <c r="AJ66" s="143"/>
      <c r="AK66" s="166"/>
      <c r="AL66" s="73"/>
      <c r="AM66" s="143"/>
      <c r="AN66" s="72" t="e">
        <f t="shared" si="30"/>
        <v>#DIV/0!</v>
      </c>
      <c r="AO66" s="74">
        <f t="shared" si="31"/>
        <v>0</v>
      </c>
      <c r="AP66" s="191">
        <f t="shared" si="32"/>
        <v>0.30055999999999999</v>
      </c>
      <c r="AQ66" s="76">
        <f t="shared" si="33"/>
        <v>0</v>
      </c>
      <c r="AR66" s="396"/>
      <c r="AS66" s="76"/>
      <c r="AT66" s="77">
        <f t="shared" si="34"/>
        <v>0</v>
      </c>
      <c r="AU66" s="121"/>
      <c r="AW66" s="314"/>
    </row>
    <row r="67" spans="1:49" ht="24.95" customHeight="1" thickBot="1" x14ac:dyDescent="0.3">
      <c r="A67" s="490"/>
      <c r="B67" s="371"/>
      <c r="C67" s="372"/>
      <c r="D67" s="373"/>
      <c r="E67" s="374"/>
      <c r="F67" s="163"/>
      <c r="G67" s="386"/>
      <c r="H67" s="282"/>
      <c r="I67" s="282"/>
      <c r="J67" s="282"/>
      <c r="K67" s="282"/>
      <c r="L67" s="282"/>
      <c r="M67" s="282"/>
      <c r="N67" s="282"/>
      <c r="O67" s="282"/>
      <c r="P67" s="282"/>
      <c r="Q67" s="282"/>
      <c r="R67" s="282"/>
      <c r="S67" s="282"/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428"/>
      <c r="AF67" s="283"/>
      <c r="AG67" s="245">
        <f t="shared" si="28"/>
        <v>0</v>
      </c>
      <c r="AH67" s="166" t="e">
        <f t="shared" si="29"/>
        <v>#DIV/0!</v>
      </c>
      <c r="AI67" s="73"/>
      <c r="AJ67" s="143"/>
      <c r="AK67" s="166"/>
      <c r="AL67" s="73"/>
      <c r="AM67" s="143"/>
      <c r="AN67" s="72" t="e">
        <f t="shared" si="30"/>
        <v>#DIV/0!</v>
      </c>
      <c r="AO67" s="74">
        <f t="shared" si="31"/>
        <v>0</v>
      </c>
      <c r="AP67" s="191">
        <f t="shared" si="32"/>
        <v>0.30055999999999999</v>
      </c>
      <c r="AQ67" s="76">
        <f t="shared" si="33"/>
        <v>0</v>
      </c>
      <c r="AR67" s="396"/>
      <c r="AS67" s="76"/>
      <c r="AT67" s="77">
        <f t="shared" si="34"/>
        <v>0</v>
      </c>
      <c r="AU67" s="121"/>
      <c r="AW67" s="314"/>
    </row>
    <row r="68" spans="1:49" ht="24.95" customHeight="1" x14ac:dyDescent="0.2">
      <c r="A68" s="489" t="s">
        <v>65</v>
      </c>
      <c r="B68" s="380"/>
      <c r="C68" s="381" t="s">
        <v>66</v>
      </c>
      <c r="D68" s="32">
        <f>2.08/1000</f>
        <v>2.0800000000000003E-3</v>
      </c>
      <c r="E68" s="33">
        <v>6.36</v>
      </c>
      <c r="F68" s="223">
        <f t="shared" ref="F68:F77" si="35">D68*E68</f>
        <v>1.3228800000000002E-2</v>
      </c>
      <c r="G68" s="267"/>
      <c r="H68" s="268"/>
      <c r="I68" s="268"/>
      <c r="J68" s="268"/>
      <c r="K68" s="268"/>
      <c r="L68" s="268"/>
      <c r="M68" s="268"/>
      <c r="N68" s="268"/>
      <c r="O68" s="268"/>
      <c r="P68" s="268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8"/>
      <c r="AC68" s="268"/>
      <c r="AD68" s="268"/>
      <c r="AE68" s="422"/>
      <c r="AF68" s="269"/>
      <c r="AG68" s="243">
        <f t="shared" ref="AG68:AG80" si="36">SUM(G68:AF68)</f>
        <v>0</v>
      </c>
      <c r="AH68" s="128">
        <f t="shared" ref="AH68:AH80" si="37">AG68/D68</f>
        <v>0</v>
      </c>
      <c r="AI68" s="348"/>
      <c r="AJ68" s="164"/>
      <c r="AK68" s="511"/>
      <c r="AL68" s="514"/>
      <c r="AM68" s="164"/>
      <c r="AN68" s="26"/>
      <c r="AO68" s="517">
        <f>AJ68+AJ69+AJ70-AM68</f>
        <v>0</v>
      </c>
      <c r="AP68" s="183"/>
      <c r="AQ68" s="30"/>
      <c r="AR68" s="195">
        <v>0.8</v>
      </c>
      <c r="AS68" s="159">
        <f t="shared" ref="AS68:AS72" si="38">AG68*AR68</f>
        <v>0</v>
      </c>
      <c r="AT68" s="508">
        <f>AJ68+AJ69+AJ70-AS68-AS69-AS70</f>
        <v>0</v>
      </c>
      <c r="AW68" s="314"/>
    </row>
    <row r="69" spans="1:49" ht="24.95" customHeight="1" x14ac:dyDescent="0.2">
      <c r="A69" s="489"/>
      <c r="B69" s="306"/>
      <c r="C69" s="296" t="s">
        <v>67</v>
      </c>
      <c r="D69" s="80">
        <f>D68+(D68*11%)</f>
        <v>2.3088000000000002E-3</v>
      </c>
      <c r="E69" s="45">
        <v>6.36</v>
      </c>
      <c r="F69" s="226">
        <f t="shared" si="35"/>
        <v>1.4683968000000002E-2</v>
      </c>
      <c r="G69" s="270"/>
      <c r="H69" s="271"/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424"/>
      <c r="AF69" s="272"/>
      <c r="AG69" s="245">
        <f t="shared" si="36"/>
        <v>0</v>
      </c>
      <c r="AH69" s="83">
        <f t="shared" si="37"/>
        <v>0</v>
      </c>
      <c r="AI69" s="162"/>
      <c r="AJ69" s="160"/>
      <c r="AK69" s="512"/>
      <c r="AL69" s="515"/>
      <c r="AM69" s="160"/>
      <c r="AN69" s="36"/>
      <c r="AO69" s="518"/>
      <c r="AP69" s="184"/>
      <c r="AQ69" s="40"/>
      <c r="AR69" s="196">
        <v>0.8</v>
      </c>
      <c r="AS69" s="161">
        <f t="shared" si="38"/>
        <v>0</v>
      </c>
      <c r="AT69" s="509"/>
      <c r="AW69" s="314"/>
    </row>
    <row r="70" spans="1:49" ht="24.95" customHeight="1" x14ac:dyDescent="0.2">
      <c r="A70" s="489"/>
      <c r="B70" s="306"/>
      <c r="C70" s="296" t="s">
        <v>68</v>
      </c>
      <c r="D70" s="44">
        <f>1.91/1000</f>
        <v>1.91E-3</v>
      </c>
      <c r="E70" s="45">
        <v>6.36</v>
      </c>
      <c r="F70" s="226">
        <f t="shared" si="35"/>
        <v>1.2147600000000001E-2</v>
      </c>
      <c r="G70" s="270"/>
      <c r="H70" s="271"/>
      <c r="I70" s="271"/>
      <c r="J70" s="271"/>
      <c r="K70" s="271"/>
      <c r="L70" s="271"/>
      <c r="M70" s="271"/>
      <c r="N70" s="271"/>
      <c r="O70" s="271"/>
      <c r="P70" s="271"/>
      <c r="Q70" s="271"/>
      <c r="R70" s="271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424"/>
      <c r="AF70" s="272"/>
      <c r="AG70" s="245">
        <f t="shared" si="36"/>
        <v>0</v>
      </c>
      <c r="AH70" s="83">
        <f t="shared" si="37"/>
        <v>0</v>
      </c>
      <c r="AI70" s="162"/>
      <c r="AJ70" s="160"/>
      <c r="AK70" s="513"/>
      <c r="AL70" s="516"/>
      <c r="AM70" s="160"/>
      <c r="AN70" s="36"/>
      <c r="AO70" s="519"/>
      <c r="AP70" s="184"/>
      <c r="AQ70" s="40"/>
      <c r="AR70" s="196">
        <v>0.8</v>
      </c>
      <c r="AS70" s="161">
        <f t="shared" si="38"/>
        <v>0</v>
      </c>
      <c r="AT70" s="510"/>
      <c r="AW70" s="314"/>
    </row>
    <row r="71" spans="1:49" ht="24.95" customHeight="1" x14ac:dyDescent="0.2">
      <c r="A71" s="489"/>
      <c r="B71" s="306"/>
      <c r="C71" s="296" t="s">
        <v>69</v>
      </c>
      <c r="D71" s="80">
        <f>D70+(D70*39%)</f>
        <v>2.6549E-3</v>
      </c>
      <c r="E71" s="45">
        <v>6.36</v>
      </c>
      <c r="F71" s="226">
        <f t="shared" si="35"/>
        <v>1.6885164000000001E-2</v>
      </c>
      <c r="G71" s="270"/>
      <c r="H71" s="271"/>
      <c r="I71" s="271"/>
      <c r="J71" s="271"/>
      <c r="K71" s="271"/>
      <c r="L71" s="271"/>
      <c r="M71" s="271"/>
      <c r="N71" s="271"/>
      <c r="O71" s="271"/>
      <c r="P71" s="271"/>
      <c r="Q71" s="271"/>
      <c r="R71" s="271"/>
      <c r="S71" s="271"/>
      <c r="T71" s="271"/>
      <c r="U71" s="271"/>
      <c r="V71" s="271"/>
      <c r="W71" s="271"/>
      <c r="X71" s="271"/>
      <c r="Y71" s="271"/>
      <c r="Z71" s="271"/>
      <c r="AA71" s="271"/>
      <c r="AB71" s="271"/>
      <c r="AC71" s="271"/>
      <c r="AD71" s="271"/>
      <c r="AE71" s="424"/>
      <c r="AF71" s="272"/>
      <c r="AG71" s="245">
        <f t="shared" si="36"/>
        <v>0</v>
      </c>
      <c r="AH71" s="83">
        <f t="shared" si="37"/>
        <v>0</v>
      </c>
      <c r="AI71" s="162"/>
      <c r="AJ71" s="160"/>
      <c r="AK71" s="479"/>
      <c r="AL71" s="481"/>
      <c r="AM71" s="160"/>
      <c r="AN71" s="36"/>
      <c r="AO71" s="483" t="e">
        <f>AJ71+AJ72+#REF!-AM71</f>
        <v>#REF!</v>
      </c>
      <c r="AP71" s="184"/>
      <c r="AQ71" s="40"/>
      <c r="AR71" s="196">
        <v>0.8</v>
      </c>
      <c r="AS71" s="161">
        <f t="shared" si="38"/>
        <v>0</v>
      </c>
      <c r="AT71" s="502" t="e">
        <f>AJ71+AJ72+#REF!-AS71-AS72-#REF!</f>
        <v>#REF!</v>
      </c>
      <c r="AW71" s="314"/>
    </row>
    <row r="72" spans="1:49" ht="24.95" customHeight="1" thickBot="1" x14ac:dyDescent="0.25">
      <c r="A72" s="489"/>
      <c r="B72" s="306"/>
      <c r="C72" s="296" t="s">
        <v>70</v>
      </c>
      <c r="D72" s="92">
        <f>D70+(D70*67%)</f>
        <v>3.1897000000000002E-3</v>
      </c>
      <c r="E72" s="45">
        <v>6.36</v>
      </c>
      <c r="F72" s="226">
        <f t="shared" si="35"/>
        <v>2.0286492000000003E-2</v>
      </c>
      <c r="G72" s="270"/>
      <c r="H72" s="271"/>
      <c r="I72" s="271"/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424"/>
      <c r="AF72" s="272"/>
      <c r="AG72" s="245">
        <f t="shared" si="36"/>
        <v>0</v>
      </c>
      <c r="AH72" s="151">
        <f t="shared" si="37"/>
        <v>0</v>
      </c>
      <c r="AI72" s="349"/>
      <c r="AJ72" s="350"/>
      <c r="AK72" s="480"/>
      <c r="AL72" s="482"/>
      <c r="AM72" s="350"/>
      <c r="AN72" s="61"/>
      <c r="AO72" s="484"/>
      <c r="AP72" s="186"/>
      <c r="AQ72" s="65"/>
      <c r="AR72" s="198">
        <v>0.8</v>
      </c>
      <c r="AS72" s="353">
        <f t="shared" si="38"/>
        <v>0</v>
      </c>
      <c r="AT72" s="503"/>
      <c r="AW72" s="314"/>
    </row>
    <row r="73" spans="1:49" ht="24.95" customHeight="1" x14ac:dyDescent="0.2">
      <c r="A73" s="539" t="s">
        <v>95</v>
      </c>
      <c r="B73" s="307"/>
      <c r="C73" s="265" t="s">
        <v>71</v>
      </c>
      <c r="D73" s="21">
        <f>2.08/1000</f>
        <v>2.0800000000000003E-3</v>
      </c>
      <c r="E73" s="24">
        <v>6.36</v>
      </c>
      <c r="F73" s="221">
        <f t="shared" si="35"/>
        <v>1.3228800000000002E-2</v>
      </c>
      <c r="G73" s="286"/>
      <c r="H73" s="287"/>
      <c r="I73" s="287"/>
      <c r="J73" s="287"/>
      <c r="K73" s="287"/>
      <c r="L73" s="287"/>
      <c r="M73" s="287"/>
      <c r="N73" s="287"/>
      <c r="O73" s="287"/>
      <c r="P73" s="287"/>
      <c r="Q73" s="287"/>
      <c r="R73" s="287"/>
      <c r="S73" s="287"/>
      <c r="T73" s="287"/>
      <c r="U73" s="287"/>
      <c r="V73" s="287"/>
      <c r="W73" s="287"/>
      <c r="X73" s="287"/>
      <c r="Y73" s="287"/>
      <c r="Z73" s="287"/>
      <c r="AA73" s="287"/>
      <c r="AB73" s="287"/>
      <c r="AC73" s="287"/>
      <c r="AD73" s="287"/>
      <c r="AE73" s="430"/>
      <c r="AF73" s="288"/>
      <c r="AG73" s="243">
        <f t="shared" si="36"/>
        <v>0</v>
      </c>
      <c r="AH73" s="128">
        <f t="shared" si="37"/>
        <v>0</v>
      </c>
      <c r="AI73" s="167"/>
      <c r="AJ73" s="164"/>
      <c r="AK73" s="115"/>
      <c r="AL73" s="165"/>
      <c r="AM73" s="164"/>
      <c r="AN73" s="115"/>
      <c r="AO73" s="116">
        <f t="shared" ref="AO73:AO80" si="39">AJ73-AM73</f>
        <v>0</v>
      </c>
      <c r="AP73" s="192"/>
      <c r="AQ73" s="117"/>
      <c r="AR73" s="192"/>
      <c r="AS73" s="117"/>
      <c r="AT73" s="118">
        <f t="shared" ref="AT73:AT80" si="40">AJ73</f>
        <v>0</v>
      </c>
      <c r="AW73" s="314"/>
    </row>
    <row r="74" spans="1:49" ht="24.95" customHeight="1" x14ac:dyDescent="0.2">
      <c r="A74" s="489"/>
      <c r="B74" s="300"/>
      <c r="C74" s="261" t="s">
        <v>72</v>
      </c>
      <c r="D74" s="80">
        <f>D73+(D73*11%)</f>
        <v>2.3088000000000002E-3</v>
      </c>
      <c r="E74" s="45">
        <v>6.36</v>
      </c>
      <c r="F74" s="226">
        <f t="shared" si="35"/>
        <v>1.4683968000000002E-2</v>
      </c>
      <c r="G74" s="270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71"/>
      <c r="S74" s="271"/>
      <c r="T74" s="271"/>
      <c r="U74" s="271"/>
      <c r="V74" s="271"/>
      <c r="W74" s="271"/>
      <c r="X74" s="271"/>
      <c r="Y74" s="271"/>
      <c r="Z74" s="271"/>
      <c r="AA74" s="271"/>
      <c r="AB74" s="271"/>
      <c r="AC74" s="271"/>
      <c r="AD74" s="271"/>
      <c r="AE74" s="424"/>
      <c r="AF74" s="272"/>
      <c r="AG74" s="245">
        <f t="shared" si="36"/>
        <v>0</v>
      </c>
      <c r="AH74" s="83">
        <f t="shared" si="37"/>
        <v>0</v>
      </c>
      <c r="AI74" s="170"/>
      <c r="AJ74" s="169"/>
      <c r="AK74" s="36"/>
      <c r="AL74" s="37"/>
      <c r="AM74" s="169"/>
      <c r="AN74" s="36"/>
      <c r="AO74" s="39">
        <f t="shared" si="39"/>
        <v>0</v>
      </c>
      <c r="AP74" s="184"/>
      <c r="AQ74" s="40"/>
      <c r="AR74" s="184"/>
      <c r="AS74" s="40"/>
      <c r="AT74" s="41">
        <f t="shared" si="40"/>
        <v>0</v>
      </c>
      <c r="AW74" s="314"/>
    </row>
    <row r="75" spans="1:49" ht="24.95" customHeight="1" x14ac:dyDescent="0.2">
      <c r="A75" s="489"/>
      <c r="B75" s="300"/>
      <c r="C75" s="261" t="s">
        <v>73</v>
      </c>
      <c r="D75" s="44">
        <f>1.91/1000</f>
        <v>1.91E-3</v>
      </c>
      <c r="E75" s="45">
        <v>6.36</v>
      </c>
      <c r="F75" s="226">
        <f t="shared" si="35"/>
        <v>1.2147600000000001E-2</v>
      </c>
      <c r="G75" s="270"/>
      <c r="H75" s="271"/>
      <c r="I75" s="271"/>
      <c r="J75" s="271"/>
      <c r="K75" s="271"/>
      <c r="L75" s="271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  <c r="Y75" s="271"/>
      <c r="Z75" s="271"/>
      <c r="AA75" s="271"/>
      <c r="AB75" s="271"/>
      <c r="AC75" s="271"/>
      <c r="AD75" s="271"/>
      <c r="AE75" s="424"/>
      <c r="AF75" s="272"/>
      <c r="AG75" s="245">
        <f t="shared" si="36"/>
        <v>0</v>
      </c>
      <c r="AH75" s="83">
        <f t="shared" si="37"/>
        <v>0</v>
      </c>
      <c r="AI75" s="170"/>
      <c r="AJ75" s="169"/>
      <c r="AK75" s="36"/>
      <c r="AL75" s="171"/>
      <c r="AM75" s="169"/>
      <c r="AN75" s="36"/>
      <c r="AO75" s="39">
        <f t="shared" si="39"/>
        <v>0</v>
      </c>
      <c r="AP75" s="184"/>
      <c r="AQ75" s="40"/>
      <c r="AR75" s="184"/>
      <c r="AS75" s="40"/>
      <c r="AT75" s="41">
        <f t="shared" si="40"/>
        <v>0</v>
      </c>
      <c r="AW75" s="314"/>
    </row>
    <row r="76" spans="1:49" ht="24.95" customHeight="1" x14ac:dyDescent="0.2">
      <c r="A76" s="489"/>
      <c r="B76" s="300"/>
      <c r="C76" s="261" t="s">
        <v>74</v>
      </c>
      <c r="D76" s="80">
        <f>D75+(D75*39%)</f>
        <v>2.6549E-3</v>
      </c>
      <c r="E76" s="45">
        <v>6.36</v>
      </c>
      <c r="F76" s="226">
        <f t="shared" si="35"/>
        <v>1.6885164000000001E-2</v>
      </c>
      <c r="G76" s="270"/>
      <c r="H76" s="271"/>
      <c r="I76" s="271"/>
      <c r="J76" s="271"/>
      <c r="K76" s="271"/>
      <c r="L76" s="271"/>
      <c r="M76" s="271"/>
      <c r="N76" s="271"/>
      <c r="O76" s="271"/>
      <c r="P76" s="271"/>
      <c r="Q76" s="271"/>
      <c r="R76" s="271"/>
      <c r="S76" s="271"/>
      <c r="T76" s="271"/>
      <c r="U76" s="271"/>
      <c r="V76" s="271"/>
      <c r="W76" s="271"/>
      <c r="X76" s="271"/>
      <c r="Y76" s="271"/>
      <c r="Z76" s="271"/>
      <c r="AA76" s="271"/>
      <c r="AB76" s="271"/>
      <c r="AC76" s="271"/>
      <c r="AD76" s="271"/>
      <c r="AE76" s="424"/>
      <c r="AF76" s="272"/>
      <c r="AG76" s="245">
        <f t="shared" si="36"/>
        <v>0</v>
      </c>
      <c r="AH76" s="83">
        <f t="shared" si="37"/>
        <v>0</v>
      </c>
      <c r="AI76" s="170"/>
      <c r="AJ76" s="169"/>
      <c r="AK76" s="36"/>
      <c r="AL76" s="171"/>
      <c r="AM76" s="169"/>
      <c r="AN76" s="36"/>
      <c r="AO76" s="39">
        <f t="shared" si="39"/>
        <v>0</v>
      </c>
      <c r="AP76" s="184"/>
      <c r="AQ76" s="40"/>
      <c r="AR76" s="184"/>
      <c r="AS76" s="40"/>
      <c r="AT76" s="41">
        <f t="shared" si="40"/>
        <v>0</v>
      </c>
      <c r="AW76" s="314"/>
    </row>
    <row r="77" spans="1:49" ht="24.95" customHeight="1" x14ac:dyDescent="0.2">
      <c r="A77" s="489"/>
      <c r="B77" s="300"/>
      <c r="C77" s="261" t="s">
        <v>75</v>
      </c>
      <c r="D77" s="92">
        <f>D75+(D75*67%)</f>
        <v>3.1897000000000002E-3</v>
      </c>
      <c r="E77" s="45">
        <v>6.36</v>
      </c>
      <c r="F77" s="226">
        <f t="shared" si="35"/>
        <v>2.0286492000000003E-2</v>
      </c>
      <c r="G77" s="270"/>
      <c r="H77" s="271"/>
      <c r="I77" s="271"/>
      <c r="J77" s="271"/>
      <c r="K77" s="271"/>
      <c r="L77" s="271"/>
      <c r="M77" s="271"/>
      <c r="N77" s="271"/>
      <c r="O77" s="271"/>
      <c r="P77" s="271"/>
      <c r="Q77" s="271"/>
      <c r="R77" s="271"/>
      <c r="S77" s="271"/>
      <c r="T77" s="271"/>
      <c r="U77" s="271"/>
      <c r="V77" s="271"/>
      <c r="W77" s="271"/>
      <c r="X77" s="271"/>
      <c r="Y77" s="271"/>
      <c r="Z77" s="271"/>
      <c r="AA77" s="271"/>
      <c r="AB77" s="271"/>
      <c r="AC77" s="271"/>
      <c r="AD77" s="271"/>
      <c r="AE77" s="424"/>
      <c r="AF77" s="272"/>
      <c r="AG77" s="245">
        <f t="shared" si="36"/>
        <v>0</v>
      </c>
      <c r="AH77" s="83">
        <f t="shared" si="37"/>
        <v>0</v>
      </c>
      <c r="AI77" s="170"/>
      <c r="AJ77" s="169"/>
      <c r="AK77" s="36"/>
      <c r="AL77" s="171"/>
      <c r="AM77" s="169"/>
      <c r="AN77" s="36"/>
      <c r="AO77" s="39">
        <f t="shared" si="39"/>
        <v>0</v>
      </c>
      <c r="AP77" s="184"/>
      <c r="AQ77" s="40"/>
      <c r="AR77" s="184"/>
      <c r="AS77" s="40"/>
      <c r="AT77" s="41">
        <f t="shared" si="40"/>
        <v>0</v>
      </c>
      <c r="AW77" s="314"/>
    </row>
    <row r="78" spans="1:49" ht="24.95" customHeight="1" x14ac:dyDescent="0.2">
      <c r="A78" s="489"/>
      <c r="B78" s="300"/>
      <c r="C78" s="261" t="s">
        <v>76</v>
      </c>
      <c r="D78" s="80">
        <f>0.42/1000</f>
        <v>4.1999999999999996E-4</v>
      </c>
      <c r="E78" s="45"/>
      <c r="F78" s="226">
        <v>0.24</v>
      </c>
      <c r="G78" s="270"/>
      <c r="H78" s="271"/>
      <c r="I78" s="271"/>
      <c r="J78" s="271"/>
      <c r="K78" s="271"/>
      <c r="L78" s="271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  <c r="Y78" s="271"/>
      <c r="Z78" s="271"/>
      <c r="AA78" s="271"/>
      <c r="AB78" s="271"/>
      <c r="AC78" s="271"/>
      <c r="AD78" s="271"/>
      <c r="AE78" s="424"/>
      <c r="AF78" s="272"/>
      <c r="AG78" s="245">
        <f t="shared" si="36"/>
        <v>0</v>
      </c>
      <c r="AH78" s="344">
        <f t="shared" si="37"/>
        <v>0</v>
      </c>
      <c r="AI78" s="168"/>
      <c r="AJ78" s="169"/>
      <c r="AK78" s="36"/>
      <c r="AL78" s="37"/>
      <c r="AM78" s="169"/>
      <c r="AN78" s="36"/>
      <c r="AO78" s="39">
        <f t="shared" si="39"/>
        <v>0</v>
      </c>
      <c r="AP78" s="184"/>
      <c r="AQ78" s="40"/>
      <c r="AR78" s="184"/>
      <c r="AS78" s="40"/>
      <c r="AT78" s="41">
        <f t="shared" si="40"/>
        <v>0</v>
      </c>
      <c r="AW78" s="314"/>
    </row>
    <row r="79" spans="1:49" ht="24.95" customHeight="1" x14ac:dyDescent="0.2">
      <c r="A79" s="489"/>
      <c r="B79" s="308"/>
      <c r="C79" s="297" t="s">
        <v>77</v>
      </c>
      <c r="D79" s="80">
        <v>4.0000000000000002E-4</v>
      </c>
      <c r="E79" s="45"/>
      <c r="F79" s="226">
        <v>4.3999999999999997E-2</v>
      </c>
      <c r="G79" s="270"/>
      <c r="H79" s="271"/>
      <c r="I79" s="271"/>
      <c r="J79" s="271"/>
      <c r="K79" s="271"/>
      <c r="L79" s="271"/>
      <c r="M79" s="271"/>
      <c r="N79" s="271"/>
      <c r="O79" s="271"/>
      <c r="P79" s="271"/>
      <c r="Q79" s="271"/>
      <c r="R79" s="271"/>
      <c r="S79" s="271"/>
      <c r="T79" s="271"/>
      <c r="U79" s="271"/>
      <c r="V79" s="271"/>
      <c r="W79" s="271"/>
      <c r="X79" s="271"/>
      <c r="Y79" s="271"/>
      <c r="Z79" s="271"/>
      <c r="AA79" s="271"/>
      <c r="AB79" s="271"/>
      <c r="AC79" s="271"/>
      <c r="AD79" s="271"/>
      <c r="AE79" s="424"/>
      <c r="AF79" s="272"/>
      <c r="AG79" s="245">
        <f t="shared" si="36"/>
        <v>0</v>
      </c>
      <c r="AH79" s="344">
        <f t="shared" si="37"/>
        <v>0</v>
      </c>
      <c r="AI79" s="168"/>
      <c r="AJ79" s="169"/>
      <c r="AK79" s="36"/>
      <c r="AL79" s="37"/>
      <c r="AM79" s="169"/>
      <c r="AN79" s="36"/>
      <c r="AO79" s="39">
        <f t="shared" si="39"/>
        <v>0</v>
      </c>
      <c r="AP79" s="184"/>
      <c r="AQ79" s="40"/>
      <c r="AR79" s="184"/>
      <c r="AS79" s="40"/>
      <c r="AT79" s="41">
        <f t="shared" si="40"/>
        <v>0</v>
      </c>
      <c r="AW79" s="314"/>
    </row>
    <row r="80" spans="1:49" ht="24.95" customHeight="1" thickBot="1" x14ac:dyDescent="0.25">
      <c r="A80" s="490"/>
      <c r="B80" s="309"/>
      <c r="C80" s="298" t="s">
        <v>78</v>
      </c>
      <c r="D80" s="101">
        <v>4.0000000000000002E-4</v>
      </c>
      <c r="E80" s="60"/>
      <c r="F80" s="163">
        <v>5.5E-2</v>
      </c>
      <c r="G80" s="279"/>
      <c r="H80" s="280"/>
      <c r="I80" s="280"/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  <c r="Z80" s="280"/>
      <c r="AA80" s="280"/>
      <c r="AB80" s="280"/>
      <c r="AC80" s="280"/>
      <c r="AD80" s="280"/>
      <c r="AE80" s="427"/>
      <c r="AF80" s="281"/>
      <c r="AG80" s="246">
        <f t="shared" si="36"/>
        <v>0</v>
      </c>
      <c r="AH80" s="345">
        <f t="shared" si="37"/>
        <v>0</v>
      </c>
      <c r="AI80" s="351"/>
      <c r="AJ80" s="352"/>
      <c r="AK80" s="49"/>
      <c r="AL80" s="50"/>
      <c r="AM80" s="352"/>
      <c r="AN80" s="49"/>
      <c r="AO80" s="52">
        <f t="shared" si="39"/>
        <v>0</v>
      </c>
      <c r="AP80" s="185"/>
      <c r="AQ80" s="53"/>
      <c r="AR80" s="185"/>
      <c r="AS80" s="53"/>
      <c r="AT80" s="54">
        <f t="shared" si="40"/>
        <v>0</v>
      </c>
      <c r="AU80" s="121">
        <f>SUM(AJ73:AJ80)</f>
        <v>0</v>
      </c>
      <c r="AW80" s="314"/>
    </row>
    <row r="81" spans="1:49" s="177" customFormat="1" ht="20.100000000000001" customHeight="1" thickBot="1" x14ac:dyDescent="0.3">
      <c r="A81" s="536" t="s">
        <v>79</v>
      </c>
      <c r="B81" s="537"/>
      <c r="C81" s="537"/>
      <c r="D81" s="537"/>
      <c r="E81" s="537"/>
      <c r="F81" s="537"/>
      <c r="G81" s="537"/>
      <c r="H81" s="537"/>
      <c r="I81" s="537"/>
      <c r="J81" s="537"/>
      <c r="K81" s="537"/>
      <c r="L81" s="537"/>
      <c r="M81" s="537"/>
      <c r="N81" s="537"/>
      <c r="O81" s="537"/>
      <c r="P81" s="537"/>
      <c r="Q81" s="537"/>
      <c r="R81" s="537"/>
      <c r="S81" s="537"/>
      <c r="T81" s="537"/>
      <c r="U81" s="537"/>
      <c r="V81" s="537"/>
      <c r="W81" s="537"/>
      <c r="X81" s="537"/>
      <c r="Y81" s="537"/>
      <c r="Z81" s="537"/>
      <c r="AA81" s="537"/>
      <c r="AB81" s="537"/>
      <c r="AC81" s="537"/>
      <c r="AD81" s="537"/>
      <c r="AE81" s="537"/>
      <c r="AF81" s="538"/>
      <c r="AG81" s="249"/>
      <c r="AH81" s="239"/>
      <c r="AI81" s="172"/>
      <c r="AJ81" s="175"/>
      <c r="AK81" s="173"/>
      <c r="AL81" s="174"/>
      <c r="AM81" s="175">
        <f>SUM(AM6:AM80)</f>
        <v>0</v>
      </c>
      <c r="AN81" s="176"/>
      <c r="AO81" s="175"/>
      <c r="AP81" s="176"/>
      <c r="AQ81" s="175">
        <f>SUM(AQ6:AQ80)</f>
        <v>0</v>
      </c>
      <c r="AR81" s="176"/>
      <c r="AS81" s="175">
        <f>SUM(AS6:AS80)</f>
        <v>0</v>
      </c>
      <c r="AT81" s="175" t="e">
        <f>SUM(AT6:AT80)</f>
        <v>#REF!</v>
      </c>
      <c r="AW81" s="314"/>
    </row>
    <row r="82" spans="1:49" ht="20.100000000000001" customHeight="1" x14ac:dyDescent="0.2">
      <c r="A82" s="444" t="s">
        <v>111</v>
      </c>
    </row>
    <row r="83" spans="1:49" ht="18" x14ac:dyDescent="0.25">
      <c r="D83" s="178"/>
      <c r="E83" s="532" t="s">
        <v>80</v>
      </c>
      <c r="F83" s="532"/>
      <c r="G83" s="217"/>
      <c r="H83" s="217"/>
      <c r="I83" s="217"/>
      <c r="J83" s="217"/>
      <c r="K83" s="217"/>
      <c r="L83" s="217"/>
      <c r="M83" s="217"/>
      <c r="N83" s="217"/>
      <c r="O83" s="217"/>
      <c r="P83" s="217"/>
      <c r="Q83" s="217"/>
      <c r="R83" s="217"/>
      <c r="S83" s="217"/>
      <c r="T83" s="217"/>
      <c r="U83" s="217"/>
      <c r="V83" s="217"/>
      <c r="W83" s="217"/>
      <c r="X83" s="217"/>
      <c r="Y83" s="217"/>
      <c r="Z83" s="217"/>
      <c r="AA83" s="217"/>
      <c r="AB83" s="217"/>
      <c r="AC83" s="217"/>
      <c r="AD83" s="217"/>
      <c r="AE83" s="217"/>
      <c r="AF83" s="217"/>
      <c r="AJ83" s="216"/>
      <c r="AP83" s="504" t="s">
        <v>81</v>
      </c>
      <c r="AQ83" s="504"/>
      <c r="AR83" s="504"/>
      <c r="AS83" s="504"/>
      <c r="AT83" s="179"/>
    </row>
    <row r="84" spans="1:49" ht="18" x14ac:dyDescent="0.25">
      <c r="D84" s="180"/>
      <c r="E84" s="531" t="s">
        <v>82</v>
      </c>
      <c r="F84" s="531"/>
      <c r="G84" s="217"/>
      <c r="H84" s="217"/>
      <c r="I84" s="217"/>
      <c r="J84" s="217"/>
      <c r="K84" s="217"/>
      <c r="L84" s="217"/>
      <c r="M84" s="217"/>
      <c r="N84" s="217"/>
      <c r="O84" s="217"/>
      <c r="P84" s="217"/>
      <c r="Q84" s="217"/>
      <c r="R84" s="217"/>
      <c r="S84" s="217"/>
      <c r="T84" s="217"/>
      <c r="U84" s="217"/>
      <c r="V84" s="217"/>
      <c r="W84" s="217"/>
      <c r="X84" s="217"/>
      <c r="Y84" s="217"/>
      <c r="Z84" s="217"/>
      <c r="AA84" s="217"/>
      <c r="AB84" s="217"/>
      <c r="AC84" s="217"/>
      <c r="AD84" s="217"/>
      <c r="AE84" s="217"/>
      <c r="AF84" s="217"/>
      <c r="AP84" s="504" t="s">
        <v>83</v>
      </c>
      <c r="AQ84" s="504"/>
      <c r="AR84" s="504"/>
      <c r="AS84" s="504"/>
      <c r="AT84" s="179">
        <f>SUM(AJ6:AJ15)</f>
        <v>0</v>
      </c>
    </row>
    <row r="85" spans="1:49" ht="18.75" thickBot="1" x14ac:dyDescent="0.3">
      <c r="D85" s="178"/>
      <c r="E85" s="534" t="s">
        <v>84</v>
      </c>
      <c r="F85" s="534"/>
      <c r="G85" s="217"/>
      <c r="H85" s="217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  <c r="AF85" s="217"/>
      <c r="AQ85" s="505" t="s">
        <v>85</v>
      </c>
      <c r="AR85" s="505"/>
      <c r="AS85" s="505"/>
      <c r="AT85" s="179">
        <f>AT83+AT84</f>
        <v>0</v>
      </c>
    </row>
    <row r="86" spans="1:49" ht="18.75" thickBot="1" x14ac:dyDescent="0.3">
      <c r="D86" s="178"/>
      <c r="E86" s="535" t="s">
        <v>86</v>
      </c>
      <c r="F86" s="535"/>
      <c r="G86" s="217"/>
      <c r="H86" s="217"/>
      <c r="I86" s="217"/>
      <c r="J86" s="217"/>
      <c r="K86" s="217"/>
      <c r="L86" s="217"/>
      <c r="M86" s="217"/>
      <c r="N86" s="217"/>
      <c r="O86" s="217"/>
      <c r="P86" s="217"/>
      <c r="Q86" s="217"/>
      <c r="R86" s="217"/>
      <c r="S86" s="217"/>
      <c r="T86" s="217"/>
      <c r="U86" s="217"/>
      <c r="V86" s="217"/>
      <c r="W86" s="217"/>
      <c r="X86" s="217"/>
      <c r="Y86" s="217"/>
      <c r="Z86" s="217"/>
      <c r="AA86" s="217"/>
      <c r="AB86" s="217"/>
      <c r="AC86" s="217"/>
      <c r="AD86" s="217"/>
      <c r="AE86" s="217"/>
      <c r="AF86" s="217"/>
      <c r="AP86" s="506" t="s">
        <v>87</v>
      </c>
      <c r="AQ86" s="507"/>
      <c r="AR86" s="507"/>
      <c r="AS86" s="507"/>
      <c r="AT86" s="181" t="e">
        <f>AT81-AT85</f>
        <v>#REF!</v>
      </c>
    </row>
    <row r="87" spans="1:49" ht="18" x14ac:dyDescent="0.25">
      <c r="D87" s="178"/>
      <c r="E87" s="533" t="s">
        <v>88</v>
      </c>
      <c r="F87" s="533"/>
      <c r="G87" s="217"/>
      <c r="H87" s="217"/>
      <c r="I87" s="217"/>
      <c r="J87" s="217"/>
      <c r="K87" s="217"/>
      <c r="L87" s="217"/>
      <c r="M87" s="217"/>
      <c r="N87" s="217"/>
      <c r="O87" s="217"/>
      <c r="P87" s="217"/>
      <c r="Q87" s="217"/>
      <c r="R87" s="217"/>
      <c r="S87" s="217"/>
      <c r="T87" s="217"/>
      <c r="U87" s="217"/>
      <c r="V87" s="217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</row>
    <row r="88" spans="1:49" ht="18" x14ac:dyDescent="0.25">
      <c r="D88" s="178"/>
      <c r="E88" s="530" t="s">
        <v>79</v>
      </c>
      <c r="F88" s="530"/>
      <c r="G88" s="217"/>
      <c r="H88" s="217"/>
      <c r="I88" s="217"/>
      <c r="J88" s="217"/>
      <c r="K88" s="217"/>
      <c r="L88" s="217"/>
      <c r="M88" s="217"/>
      <c r="N88" s="217"/>
      <c r="O88" s="217"/>
      <c r="P88" s="217"/>
      <c r="Q88" s="217"/>
      <c r="R88" s="217"/>
      <c r="S88" s="217"/>
      <c r="T88" s="217"/>
      <c r="U88" s="217"/>
      <c r="V88" s="217"/>
      <c r="W88" s="217"/>
      <c r="X88" s="217"/>
      <c r="Y88" s="217"/>
      <c r="Z88" s="217"/>
      <c r="AA88" s="217"/>
      <c r="AB88" s="217"/>
      <c r="AC88" s="217"/>
      <c r="AD88" s="217"/>
      <c r="AE88" s="217"/>
      <c r="AF88" s="217"/>
    </row>
  </sheetData>
  <mergeCells count="49">
    <mergeCell ref="A81:AF81"/>
    <mergeCell ref="A58:A60"/>
    <mergeCell ref="A68:A72"/>
    <mergeCell ref="A73:A80"/>
    <mergeCell ref="A38:A47"/>
    <mergeCell ref="A54:A57"/>
    <mergeCell ref="A61:A67"/>
    <mergeCell ref="E88:F88"/>
    <mergeCell ref="E84:F84"/>
    <mergeCell ref="E83:F83"/>
    <mergeCell ref="E87:F87"/>
    <mergeCell ref="E85:F85"/>
    <mergeCell ref="E86:F86"/>
    <mergeCell ref="AT68:AT70"/>
    <mergeCell ref="AP4:AQ4"/>
    <mergeCell ref="AR4:AS4"/>
    <mergeCell ref="AK68:AK70"/>
    <mergeCell ref="AL68:AL70"/>
    <mergeCell ref="AO68:AO70"/>
    <mergeCell ref="AO33:AO37"/>
    <mergeCell ref="AO38:AO47"/>
    <mergeCell ref="AN43:AN47"/>
    <mergeCell ref="AK28:AK32"/>
    <mergeCell ref="AL28:AL32"/>
    <mergeCell ref="AN28:AN32"/>
    <mergeCell ref="AO28:AO32"/>
    <mergeCell ref="AT4:AT5"/>
    <mergeCell ref="AN4:AO4"/>
    <mergeCell ref="AT71:AT72"/>
    <mergeCell ref="AP83:AS83"/>
    <mergeCell ref="AP84:AS84"/>
    <mergeCell ref="AQ85:AS85"/>
    <mergeCell ref="AP86:AS86"/>
    <mergeCell ref="A1:AF1"/>
    <mergeCell ref="AK71:AK72"/>
    <mergeCell ref="AL71:AL72"/>
    <mergeCell ref="AO71:AO72"/>
    <mergeCell ref="AK4:AM4"/>
    <mergeCell ref="A16:A21"/>
    <mergeCell ref="G4:AF4"/>
    <mergeCell ref="D4:F4"/>
    <mergeCell ref="A4:A5"/>
    <mergeCell ref="C4:C5"/>
    <mergeCell ref="B4:B5"/>
    <mergeCell ref="A7:A13"/>
    <mergeCell ref="A22:A24"/>
    <mergeCell ref="A26:A37"/>
    <mergeCell ref="AH4:AJ4"/>
    <mergeCell ref="A48:A53"/>
  </mergeCells>
  <phoneticPr fontId="19" type="noConversion"/>
  <conditionalFormatting sqref="B16:F53 I16:AF53 B54:AF80">
    <cfRule type="expression" dxfId="1" priority="4">
      <formula>MOD(ROW(),2)=0</formula>
    </cfRule>
  </conditionalFormatting>
  <conditionalFormatting sqref="G16:H53">
    <cfRule type="expression" dxfId="0" priority="2">
      <formula>MOD(ROW(),2)=0</formula>
    </cfRule>
  </conditionalFormatting>
  <printOptions horizontalCentered="1"/>
  <pageMargins left="0" right="0" top="0.43307086614173229" bottom="0.39370078740157483" header="0" footer="0.31496062992125984"/>
  <pageSetup paperSize="9" scale="45" fitToHeight="2" orientation="landscape" r:id="rId1"/>
  <headerFooter alignWithMargins="0">
    <oddFooter>&amp;RSJCPIL-R 16-098-00</oddFooter>
  </headerFooter>
  <rowBreaks count="1" manualBreakCount="1">
    <brk id="53" max="30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Configurações</vt:lpstr>
      <vt:lpstr>Outras Perdas</vt:lpstr>
      <vt:lpstr>'Outras Perdas'!Area_de_impressao</vt:lpstr>
      <vt:lpstr>Feriados</vt:lpstr>
      <vt:lpstr>FInal_de_Semana</vt:lpstr>
      <vt:lpstr>'Outras Perdas'!Titulos_de_impressao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Osvaldo Martins Torquati</cp:lastModifiedBy>
  <cp:lastPrinted>2022-02-01T04:04:38Z</cp:lastPrinted>
  <dcterms:created xsi:type="dcterms:W3CDTF">2013-05-27T13:01:17Z</dcterms:created>
  <dcterms:modified xsi:type="dcterms:W3CDTF">2022-02-24T20:14:09Z</dcterms:modified>
</cp:coreProperties>
</file>