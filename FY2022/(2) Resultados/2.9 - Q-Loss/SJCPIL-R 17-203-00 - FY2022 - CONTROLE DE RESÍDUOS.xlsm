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2\(2) Resultados\2.9 - Q-Loss\"/>
    </mc:Choice>
  </mc:AlternateContent>
  <xr:revisionPtr revIDLastSave="0" documentId="13_ncr:1_{3D3085B0-C7A6-41EE-87FB-CA08DDF2D37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JCPIL-R 17-203-00 (Forecast)" sheetId="1" r:id="rId1"/>
    <sheet name="SJCPIL-R 17-203-00" sheetId="2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\A" localSheetId="1">#REF!</definedName>
    <definedName name="\A" localSheetId="0">#REF!</definedName>
    <definedName name="\A">#REF!</definedName>
    <definedName name="_um2" localSheetId="1">#REF!</definedName>
    <definedName name="_um2">#REF!</definedName>
    <definedName name="_um3" localSheetId="1">#REF!</definedName>
    <definedName name="_um3">#REF!</definedName>
    <definedName name="_UM30" localSheetId="1">#REF!</definedName>
    <definedName name="_UM30">#REF!</definedName>
    <definedName name="ALK" localSheetId="1">'[1]F-7.102 Rev 00'!#REF!</definedName>
    <definedName name="ALK" localSheetId="0">'[1]F-7.102 Rev 00'!#REF!</definedName>
    <definedName name="ALK">'[2]F-7.102 Rev 00'!#REF!</definedName>
    <definedName name="ALKCOIN" localSheetId="1">'[3]Alk Nac'!#REF!</definedName>
    <definedName name="ALKCOIN">'[3]Alk Nac'!#REF!</definedName>
    <definedName name="ALKEXP" localSheetId="1">'[1]F-7.102 Rev 00'!#REF!</definedName>
    <definedName name="ALKEXP" localSheetId="0">'[1]F-7.102 Rev 00'!#REF!</definedName>
    <definedName name="ALKEXP">'[2]F-7.102 Rev 00'!#REF!</definedName>
    <definedName name="_xlnm.Print_Area" localSheetId="1">'SJCPIL-R 17-203-00'!$A$1:$U$43</definedName>
    <definedName name="_xlnm.Print_Area" localSheetId="0">'SJCPIL-R 17-203-00 (Forecast)'!$A$1:$U$43</definedName>
    <definedName name="F7.01">'[4]F-7.01 Rev 00'!$A$1</definedName>
    <definedName name="F7.02">'[4]F-7.02 Rev 00'!$A$1</definedName>
    <definedName name="F7.03">'[4]F-7.03 Rev 00'!$A$1</definedName>
    <definedName name="F7.04" localSheetId="1">'[5]F-7.04 Rev 01'!$D$1</definedName>
    <definedName name="F7.04" localSheetId="0">'[5]F-7.04 Rev 01'!$D$1</definedName>
    <definedName name="F7.04">'[6]F-7.04 Rev 01'!$D$1</definedName>
    <definedName name="F7.05" localSheetId="1">'[5]F-7.05 Rev 01'!$A$1</definedName>
    <definedName name="F7.05" localSheetId="0">'[5]F-7.05 Rev 01'!$A$1</definedName>
    <definedName name="F7.05">'[6]F-7.05 Rev 01'!$A$1</definedName>
    <definedName name="F7.06" localSheetId="1">'[5]F-7.06 Rev 01'!$A$1</definedName>
    <definedName name="F7.06" localSheetId="0">'[5]F-7.06 Rev 01'!$A$1</definedName>
    <definedName name="F7.06">'[6]F-7.06 Rev 01'!$A$1</definedName>
    <definedName name="F7.07">'[7]F-7.07 Rev 00'!$A$1</definedName>
    <definedName name="F7.08" localSheetId="1">'[1]F-7.08 Rev 02'!#REF!</definedName>
    <definedName name="F7.08" localSheetId="0">'[1]F-7.08 Rev 02'!#REF!</definedName>
    <definedName name="F7.08">#REF!</definedName>
    <definedName name="F7.09">'[7]F-7.09 Rev 01'!$A$1</definedName>
    <definedName name="F7.10">'[7]F-7.10 Rev 00'!$A$1</definedName>
    <definedName name="F7.101" localSheetId="1">#REF!</definedName>
    <definedName name="F7.101">#REF!</definedName>
    <definedName name="F7.103" localSheetId="1">#REF!</definedName>
    <definedName name="F7.103">#REF!</definedName>
    <definedName name="F7.105" localSheetId="1">'[8]F-7.105 Rev 00'!$A$1</definedName>
    <definedName name="F7.105" localSheetId="0">'[8]F-7.105 Rev 00'!$A$1</definedName>
    <definedName name="F7.105">'[9]F-7.105 Rev 00'!$A$1</definedName>
    <definedName name="F7.108" localSheetId="1">'[10]F-7.108 Rev 00'!$A$1</definedName>
    <definedName name="F7.108" localSheetId="0">'[10]F-7.108 Rev 00'!$A$1</definedName>
    <definedName name="F7.108">'[11]F-7.108 Rev 00'!$A$1</definedName>
    <definedName name="F7.109" localSheetId="1">'[12]F-7.109 Rev 00'!$A$1</definedName>
    <definedName name="F7.109" localSheetId="0">'[12]F-7.109 Rev 00'!$A$1</definedName>
    <definedName name="F7.109">#REF!</definedName>
    <definedName name="F7.111" localSheetId="1">'[12]F-7.111 Rev 00'!$B$1</definedName>
    <definedName name="F7.111" localSheetId="0">'[12]F-7.111 Rev 00'!$B$1</definedName>
    <definedName name="F7.111">#REF!</definedName>
    <definedName name="F7.112" localSheetId="1">'[12]F-7.112 Rev 00'!$A$1</definedName>
    <definedName name="F7.112" localSheetId="0">'[12]F-7.112 Rev 00'!$A$1</definedName>
    <definedName name="F7.112">#REF!</definedName>
    <definedName name="F7.114">'[13]F-7.114 Rev 00'!$A$1</definedName>
    <definedName name="F7.115" localSheetId="1">'[12]F-7.115 Rev 01'!$A$1</definedName>
    <definedName name="F7.115" localSheetId="0">'[12]F-7.115 Rev 01'!$A$1</definedName>
    <definedName name="F7.116" localSheetId="1">#REF!</definedName>
    <definedName name="F7.116" localSheetId="0">#REF!</definedName>
    <definedName name="F7.116">#REF!</definedName>
    <definedName name="F7.118" localSheetId="1">#REF!</definedName>
    <definedName name="F7.118">#REF!</definedName>
    <definedName name="F7.119">'[14]F-7.119 Rev 01'!$A$1</definedName>
    <definedName name="F7.12">'[15]F-7.12  Rev 00'!$A$1</definedName>
    <definedName name="F7.120" localSheetId="1">'[16]F-7.120 Rev 00'!$A$1</definedName>
    <definedName name="F7.120" localSheetId="0">'[16]F-7.120 Rev 00'!$A$1</definedName>
    <definedName name="F7.120">'[17]F-7.120 Rev 00'!$A$1</definedName>
    <definedName name="F7.121" localSheetId="1">#REF!</definedName>
    <definedName name="F7.121">#REF!</definedName>
    <definedName name="F7.122">'[13]F-7.122 Rev 00'!$A$1</definedName>
    <definedName name="F7.123">'[18]F-7.123 Rev 00'!$A$1</definedName>
    <definedName name="F7.124" localSheetId="1">'[12]F-7.124 Rev 00 '!$A$1</definedName>
    <definedName name="F7.124" localSheetId="0">'[12]F-7.124 Rev 00 '!$A$1</definedName>
    <definedName name="F7.124">'[18]F-7.124 Rev 00 '!$A$1</definedName>
    <definedName name="F7.13" localSheetId="1">#REF!</definedName>
    <definedName name="F7.13">#REF!</definedName>
    <definedName name="F7.134" localSheetId="1">'SJCPIL-R 17-203-00'!$A$1</definedName>
    <definedName name="F7.134" localSheetId="0">'SJCPIL-R 17-203-00 (Forecast)'!$A$1</definedName>
    <definedName name="F7.15" localSheetId="1">'[19]F-7.15 Rev 00'!$A$1</definedName>
    <definedName name="F7.15" localSheetId="0">'[19]F-7.15 Rev 00'!$A$1</definedName>
    <definedName name="F7.15">'[20]F-7.15 Rev 00'!$A$1</definedName>
    <definedName name="F7.151" localSheetId="1">#REF!</definedName>
    <definedName name="F7.151">#REF!</definedName>
    <definedName name="F7.16" localSheetId="1">'[19]F-7.16 Rev 00'!$A$1</definedName>
    <definedName name="F7.16" localSheetId="0">'[19]F-7.16 Rev 00'!$A$1</definedName>
    <definedName name="F7.16">'[20]F-7.16 Rev 00'!$A$1</definedName>
    <definedName name="F7.17" localSheetId="1">'[19]F-7.17 Rev 00'!$A$1</definedName>
    <definedName name="F7.17" localSheetId="0">'[19]F-7.17 Rev 00'!$A$1</definedName>
    <definedName name="F7.17">'[20]F-7.17 Rev 00'!$A$1</definedName>
    <definedName name="F7.18" localSheetId="1">'[19]F-7.18 Rev 00'!$A$1</definedName>
    <definedName name="F7.18" localSheetId="0">'[19]F-7.18 Rev 00'!$A$1</definedName>
    <definedName name="F7.18">'[20]F-7.18 Rev 00'!$A$1</definedName>
    <definedName name="F7.19" localSheetId="1">'[19]F-7.19 Rev 00'!$A$1</definedName>
    <definedName name="F7.19" localSheetId="0">'[19]F-7.19 Rev 00'!$A$1</definedName>
    <definedName name="F7.19">'[20]F-7.19 Rev 00'!$A$1</definedName>
    <definedName name="F7.20" localSheetId="1">'[19]F-7.20 Rev 00'!$A$1</definedName>
    <definedName name="F7.20" localSheetId="0">'[19]F-7.20 Rev 00'!$A$1</definedName>
    <definedName name="F7.20">'[20]F-7.20 Rev 00'!$A$1</definedName>
    <definedName name="F7.21" localSheetId="1">'[19]F-7.21 Rev 00'!$A$1</definedName>
    <definedName name="F7.21" localSheetId="0">'[19]F-7.21 Rev 00'!$A$1</definedName>
    <definedName name="F7.21">'[20]F-7.21 Rev 00'!$A$1</definedName>
    <definedName name="F7.22" localSheetId="1">'[19]F-7.22 Rev 00'!$A$1</definedName>
    <definedName name="F7.22" localSheetId="0">'[19]F-7.22 Rev 00'!$A$1</definedName>
    <definedName name="F7.22">'[20]F-7.22 Rev 00'!$A$1</definedName>
    <definedName name="F7.23">'[21]F-7.23 Rev 00'!$A$1</definedName>
    <definedName name="F7.24">'[21]F-7.24 Rev 00'!$A$1</definedName>
    <definedName name="F7.25">'[22]F-7.25 Rev 01'!$A$1</definedName>
    <definedName name="F7.26" localSheetId="1">'[23]F-7.26 Rev 00'!$A$1</definedName>
    <definedName name="F7.26" localSheetId="0">'[23]F-7.26 Rev 00'!$A$1</definedName>
    <definedName name="F7.26">'[18]F-7.26 Rev 00'!$A$1</definedName>
    <definedName name="F7.27" localSheetId="1">'[23]F-7.27 Rev 00'!$A$1</definedName>
    <definedName name="F7.27" localSheetId="0">'[23]F-7.27 Rev 00'!$A$1</definedName>
    <definedName name="F7.27">'[18]F-7.27 Rev 00'!$A$1</definedName>
    <definedName name="F7.28" localSheetId="1">'[23]F-7.28 Rev 00'!$A$1</definedName>
    <definedName name="F7.28" localSheetId="0">'[23]F-7.28 Rev 00'!$A$1</definedName>
    <definedName name="F7.28">'[18]F-7.28 Rev 00'!$A$1</definedName>
    <definedName name="F7.29">'[4]F-7.29 Rev 00'!$A$1</definedName>
    <definedName name="F7.30">'[24]F-7.30 Rev 00'!$A$1</definedName>
    <definedName name="F7.31">'[24]F7.31 Rev 00'!$A$1</definedName>
    <definedName name="F7.32">'[22]F-7.32 Rev 00'!$A$1</definedName>
    <definedName name="F7.33">'[24]F-7.33 Rev 00'!$A$1</definedName>
    <definedName name="F7.34" localSheetId="1">'[16]F-7.34 Rev 00'!$A$1</definedName>
    <definedName name="F7.34" localSheetId="0">'[16]F-7.34 Rev 00'!$A$1</definedName>
    <definedName name="F7.34">'[17]F-7.34 Rev 00'!$A$1</definedName>
    <definedName name="F7.35" localSheetId="1">'[16]F-7.35 Rev 01'!$A$1</definedName>
    <definedName name="F7.35" localSheetId="0">'[16]F-7.35 Rev 01'!$A$1</definedName>
    <definedName name="F7.35">'[17]F-7.35 Rev 01'!$A$1</definedName>
    <definedName name="F7.36" localSheetId="1">'[16]F-7.36 Rev 00'!$A$1</definedName>
    <definedName name="F7.36" localSheetId="0">'[16]F-7.36 Rev 00'!$A$1</definedName>
    <definedName name="F7.36">'[17]F-7.36 Rev 00'!$A$1</definedName>
    <definedName name="F7.37" localSheetId="1">'[16]F-7.37 Rev 00'!$A$1</definedName>
    <definedName name="F7.37" localSheetId="0">'[16]F-7.37 Rev 00'!$A$1</definedName>
    <definedName name="F7.37">'[17]F-7.37 Rev 00'!$A$1</definedName>
    <definedName name="F7.38">'[14]F-7.38 Rev 01'!$A$1</definedName>
    <definedName name="F7.39" localSheetId="1">#REF!</definedName>
    <definedName name="F7.39">#REF!</definedName>
    <definedName name="F7.40">'[14]F-7.40 Rev 00'!$A$1</definedName>
    <definedName name="F7.41">'[14]F-7.41 Rev 03'!$A$1</definedName>
    <definedName name="F7.42">'[14]F-7.42 Rev 00'!$A$1</definedName>
    <definedName name="F7.43">'[15]F-7.43 Rev 00'!$A$1</definedName>
    <definedName name="F7.44">'[14]F-7.44 Rev 01'!$A$1</definedName>
    <definedName name="F7.45" localSheetId="1">#REF!</definedName>
    <definedName name="F7.45">#REF!</definedName>
    <definedName name="F7.46">'[14]F-7.46 Rev 01'!$A$1</definedName>
    <definedName name="F7.47">'[14]F-7.47 Rev 01'!$A$1</definedName>
    <definedName name="F7.48">'[14]F-7.48 Rev 00'!$A$1</definedName>
    <definedName name="F7.49">'[14]F-7.49 Rev 01'!$A$1</definedName>
    <definedName name="F7.50" localSheetId="1">'[10]F-7.50 Rev 00'!$A$1</definedName>
    <definedName name="F7.50" localSheetId="0">'[10]F-7.50 Rev 00'!$A$1</definedName>
    <definedName name="F7.50">'[11]F-7.50 Rev 00'!$A$1</definedName>
    <definedName name="F7.52">'[14]F-7.52 Rev 01'!$A$1</definedName>
    <definedName name="F7.53">'[14]F-7.53 Rev 02'!$A$1</definedName>
    <definedName name="F7.55" localSheetId="1">'[10]F-7.55 Rev 00'!$A$1</definedName>
    <definedName name="F7.55" localSheetId="0">'[10]F-7.55 Rev 00'!$A$1</definedName>
    <definedName name="F7.55">'[11]F-7.55 Rev 00'!$A$1</definedName>
    <definedName name="F7.56" localSheetId="1">'[10]F-7.56 Rev 00'!$A$1</definedName>
    <definedName name="F7.56" localSheetId="0">'[10]F-7.56 Rev 00'!$A$1</definedName>
    <definedName name="F7.56">'[11]F-7.56 Rev 00'!$A$1</definedName>
    <definedName name="F7.57">'[14]F-7.57 Rev 00'!$A$1</definedName>
    <definedName name="F7.58" localSheetId="1">#REF!</definedName>
    <definedName name="F7.58">#REF!</definedName>
    <definedName name="F7.59">'[13]F-7.59 Rev 00'!$A$1</definedName>
    <definedName name="F7.63" localSheetId="1">#REF!</definedName>
    <definedName name="F7.63">#REF!</definedName>
    <definedName name="F7.65" localSheetId="1">'[16]F-7.65 Rev 00'!$A$1</definedName>
    <definedName name="F7.65" localSheetId="0">'[16]F-7.65 Rev 00'!$A$1</definedName>
    <definedName name="F7.65">'[17]F-7.65 Rev 00'!$A$1</definedName>
    <definedName name="F7.66">'[14]F-7.66 Rev 01'!$A$1</definedName>
    <definedName name="F7.68" localSheetId="1">'[5]F-7.68 Rev 00'!$A$1</definedName>
    <definedName name="F7.68" localSheetId="0">'[5]F-7.68 Rev 00'!$A$1</definedName>
    <definedName name="F7.68">'[6]F-7.68 Rev 00'!$A$1</definedName>
    <definedName name="F7.69" localSheetId="1">'[16]F-7.69 Rev 00'!$A$1</definedName>
    <definedName name="F7.69" localSheetId="0">'[16]F-7.69 Rev 00'!$A$1</definedName>
    <definedName name="F7.69">'[17]F-7.69 Rev 00'!$A$1</definedName>
    <definedName name="F7.70" localSheetId="1">'[16]F-7.70 Rev 00'!$A$1</definedName>
    <definedName name="F7.70" localSheetId="0">'[16]F-7.70 Rev 00'!$A$1</definedName>
    <definedName name="F7.70">'[17]F-7.70 Rev 00'!$A$1</definedName>
    <definedName name="F7.71" localSheetId="1">'[16]F-7.71 Rev 00'!$A$1</definedName>
    <definedName name="F7.71" localSheetId="0">'[16]F-7.71 Rev 00'!$A$1</definedName>
    <definedName name="F7.71">'[17]F-7.71 Rev 00'!$A$1</definedName>
    <definedName name="F7.72" localSheetId="1">#REF!</definedName>
    <definedName name="F7.72">#REF!</definedName>
    <definedName name="F7.73" localSheetId="1">'[10]F-7.73 Rev 00'!$A$1</definedName>
    <definedName name="F7.73" localSheetId="0">'[10]F-7.73 Rev 00'!$A$1</definedName>
    <definedName name="F7.73">'[11]F-7.73 Rev 00'!$A$1</definedName>
    <definedName name="F7.75" localSheetId="1">#REF!</definedName>
    <definedName name="F7.75">#REF!</definedName>
    <definedName name="F7.86" localSheetId="1">#REF!</definedName>
    <definedName name="F7.86" localSheetId="0">#REF!</definedName>
    <definedName name="F7.86">#REF!</definedName>
    <definedName name="F7.88" localSheetId="1">#REF!</definedName>
    <definedName name="F7.88" localSheetId="0">#REF!</definedName>
    <definedName name="F7.88">#REF!</definedName>
    <definedName name="F7.89" localSheetId="1">#REF!</definedName>
    <definedName name="F7.89" localSheetId="0">#REF!</definedName>
    <definedName name="F7.89">#REF!</definedName>
    <definedName name="F7.90">'[25]F-7.90 Rev 02'!$A$1</definedName>
    <definedName name="F7.91" localSheetId="1">'[12]F-7.91 Rev 00'!$A$1</definedName>
    <definedName name="F7.91" localSheetId="0">'[12]F-7.91 Rev 00'!$A$1</definedName>
    <definedName name="F7.92" localSheetId="1">'[12]F-7.92 Rev 00'!$A$1</definedName>
    <definedName name="F7.92" localSheetId="0">'[12]F-7.92 Rev 00'!$A$1</definedName>
    <definedName name="F7.93" localSheetId="1">'[12]F-7.93 Rev 00'!$A$1</definedName>
    <definedName name="F7.93" localSheetId="0">'[12]F-7.93 Rev 00'!$A$1</definedName>
    <definedName name="F7.94" localSheetId="1">'[12]F-7.94 Rev 00'!$A$1</definedName>
    <definedName name="F7.94" localSheetId="0">'[12]F-7.94 Rev 00'!$A$1</definedName>
    <definedName name="F7.95" localSheetId="1">'[23]F-7.95 Rev 00'!$A$1</definedName>
    <definedName name="F7.95" localSheetId="0">'[23]F-7.95 Rev 00'!$A$1</definedName>
    <definedName name="F7.95">'[18]F-7.95 Rev 00'!$A$1</definedName>
    <definedName name="F7.96" localSheetId="1">'[23]F-7.96 Rev 00'!$A$1</definedName>
    <definedName name="F7.96" localSheetId="0">'[23]F-7.96 Rev 00'!$A$1</definedName>
    <definedName name="F7.96">'[18]F-7.96 Rev 00'!$A$1</definedName>
    <definedName name="F7.97">'[21]F-7.97 Rev 00'!$A$1</definedName>
    <definedName name="F7.98">'[14]F-7.98 Rev 01'!$A$1</definedName>
    <definedName name="F7.99">'[14]F-7.99 Rev 02'!$A$1</definedName>
    <definedName name="LANT" localSheetId="1">#REF!</definedName>
    <definedName name="LANT">#REF!</definedName>
    <definedName name="MnValor" localSheetId="1">#REF!</definedName>
    <definedName name="MnValor">#REF!</definedName>
    <definedName name="OUTROS" localSheetId="1">#REF!</definedName>
    <definedName name="OUTROS">#REF!</definedName>
    <definedName name="total" localSheetId="1">#REF!</definedName>
    <definedName name="total">#REF!</definedName>
    <definedName name="Z_7EAACBAD_C652_4EA3_A0AF_62412D25DCC6_.wvu.PrintArea" localSheetId="1" hidden="1">'SJCPIL-R 17-203-00'!$A$1:$U$43</definedName>
    <definedName name="Z_7EAACBAD_C652_4EA3_A0AF_62412D25DCC6_.wvu.PrintArea" localSheetId="0" hidden="1">'SJCPIL-R 17-203-00 (Forecast)'!$A$1:$U$43</definedName>
    <definedName name="Z_CA4D3B59_92A2_447C_A1A8_A00FAAA76E92_.wvu.PrintArea" localSheetId="1" hidden="1">'SJCPIL-R 17-203-00'!$A$1:$U$43</definedName>
    <definedName name="Z_CA4D3B59_92A2_447C_A1A8_A00FAAA76E92_.wvu.PrintArea" localSheetId="0" hidden="1">'SJCPIL-R 17-203-00 (Forecast)'!$A$1:$U$43</definedName>
  </definedNames>
  <calcPr calcId="191029" concurrentManualCount="2"/>
  <customWorkbookViews>
    <customWorkbookView name="Aldenir Regis - Modo de exibição pessoal" guid="{7EAACBAD-C652-4EA3-A0AF-62412D25DCC6}" mergeInterval="0" personalView="1" maximized="1" xWindow="-8" yWindow="-8" windowWidth="1296" windowHeight="1000" activeSheetId="2" showComments="commIndAndComment"/>
    <customWorkbookView name="Osvaldo Martins Torquati - Modo de exibição pessoal" guid="{CA4D3B59-92A2-447C-A1A8-A00FAAA76E92}" mergeInterval="0" personalView="1" maximized="1" xWindow="-8" yWindow="-8" windowWidth="1382" windowHeight="744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1" i="1" l="1"/>
  <c r="Q41" i="1"/>
  <c r="R40" i="1"/>
  <c r="Q40" i="1"/>
  <c r="P41" i="1"/>
  <c r="P40" i="1"/>
  <c r="N41" i="1"/>
  <c r="M41" i="1"/>
  <c r="N40" i="1"/>
  <c r="M40" i="1"/>
  <c r="L41" i="1"/>
  <c r="L40" i="1"/>
  <c r="I40" i="1"/>
  <c r="J40" i="1"/>
  <c r="I41" i="1"/>
  <c r="J41" i="1"/>
  <c r="H41" i="1"/>
  <c r="H40" i="1"/>
  <c r="F41" i="1"/>
  <c r="E41" i="1"/>
  <c r="F40" i="1"/>
  <c r="E40" i="1"/>
  <c r="D40" i="1"/>
  <c r="P42" i="1" l="1"/>
  <c r="D3" i="2" l="1"/>
  <c r="D41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M32" i="2" l="1"/>
  <c r="M29" i="2"/>
  <c r="L32" i="2"/>
  <c r="L29" i="2"/>
  <c r="J43" i="1" l="1"/>
  <c r="G43" i="1"/>
  <c r="H32" i="2" l="1"/>
  <c r="H29" i="2"/>
  <c r="F32" i="2"/>
  <c r="F29" i="2"/>
  <c r="E32" i="2" l="1"/>
  <c r="E29" i="2"/>
  <c r="N15" i="2"/>
  <c r="M15" i="2"/>
  <c r="L15" i="2"/>
  <c r="J15" i="2"/>
  <c r="I15" i="2"/>
  <c r="H15" i="2"/>
  <c r="N42" i="1" l="1"/>
  <c r="M42" i="1"/>
  <c r="J42" i="1"/>
  <c r="I42" i="1"/>
  <c r="F42" i="1"/>
  <c r="E42" i="1"/>
  <c r="G32" i="1"/>
  <c r="R4" i="2" l="1"/>
  <c r="R43" i="2" s="1"/>
  <c r="Q4" i="2"/>
  <c r="Q43" i="2" s="1"/>
  <c r="P4" i="2"/>
  <c r="P43" i="2" s="1"/>
  <c r="N4" i="2"/>
  <c r="N43" i="2" s="1"/>
  <c r="M4" i="2"/>
  <c r="M43" i="2" s="1"/>
  <c r="M22" i="2" s="1"/>
  <c r="M18" i="2" s="1"/>
  <c r="L4" i="2"/>
  <c r="L43" i="2" s="1"/>
  <c r="L22" i="2" s="1"/>
  <c r="L18" i="2" s="1"/>
  <c r="J4" i="2"/>
  <c r="I4" i="2"/>
  <c r="H4" i="2"/>
  <c r="H43" i="2" s="1"/>
  <c r="F4" i="2"/>
  <c r="F43" i="2" s="1"/>
  <c r="E4" i="2"/>
  <c r="D4" i="2"/>
  <c r="D43" i="2" s="1"/>
  <c r="D15" i="1"/>
  <c r="D12" i="1"/>
  <c r="D9" i="1"/>
  <c r="E15" i="2"/>
  <c r="F15" i="2" s="1"/>
  <c r="D15" i="2"/>
  <c r="P12" i="2"/>
  <c r="Q12" i="2" s="1"/>
  <c r="R12" i="2" s="1"/>
  <c r="L12" i="2"/>
  <c r="M12" i="2" s="1"/>
  <c r="N12" i="2" s="1"/>
  <c r="H12" i="2"/>
  <c r="I12" i="2" s="1"/>
  <c r="J12" i="2" s="1"/>
  <c r="F12" i="2"/>
  <c r="E12" i="2"/>
  <c r="P9" i="2"/>
  <c r="Q9" i="2" s="1"/>
  <c r="R9" i="2" s="1"/>
  <c r="L9" i="2"/>
  <c r="M9" i="2" s="1"/>
  <c r="N9" i="2" s="1"/>
  <c r="J9" i="2"/>
  <c r="I9" i="2"/>
  <c r="H9" i="2"/>
  <c r="F9" i="2"/>
  <c r="E9" i="2"/>
  <c r="D12" i="2"/>
  <c r="D9" i="2"/>
  <c r="J43" i="2" l="1"/>
  <c r="I43" i="2"/>
  <c r="H26" i="2"/>
  <c r="H22" i="2"/>
  <c r="H18" i="2" s="1"/>
  <c r="E43" i="2"/>
  <c r="E22" i="2" s="1"/>
  <c r="F22" i="2"/>
  <c r="F18" i="2" s="1"/>
  <c r="F26" i="2"/>
  <c r="F27" i="2" s="1"/>
  <c r="C3" i="2"/>
  <c r="S35" i="2"/>
  <c r="O35" i="2"/>
  <c r="K35" i="2"/>
  <c r="G35" i="2"/>
  <c r="S29" i="2"/>
  <c r="O29" i="2"/>
  <c r="K29" i="2"/>
  <c r="O32" i="2"/>
  <c r="F33" i="2"/>
  <c r="E33" i="2"/>
  <c r="D33" i="2"/>
  <c r="F30" i="2"/>
  <c r="E30" i="2"/>
  <c r="D30" i="2"/>
  <c r="R23" i="2"/>
  <c r="Q23" i="2"/>
  <c r="P23" i="2"/>
  <c r="N23" i="2"/>
  <c r="M23" i="2"/>
  <c r="L23" i="2"/>
  <c r="H19" i="2"/>
  <c r="R19" i="2"/>
  <c r="Q19" i="2"/>
  <c r="P19" i="2"/>
  <c r="N19" i="2"/>
  <c r="M19" i="2"/>
  <c r="L19" i="2"/>
  <c r="F19" i="2"/>
  <c r="R16" i="2"/>
  <c r="Q16" i="2"/>
  <c r="P16" i="2"/>
  <c r="N16" i="2"/>
  <c r="M16" i="2"/>
  <c r="L16" i="2"/>
  <c r="J16" i="2"/>
  <c r="I16" i="2"/>
  <c r="H16" i="2"/>
  <c r="E16" i="2"/>
  <c r="D16" i="2"/>
  <c r="R13" i="2"/>
  <c r="Q13" i="2"/>
  <c r="P13" i="2"/>
  <c r="J13" i="2"/>
  <c r="I13" i="2"/>
  <c r="H13" i="2"/>
  <c r="F13" i="2"/>
  <c r="E13" i="2"/>
  <c r="D13" i="2"/>
  <c r="N13" i="2"/>
  <c r="R10" i="2"/>
  <c r="Q10" i="2"/>
  <c r="P10" i="2"/>
  <c r="N10" i="2"/>
  <c r="M10" i="2"/>
  <c r="L10" i="2"/>
  <c r="J10" i="2"/>
  <c r="I10" i="2"/>
  <c r="H10" i="2"/>
  <c r="F10" i="2"/>
  <c r="E10" i="2"/>
  <c r="D10" i="2"/>
  <c r="D44" i="1"/>
  <c r="E44" i="1" s="1"/>
  <c r="D25" i="1"/>
  <c r="D22" i="1"/>
  <c r="D21" i="1"/>
  <c r="D18" i="1"/>
  <c r="F23" i="2" l="1"/>
  <c r="H23" i="2"/>
  <c r="I26" i="2"/>
  <c r="I22" i="2"/>
  <c r="J26" i="2"/>
  <c r="J22" i="2"/>
  <c r="E18" i="2"/>
  <c r="E19" i="2" s="1"/>
  <c r="E23" i="2"/>
  <c r="M38" i="2" a="1"/>
  <c r="M38" i="2" s="1"/>
  <c r="M33" i="2"/>
  <c r="M30" i="2"/>
  <c r="M27" i="2"/>
  <c r="M13" i="2"/>
  <c r="L13" i="2"/>
  <c r="J18" i="2" l="1"/>
  <c r="J19" i="2" s="1"/>
  <c r="J23" i="2"/>
  <c r="I18" i="2"/>
  <c r="I23" i="2"/>
  <c r="M37" i="2"/>
  <c r="L27" i="2" l="1"/>
  <c r="L38" i="2" l="1" a="1"/>
  <c r="L38" i="2" s="1"/>
  <c r="L33" i="2"/>
  <c r="L30" i="2"/>
  <c r="L37" i="2" l="1"/>
  <c r="J38" i="2" a="1"/>
  <c r="J38" i="2" s="1"/>
  <c r="J33" i="2"/>
  <c r="J30" i="2"/>
  <c r="J37" i="2" l="1"/>
  <c r="I27" i="2"/>
  <c r="J34" i="2" l="1"/>
  <c r="H27" i="2" l="1"/>
  <c r="G29" i="2" l="1"/>
  <c r="F16" i="2" l="1"/>
  <c r="F38" i="2" s="1" a="1"/>
  <c r="F38" i="2" s="1"/>
  <c r="F37" i="2" l="1"/>
  <c r="E37" i="2"/>
  <c r="D37" i="2"/>
  <c r="E38" i="2" l="1" a="1"/>
  <c r="E38" i="2" s="1"/>
  <c r="D38" i="2" a="1"/>
  <c r="D38" i="2" s="1"/>
  <c r="E22" i="1" l="1"/>
  <c r="F22" i="1" s="1"/>
  <c r="H22" i="1" s="1"/>
  <c r="I22" i="1" s="1"/>
  <c r="J22" i="1" s="1"/>
  <c r="L22" i="1" s="1"/>
  <c r="M22" i="1" s="1"/>
  <c r="N22" i="1" s="1"/>
  <c r="P22" i="1" s="1"/>
  <c r="Q22" i="1" s="1"/>
  <c r="R22" i="1" s="1"/>
  <c r="I32" i="1"/>
  <c r="I29" i="1"/>
  <c r="E29" i="1"/>
  <c r="F29" i="1" s="1"/>
  <c r="H29" i="1" s="1"/>
  <c r="J29" i="1" s="1"/>
  <c r="L29" i="1" s="1"/>
  <c r="M29" i="1" s="1"/>
  <c r="N29" i="1" s="1"/>
  <c r="P29" i="1" s="1"/>
  <c r="Q29" i="1" s="1"/>
  <c r="R29" i="1" s="1"/>
  <c r="Q21" i="1"/>
  <c r="R21" i="1" s="1"/>
  <c r="M21" i="1"/>
  <c r="N21" i="1" s="1"/>
  <c r="I21" i="1"/>
  <c r="J21" i="1" s="1"/>
  <c r="E21" i="1"/>
  <c r="F21" i="1" s="1"/>
  <c r="E12" i="1"/>
  <c r="F12" i="1" s="1"/>
  <c r="H12" i="1" s="1"/>
  <c r="J12" i="1" s="1"/>
  <c r="L12" i="1" s="1"/>
  <c r="N12" i="1" s="1"/>
  <c r="P12" i="1" s="1"/>
  <c r="R12" i="1" s="1"/>
  <c r="E6" i="1"/>
  <c r="F6" i="1" s="1"/>
  <c r="H6" i="1" s="1"/>
  <c r="I6" i="1" s="1"/>
  <c r="J6" i="1" s="1"/>
  <c r="L6" i="1" s="1"/>
  <c r="M6" i="1" s="1"/>
  <c r="N6" i="1" s="1"/>
  <c r="P6" i="1" s="1"/>
  <c r="Q6" i="1" s="1"/>
  <c r="R6" i="1" s="1"/>
  <c r="C43" i="2" l="1"/>
  <c r="C44" i="2"/>
  <c r="C6" i="2" l="1"/>
  <c r="C9" i="2"/>
  <c r="C12" i="2"/>
  <c r="C15" i="2"/>
  <c r="C18" i="2"/>
  <c r="C21" i="2"/>
  <c r="C22" i="2"/>
  <c r="C25" i="2"/>
  <c r="C26" i="2"/>
  <c r="C35" i="2"/>
  <c r="C39" i="2"/>
  <c r="E6" i="2" l="1"/>
  <c r="D7" i="2"/>
  <c r="C29" i="2"/>
  <c r="F6" i="2" l="1"/>
  <c r="F7" i="2" s="1"/>
  <c r="E7" i="2"/>
  <c r="C32" i="2"/>
  <c r="C41" i="2" l="1"/>
  <c r="C40" i="2" l="1"/>
  <c r="C14" i="2" l="1"/>
  <c r="C8" i="2"/>
  <c r="C11" i="2"/>
  <c r="C20" i="2"/>
  <c r="C5" i="2"/>
  <c r="C24" i="2"/>
  <c r="C42" i="2"/>
  <c r="C34" i="2" l="1"/>
  <c r="C31" i="2"/>
  <c r="C33" i="2"/>
  <c r="C19" i="2"/>
  <c r="C17" i="2"/>
  <c r="C30" i="2"/>
  <c r="C36" i="2"/>
  <c r="C7" i="2"/>
  <c r="C27" i="2"/>
  <c r="C10" i="2"/>
  <c r="C13" i="2"/>
  <c r="C28" i="2"/>
  <c r="C23" i="2"/>
  <c r="C16" i="2"/>
  <c r="C37" i="2" l="1"/>
  <c r="C38" i="2"/>
  <c r="G21" i="2" l="1"/>
  <c r="S32" i="2" l="1"/>
  <c r="E32" i="1" s="1"/>
  <c r="F32" i="1" s="1"/>
  <c r="H32" i="1" s="1"/>
  <c r="J32" i="1" s="1"/>
  <c r="L32" i="1" s="1"/>
  <c r="M32" i="1" s="1"/>
  <c r="N32" i="1" s="1"/>
  <c r="P32" i="1" s="1"/>
  <c r="Q32" i="1" s="1"/>
  <c r="R32" i="1" s="1"/>
  <c r="G32" i="2" l="1"/>
  <c r="H33" i="2" l="1"/>
  <c r="K32" i="2"/>
  <c r="S41" i="2"/>
  <c r="S40" i="2"/>
  <c r="K41" i="2"/>
  <c r="R15" i="1" l="1"/>
  <c r="R9" i="1"/>
  <c r="Q9" i="1"/>
  <c r="P15" i="1"/>
  <c r="P9" i="1"/>
  <c r="N15" i="1"/>
  <c r="N9" i="1"/>
  <c r="M9" i="1"/>
  <c r="L15" i="1"/>
  <c r="L9" i="1"/>
  <c r="J15" i="1"/>
  <c r="J9" i="1"/>
  <c r="I9" i="1"/>
  <c r="H15" i="1"/>
  <c r="H9" i="1"/>
  <c r="F15" i="1"/>
  <c r="F9" i="1"/>
  <c r="E15" i="1"/>
  <c r="E9" i="1"/>
  <c r="F44" i="1"/>
  <c r="G44" i="1" s="1"/>
  <c r="H44" i="1" s="1"/>
  <c r="I44" i="1" s="1"/>
  <c r="J44" i="1" s="1"/>
  <c r="K44" i="1" s="1"/>
  <c r="L44" i="1" s="1"/>
  <c r="M44" i="1" s="1"/>
  <c r="N44" i="1" s="1"/>
  <c r="O44" i="1" s="1"/>
  <c r="P44" i="1" s="1"/>
  <c r="Q44" i="1" s="1"/>
  <c r="R44" i="1" s="1"/>
  <c r="Q46" i="1"/>
  <c r="R46" i="1"/>
  <c r="P46" i="1"/>
  <c r="M46" i="1"/>
  <c r="N46" i="1"/>
  <c r="L46" i="1"/>
  <c r="I46" i="1"/>
  <c r="J46" i="1"/>
  <c r="H46" i="1"/>
  <c r="E46" i="1"/>
  <c r="F46" i="1"/>
  <c r="D46" i="1"/>
  <c r="E43" i="1"/>
  <c r="O46" i="1" l="1"/>
  <c r="G46" i="1"/>
  <c r="F43" i="1"/>
  <c r="H43" i="1" s="1"/>
  <c r="I43" i="1" s="1"/>
  <c r="K46" i="1"/>
  <c r="S46" i="1"/>
  <c r="T39" i="2" a="1"/>
  <c r="T39" i="2" s="1"/>
  <c r="G26" i="2"/>
  <c r="G12" i="2"/>
  <c r="G6" i="2"/>
  <c r="H6" i="2" s="1"/>
  <c r="P3" i="2"/>
  <c r="I6" i="2" l="1"/>
  <c r="H7" i="2"/>
  <c r="G9" i="2"/>
  <c r="G15" i="2"/>
  <c r="G25" i="2"/>
  <c r="J6" i="2" l="1"/>
  <c r="J7" i="2" s="1"/>
  <c r="I7" i="2"/>
  <c r="I19" i="2"/>
  <c r="K26" i="2"/>
  <c r="S42" i="2"/>
  <c r="T29" i="2" a="1"/>
  <c r="T29" i="2" s="1"/>
  <c r="O26" i="2" l="1"/>
  <c r="K22" i="2"/>
  <c r="K25" i="2"/>
  <c r="K21" i="2"/>
  <c r="K15" i="2"/>
  <c r="K12" i="2"/>
  <c r="K18" i="2"/>
  <c r="K6" i="2"/>
  <c r="L6" i="2" s="1"/>
  <c r="L7" i="2" l="1"/>
  <c r="M6" i="2"/>
  <c r="O25" i="2"/>
  <c r="O21" i="2"/>
  <c r="O22" i="2"/>
  <c r="S26" i="2"/>
  <c r="E26" i="1" s="1"/>
  <c r="T26" i="2" a="1"/>
  <c r="T26" i="2" s="1"/>
  <c r="K9" i="2"/>
  <c r="F26" i="1" l="1"/>
  <c r="M7" i="2"/>
  <c r="N6" i="2"/>
  <c r="N7" i="2" s="1"/>
  <c r="O18" i="2"/>
  <c r="T32" i="2" a="1"/>
  <c r="T32" i="2" s="1"/>
  <c r="H26" i="1" l="1"/>
  <c r="S21" i="2"/>
  <c r="T21" i="2" s="1" a="1"/>
  <c r="T21" i="2" s="1"/>
  <c r="O15" i="2"/>
  <c r="O12" i="2"/>
  <c r="S22" i="2"/>
  <c r="S25" i="2"/>
  <c r="T25" i="2" s="1" a="1"/>
  <c r="T25" i="2" s="1"/>
  <c r="O6" i="2"/>
  <c r="P6" i="2" s="1"/>
  <c r="G12" i="1"/>
  <c r="I12" i="1" s="1"/>
  <c r="I15" i="1" s="1"/>
  <c r="K15" i="1" s="1"/>
  <c r="G21" i="1"/>
  <c r="S9" i="1"/>
  <c r="G9" i="1"/>
  <c r="G26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" i="1"/>
  <c r="G6" i="1"/>
  <c r="K6" i="1"/>
  <c r="T39" i="1" a="1"/>
  <c r="T39" i="1" s="1"/>
  <c r="P3" i="1"/>
  <c r="S29" i="1"/>
  <c r="K9" i="1"/>
  <c r="O6" i="1"/>
  <c r="S6" i="1"/>
  <c r="K21" i="1"/>
  <c r="I26" i="1" l="1"/>
  <c r="Q6" i="2"/>
  <c r="P7" i="2"/>
  <c r="K12" i="1"/>
  <c r="M12" i="1" s="1"/>
  <c r="H25" i="1"/>
  <c r="E25" i="1"/>
  <c r="F25" i="1" s="1"/>
  <c r="S18" i="2"/>
  <c r="O9" i="2"/>
  <c r="D8" i="1"/>
  <c r="D31" i="1"/>
  <c r="D17" i="1"/>
  <c r="D11" i="1"/>
  <c r="D24" i="1"/>
  <c r="D27" i="1" s="1"/>
  <c r="D14" i="1"/>
  <c r="D20" i="1"/>
  <c r="D23" i="1" s="1"/>
  <c r="D5" i="1"/>
  <c r="D28" i="1"/>
  <c r="Q5" i="1"/>
  <c r="R31" i="1"/>
  <c r="M24" i="1"/>
  <c r="Q20" i="1"/>
  <c r="E20" i="1"/>
  <c r="R14" i="1"/>
  <c r="R8" i="1"/>
  <c r="N8" i="1"/>
  <c r="J17" i="1"/>
  <c r="Q34" i="1"/>
  <c r="N34" i="1"/>
  <c r="M28" i="1"/>
  <c r="Q11" i="1"/>
  <c r="L17" i="1"/>
  <c r="N5" i="1"/>
  <c r="H5" i="1"/>
  <c r="Q31" i="1"/>
  <c r="I24" i="1"/>
  <c r="P24" i="1"/>
  <c r="L20" i="1"/>
  <c r="F14" i="1"/>
  <c r="J14" i="1"/>
  <c r="J8" i="1"/>
  <c r="N17" i="1"/>
  <c r="H17" i="1"/>
  <c r="L34" i="1"/>
  <c r="F28" i="1"/>
  <c r="L28" i="1"/>
  <c r="L11" i="1"/>
  <c r="L14" i="1"/>
  <c r="J34" i="1"/>
  <c r="M34" i="1"/>
  <c r="M31" i="1"/>
  <c r="N11" i="1"/>
  <c r="R5" i="1"/>
  <c r="F5" i="1"/>
  <c r="L31" i="1"/>
  <c r="R24" i="1"/>
  <c r="E24" i="1"/>
  <c r="J20" i="1"/>
  <c r="E14" i="1"/>
  <c r="H14" i="1"/>
  <c r="Q8" i="1"/>
  <c r="M17" i="1"/>
  <c r="I34" i="1"/>
  <c r="E28" i="1"/>
  <c r="R28" i="1"/>
  <c r="F11" i="1"/>
  <c r="I28" i="1"/>
  <c r="I30" i="2" s="1"/>
  <c r="F17" i="1"/>
  <c r="N28" i="1"/>
  <c r="E11" i="1"/>
  <c r="P8" i="1"/>
  <c r="I11" i="1"/>
  <c r="R20" i="1"/>
  <c r="P20" i="1"/>
  <c r="M8" i="1"/>
  <c r="R34" i="1"/>
  <c r="H11" i="1"/>
  <c r="M5" i="1"/>
  <c r="P5" i="1"/>
  <c r="I31" i="1"/>
  <c r="I33" i="2" s="1"/>
  <c r="Q24" i="1"/>
  <c r="N24" i="1"/>
  <c r="H20" i="1"/>
  <c r="P14" i="1"/>
  <c r="I14" i="1"/>
  <c r="L8" i="1"/>
  <c r="I17" i="1"/>
  <c r="P17" i="1"/>
  <c r="H34" i="1"/>
  <c r="P28" i="1"/>
  <c r="P11" i="1"/>
  <c r="H8" i="1"/>
  <c r="F34" i="1"/>
  <c r="L5" i="1"/>
  <c r="J5" i="1"/>
  <c r="N31" i="1"/>
  <c r="H31" i="1"/>
  <c r="L24" i="1"/>
  <c r="E17" i="1"/>
  <c r="H28" i="1"/>
  <c r="Q28" i="1"/>
  <c r="F24" i="1"/>
  <c r="F27" i="1" s="1"/>
  <c r="J28" i="1"/>
  <c r="I5" i="1"/>
  <c r="E31" i="1"/>
  <c r="J24" i="1"/>
  <c r="M20" i="1"/>
  <c r="F20" i="1"/>
  <c r="N14" i="1"/>
  <c r="F8" i="1"/>
  <c r="R17" i="1"/>
  <c r="P34" i="1"/>
  <c r="R11" i="1"/>
  <c r="M11" i="1"/>
  <c r="E5" i="1"/>
  <c r="F31" i="1"/>
  <c r="J31" i="1"/>
  <c r="H24" i="1"/>
  <c r="I20" i="1"/>
  <c r="N20" i="1"/>
  <c r="Q14" i="1"/>
  <c r="I8" i="1"/>
  <c r="Q17" i="1"/>
  <c r="J11" i="1"/>
  <c r="P31" i="1"/>
  <c r="M14" i="1"/>
  <c r="E8" i="1"/>
  <c r="E34" i="1"/>
  <c r="O29" i="1"/>
  <c r="T29" i="1" s="1" a="1"/>
  <c r="T29" i="1" s="1"/>
  <c r="T6" i="1" a="1"/>
  <c r="T6" i="1" s="1"/>
  <c r="G15" i="1"/>
  <c r="O9" i="1"/>
  <c r="T9" i="1" s="1" a="1"/>
  <c r="T9" i="1" s="1"/>
  <c r="H42" i="1"/>
  <c r="G41" i="1"/>
  <c r="O41" i="1"/>
  <c r="K41" i="1"/>
  <c r="L42" i="1"/>
  <c r="O42" i="1" s="1"/>
  <c r="O40" i="1"/>
  <c r="R42" i="1"/>
  <c r="S40" i="1"/>
  <c r="G40" i="1"/>
  <c r="S41" i="1"/>
  <c r="Q42" i="1"/>
  <c r="K40" i="1"/>
  <c r="D42" i="1"/>
  <c r="H27" i="1" l="1"/>
  <c r="E27" i="1"/>
  <c r="J26" i="1"/>
  <c r="R6" i="2"/>
  <c r="R7" i="2" s="1"/>
  <c r="Q7" i="2"/>
  <c r="I37" i="2"/>
  <c r="I38" i="2" a="1"/>
  <c r="I38" i="2" s="1"/>
  <c r="G25" i="1"/>
  <c r="M15" i="1"/>
  <c r="O15" i="1" s="1"/>
  <c r="O12" i="1"/>
  <c r="H18" i="1"/>
  <c r="E18" i="1"/>
  <c r="I25" i="1"/>
  <c r="J25" i="1" s="1"/>
  <c r="L25" i="1"/>
  <c r="J30" i="1"/>
  <c r="J7" i="1"/>
  <c r="P7" i="1"/>
  <c r="L33" i="1"/>
  <c r="L13" i="1"/>
  <c r="F16" i="1"/>
  <c r="F10" i="1"/>
  <c r="L7" i="1"/>
  <c r="M7" i="1"/>
  <c r="F7" i="1"/>
  <c r="L30" i="1"/>
  <c r="M30" i="1"/>
  <c r="P33" i="1"/>
  <c r="J33" i="1"/>
  <c r="N16" i="1"/>
  <c r="Q30" i="1"/>
  <c r="I16" i="1"/>
  <c r="H13" i="1"/>
  <c r="N30" i="1"/>
  <c r="Q10" i="1"/>
  <c r="R7" i="1"/>
  <c r="F30" i="1"/>
  <c r="P16" i="1"/>
  <c r="N13" i="1"/>
  <c r="R33" i="1"/>
  <c r="J13" i="1"/>
  <c r="P13" i="1"/>
  <c r="M10" i="1"/>
  <c r="I30" i="1"/>
  <c r="M33" i="1"/>
  <c r="Q33" i="1"/>
  <c r="Q7" i="1"/>
  <c r="F33" i="1"/>
  <c r="I10" i="1"/>
  <c r="M13" i="1"/>
  <c r="P30" i="1"/>
  <c r="F13" i="1"/>
  <c r="N10" i="1"/>
  <c r="R13" i="1"/>
  <c r="R30" i="1"/>
  <c r="N7" i="1"/>
  <c r="S34" i="2"/>
  <c r="S36" i="2" s="1"/>
  <c r="I7" i="1"/>
  <c r="N33" i="1"/>
  <c r="I33" i="1"/>
  <c r="I13" i="1"/>
  <c r="L16" i="1"/>
  <c r="J16" i="1"/>
  <c r="R16" i="1"/>
  <c r="E10" i="1"/>
  <c r="E30" i="1"/>
  <c r="E13" i="1"/>
  <c r="E33" i="1"/>
  <c r="E7" i="1"/>
  <c r="E16" i="1"/>
  <c r="O34" i="1"/>
  <c r="O14" i="1"/>
  <c r="G11" i="1"/>
  <c r="K20" i="1"/>
  <c r="K24" i="1"/>
  <c r="G20" i="1"/>
  <c r="G31" i="1"/>
  <c r="G33" i="1" s="1"/>
  <c r="D33" i="1"/>
  <c r="H33" i="1"/>
  <c r="K31" i="1"/>
  <c r="H16" i="1"/>
  <c r="K14" i="1"/>
  <c r="G24" i="1"/>
  <c r="H30" i="1"/>
  <c r="K28" i="1"/>
  <c r="K17" i="1"/>
  <c r="G34" i="1"/>
  <c r="G36" i="1" s="1"/>
  <c r="D10" i="1"/>
  <c r="G8" i="1"/>
  <c r="P10" i="1"/>
  <c r="H7" i="1"/>
  <c r="K5" i="1"/>
  <c r="G28" i="1"/>
  <c r="G30" i="1" s="1"/>
  <c r="D30" i="1"/>
  <c r="H10" i="1"/>
  <c r="K8" i="1"/>
  <c r="G17" i="1"/>
  <c r="G14" i="1"/>
  <c r="J10" i="1"/>
  <c r="L10" i="1"/>
  <c r="D16" i="1"/>
  <c r="R10" i="1"/>
  <c r="G5" i="1"/>
  <c r="D7" i="1"/>
  <c r="O32" i="1"/>
  <c r="T35" i="2" a="1"/>
  <c r="T35" i="2" s="1"/>
  <c r="D13" i="1"/>
  <c r="K34" i="1"/>
  <c r="S24" i="1"/>
  <c r="O31" i="1"/>
  <c r="T41" i="1" a="1"/>
  <c r="T41" i="1" s="1"/>
  <c r="O8" i="1"/>
  <c r="O11" i="1"/>
  <c r="K42" i="1"/>
  <c r="O21" i="1"/>
  <c r="O24" i="1"/>
  <c r="S17" i="1"/>
  <c r="S5" i="1"/>
  <c r="O20" i="1"/>
  <c r="T40" i="1" a="1"/>
  <c r="T40" i="1" s="1"/>
  <c r="U40" i="1" s="1"/>
  <c r="O5" i="1"/>
  <c r="O28" i="1"/>
  <c r="S42" i="1"/>
  <c r="S20" i="1"/>
  <c r="S28" i="1"/>
  <c r="S14" i="1"/>
  <c r="O17" i="1"/>
  <c r="G42" i="1"/>
  <c r="S8" i="1"/>
  <c r="S11" i="1"/>
  <c r="S31" i="1"/>
  <c r="S34" i="1"/>
  <c r="I27" i="1" l="1"/>
  <c r="L26" i="1"/>
  <c r="J27" i="1"/>
  <c r="K26" i="1"/>
  <c r="K25" i="1"/>
  <c r="M16" i="1"/>
  <c r="M38" i="1" s="1" a="1"/>
  <c r="M38" i="1" s="1"/>
  <c r="Q12" i="1"/>
  <c r="D19" i="1"/>
  <c r="I18" i="1"/>
  <c r="L18" i="1"/>
  <c r="F18" i="1"/>
  <c r="M25" i="1"/>
  <c r="P25" i="1"/>
  <c r="D38" i="1" a="1"/>
  <c r="D38" i="1" s="1"/>
  <c r="M37" i="1"/>
  <c r="N38" i="1" a="1"/>
  <c r="N38" i="1" s="1"/>
  <c r="J37" i="1"/>
  <c r="N37" i="1"/>
  <c r="Q37" i="1"/>
  <c r="S30" i="1"/>
  <c r="P37" i="1"/>
  <c r="F38" i="1" a="1"/>
  <c r="F38" i="1" s="1"/>
  <c r="E38" i="1" a="1"/>
  <c r="E38" i="1" s="1"/>
  <c r="I37" i="1"/>
  <c r="F37" i="1"/>
  <c r="K13" i="1"/>
  <c r="O7" i="1"/>
  <c r="S7" i="1"/>
  <c r="G27" i="1"/>
  <c r="G10" i="1"/>
  <c r="O13" i="1"/>
  <c r="I38" i="1" a="1"/>
  <c r="I38" i="1" s="1"/>
  <c r="L37" i="1"/>
  <c r="J38" i="1" a="1"/>
  <c r="J38" i="1" s="1"/>
  <c r="R37" i="1"/>
  <c r="O33" i="1"/>
  <c r="L38" i="1" a="1"/>
  <c r="L38" i="1" s="1"/>
  <c r="K16" i="1"/>
  <c r="K7" i="1"/>
  <c r="R38" i="1" a="1"/>
  <c r="R38" i="1" s="1"/>
  <c r="P38" i="1" a="1"/>
  <c r="P38" i="1" s="1"/>
  <c r="S8" i="2"/>
  <c r="S17" i="2"/>
  <c r="S19" i="2" s="1"/>
  <c r="S28" i="2"/>
  <c r="S30" i="2" s="1"/>
  <c r="S31" i="2"/>
  <c r="S33" i="2" s="1"/>
  <c r="S14" i="2"/>
  <c r="S5" i="2"/>
  <c r="S23" i="2"/>
  <c r="S20" i="2"/>
  <c r="S11" i="2"/>
  <c r="S27" i="2"/>
  <c r="S24" i="2"/>
  <c r="E37" i="1"/>
  <c r="G16" i="1"/>
  <c r="G7" i="1"/>
  <c r="G17" i="2"/>
  <c r="T11" i="1" a="1"/>
  <c r="T11" i="1" s="1"/>
  <c r="O10" i="1"/>
  <c r="T14" i="1" a="1"/>
  <c r="T14" i="1" s="1"/>
  <c r="T31" i="1" a="1"/>
  <c r="T31" i="1" s="1"/>
  <c r="H38" i="1" a="1"/>
  <c r="H38" i="1" s="1"/>
  <c r="K10" i="1"/>
  <c r="H37" i="1"/>
  <c r="D37" i="1"/>
  <c r="S32" i="1"/>
  <c r="T32" i="1" s="1" a="1"/>
  <c r="T32" i="1" s="1"/>
  <c r="S33" i="1"/>
  <c r="O35" i="1"/>
  <c r="G13" i="1"/>
  <c r="T24" i="1" a="1"/>
  <c r="T24" i="1" s="1"/>
  <c r="T34" i="1" a="1"/>
  <c r="T34" i="1" s="1"/>
  <c r="O36" i="1"/>
  <c r="T28" i="1" a="1"/>
  <c r="T28" i="1" s="1"/>
  <c r="T8" i="1" a="1"/>
  <c r="T8" i="1" s="1"/>
  <c r="T42" i="1" a="1"/>
  <c r="T42" i="1" s="1"/>
  <c r="S21" i="1"/>
  <c r="T21" i="1" s="1" a="1"/>
  <c r="T21" i="1" s="1"/>
  <c r="T5" i="1" a="1"/>
  <c r="T5" i="1" s="1"/>
  <c r="T20" i="1" a="1"/>
  <c r="T20" i="1" s="1"/>
  <c r="O30" i="1"/>
  <c r="S10" i="1"/>
  <c r="T17" i="1" a="1"/>
  <c r="T17" i="1" s="1"/>
  <c r="K27" i="1" l="1"/>
  <c r="K37" i="1"/>
  <c r="G37" i="1"/>
  <c r="M26" i="1"/>
  <c r="L27" i="1"/>
  <c r="O16" i="1"/>
  <c r="O38" i="1" s="1" a="1"/>
  <c r="O38" i="1" s="1"/>
  <c r="Q15" i="1"/>
  <c r="S12" i="1"/>
  <c r="T12" i="1" s="1" a="1"/>
  <c r="T12" i="1" s="1"/>
  <c r="Q13" i="1"/>
  <c r="G22" i="1"/>
  <c r="G19" i="1" s="1"/>
  <c r="F19" i="1"/>
  <c r="G18" i="1"/>
  <c r="M18" i="1"/>
  <c r="P18" i="1"/>
  <c r="E23" i="1"/>
  <c r="E19" i="1"/>
  <c r="J18" i="1"/>
  <c r="F23" i="1"/>
  <c r="K22" i="1"/>
  <c r="K19" i="1" s="1"/>
  <c r="H19" i="1"/>
  <c r="H23" i="1"/>
  <c r="Q25" i="1"/>
  <c r="N25" i="1"/>
  <c r="S13" i="2"/>
  <c r="S12" i="2"/>
  <c r="T12" i="2" s="1" a="1"/>
  <c r="T12" i="2" s="1"/>
  <c r="T30" i="1" a="1"/>
  <c r="T30" i="1" s="1"/>
  <c r="K38" i="1" a="1"/>
  <c r="K38" i="1" s="1"/>
  <c r="O37" i="1"/>
  <c r="T7" i="1" a="1"/>
  <c r="T7" i="1" s="1"/>
  <c r="T33" i="1" a="1"/>
  <c r="T33" i="1" s="1"/>
  <c r="G38" i="1" a="1"/>
  <c r="G38" i="1" s="1"/>
  <c r="S37" i="2"/>
  <c r="S7" i="2"/>
  <c r="S6" i="2"/>
  <c r="T6" i="2" s="1" a="1"/>
  <c r="T6" i="2" s="1"/>
  <c r="S9" i="2"/>
  <c r="T10" i="1" a="1"/>
  <c r="T10" i="1" s="1"/>
  <c r="N26" i="1" l="1"/>
  <c r="M27" i="1"/>
  <c r="S13" i="1"/>
  <c r="G23" i="1"/>
  <c r="S15" i="1"/>
  <c r="T15" i="1" a="1"/>
  <c r="T15" i="1" s="1"/>
  <c r="Q16" i="1"/>
  <c r="Q38" i="1" s="1" a="1"/>
  <c r="Q38" i="1" s="1"/>
  <c r="O25" i="1"/>
  <c r="J19" i="1"/>
  <c r="J23" i="1"/>
  <c r="I19" i="1"/>
  <c r="I23" i="1"/>
  <c r="L23" i="1"/>
  <c r="L19" i="1"/>
  <c r="Q18" i="1"/>
  <c r="N18" i="1"/>
  <c r="R25" i="1"/>
  <c r="S16" i="2"/>
  <c r="S15" i="2"/>
  <c r="T15" i="2" s="1" a="1"/>
  <c r="T15" i="2" s="1"/>
  <c r="S10" i="2"/>
  <c r="T9" i="2" a="1"/>
  <c r="T9" i="2" s="1"/>
  <c r="P26" i="1" l="1"/>
  <c r="N27" i="1"/>
  <c r="O27" i="1" s="1"/>
  <c r="O26" i="1"/>
  <c r="S16" i="1"/>
  <c r="S38" i="1" s="1" a="1"/>
  <c r="S38" i="1" s="1"/>
  <c r="T38" i="1" s="1" a="1"/>
  <c r="T38" i="1" s="1"/>
  <c r="T13" i="1" a="1"/>
  <c r="T13" i="1" s="1"/>
  <c r="K23" i="1"/>
  <c r="S25" i="1"/>
  <c r="T25" i="1" s="1" a="1"/>
  <c r="T25" i="1" s="1"/>
  <c r="O22" i="1"/>
  <c r="O19" i="1" s="1"/>
  <c r="O18" i="1"/>
  <c r="R18" i="1"/>
  <c r="M19" i="1"/>
  <c r="M23" i="1"/>
  <c r="N23" i="1"/>
  <c r="P23" i="1"/>
  <c r="P19" i="1"/>
  <c r="S38" i="2" a="1"/>
  <c r="S38" i="2" s="1"/>
  <c r="S37" i="1"/>
  <c r="T37" i="1" s="1" a="1"/>
  <c r="T37" i="1" s="1"/>
  <c r="S35" i="1"/>
  <c r="T35" i="1" s="1" a="1"/>
  <c r="T35" i="1" s="1"/>
  <c r="Q26" i="1" l="1"/>
  <c r="P27" i="1"/>
  <c r="T16" i="1" a="1"/>
  <c r="T16" i="1" s="1"/>
  <c r="O23" i="1"/>
  <c r="S18" i="1"/>
  <c r="T18" i="1" s="1" a="1"/>
  <c r="T18" i="1" s="1"/>
  <c r="N19" i="1"/>
  <c r="Q23" i="1"/>
  <c r="Q19" i="1"/>
  <c r="R23" i="1"/>
  <c r="R19" i="1"/>
  <c r="S36" i="1"/>
  <c r="T36" i="1" s="1" a="1"/>
  <c r="T36" i="1" s="1"/>
  <c r="R26" i="1" l="1"/>
  <c r="Q27" i="1"/>
  <c r="S23" i="1"/>
  <c r="T23" i="1" s="1" a="1"/>
  <c r="T23" i="1" s="1"/>
  <c r="S22" i="1"/>
  <c r="R27" i="1" l="1"/>
  <c r="S27" i="1" s="1"/>
  <c r="T27" i="1" s="1" a="1"/>
  <c r="T27" i="1" s="1"/>
  <c r="S26" i="1"/>
  <c r="T26" i="1" s="1" a="1"/>
  <c r="T26" i="1" s="1"/>
  <c r="S19" i="1"/>
  <c r="T19" i="1" s="1" a="1"/>
  <c r="T19" i="1" s="1"/>
  <c r="T22" i="1" a="1"/>
  <c r="T22" i="1" s="1"/>
  <c r="G5" i="2"/>
  <c r="G11" i="2"/>
  <c r="G31" i="2"/>
  <c r="G33" i="2" s="1"/>
  <c r="G28" i="2"/>
  <c r="G27" i="2"/>
  <c r="G24" i="2"/>
  <c r="G20" i="2"/>
  <c r="G14" i="2"/>
  <c r="G8" i="2"/>
  <c r="G34" i="2"/>
  <c r="G36" i="2" s="1"/>
  <c r="G30" i="2" l="1"/>
  <c r="G37" i="2" s="1"/>
  <c r="H30" i="2"/>
  <c r="H37" i="2" s="1"/>
  <c r="H38" i="2" a="1"/>
  <c r="H38" i="2" s="1"/>
  <c r="G10" i="2"/>
  <c r="G13" i="2"/>
  <c r="G16" i="2"/>
  <c r="G7" i="2"/>
  <c r="G38" i="2" l="1" a="1"/>
  <c r="G38" i="2" s="1"/>
  <c r="K42" i="2" l="1"/>
  <c r="K40" i="2"/>
  <c r="K16" i="2" l="1"/>
  <c r="K14" i="2"/>
  <c r="K27" i="2"/>
  <c r="K24" i="2"/>
  <c r="K23" i="2"/>
  <c r="K20" i="2"/>
  <c r="K17" i="2"/>
  <c r="K19" i="2" s="1"/>
  <c r="K31" i="2"/>
  <c r="K33" i="2" s="1"/>
  <c r="K7" i="2"/>
  <c r="K5" i="2"/>
  <c r="K10" i="2"/>
  <c r="K8" i="2"/>
  <c r="K11" i="2"/>
  <c r="K28" i="2"/>
  <c r="K30" i="2" s="1"/>
  <c r="K34" i="2"/>
  <c r="K36" i="2" s="1"/>
  <c r="K13" i="2" l="1"/>
  <c r="K37" i="2"/>
  <c r="K38" i="2" l="1" a="1"/>
  <c r="K38" i="2" s="1"/>
  <c r="O41" i="2" l="1"/>
  <c r="O40" i="2" l="1"/>
  <c r="O14" i="2" l="1"/>
  <c r="T14" i="2" s="1" a="1"/>
  <c r="T14" i="2" s="1"/>
  <c r="O8" i="2"/>
  <c r="T8" i="2" s="1" a="1"/>
  <c r="T8" i="2" s="1"/>
  <c r="O17" i="2"/>
  <c r="O19" i="2" s="1"/>
  <c r="O11" i="2"/>
  <c r="T11" i="2" s="1" a="1"/>
  <c r="T11" i="2" s="1"/>
  <c r="O34" i="2"/>
  <c r="O36" i="2" s="1"/>
  <c r="O20" i="2"/>
  <c r="T20" i="2" s="1" a="1"/>
  <c r="T20" i="2" s="1"/>
  <c r="O5" i="2"/>
  <c r="T5" i="2" s="1" a="1"/>
  <c r="T5" i="2" s="1"/>
  <c r="O24" i="2"/>
  <c r="T24" i="2" s="1" a="1"/>
  <c r="T24" i="2" s="1"/>
  <c r="O28" i="2"/>
  <c r="O30" i="2" s="1"/>
  <c r="O31" i="2"/>
  <c r="O33" i="2" s="1"/>
  <c r="O42" i="2"/>
  <c r="T34" i="2" l="1" a="1"/>
  <c r="T34" i="2" s="1"/>
  <c r="T31" i="2" a="1"/>
  <c r="T31" i="2" s="1"/>
  <c r="T33" i="2" a="1"/>
  <c r="T33" i="2" s="1"/>
  <c r="T17" i="2" a="1"/>
  <c r="T17" i="2" s="1"/>
  <c r="T30" i="2" a="1"/>
  <c r="T30" i="2" s="1"/>
  <c r="O37" i="2"/>
  <c r="T36" i="2" a="1"/>
  <c r="T36" i="2" s="1"/>
  <c r="O7" i="2"/>
  <c r="T7" i="2" s="1" a="1"/>
  <c r="T7" i="2" s="1"/>
  <c r="O27" i="2"/>
  <c r="T27" i="2" s="1" a="1"/>
  <c r="T27" i="2" s="1"/>
  <c r="O10" i="2"/>
  <c r="T10" i="2" s="1" a="1"/>
  <c r="T10" i="2" s="1"/>
  <c r="O13" i="2"/>
  <c r="T13" i="2" s="1" a="1"/>
  <c r="T13" i="2" s="1"/>
  <c r="T28" i="2" a="1"/>
  <c r="T28" i="2" s="1"/>
  <c r="O23" i="2"/>
  <c r="O16" i="2"/>
  <c r="T16" i="2" s="1" a="1"/>
  <c r="T16" i="2" s="1"/>
  <c r="T37" i="2" l="1" a="1"/>
  <c r="T37" i="2" s="1"/>
  <c r="O38" i="2" a="1"/>
  <c r="O38" i="2" s="1"/>
  <c r="T38" i="2" s="1" a="1"/>
  <c r="T38" i="2" s="1"/>
  <c r="G41" i="2" l="1"/>
  <c r="T41" i="2" s="1" a="1"/>
  <c r="T41" i="2" s="1"/>
  <c r="G42" i="2" l="1"/>
  <c r="T42" i="2" s="1" a="1"/>
  <c r="T42" i="2" s="1"/>
  <c r="G40" i="2" l="1"/>
  <c r="T40" i="2" s="1" a="1"/>
  <c r="T40" i="2" s="1"/>
  <c r="K43" i="1" l="1"/>
  <c r="L43" i="1" s="1"/>
  <c r="M43" i="1" s="1"/>
  <c r="N43" i="1" s="1"/>
  <c r="O43" i="1" s="1"/>
  <c r="P43" i="1" s="1"/>
  <c r="Q43" i="1" s="1"/>
  <c r="R43" i="1" s="1"/>
  <c r="D22" i="2" l="1"/>
  <c r="D23" i="2" s="1"/>
  <c r="D18" i="2" l="1"/>
  <c r="G18" i="2" s="1"/>
  <c r="G22" i="2"/>
  <c r="G19" i="2" s="1"/>
  <c r="T22" i="2" a="1"/>
  <c r="T22" i="2" s="1"/>
  <c r="G23" i="2"/>
  <c r="T23" i="2" s="1" a="1"/>
  <c r="T23" i="2" s="1"/>
  <c r="T18" i="2" a="1"/>
  <c r="T18" i="2" s="1"/>
  <c r="D19" i="2" l="1"/>
  <c r="T19" i="2" s="1" a="1"/>
  <c r="T1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OSVALDO MARTINS TORQUATI</author>
    <author>Osvaldo Martins Torquati</author>
  </authors>
  <commentList>
    <comment ref="B13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OSVALDO MARTINS TORQUATI:</t>
        </r>
        <r>
          <rPr>
            <sz val="9"/>
            <color indexed="81"/>
            <rFont val="Segoe UI"/>
            <family val="2"/>
          </rPr>
          <t xml:space="preserve">
Somado ao item 16 é transportado para o item 24 do BP</t>
        </r>
      </text>
    </comment>
    <comment ref="B37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OSVALDO MARTINS TORQUATI:</t>
        </r>
        <r>
          <rPr>
            <sz val="9"/>
            <color indexed="81"/>
            <rFont val="Segoe UI"/>
            <family val="2"/>
          </rPr>
          <t xml:space="preserve">
valor somado ao total de falhas do BP
</t>
        </r>
      </text>
    </comment>
    <comment ref="E44" authorId="1" shapeId="0" xr:uid="{00000000-0006-0000-0000-000003000000}">
      <text>
        <r>
          <rPr>
            <b/>
            <sz val="9"/>
            <color indexed="81"/>
            <rFont val="Segoe UI"/>
            <family val="2"/>
          </rPr>
          <t>Osvaldo Martins Torquati:</t>
        </r>
        <r>
          <rPr>
            <sz val="9"/>
            <color indexed="81"/>
            <rFont val="Segoe UI"/>
            <family val="2"/>
          </rPr>
          <t xml:space="preserve">
Média de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OSVALDO MARTINS TORQUATI</author>
    <author>Osvaldo Martins Torquati</author>
  </authors>
  <commentList>
    <comment ref="B13" authorId="0" shapeId="0" xr:uid="{00000000-0006-0000-0100-000005000000}">
      <text>
        <r>
          <rPr>
            <b/>
            <sz val="9"/>
            <color indexed="81"/>
            <rFont val="Segoe UI"/>
            <family val="2"/>
          </rPr>
          <t>OSVALDO MARTINS TORQUATI:</t>
        </r>
        <r>
          <rPr>
            <sz val="9"/>
            <color indexed="81"/>
            <rFont val="Segoe UI"/>
            <family val="2"/>
          </rPr>
          <t xml:space="preserve">
Somado ao item 16 é transportado para o item 24 do BP</t>
        </r>
      </text>
    </comment>
    <comment ref="B37" authorId="0" shapeId="0" xr:uid="{00000000-0006-0000-0100-00000C000000}">
      <text>
        <r>
          <rPr>
            <b/>
            <sz val="9"/>
            <color indexed="81"/>
            <rFont val="Segoe UI"/>
            <family val="2"/>
          </rPr>
          <t>OSVALDO MARTINS TORQUATI:</t>
        </r>
        <r>
          <rPr>
            <sz val="9"/>
            <color indexed="81"/>
            <rFont val="Segoe UI"/>
            <family val="2"/>
          </rPr>
          <t xml:space="preserve">
valor somado ao total de falhas do BP
</t>
        </r>
      </text>
    </comment>
    <comment ref="B43" authorId="1" shapeId="0" xr:uid="{158F2BF5-A3FC-4AA6-8A5C-600D5EE9B496}">
      <text>
        <r>
          <rPr>
            <b/>
            <sz val="9"/>
            <color indexed="81"/>
            <rFont val="Segoe UI"/>
            <family val="2"/>
          </rPr>
          <t>Osvaldo Martins Torquati:</t>
        </r>
        <r>
          <rPr>
            <sz val="9"/>
            <color indexed="81"/>
            <rFont val="Segoe UI"/>
            <family val="2"/>
          </rPr>
          <t xml:space="preserve">
Utilizar a cotação média do mês anterior ao do fechamento'</t>
        </r>
      </text>
    </comment>
    <comment ref="B44" authorId="1" shapeId="0" xr:uid="{F53755A9-4672-4524-B3CC-12D244C405BE}">
      <text>
        <r>
          <rPr>
            <b/>
            <sz val="9"/>
            <color indexed="81"/>
            <rFont val="Segoe UI"/>
            <family val="2"/>
          </rPr>
          <t>Osvaldo Martins Torquati:</t>
        </r>
        <r>
          <rPr>
            <sz val="9"/>
            <color indexed="81"/>
            <rFont val="Segoe UI"/>
            <family val="2"/>
          </rPr>
          <t xml:space="preserve">
Utilizar a cotação média do mês anterior ao do fechamento</t>
        </r>
      </text>
    </comment>
  </commentList>
</comments>
</file>

<file path=xl/sharedStrings.xml><?xml version="1.0" encoding="utf-8"?>
<sst xmlns="http://schemas.openxmlformats.org/spreadsheetml/2006/main" count="135" uniqueCount="41">
  <si>
    <t>CONTROLE DE RESÍDUOS GERADOS</t>
  </si>
  <si>
    <t>Custo de Descarte de Material (Q-Loss item 19)</t>
  </si>
  <si>
    <t>Ano</t>
  </si>
  <si>
    <t>Total Anual</t>
  </si>
  <si>
    <t>L</t>
  </si>
  <si>
    <t>Tipo de Descarte</t>
  </si>
  <si>
    <t>Descrição</t>
  </si>
  <si>
    <t>Média</t>
  </si>
  <si>
    <t>Varredura de Manganês</t>
  </si>
  <si>
    <t>Quantidade (kg)</t>
  </si>
  <si>
    <t>Custo R$/ton</t>
  </si>
  <si>
    <t>Sub-Total</t>
  </si>
  <si>
    <t>Grafite</t>
  </si>
  <si>
    <t>Refugo de Pilhas sem chapa</t>
  </si>
  <si>
    <t>Refugo de Pilhas com chapa 
(Item 29)</t>
  </si>
  <si>
    <t>Custo (R$/ton)</t>
  </si>
  <si>
    <t>Refugo de Fundição e Prensa (Tubo de Zinco Sujo)</t>
  </si>
  <si>
    <t>Custo de Venda da Tubo (R$/kg)</t>
  </si>
  <si>
    <t>Borra de Zinco</t>
  </si>
  <si>
    <t>Custo de Aquisição do Zinco (R$/kg)</t>
  </si>
  <si>
    <t>Custo de Venda da Borra (R$/kg)</t>
  </si>
  <si>
    <t>Sub-Total (R$)</t>
  </si>
  <si>
    <t>Pó de Zinco</t>
  </si>
  <si>
    <t>Custo de Venda do Pó(R$/kg)</t>
  </si>
  <si>
    <t>PVC do BLISTER</t>
  </si>
  <si>
    <t>Custo de Venda (R$/Kg)</t>
  </si>
  <si>
    <t>Refugo de Composto de PVC</t>
  </si>
  <si>
    <t>Aço 
(Folha Mala)</t>
  </si>
  <si>
    <t xml:space="preserve"> </t>
  </si>
  <si>
    <t>Recuperado</t>
  </si>
  <si>
    <t>Total (Q-Loss item 19) =&gt;</t>
  </si>
  <si>
    <t>Responsável</t>
  </si>
  <si>
    <t>Aldenir</t>
  </si>
  <si>
    <t>Produção Mn</t>
  </si>
  <si>
    <t>Produção Alk</t>
  </si>
  <si>
    <t>Total</t>
  </si>
  <si>
    <t>Cotação US$</t>
  </si>
  <si>
    <t>LME</t>
  </si>
  <si>
    <t>Importado</t>
  </si>
  <si>
    <t>Borra de Zinco
(Terra)</t>
  </si>
  <si>
    <t>Resultado 
FY-2021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</si>
</sst>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0.000"/>
    <numFmt numFmtId="167" formatCode="0.00_)"/>
    <numFmt numFmtId="168" formatCode="&quot;W&quot;#,##0;[Red]\-&quot;W&quot;#,##0"/>
    <numFmt numFmtId="169" formatCode="&quot;W&quot;#,##0.00;[Red]\-&quot;W&quot;#,##0.00"/>
    <numFmt numFmtId="170" formatCode="#,##0.000;[Red]\-#,##0.000"/>
    <numFmt numFmtId="171" formatCode="0.00000"/>
    <numFmt numFmtId="172" formatCode="0.0000"/>
    <numFmt numFmtId="173" formatCode="_-* #,##0.0000_-;\-* #,##0.0000_-;_-* &quot;-&quot;??_-;_-@_-"/>
    <numFmt numFmtId="174" formatCode="#,##0.0000"/>
  </numFmts>
  <fonts count="18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2"/>
      <name val="ＭＳ ゴシック"/>
      <family val="3"/>
      <charset val="128"/>
    </font>
    <font>
      <sz val="11"/>
      <name val="明朝"/>
      <family val="1"/>
      <charset val="128"/>
    </font>
    <font>
      <b/>
      <sz val="14"/>
      <name val="Arial"/>
      <family val="2"/>
    </font>
    <font>
      <b/>
      <sz val="11"/>
      <name val="Times New Roman"/>
      <family val="1"/>
    </font>
    <font>
      <sz val="12"/>
      <name val="Arial"/>
      <family val="2"/>
    </font>
    <font>
      <sz val="10"/>
      <name val="Times New Roman"/>
      <family val="1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A6A6A6"/>
        <bgColor rgb="FF000000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3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7" fontId="3" fillId="0" borderId="0"/>
    <xf numFmtId="10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7" fontId="5" fillId="0" borderId="0"/>
    <xf numFmtId="169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43" fontId="17" fillId="0" borderId="0" applyFont="0" applyFill="0" applyBorder="0" applyAlignment="0" applyProtection="0"/>
    <xf numFmtId="10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36">
    <xf numFmtId="0" fontId="0" fillId="0" borderId="0" xfId="0"/>
    <xf numFmtId="38" fontId="11" fillId="0" borderId="0" xfId="0" quotePrefix="1" applyNumberFormat="1" applyFont="1" applyAlignment="1">
      <alignment horizontal="center"/>
    </xf>
    <xf numFmtId="38" fontId="12" fillId="0" borderId="0" xfId="0" quotePrefix="1" applyNumberFormat="1" applyFont="1" applyAlignment="1">
      <alignment horizontal="center"/>
    </xf>
    <xf numFmtId="0" fontId="9" fillId="4" borderId="2" xfId="0" applyFont="1" applyFill="1" applyBorder="1" applyAlignment="1">
      <alignment horizontal="center" vertical="center" wrapText="1"/>
    </xf>
    <xf numFmtId="4" fontId="0" fillId="4" borderId="3" xfId="0" applyNumberFormat="1" applyFill="1" applyBorder="1"/>
    <xf numFmtId="4" fontId="0" fillId="4" borderId="4" xfId="0" applyNumberFormat="1" applyFill="1" applyBorder="1"/>
    <xf numFmtId="4" fontId="0" fillId="4" borderId="5" xfId="0" applyNumberFormat="1" applyFill="1" applyBorder="1"/>
    <xf numFmtId="0" fontId="0" fillId="4" borderId="6" xfId="0" applyFill="1" applyBorder="1"/>
    <xf numFmtId="2" fontId="0" fillId="4" borderId="6" xfId="0" applyNumberFormat="1" applyFill="1" applyBorder="1"/>
    <xf numFmtId="4" fontId="0" fillId="4" borderId="7" xfId="0" applyNumberFormat="1" applyFill="1" applyBorder="1"/>
    <xf numFmtId="4" fontId="0" fillId="4" borderId="8" xfId="0" applyNumberFormat="1" applyFill="1" applyBorder="1"/>
    <xf numFmtId="0" fontId="0" fillId="4" borderId="9" xfId="0" applyFill="1" applyBorder="1"/>
    <xf numFmtId="3" fontId="0" fillId="4" borderId="1" xfId="0" applyNumberFormat="1" applyFill="1" applyBorder="1"/>
    <xf numFmtId="3" fontId="0" fillId="0" borderId="1" xfId="0" applyNumberFormat="1" applyBorder="1"/>
    <xf numFmtId="0" fontId="7" fillId="0" borderId="0" xfId="0" quotePrefix="1" applyFont="1"/>
    <xf numFmtId="0" fontId="8" fillId="0" borderId="1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9" fillId="0" borderId="11" xfId="0" applyFont="1" applyBorder="1" applyAlignment="1">
      <alignment horizontal="center" wrapText="1"/>
    </xf>
    <xf numFmtId="0" fontId="9" fillId="0" borderId="12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38" fontId="0" fillId="0" borderId="0" xfId="0" applyNumberFormat="1"/>
    <xf numFmtId="4" fontId="0" fillId="0" borderId="0" xfId="0" applyNumberFormat="1"/>
    <xf numFmtId="4" fontId="0" fillId="0" borderId="1" xfId="0" applyNumberFormat="1" applyBorder="1"/>
    <xf numFmtId="4" fontId="0" fillId="0" borderId="16" xfId="0" applyNumberFormat="1" applyBorder="1"/>
    <xf numFmtId="4" fontId="0" fillId="0" borderId="17" xfId="0" applyNumberFormat="1" applyBorder="1"/>
    <xf numFmtId="4" fontId="0" fillId="0" borderId="18" xfId="0" applyNumberFormat="1" applyBorder="1"/>
    <xf numFmtId="4" fontId="0" fillId="0" borderId="21" xfId="0" applyNumberFormat="1" applyBorder="1"/>
    <xf numFmtId="0" fontId="8" fillId="0" borderId="0" xfId="0" applyFont="1" applyAlignment="1">
      <alignment horizontal="center" vertical="center"/>
    </xf>
    <xf numFmtId="4" fontId="0" fillId="4" borderId="6" xfId="0" applyNumberFormat="1" applyFill="1" applyBorder="1"/>
    <xf numFmtId="0" fontId="2" fillId="5" borderId="25" xfId="0" applyFont="1" applyFill="1" applyBorder="1" applyAlignment="1">
      <alignment horizontal="center" vertical="center"/>
    </xf>
    <xf numFmtId="2" fontId="0" fillId="0" borderId="0" xfId="0" applyNumberFormat="1"/>
    <xf numFmtId="0" fontId="0" fillId="6" borderId="1" xfId="0" applyFill="1" applyBorder="1"/>
    <xf numFmtId="166" fontId="0" fillId="6" borderId="1" xfId="0" applyNumberFormat="1" applyFill="1" applyBorder="1"/>
    <xf numFmtId="0" fontId="2" fillId="7" borderId="1" xfId="0" applyFont="1" applyFill="1" applyBorder="1"/>
    <xf numFmtId="170" fontId="0" fillId="0" borderId="0" xfId="0" applyNumberFormat="1"/>
    <xf numFmtId="4" fontId="0" fillId="6" borderId="1" xfId="0" applyNumberFormat="1" applyFill="1" applyBorder="1"/>
    <xf numFmtId="4" fontId="2" fillId="7" borderId="1" xfId="0" applyNumberFormat="1" applyFont="1" applyFill="1" applyBorder="1"/>
    <xf numFmtId="171" fontId="2" fillId="7" borderId="1" xfId="0" applyNumberFormat="1" applyFont="1" applyFill="1" applyBorder="1"/>
    <xf numFmtId="172" fontId="2" fillId="7" borderId="1" xfId="0" applyNumberFormat="1" applyFont="1" applyFill="1" applyBorder="1"/>
    <xf numFmtId="172" fontId="9" fillId="7" borderId="1" xfId="0" applyNumberFormat="1" applyFont="1" applyFill="1" applyBorder="1"/>
    <xf numFmtId="172" fontId="0" fillId="7" borderId="1" xfId="0" applyNumberFormat="1" applyFill="1" applyBorder="1"/>
    <xf numFmtId="38" fontId="16" fillId="0" borderId="0" xfId="0" quotePrefix="1" applyNumberFormat="1" applyFont="1" applyAlignment="1">
      <alignment horizontal="center"/>
    </xf>
    <xf numFmtId="170" fontId="16" fillId="0" borderId="0" xfId="0" applyNumberFormat="1" applyFont="1"/>
    <xf numFmtId="0" fontId="16" fillId="0" borderId="0" xfId="0" applyFont="1"/>
    <xf numFmtId="173" fontId="2" fillId="7" borderId="1" xfId="10" applyNumberFormat="1" applyFont="1" applyFill="1" applyBorder="1"/>
    <xf numFmtId="0" fontId="2" fillId="0" borderId="0" xfId="0" applyFont="1"/>
    <xf numFmtId="9" fontId="0" fillId="0" borderId="0" xfId="0" applyNumberFormat="1"/>
    <xf numFmtId="4" fontId="0" fillId="8" borderId="5" xfId="0" applyNumberFormat="1" applyFill="1" applyBorder="1"/>
    <xf numFmtId="4" fontId="0" fillId="8" borderId="4" xfId="0" applyNumberFormat="1" applyFill="1" applyBorder="1"/>
    <xf numFmtId="2" fontId="0" fillId="8" borderId="4" xfId="0" applyNumberFormat="1" applyFill="1" applyBorder="1"/>
    <xf numFmtId="4" fontId="0" fillId="8" borderId="8" xfId="0" applyNumberFormat="1" applyFill="1" applyBorder="1"/>
    <xf numFmtId="4" fontId="0" fillId="8" borderId="24" xfId="0" applyNumberFormat="1" applyFill="1" applyBorder="1"/>
    <xf numFmtId="0" fontId="2" fillId="8" borderId="25" xfId="0" applyFont="1" applyFill="1" applyBorder="1" applyAlignment="1">
      <alignment horizontal="center" vertical="center"/>
    </xf>
    <xf numFmtId="38" fontId="2" fillId="8" borderId="1" xfId="0" applyNumberFormat="1" applyFont="1" applyFill="1" applyBorder="1"/>
    <xf numFmtId="3" fontId="2" fillId="8" borderId="1" xfId="0" applyNumberFormat="1" applyFont="1" applyFill="1" applyBorder="1"/>
    <xf numFmtId="4" fontId="0" fillId="0" borderId="7" xfId="0" applyNumberFormat="1" applyBorder="1"/>
    <xf numFmtId="4" fontId="0" fillId="0" borderId="4" xfId="0" applyNumberFormat="1" applyBorder="1"/>
    <xf numFmtId="4" fontId="0" fillId="0" borderId="5" xfId="0" applyNumberFormat="1" applyBorder="1"/>
    <xf numFmtId="2" fontId="0" fillId="0" borderId="4" xfId="0" applyNumberFormat="1" applyBorder="1"/>
    <xf numFmtId="4" fontId="0" fillId="0" borderId="24" xfId="0" applyNumberFormat="1" applyBorder="1"/>
    <xf numFmtId="0" fontId="2" fillId="0" borderId="25" xfId="0" applyFont="1" applyBorder="1" applyAlignment="1">
      <alignment horizontal="center" vertical="center"/>
    </xf>
    <xf numFmtId="3" fontId="2" fillId="0" borderId="1" xfId="0" applyNumberFormat="1" applyFont="1" applyBorder="1"/>
    <xf numFmtId="38" fontId="2" fillId="0" borderId="1" xfId="0" applyNumberFormat="1" applyFont="1" applyBorder="1"/>
    <xf numFmtId="173" fontId="2" fillId="7" borderId="1" xfId="10" applyNumberFormat="1" applyFont="1" applyFill="1" applyBorder="1" applyProtection="1">
      <protection locked="0"/>
    </xf>
    <xf numFmtId="172" fontId="2" fillId="7" borderId="1" xfId="0" applyNumberFormat="1" applyFont="1" applyFill="1" applyBorder="1" applyProtection="1">
      <protection locked="0"/>
    </xf>
    <xf numFmtId="0" fontId="9" fillId="0" borderId="15" xfId="0" applyFont="1" applyBorder="1" applyAlignment="1">
      <alignment vertical="center" wrapText="1"/>
    </xf>
    <xf numFmtId="4" fontId="0" fillId="4" borderId="25" xfId="0" applyNumberFormat="1" applyFill="1" applyBorder="1"/>
    <xf numFmtId="4" fontId="0" fillId="4" borderId="35" xfId="0" applyNumberFormat="1" applyFill="1" applyBorder="1"/>
    <xf numFmtId="3" fontId="2" fillId="0" borderId="32" xfId="0" applyNumberFormat="1" applyFont="1" applyBorder="1"/>
    <xf numFmtId="172" fontId="2" fillId="7" borderId="32" xfId="0" applyNumberFormat="1" applyFont="1" applyFill="1" applyBorder="1"/>
    <xf numFmtId="38" fontId="2" fillId="0" borderId="34" xfId="0" applyNumberFormat="1" applyFont="1" applyBorder="1"/>
    <xf numFmtId="0" fontId="9" fillId="4" borderId="27" xfId="0" applyFont="1" applyFill="1" applyBorder="1" applyAlignment="1">
      <alignment horizontal="center" vertical="center" wrapText="1"/>
    </xf>
    <xf numFmtId="4" fontId="0" fillId="4" borderId="16" xfId="0" applyNumberFormat="1" applyFill="1" applyBorder="1"/>
    <xf numFmtId="4" fontId="0" fillId="4" borderId="17" xfId="0" applyNumberFormat="1" applyFill="1" applyBorder="1"/>
    <xf numFmtId="4" fontId="0" fillId="4" borderId="18" xfId="0" applyNumberFormat="1" applyFill="1" applyBorder="1"/>
    <xf numFmtId="2" fontId="0" fillId="4" borderId="17" xfId="0" applyNumberFormat="1" applyFill="1" applyBorder="1"/>
    <xf numFmtId="4" fontId="0" fillId="4" borderId="21" xfId="0" applyNumberFormat="1" applyFill="1" applyBorder="1"/>
    <xf numFmtId="0" fontId="2" fillId="5" borderId="28" xfId="0" applyFont="1" applyFill="1" applyBorder="1" applyAlignment="1">
      <alignment horizontal="center" vertical="center"/>
    </xf>
    <xf numFmtId="172" fontId="2" fillId="7" borderId="34" xfId="0" applyNumberFormat="1" applyFont="1" applyFill="1" applyBorder="1"/>
    <xf numFmtId="4" fontId="0" fillId="8" borderId="7" xfId="0" applyNumberFormat="1" applyFill="1" applyBorder="1"/>
    <xf numFmtId="4" fontId="0" fillId="0" borderId="8" xfId="0" applyNumberFormat="1" applyBorder="1"/>
    <xf numFmtId="0" fontId="7" fillId="0" borderId="0" xfId="0" quotePrefix="1" applyFont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9" fillId="0" borderId="13" xfId="0" applyFont="1" applyBorder="1"/>
    <xf numFmtId="0" fontId="9" fillId="0" borderId="14" xfId="0" applyFont="1" applyBorder="1"/>
    <xf numFmtId="0" fontId="9" fillId="0" borderId="15" xfId="0" applyFont="1" applyBorder="1"/>
    <xf numFmtId="0" fontId="9" fillId="0" borderId="13" xfId="0" applyFont="1" applyBorder="1" applyAlignment="1">
      <alignment vertical="center"/>
    </xf>
    <xf numFmtId="0" fontId="9" fillId="0" borderId="14" xfId="0" applyFont="1" applyBorder="1" applyAlignment="1">
      <alignment wrapText="1"/>
    </xf>
    <xf numFmtId="0" fontId="9" fillId="0" borderId="13" xfId="0" applyFont="1" applyBorder="1" applyAlignment="1">
      <alignment wrapText="1"/>
    </xf>
    <xf numFmtId="0" fontId="9" fillId="0" borderId="15" xfId="0" applyFont="1" applyBorder="1" applyAlignment="1">
      <alignment wrapText="1"/>
    </xf>
    <xf numFmtId="0" fontId="9" fillId="0" borderId="19" xfId="0" applyFont="1" applyBorder="1" applyAlignment="1">
      <alignment horizontal="center" vertical="center" wrapText="1"/>
    </xf>
    <xf numFmtId="0" fontId="9" fillId="0" borderId="20" xfId="0" applyFont="1" applyBorder="1" applyAlignment="1">
      <alignment wrapText="1"/>
    </xf>
    <xf numFmtId="0" fontId="0" fillId="9" borderId="7" xfId="0" applyFill="1" applyBorder="1"/>
    <xf numFmtId="0" fontId="0" fillId="0" borderId="7" xfId="0" applyBorder="1"/>
    <xf numFmtId="0" fontId="0" fillId="9" borderId="4" xfId="0" applyFill="1" applyBorder="1"/>
    <xf numFmtId="0" fontId="0" fillId="0" borderId="4" xfId="0" applyBorder="1"/>
    <xf numFmtId="0" fontId="0" fillId="9" borderId="5" xfId="0" applyFill="1" applyBorder="1"/>
    <xf numFmtId="0" fontId="0" fillId="0" borderId="5" xfId="0" applyBorder="1"/>
    <xf numFmtId="0" fontId="0" fillId="9" borderId="24" xfId="0" applyFill="1" applyBorder="1"/>
    <xf numFmtId="0" fontId="0" fillId="0" borderId="24" xfId="0" applyBorder="1"/>
    <xf numFmtId="0" fontId="2" fillId="9" borderId="25" xfId="0" applyFont="1" applyFill="1" applyBorder="1" applyAlignment="1">
      <alignment horizontal="center" vertical="center"/>
    </xf>
    <xf numFmtId="3" fontId="2" fillId="9" borderId="1" xfId="0" applyNumberFormat="1" applyFont="1" applyFill="1" applyBorder="1"/>
    <xf numFmtId="0" fontId="2" fillId="10" borderId="1" xfId="0" applyFont="1" applyFill="1" applyBorder="1"/>
    <xf numFmtId="17" fontId="9" fillId="8" borderId="23" xfId="0" applyNumberFormat="1" applyFont="1" applyFill="1" applyBorder="1" applyAlignment="1">
      <alignment horizontal="center" vertical="center" wrapText="1"/>
    </xf>
    <xf numFmtId="17" fontId="9" fillId="0" borderId="23" xfId="0" applyNumberFormat="1" applyFont="1" applyBorder="1" applyAlignment="1">
      <alignment horizontal="center" vertical="center" wrapText="1"/>
    </xf>
    <xf numFmtId="174" fontId="2" fillId="7" borderId="1" xfId="0" applyNumberFormat="1" applyFont="1" applyFill="1" applyBorder="1"/>
    <xf numFmtId="4" fontId="0" fillId="9" borderId="4" xfId="0" applyNumberFormat="1" applyFill="1" applyBorder="1"/>
    <xf numFmtId="0" fontId="2" fillId="0" borderId="25" xfId="0" applyFont="1" applyFill="1" applyBorder="1" applyAlignment="1">
      <alignment horizontal="center" vertical="center"/>
    </xf>
    <xf numFmtId="3" fontId="2" fillId="0" borderId="1" xfId="0" applyNumberFormat="1" applyFont="1" applyFill="1" applyBorder="1"/>
    <xf numFmtId="2" fontId="0" fillId="9" borderId="4" xfId="0" applyNumberFormat="1" applyFill="1" applyBorder="1"/>
    <xf numFmtId="172" fontId="0" fillId="9" borderId="24" xfId="0" applyNumberFormat="1" applyFill="1" applyBorder="1"/>
    <xf numFmtId="2" fontId="0" fillId="9" borderId="5" xfId="0" applyNumberFormat="1" applyFill="1" applyBorder="1"/>
    <xf numFmtId="2" fontId="0" fillId="0" borderId="5" xfId="0" applyNumberFormat="1" applyBorder="1"/>
    <xf numFmtId="172" fontId="0" fillId="0" borderId="8" xfId="0" applyNumberFormat="1" applyBorder="1"/>
    <xf numFmtId="2" fontId="0" fillId="9" borderId="24" xfId="0" applyNumberFormat="1" applyFill="1" applyBorder="1"/>
    <xf numFmtId="3" fontId="0" fillId="0" borderId="7" xfId="0" applyNumberFormat="1" applyBorder="1"/>
    <xf numFmtId="0" fontId="7" fillId="0" borderId="0" xfId="0" quotePrefix="1" applyFont="1" applyAlignment="1">
      <alignment horizontal="center"/>
    </xf>
    <xf numFmtId="0" fontId="9" fillId="0" borderId="27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9" fillId="0" borderId="27" xfId="0" quotePrefix="1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9" fillId="0" borderId="11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</cellXfs>
  <cellStyles count="13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Percent [2]" xfId="4" xr:uid="{00000000-0005-0000-0000-000004000000}"/>
    <cellStyle name="Percent [2] 2" xfId="11" xr:uid="{00000000-0005-0000-0000-000005000000}"/>
    <cellStyle name="Vírgula" xfId="10" builtinId="3"/>
    <cellStyle name="Vírgula 2" xfId="12" xr:uid="{00000000-0005-0000-0000-000007000000}"/>
    <cellStyle name="桁区切り [0.00]_laroux" xfId="5" xr:uid="{00000000-0005-0000-0000-000008000000}"/>
    <cellStyle name="桁区切り_laroux" xfId="6" xr:uid="{00000000-0005-0000-0000-000009000000}"/>
    <cellStyle name="標準_22生産1" xfId="7" xr:uid="{00000000-0005-0000-0000-00000A000000}"/>
    <cellStyle name="通貨 [0.00]_９７上" xfId="8" xr:uid="{00000000-0005-0000-0000-00000B000000}"/>
    <cellStyle name="通貨_９７上" xfId="9" xr:uid="{00000000-0005-0000-0000-00000C000000}"/>
  </cellStyles>
  <dxfs count="0"/>
  <tableStyles count="0" defaultTableStyle="TableStyleMedium2" defaultPivotStyle="PivotStyleLight16"/>
  <colors>
    <mruColors>
      <color rgb="FF66CCFF"/>
      <color rgb="FFFF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" Type="http://schemas.openxmlformats.org/officeDocument/2006/relationships/externalLink" Target="externalLinks/externalLink1.xml"/><Relationship Id="rId21" Type="http://schemas.openxmlformats.org/officeDocument/2006/relationships/externalLink" Target="externalLinks/externalLink19.xml"/><Relationship Id="rId34" Type="http://schemas.openxmlformats.org/officeDocument/2006/relationships/sharedStrings" Target="sharedStrings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29" Type="http://schemas.openxmlformats.org/officeDocument/2006/relationships/externalLink" Target="externalLinks/externalLink2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microsoft.com/office/2006/relationships/vbaProject" Target="vbaProject.bin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externalLink" Target="externalLinks/externalLink29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calcChain" Target="calcChain.xml"/><Relationship Id="rId8" Type="http://schemas.openxmlformats.org/officeDocument/2006/relationships/externalLink" Target="externalLinks/externalLink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</xdr:col>
      <xdr:colOff>533400</xdr:colOff>
      <xdr:row>1</xdr:row>
      <xdr:rowOff>228600</xdr:rowOff>
    </xdr:to>
    <xdr:pic>
      <xdr:nvPicPr>
        <xdr:cNvPr id="1075" name="Picture 1" descr="Logo Panasonic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3335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66675</xdr:colOff>
      <xdr:row>2</xdr:row>
      <xdr:rowOff>57150</xdr:rowOff>
    </xdr:from>
    <xdr:to>
      <xdr:col>3</xdr:col>
      <xdr:colOff>876300</xdr:colOff>
      <xdr:row>2</xdr:row>
      <xdr:rowOff>238125</xdr:rowOff>
    </xdr:to>
    <xdr:sp macro="" textlink="">
      <xdr:nvSpPr>
        <xdr:cNvPr id="1035" name="Rectangle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>
          <a:spLocks noChangeArrowheads="1"/>
        </xdr:cNvSpPr>
      </xdr:nvSpPr>
      <xdr:spPr bwMode="auto">
        <a:xfrm>
          <a:off x="2895600" y="600075"/>
          <a:ext cx="809625" cy="1809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REAL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47625</xdr:colOff>
      <xdr:row>2</xdr:row>
      <xdr:rowOff>66675</xdr:rowOff>
    </xdr:from>
    <xdr:to>
      <xdr:col>4</xdr:col>
      <xdr:colOff>857250</xdr:colOff>
      <xdr:row>2</xdr:row>
      <xdr:rowOff>247650</xdr:rowOff>
    </xdr:to>
    <xdr:sp macro="" textlink="">
      <xdr:nvSpPr>
        <xdr:cNvPr id="1036" name="Rectangle 1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>
          <a:spLocks noChangeArrowheads="1"/>
        </xdr:cNvSpPr>
      </xdr:nvSpPr>
      <xdr:spPr bwMode="auto">
        <a:xfrm>
          <a:off x="3790950" y="609600"/>
          <a:ext cx="809625" cy="1809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PREVISÃO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</xdr:col>
      <xdr:colOff>533400</xdr:colOff>
      <xdr:row>1</xdr:row>
      <xdr:rowOff>228600</xdr:rowOff>
    </xdr:to>
    <xdr:pic>
      <xdr:nvPicPr>
        <xdr:cNvPr id="2" name="Picture 1" descr="Logo Panasonic">
          <a:extLst>
            <a:ext uri="{FF2B5EF4-FFF2-40B4-BE49-F238E27FC236}">
              <a16:creationId xmlns:a16="http://schemas.microsoft.com/office/drawing/2014/main" id="{271A38DE-B40A-45FA-983C-2F07AC3B97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3335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0\Formularios\F-7\FPGQ-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NASONIC-SJC\PBRVOL1\DADOS\PIL\PUB\PROG\proj20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PROGRAMA&#199;&#195;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0\Formularios\F-7\FPGQ-7-ELETROL&#205;TIC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ELETROL&#205;TIC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MISTUR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0\Formularios\F-7\FPGQ-7-AQUISI&#199;&#195;O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AQUISI&#199;&#195;O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0\Formularios\F-7\FPGQ-7-ACABAMENTO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ACABAMENTO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0\Formularios\F-7\FPGQ-7-CQ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SUPERMERCADO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MONTAGEM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3%20-%20Controle%20de%20Documentos\Obsoletos\2011\mes-01\Obsoleto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0\Formularios\F-7\FPGQ-7-BLINDAGEM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BLINDAGEM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ESTAMPARIA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0\Formularios\F-7\FPGQ-7-PRN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PRN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INJETORA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IMPREGNA&#199;&#195;O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0\Formularios\F-7\FPGQ-7-ESTAMPARIA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4%20-%20Sistema%20de%20Gest&#227;o%20da%20Qualidade\4.2.4%20-%20Controle%20de%20Registros\Formularios\F-7\CQ\FPGQ-7-PVC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_2008\Obsoletos\2010\F-7.90%20R02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9%20-%20Q-Loss/SJCPIL-R%2017-203-00%20-%20FY2021%20-%20CONTROLE%20DE%20RES&#205;DUOS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2/(2)%20Resultados/2.2%20-%20FALHAS/(0)%20CUSTOS/(2)%20PREVIS&#195;O/FY-2022%20-%20PREVIS&#195;O-2112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19/(1)%20Quality%20Business%20Plan/1.1%20-%20Plan/PSI/BP%202019%20-%20PSI%20-%20Rev.2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1%20-%20Base%20de%20Dados/BDTaxaCamb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1 Rev 00"/>
      <sheetName val="F-7.02 Rev 00"/>
      <sheetName val="F-7.03 Rev 00"/>
      <sheetName val="F-7.12  Rev 00"/>
      <sheetName val="F-7.14 Rev 00"/>
      <sheetName val="F-7.29 Rev 00"/>
      <sheetName val="F-7.30 Rev 00"/>
      <sheetName val="F7.31 Rev 00"/>
      <sheetName val="F-7.33 Rev 00"/>
      <sheetName val="F-7.38 Rev 01"/>
      <sheetName val="F-7.40 Rev 00"/>
      <sheetName val="F-7.41 Rev 03"/>
      <sheetName val="F-7.42 Rev 00"/>
      <sheetName val="F-7.43 Rev 00"/>
      <sheetName val="F-7.44 Rev 01"/>
      <sheetName val="F-7.45 Rev 00"/>
      <sheetName val="F-7.46 Rev 01"/>
      <sheetName val="F-7.47 Rev 01"/>
      <sheetName val="F-7.48 Rev 00"/>
      <sheetName val="F-7.49 Rev 01"/>
      <sheetName val="F-7.51 Rev 01"/>
      <sheetName val="F-7.52 Rev 01(1)"/>
      <sheetName val="F-7.52 Rev 01"/>
      <sheetName val="F-7.53 Rev 02"/>
      <sheetName val="F-7.54 Rev 01"/>
      <sheetName val="F-7.57 Rev 00"/>
      <sheetName val="F-7.58 Rev 02"/>
      <sheetName val="F-7.59 Rev 00"/>
      <sheetName val="F-7.60 Rev 00"/>
      <sheetName val="F-7.61 Rev 00"/>
      <sheetName val="F-7.62 Rev 00"/>
      <sheetName val="F-7.63 Rev 00"/>
      <sheetName val="F-7.64 Rev 00"/>
      <sheetName val="F-7.66 Rev 01"/>
      <sheetName val="F-7.67 Rev 00"/>
      <sheetName val="F-7.72 Rev 01"/>
      <sheetName val="F-7.74 Rev 00"/>
      <sheetName val="F-7.75 Rev 00"/>
      <sheetName val="F-7.76 Rev 00"/>
      <sheetName val="F-7.88 Rev 01"/>
      <sheetName val="F-7.89 Rev 01"/>
      <sheetName val="F-7.90 Rev 01"/>
      <sheetName val="F-7.98 Rev 01"/>
      <sheetName val="F-7.99 Rev 01"/>
      <sheetName val="F-7.99 Rev 02"/>
      <sheetName val="F-7.100 Rev 00"/>
      <sheetName val="F-7.101 Rev 00"/>
      <sheetName val="F-7.102 Rev 00"/>
      <sheetName val="F-7.103 Rev 01 "/>
      <sheetName val="F-7.114 Rev 00"/>
      <sheetName val="F-7.117  Rev 00 "/>
      <sheetName val="F-7.118 Rev 02"/>
      <sheetName val="F-7.119 Rev 01"/>
      <sheetName val="F-7.121 Rev 00"/>
      <sheetName val="F-7.122 Rev 00"/>
      <sheetName val="F-7.123 Rev 00"/>
      <sheetName val="F-7.07 Rev 00"/>
      <sheetName val="F-7.08 Rev 02"/>
      <sheetName val="F-7.09 Rev 01"/>
      <sheetName val="F-7.10 Rev 00"/>
      <sheetName val="F-7.11 Rev 00"/>
      <sheetName val="F-7.13 Rev 00"/>
      <sheetName val="F-7.23 Rev 00"/>
      <sheetName val="F-7.24 Rev 00"/>
      <sheetName val="F-7.25 Rev 01"/>
      <sheetName val="F-7.32 Rev 00"/>
      <sheetName val="F-7.39 Rev 01"/>
      <sheetName val="F-7.97 Rev 00"/>
      <sheetName val="F-7.116 Rev 00"/>
      <sheetName val="F-7.04 Rev 01"/>
      <sheetName val="F-7.05 Rev 01"/>
      <sheetName val="F-7.06 Rev 01"/>
      <sheetName val="F-7.68 Rev 00"/>
      <sheetName val="F-7.91 Rev 00"/>
      <sheetName val="F-7.92 Rev 00"/>
      <sheetName val="F-7.93 Rev 00"/>
      <sheetName val="F-7.94 Rev 00"/>
      <sheetName val="F-7.105 Rev 00"/>
      <sheetName val="F-7.109 Rev 00"/>
      <sheetName val="F-7.111 Rev 00"/>
      <sheetName val="F-7.112 Rev 00"/>
      <sheetName val="F-7.113 Rev 00"/>
      <sheetName val="F-7.115 Rev 01"/>
      <sheetName val="F-7.124 Rev 00 "/>
      <sheetName val="F-7.126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1 Rev 00"/>
      <sheetName val="F-7.02 Rev 00"/>
      <sheetName val="F-7.03 Rev 00"/>
      <sheetName val="F-7.12  Rev 00"/>
      <sheetName val="F-7.14 Rev 00"/>
      <sheetName val="F-7.29 Rev 00"/>
      <sheetName val="F-7.30 Rev 00"/>
      <sheetName val="F7.31 Rev 00"/>
      <sheetName val="F-7.33 Rev 00"/>
      <sheetName val="F-7.38 Rev 01"/>
      <sheetName val="F-7.40 Rev 00"/>
      <sheetName val="F-7.41 Rev 03"/>
      <sheetName val="F-7.42 Rev 00"/>
      <sheetName val="F-7.43 Rev 00"/>
      <sheetName val="F-7.44 Rev 01"/>
      <sheetName val="F-7.45 Rev 00"/>
      <sheetName val="F-7.46 Rev 01"/>
      <sheetName val="F-7.47 Rev 01"/>
      <sheetName val="F-7.48 Rev 00"/>
      <sheetName val="F-7.49 Rev 01"/>
      <sheetName val="F-7.51 Rev 01"/>
      <sheetName val="F-7.52 Rev 01(1)"/>
      <sheetName val="F-7.52 Rev 01"/>
      <sheetName val="F-7.53 Rev 02"/>
      <sheetName val="F-7.54 Rev 01"/>
      <sheetName val="F-7.57 Rev 00"/>
      <sheetName val="F-7.58 Rev 02"/>
      <sheetName val="F-7.59 Rev 00"/>
      <sheetName val="F-7.60 Rev 00"/>
      <sheetName val="F-7.61 Rev 00"/>
      <sheetName val="F-7.62 Rev 00"/>
      <sheetName val="F-7.63 Rev 00"/>
      <sheetName val="F-7.64 Rev 00"/>
      <sheetName val="F-7.66 Rev 01"/>
      <sheetName val="F-7.67 Rev 00"/>
      <sheetName val="F-7.72 Rev 01"/>
      <sheetName val="F-7.74 Rev 00"/>
      <sheetName val="F-7.75 Rev 00"/>
      <sheetName val="F-7.76 Rev 00"/>
      <sheetName val="F-7.88 Rev 01"/>
      <sheetName val="F-7.89 Rev 01"/>
      <sheetName val="F-7.90 Rev 01"/>
      <sheetName val="F-7.98 Rev 01"/>
      <sheetName val="F-7.99 Rev 01"/>
      <sheetName val="F-7.99 Rev 02"/>
      <sheetName val="F-7.100 Rev 00"/>
      <sheetName val="F-7.101 Rev 00"/>
      <sheetName val="F-7.102 Rev 00"/>
      <sheetName val="F-7.103 Rev 01 "/>
      <sheetName val="F-7.114 Rev 00"/>
      <sheetName val="F-7.117  Rev 00 "/>
      <sheetName val="F-7.118 Rev 02"/>
      <sheetName val="F-7.119 Rev 01"/>
      <sheetName val="F-7.121 Rev 00"/>
      <sheetName val="F-7.122 Rev 00"/>
      <sheetName val="F-7.123 Rev 00"/>
      <sheetName val="F-7.07 Rev 00"/>
      <sheetName val="F-7.08 Rev 02"/>
      <sheetName val="F-7.09 Rev 01"/>
      <sheetName val="F-7.10 Rev 00"/>
      <sheetName val="F-7.11 Rev 00"/>
      <sheetName val="F-7.13 Rev 00"/>
      <sheetName val="F-7.23 Rev 00"/>
      <sheetName val="F-7.24 Rev 00"/>
      <sheetName val="F-7.25 Rev 01"/>
      <sheetName val="F-7.32 Rev 00"/>
      <sheetName val="F-7.39 Rev 01"/>
      <sheetName val="F-7.97 Rev 00"/>
      <sheetName val="F-7.116 Rev 00"/>
      <sheetName val="F-7.04 Rev 01"/>
      <sheetName val="F-7.05 Rev 01"/>
      <sheetName val="F-7.06 Rev 01"/>
      <sheetName val="F-7.68 Rev 00"/>
      <sheetName val="F-7.91 Rev 00"/>
      <sheetName val="F-7.92 Rev 00"/>
      <sheetName val="F-7.93 Rev 00"/>
      <sheetName val="F-7.94 Rev 00"/>
      <sheetName val="F-7.105 Rev 00"/>
      <sheetName val="F-7.109 Rev 00"/>
      <sheetName val="F-7.111 Rev 00"/>
      <sheetName val="F-7.112 Rev 00"/>
      <sheetName val="F-7.113 Rev 00"/>
      <sheetName val="F-7.115 Rev 01"/>
      <sheetName val="F-7.124 Rev 00 "/>
      <sheetName val="F-7.126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g"/>
      <sheetName val="Proj-cal (2)"/>
      <sheetName val="Alk Nac"/>
      <sheetName val="Alk Imp"/>
      <sheetName val="Zinc Air"/>
      <sheetName val="Ni Cadmium"/>
      <sheetName val="Lithium"/>
      <sheetName val="Outros"/>
      <sheetName val="LANT"/>
      <sheetName val="VLR-MENSAL (2)"/>
      <sheetName val="VLR-MENSAL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1 Rev 00"/>
      <sheetName val="F-7.02 Rev 00"/>
      <sheetName val="F-7.03 Rev 00"/>
      <sheetName val="F-7.29 Rev 00"/>
    </sheetNames>
    <sheetDataSet>
      <sheetData sheetId="0"/>
      <sheetData sheetId="1"/>
      <sheetData sheetId="2">
        <row r="1">
          <cell r="A1" t="str">
            <v xml:space="preserve"> Div. Pilhas</v>
          </cell>
        </row>
      </sheetData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4 Rev 01"/>
      <sheetName val="F-7.05 Rev 01"/>
      <sheetName val="F-7.06 Rev 01"/>
      <sheetName val="F-7.68 Rev 00"/>
      <sheetName val="F-7.136 Rev 00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4 Rev 01"/>
      <sheetName val="F-7.05 Rev 01"/>
      <sheetName val="F-7.06 Rev 01"/>
      <sheetName val="F-7.68 Rev 00"/>
      <sheetName val="F-7.136 Rev 00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7 Rev 00"/>
      <sheetName val="F-7.08 Rev 02"/>
      <sheetName val="F-7.09 Rev 01"/>
      <sheetName val="F-7.10 Rev 00"/>
      <sheetName val="F-7.139 Rev 00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05 Rev 00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05 Rev 00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50 Rev 00"/>
      <sheetName val="F-7.55 Rev 00"/>
      <sheetName val="F-7.56 Rev 00"/>
      <sheetName val="F-7.73 Rev 00"/>
      <sheetName val="F-7.108 Rev 00"/>
      <sheetName val="F-7.58 Rev 02"/>
      <sheetName val="F-7.138 Rev 00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50 Rev 00"/>
      <sheetName val="F-7.55 Rev 00"/>
      <sheetName val="F-7.56 Rev 00"/>
      <sheetName val="F-7.73 Rev 00"/>
      <sheetName val="F-7.108 Rev 00"/>
      <sheetName val="F-7.58 Rev 02"/>
      <sheetName val="F-7.138 Rev 00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91 Rev 00"/>
      <sheetName val="F-7.92 Rev 00"/>
      <sheetName val="F-7.93 Rev 00"/>
      <sheetName val="F-7.94 Rev 00"/>
      <sheetName val="F-7.109 Rev 00"/>
      <sheetName val="F-7.111 Rev 00"/>
      <sheetName val="F-7.112 Rev 00"/>
      <sheetName val="F-7.113 Rev 00"/>
      <sheetName val="F-7.115 Rev 01"/>
      <sheetName val="F-7.124 Rev 00 "/>
      <sheetName val="F-7.126 Rev 00"/>
      <sheetName val="F-7.12  Rev 00"/>
      <sheetName val="F-7.14 Rev 00"/>
      <sheetName val="F-7.43 Rev 00"/>
      <sheetName val="F-7.54 Rev 01"/>
      <sheetName val="F-7.75 Rev 00"/>
      <sheetName val="F-7.76 Rev 00"/>
      <sheetName val="F-7.90 Rev 01"/>
      <sheetName val="F-7.100 Rev 00"/>
      <sheetName val="F-7.101 Rev 00"/>
      <sheetName val="F-7.116 Rev 00"/>
      <sheetName val="F-7.117  Rev 00 "/>
      <sheetName val="F-7.121 Rev 01"/>
      <sheetName val="F-7.133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59 Rev 00"/>
      <sheetName val="F-7.114 Rev 00"/>
      <sheetName val="F-7.122 Rev 00"/>
      <sheetName val="F-7.132 Rev 00 "/>
    </sheetNames>
    <sheetDataSet>
      <sheetData sheetId="0"/>
      <sheetData sheetId="1"/>
      <sheetData sheetId="2"/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38 Rev 01"/>
      <sheetName val="F-7.41 Rev 03"/>
      <sheetName val="F-7.42 Rev 00"/>
      <sheetName val="F-7.44 Rev 01"/>
      <sheetName val="F-7.45 Rev 00"/>
      <sheetName val="F-7.46 Rev 01"/>
      <sheetName val="F-7.47 Rev 01"/>
      <sheetName val="F-7.48 Rev 00"/>
      <sheetName val="F-7.49 Rev 01"/>
      <sheetName val="F-7.52 Rev 01"/>
      <sheetName val="F-7.53 Rev 02"/>
      <sheetName val="F-7.57 Rev 00"/>
      <sheetName val="F-7.58 Rev 02"/>
      <sheetName val="F-7.66 Rev 01"/>
      <sheetName val="F-7.72 Rev 01"/>
      <sheetName val="F-7.88 Rev 01"/>
      <sheetName val="F-7.89 Rev 01"/>
      <sheetName val="F-7.98 Rev 01"/>
      <sheetName val="F-7.99 Rev 02"/>
      <sheetName val="F-7.103 Rev 01 "/>
      <sheetName val="F-7.118 Rev 02"/>
      <sheetName val="F-7.119 Rev 01"/>
      <sheetName val="F-7.99 Rev 01"/>
      <sheetName val="F-7.40 Rev 00"/>
      <sheetName val="F-7.45 Rev 01"/>
      <sheetName val="F-7.103 Rev 02"/>
      <sheetName val="F-7.118 Rev 03"/>
      <sheetName val="F-7.137 Rev 00"/>
      <sheetName val="F-7.142 Rev 00"/>
      <sheetName val="F-7.143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2  Rev 00"/>
      <sheetName val="F-7.36 Rev 03"/>
      <sheetName val="F-7.43 Rev 00"/>
      <sheetName val="F-7.120 Rev 00"/>
    </sheetNames>
    <sheetDataSet>
      <sheetData sheetId="0"/>
      <sheetData sheetId="1"/>
      <sheetData sheetId="2"/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34 Rev 00"/>
      <sheetName val="F-7.35 Rev 01"/>
      <sheetName val="F-7.36 Rev 00"/>
      <sheetName val="F-7.37 Rev 00"/>
      <sheetName val="F-7.65 Rev 00"/>
      <sheetName val="F-7.69 Rev 00"/>
      <sheetName val="F-7.70 Rev 00"/>
      <sheetName val="F-7.71 Rev 00"/>
      <sheetName val="F-7.120 Rev 00"/>
      <sheetName val="F-7.148 Rev 00"/>
      <sheetName val="F-7.154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34 Rev 00"/>
      <sheetName val="F-7.35 Rev 01"/>
      <sheetName val="F-7.36 Rev 00"/>
      <sheetName val="F-7.37 Rev 00"/>
      <sheetName val="F-7.65 Rev 00"/>
      <sheetName val="F-7.69 Rev 00"/>
      <sheetName val="F-7.70 Rev 00"/>
      <sheetName val="F-7.71 Rev 00"/>
      <sheetName val="F-7.120 Rev 00"/>
      <sheetName val="F-7.148 Rev 00"/>
      <sheetName val="F-7.154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26 Rev 00"/>
      <sheetName val="F-7.27 Rev 00"/>
      <sheetName val="F-7.28 Rev 01"/>
      <sheetName val="F-7.95 Rev 00"/>
      <sheetName val="F-7.96 Rev 00"/>
      <sheetName val="F-7.123 Rev 00"/>
      <sheetName val="F-7.124 Rev 00 "/>
      <sheetName val="F-7.129 Rev 01"/>
      <sheetName val="F-7.131 Rev 01 "/>
      <sheetName val="F-7.141 Rev 01"/>
      <sheetName val="F-7.150 Rev 00"/>
      <sheetName val="Formulario"/>
      <sheetName val="F-7.131 Rev 00 "/>
      <sheetName val="F-7.141 Rev 00"/>
      <sheetName val="F-7.28 Rev 00"/>
      <sheetName val="F-7.130 Rev 00"/>
      <sheetName val="Temporário - Estamparia"/>
      <sheetName val="Temporário - Papelão"/>
      <sheetName val="F-7.129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5 Rev 00"/>
      <sheetName val="F-7.16 Rev 00"/>
      <sheetName val="F-7.17 Rev 00"/>
      <sheetName val="F-7.18 Rev 00"/>
      <sheetName val="F-7.19 Rev 00"/>
      <sheetName val="F-7.20 Rev 00"/>
      <sheetName val="F-7.21 Rev 00"/>
      <sheetName val="F-7.22 Rev 00"/>
      <sheetName val="F-7.125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5 Rev 00"/>
      <sheetName val="F-7.16 Rev 00"/>
      <sheetName val="F-7.17 Rev 00"/>
      <sheetName val="F-7.18 Rev 00"/>
      <sheetName val="F-7.19 Rev 00"/>
      <sheetName val="F-7.20 Rev 00"/>
      <sheetName val="F-7.21 Rev 00"/>
      <sheetName val="F-7.22 Rev 00"/>
      <sheetName val="F-7.125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23 Rev 00"/>
      <sheetName val="F-7.24 Rev 01"/>
      <sheetName val="F-7.97 Rev 00"/>
      <sheetName val="F-7.149 Rev 00"/>
      <sheetName val="F-7.24 Rev 00"/>
    </sheetNames>
    <sheetDataSet>
      <sheetData sheetId="0"/>
      <sheetData sheetId="1" refreshError="1"/>
      <sheetData sheetId="2"/>
      <sheetData sheetId="3" refreshError="1"/>
      <sheetData sheetId="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25 Rev 01"/>
      <sheetName val="F-7.32 Rev 00"/>
      <sheetName val="F-7.39 Rev 01"/>
    </sheetNames>
    <sheetDataSet>
      <sheetData sheetId="0"/>
      <sheetData sheetId="1"/>
      <sheetData sheetId="2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26 Rev 00"/>
      <sheetName val="F-7.27 Rev 01"/>
      <sheetName val="F-7.28 Rev 02"/>
      <sheetName val="F-7.96 Rev 01"/>
      <sheetName val="F-7.123 Rev 01"/>
      <sheetName val="F-7.124 Rev 00 "/>
      <sheetName val="F-7.129 Rev 02"/>
      <sheetName val="F-7.131 Rev 01 "/>
      <sheetName val="F-7.141 Rev 01"/>
      <sheetName val="F-7.150 Rev 00"/>
      <sheetName val="Formulario"/>
      <sheetName val="F-7.27 Rev 00"/>
      <sheetName val="F-7.28 Rev 00"/>
      <sheetName val="F-7.96 Rev 00"/>
      <sheetName val="F-7.95 Rev 00"/>
      <sheetName val="F-7.130 Rev 00"/>
      <sheetName val="F-7.123 Rev 00"/>
      <sheetName val="F-7.129 Rev 00"/>
      <sheetName val="F-7.131 Rev 00 "/>
      <sheetName val="F-7.28 Rev 01"/>
      <sheetName val="F-7.129 Rev 01"/>
      <sheetName val="F-7.141 Rev 00"/>
      <sheetName val="Temporário - Estamparia"/>
      <sheetName val="Temporário - Papelã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/>
      <sheetData sheetId="20"/>
      <sheetData sheetId="21"/>
      <sheetData sheetId="22"/>
      <sheetData sheetId="23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30 Rev 00"/>
      <sheetName val="F7.31 Rev 00"/>
      <sheetName val="F-7.33 Rev 00"/>
    </sheetNames>
    <sheetDataSet>
      <sheetData sheetId="0"/>
      <sheetData sheetId="1"/>
      <sheetData sheetId="2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90 Rev 02"/>
    </sheetNames>
    <sheetDataSet>
      <sheetData sheetId="0">
        <row r="1">
          <cell r="A1" t="str">
            <v>Panasonic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-R 17-203-00 (Forecast)"/>
      <sheetName val="SJCPIL-R 17-203-00"/>
    </sheetNames>
    <sheetDataSet>
      <sheetData sheetId="0"/>
      <sheetData sheetId="1">
        <row r="5">
          <cell r="T5">
            <v>5851</v>
          </cell>
        </row>
        <row r="6">
          <cell r="T6">
            <v>3791.6400000000012</v>
          </cell>
        </row>
        <row r="7">
          <cell r="T7">
            <v>1848.7404700000002</v>
          </cell>
        </row>
        <row r="8">
          <cell r="T8">
            <v>1601</v>
          </cell>
        </row>
        <row r="9">
          <cell r="T9">
            <v>3791.6400000000012</v>
          </cell>
        </row>
        <row r="10">
          <cell r="T10">
            <v>505.86797000000007</v>
          </cell>
        </row>
        <row r="11">
          <cell r="T11">
            <v>0</v>
          </cell>
        </row>
        <row r="12">
          <cell r="T12">
            <v>3791.6400000000012</v>
          </cell>
        </row>
        <row r="13">
          <cell r="T13">
            <v>0</v>
          </cell>
        </row>
        <row r="14">
          <cell r="T14">
            <v>18914</v>
          </cell>
        </row>
        <row r="15">
          <cell r="T15">
            <v>3791.6400000000012</v>
          </cell>
        </row>
        <row r="16">
          <cell r="T16">
            <v>5976.2565800000011</v>
          </cell>
        </row>
        <row r="17">
          <cell r="T17">
            <v>284</v>
          </cell>
        </row>
        <row r="18">
          <cell r="T18">
            <v>83.491332671621734</v>
          </cell>
        </row>
        <row r="19">
          <cell r="T19">
            <v>2119.4407409819996</v>
          </cell>
        </row>
        <row r="20">
          <cell r="T20">
            <v>12120</v>
          </cell>
        </row>
        <row r="21">
          <cell r="T21">
            <v>171.29499999999999</v>
          </cell>
        </row>
        <row r="22">
          <cell r="T22">
            <v>83.531705108553922</v>
          </cell>
        </row>
        <row r="23">
          <cell r="T23">
            <v>107591.1932724889</v>
          </cell>
        </row>
        <row r="24">
          <cell r="T24">
            <v>1905</v>
          </cell>
        </row>
        <row r="25">
          <cell r="T25">
            <v>206.57999999999998</v>
          </cell>
        </row>
        <row r="26">
          <cell r="T26">
            <v>86.531308958563358</v>
          </cell>
        </row>
        <row r="27">
          <cell r="T27">
            <v>29957.847867056578</v>
          </cell>
        </row>
        <row r="28">
          <cell r="T28">
            <v>18146</v>
          </cell>
        </row>
        <row r="29">
          <cell r="T29">
            <v>-43.8</v>
          </cell>
        </row>
        <row r="30">
          <cell r="T30">
            <v>-79627.8</v>
          </cell>
        </row>
        <row r="31">
          <cell r="T31">
            <v>2807</v>
          </cell>
        </row>
        <row r="32">
          <cell r="T32">
            <v>-18.599999999999998</v>
          </cell>
        </row>
        <row r="33">
          <cell r="T33">
            <v>-5240.9999999999991</v>
          </cell>
        </row>
        <row r="34">
          <cell r="T34">
            <v>0</v>
          </cell>
        </row>
        <row r="35">
          <cell r="T35">
            <v>0</v>
          </cell>
        </row>
        <row r="36">
          <cell r="T36">
            <v>0</v>
          </cell>
        </row>
        <row r="37">
          <cell r="T37">
            <v>-84868.800000000003</v>
          </cell>
        </row>
        <row r="38">
          <cell r="T38">
            <v>6482.1245500000005</v>
          </cell>
        </row>
        <row r="39">
          <cell r="T39">
            <v>0</v>
          </cell>
        </row>
        <row r="40">
          <cell r="T40">
            <v>285128193</v>
          </cell>
        </row>
        <row r="41">
          <cell r="T41">
            <v>27983553</v>
          </cell>
        </row>
        <row r="42">
          <cell r="T42">
            <v>313111746</v>
          </cell>
        </row>
        <row r="43">
          <cell r="T43"/>
        </row>
        <row r="44">
          <cell r="T44"/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BLIND-PVC-PRE - Cost"/>
      <sheetName val="SM - Qty"/>
      <sheetName val="SM Cost"/>
      <sheetName val="RESUMO - QLOSS-BP"/>
    </sheetNames>
    <sheetDataSet>
      <sheetData sheetId="0"/>
      <sheetData sheetId="1">
        <row r="5">
          <cell r="G5">
            <v>786999.10800000001</v>
          </cell>
          <cell r="H5">
            <v>783387.73550000007</v>
          </cell>
          <cell r="I5">
            <v>791670.83225000009</v>
          </cell>
          <cell r="J5">
            <v>1430085.946</v>
          </cell>
          <cell r="K5">
            <v>1657208.9862499998</v>
          </cell>
          <cell r="L5">
            <v>1669007.0904999999</v>
          </cell>
          <cell r="M5">
            <v>1670917.7825</v>
          </cell>
          <cell r="N5">
            <v>1339679.0264999999</v>
          </cell>
          <cell r="O5">
            <v>1241541.9345</v>
          </cell>
          <cell r="P5">
            <v>1256197.436</v>
          </cell>
        </row>
        <row r="6">
          <cell r="G6">
            <v>3398613.2967028166</v>
          </cell>
          <cell r="H6">
            <v>3270772.8965561348</v>
          </cell>
          <cell r="I6">
            <v>3291918.6112001613</v>
          </cell>
          <cell r="J6">
            <v>3332133.840708056</v>
          </cell>
          <cell r="K6">
            <v>3788574.6687827357</v>
          </cell>
          <cell r="L6">
            <v>3741974.7050565546</v>
          </cell>
          <cell r="M6">
            <v>3743937.4808739307</v>
          </cell>
          <cell r="N6">
            <v>3562248.3987772875</v>
          </cell>
          <cell r="O6">
            <v>2762627.6980563728</v>
          </cell>
          <cell r="P6">
            <v>2651621.7985952785</v>
          </cell>
        </row>
        <row r="7">
          <cell r="G7">
            <v>11287800.248297183</v>
          </cell>
          <cell r="H7">
            <v>10863204.457443867</v>
          </cell>
          <cell r="I7">
            <v>10933435.631799839</v>
          </cell>
          <cell r="J7">
            <v>11067002.306791943</v>
          </cell>
          <cell r="K7">
            <v>12582977.336217264</v>
          </cell>
          <cell r="L7">
            <v>12428205.069943447</v>
          </cell>
          <cell r="M7">
            <v>12434724.02912607</v>
          </cell>
          <cell r="N7">
            <v>11831280.834222713</v>
          </cell>
          <cell r="O7">
            <v>9175503.9169436302</v>
          </cell>
          <cell r="P7">
            <v>8806820.4834047202</v>
          </cell>
        </row>
        <row r="8">
          <cell r="G8">
            <v>11254534.534999996</v>
          </cell>
          <cell r="H8">
            <v>10193804.064900002</v>
          </cell>
          <cell r="I8">
            <v>10245058.379550003</v>
          </cell>
          <cell r="J8">
            <v>11060264.3445</v>
          </cell>
          <cell r="K8">
            <v>11655146.96675</v>
          </cell>
          <cell r="L8">
            <v>11372132.843299998</v>
          </cell>
          <cell r="M8">
            <v>11349385.0363</v>
          </cell>
          <cell r="N8">
            <v>11335966.321739998</v>
          </cell>
          <cell r="O8">
            <v>8389607.9674200006</v>
          </cell>
          <cell r="P8">
            <v>8762677.6029599998</v>
          </cell>
        </row>
        <row r="9">
          <cell r="G9">
            <v>3185354.3056000001</v>
          </cell>
          <cell r="H9">
            <v>3093608.6620000005</v>
          </cell>
          <cell r="I9">
            <v>3151055.1489999997</v>
          </cell>
          <cell r="J9">
            <v>3141480.7345000003</v>
          </cell>
          <cell r="K9">
            <v>3469465.8730000006</v>
          </cell>
          <cell r="L9">
            <v>3542507.2598000006</v>
          </cell>
          <cell r="M9">
            <v>3579027.9532000008</v>
          </cell>
          <cell r="N9">
            <v>3319138.7550000004</v>
          </cell>
          <cell r="O9">
            <v>2144673.8849999998</v>
          </cell>
          <cell r="P9">
            <v>2440418.0299999998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(Rev.2)"/>
      <sheetName val="BP 2019 SIMULAÇÃO com HE"/>
      <sheetName val="Hora Extra"/>
      <sheetName val="Cálculo Eficiência"/>
      <sheetName val="(obsoleto) ESTUDO 2 turno R03"/>
    </sheetNames>
    <sheetDataSet>
      <sheetData sheetId="0">
        <row r="146">
          <cell r="C146">
            <v>4070228</v>
          </cell>
          <cell r="D146">
            <v>3972428</v>
          </cell>
          <cell r="E146">
            <v>4425731</v>
          </cell>
          <cell r="F146">
            <v>4192446</v>
          </cell>
          <cell r="G146">
            <v>4365518</v>
          </cell>
          <cell r="H146">
            <v>4575273</v>
          </cell>
          <cell r="I146">
            <v>4628685</v>
          </cell>
          <cell r="J146">
            <v>5100279</v>
          </cell>
          <cell r="K146">
            <v>4992224</v>
          </cell>
          <cell r="L146">
            <v>3337138</v>
          </cell>
          <cell r="M146">
            <v>3657406</v>
          </cell>
          <cell r="N146">
            <v>4810565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3">
          <cell r="H3">
            <v>4</v>
          </cell>
          <cell r="I3">
            <v>5.5659000000000001</v>
          </cell>
        </row>
        <row r="4">
          <cell r="H4">
            <v>5</v>
          </cell>
          <cell r="I4">
            <v>5.2959761904761891</v>
          </cell>
        </row>
        <row r="5">
          <cell r="H5">
            <v>6</v>
          </cell>
          <cell r="I5">
            <v>5.025095454545454</v>
          </cell>
        </row>
        <row r="6">
          <cell r="H6">
            <v>7</v>
          </cell>
          <cell r="I6">
            <v>5.162990909090909</v>
          </cell>
        </row>
        <row r="7">
          <cell r="H7">
            <v>8</v>
          </cell>
          <cell r="I7">
            <v>5.2503181818181819</v>
          </cell>
        </row>
        <row r="8">
          <cell r="H8">
            <v>9</v>
          </cell>
          <cell r="I8">
            <v>5.2762772727272722</v>
          </cell>
        </row>
        <row r="9">
          <cell r="H9">
            <v>10</v>
          </cell>
          <cell r="I9">
            <v>5.5385380952380956</v>
          </cell>
        </row>
        <row r="10">
          <cell r="H10">
            <v>11</v>
          </cell>
          <cell r="I10">
            <v>5.5571409090909087</v>
          </cell>
        </row>
        <row r="11">
          <cell r="H11">
            <v>12</v>
          </cell>
          <cell r="I11">
            <v>5.6534956521739108</v>
          </cell>
        </row>
        <row r="12">
          <cell r="H12">
            <v>1</v>
          </cell>
          <cell r="I12">
            <v>5.5264571428571427</v>
          </cell>
        </row>
        <row r="13">
          <cell r="H13">
            <v>2</v>
          </cell>
          <cell r="I13">
            <v>5.2637499999999999</v>
          </cell>
        </row>
        <row r="14">
          <cell r="H14">
            <v>3</v>
          </cell>
          <cell r="I14" t="e">
            <v>#DIV/0!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0">
    <pageSetUpPr fitToPage="1"/>
  </sheetPr>
  <dimension ref="A1:W56"/>
  <sheetViews>
    <sheetView showGridLines="0" tabSelected="1" zoomScaleNormal="100" zoomScaleSheetLayoutView="75" workbookViewId="0">
      <pane xSplit="2" ySplit="4" topLeftCell="F32" activePane="bottomRight" state="frozen"/>
      <selection pane="topRight" activeCell="C1" sqref="C1"/>
      <selection pane="bottomLeft" activeCell="A5" sqref="A5"/>
      <selection pane="bottomRight" activeCell="R39" sqref="R39"/>
    </sheetView>
  </sheetViews>
  <sheetFormatPr defaultColWidth="11.42578125" defaultRowHeight="12.75"/>
  <cols>
    <col min="1" max="1" width="12.5703125" customWidth="1"/>
    <col min="2" max="2" width="17.5703125" bestFit="1" customWidth="1"/>
    <col min="3" max="3" width="12.28515625" bestFit="1" customWidth="1"/>
    <col min="4" max="4" width="11.140625" bestFit="1" customWidth="1"/>
    <col min="5" max="6" width="10.140625" bestFit="1" customWidth="1"/>
    <col min="7" max="7" width="11.140625" bestFit="1" customWidth="1"/>
    <col min="8" max="11" width="10.140625" bestFit="1" customWidth="1"/>
    <col min="12" max="12" width="10.140625" style="46" bestFit="1" customWidth="1"/>
    <col min="13" max="19" width="10.140625" bestFit="1" customWidth="1"/>
    <col min="20" max="20" width="12.7109375" bestFit="1" customWidth="1"/>
    <col min="21" max="21" width="4" customWidth="1"/>
    <col min="22" max="22" width="11.42578125" customWidth="1"/>
    <col min="23" max="23" width="14.5703125" bestFit="1" customWidth="1"/>
  </cols>
  <sheetData>
    <row r="1" spans="1:21" ht="20.25" customHeight="1">
      <c r="A1" s="14"/>
      <c r="B1" s="14"/>
      <c r="C1" s="14"/>
      <c r="D1" s="119" t="s">
        <v>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84"/>
    </row>
    <row r="2" spans="1:21" s="16" customFormat="1" ht="22.5" customHeight="1">
      <c r="A2" s="15"/>
      <c r="B2" s="15"/>
      <c r="C2" s="15"/>
      <c r="D2" s="130" t="s">
        <v>1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30"/>
    </row>
    <row r="3" spans="1:21" s="16" customFormat="1" ht="22.5" customHeight="1">
      <c r="A3" s="127" t="s">
        <v>2</v>
      </c>
      <c r="B3" s="129"/>
      <c r="C3" s="125" t="s">
        <v>40</v>
      </c>
      <c r="D3" s="127">
        <v>2022</v>
      </c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9"/>
      <c r="P3" s="127">
        <f>D3+1</f>
        <v>2023</v>
      </c>
      <c r="Q3" s="128"/>
      <c r="R3" s="128"/>
      <c r="S3" s="85"/>
      <c r="T3" s="120" t="s">
        <v>3</v>
      </c>
      <c r="U3" s="16" t="s">
        <v>4</v>
      </c>
    </row>
    <row r="4" spans="1:21" s="19" customFormat="1" ht="30">
      <c r="A4" s="17" t="s">
        <v>5</v>
      </c>
      <c r="B4" s="18" t="s">
        <v>6</v>
      </c>
      <c r="C4" s="126"/>
      <c r="D4" s="106">
        <v>44652</v>
      </c>
      <c r="E4" s="106">
        <v>44682</v>
      </c>
      <c r="F4" s="106">
        <v>44713</v>
      </c>
      <c r="G4" s="3" t="s">
        <v>7</v>
      </c>
      <c r="H4" s="107">
        <v>44743</v>
      </c>
      <c r="I4" s="107">
        <v>44774</v>
      </c>
      <c r="J4" s="107">
        <v>44805</v>
      </c>
      <c r="K4" s="3" t="s">
        <v>7</v>
      </c>
      <c r="L4" s="107">
        <v>44835</v>
      </c>
      <c r="M4" s="107">
        <v>44866</v>
      </c>
      <c r="N4" s="107">
        <v>44896</v>
      </c>
      <c r="O4" s="3" t="s">
        <v>7</v>
      </c>
      <c r="P4" s="107">
        <v>44927</v>
      </c>
      <c r="Q4" s="107">
        <v>44958</v>
      </c>
      <c r="R4" s="107">
        <v>44986</v>
      </c>
      <c r="S4" s="3" t="s">
        <v>7</v>
      </c>
      <c r="T4" s="121"/>
      <c r="U4" s="19">
        <f>ROW()</f>
        <v>4</v>
      </c>
    </row>
    <row r="5" spans="1:21" ht="21.95" customHeight="1">
      <c r="A5" s="122" t="s">
        <v>8</v>
      </c>
      <c r="B5" s="86" t="s">
        <v>9</v>
      </c>
      <c r="C5" s="26">
        <f>'[26]SJCPIL-R 17-203-00'!T5</f>
        <v>5851</v>
      </c>
      <c r="D5" s="82">
        <f>$C5/$C$40*D$40</f>
        <v>548.47336333726901</v>
      </c>
      <c r="E5" s="82">
        <f>$C5/$C$40*E$40</f>
        <v>515.29611707809772</v>
      </c>
      <c r="F5" s="82">
        <f>$C5/$C$40*F$40</f>
        <v>518.39296822547055</v>
      </c>
      <c r="G5" s="4">
        <f>AVERAGE(D5:F5)</f>
        <v>527.38748288027909</v>
      </c>
      <c r="H5" s="82">
        <f>$C5/$C$40*H$40</f>
        <v>515.29611707809772</v>
      </c>
      <c r="I5" s="82">
        <f>$C5/$C$40*I$40</f>
        <v>518.39296822547055</v>
      </c>
      <c r="J5" s="82">
        <f>$C5/$C$40*J$40</f>
        <v>551.78824476588329</v>
      </c>
      <c r="K5" s="4">
        <f>AVERAGE(H5:J5)</f>
        <v>528.49244335648393</v>
      </c>
      <c r="L5" s="82">
        <f>$C5/$C$40*L$40</f>
        <v>609.13143535496692</v>
      </c>
      <c r="M5" s="82">
        <f>$C5/$C$40*M$40</f>
        <v>599.43364357585233</v>
      </c>
      <c r="N5" s="82">
        <f>$C5/$C$40*N$40</f>
        <v>599.18010383423859</v>
      </c>
      <c r="O5" s="4">
        <f>AVERAGE(L5:N5)</f>
        <v>602.58172758835269</v>
      </c>
      <c r="P5" s="82">
        <f>$C5/$C$40*P$40</f>
        <v>575.99614666949208</v>
      </c>
      <c r="Q5" s="82">
        <f>$C5/$C$40*Q$40</f>
        <v>442.61447746592688</v>
      </c>
      <c r="R5" s="82">
        <f>$C5/$C$40*R$40</f>
        <v>440.72731750148949</v>
      </c>
      <c r="S5" s="4">
        <f>AVERAGE(P5:R5)</f>
        <v>486.44598054563613</v>
      </c>
      <c r="T5" s="26">
        <f t="array" ref="T5">SUM(IF(D$4:S$4&lt;&gt;"Média",D5:S5))</f>
        <v>6434.7229031122552</v>
      </c>
      <c r="U5" s="19">
        <f>ROW()</f>
        <v>5</v>
      </c>
    </row>
    <row r="6" spans="1:21" ht="21.95" customHeight="1">
      <c r="A6" s="123"/>
      <c r="B6" s="87" t="s">
        <v>10</v>
      </c>
      <c r="C6" s="26">
        <f>'[26]SJCPIL-R 17-203-00'!T6</f>
        <v>3791.6400000000012</v>
      </c>
      <c r="D6" s="51">
        <v>315.97000000000003</v>
      </c>
      <c r="E6" s="51">
        <f>D6</f>
        <v>315.97000000000003</v>
      </c>
      <c r="F6" s="51">
        <f>E6</f>
        <v>315.97000000000003</v>
      </c>
      <c r="G6" s="5">
        <f t="shared" ref="G6:G27" si="0">AVERAGE(D6:F6)</f>
        <v>315.97000000000003</v>
      </c>
      <c r="H6" s="51">
        <f>F6</f>
        <v>315.97000000000003</v>
      </c>
      <c r="I6" s="51">
        <f>H6</f>
        <v>315.97000000000003</v>
      </c>
      <c r="J6" s="51">
        <f>I6</f>
        <v>315.97000000000003</v>
      </c>
      <c r="K6" s="5">
        <f t="shared" ref="K6:K28" si="1">AVERAGE(H6:J6)</f>
        <v>315.97000000000003</v>
      </c>
      <c r="L6" s="51">
        <f>J6</f>
        <v>315.97000000000003</v>
      </c>
      <c r="M6" s="51">
        <f>L6</f>
        <v>315.97000000000003</v>
      </c>
      <c r="N6" s="51">
        <f>M6</f>
        <v>315.97000000000003</v>
      </c>
      <c r="O6" s="5">
        <f t="shared" ref="O6:O37" si="2">AVERAGE(L6:N6)</f>
        <v>315.97000000000003</v>
      </c>
      <c r="P6" s="51">
        <f>N6</f>
        <v>315.97000000000003</v>
      </c>
      <c r="Q6" s="51">
        <f>P6</f>
        <v>315.97000000000003</v>
      </c>
      <c r="R6" s="51">
        <f>Q6</f>
        <v>315.97000000000003</v>
      </c>
      <c r="S6" s="5">
        <f t="shared" ref="S6:S37" si="3">AVERAGE(P6:R6)</f>
        <v>315.97000000000003</v>
      </c>
      <c r="T6" s="26">
        <f t="array" ref="T6">SUM(IF(D$4:S$4&lt;&gt;"Média",D6:S6))</f>
        <v>3791.6400000000012</v>
      </c>
      <c r="U6" s="19">
        <f>ROW()</f>
        <v>6</v>
      </c>
    </row>
    <row r="7" spans="1:21" ht="21.95" customHeight="1">
      <c r="A7" s="124"/>
      <c r="B7" s="88" t="s">
        <v>11</v>
      </c>
      <c r="C7" s="26">
        <f>'[26]SJCPIL-R 17-203-00'!T7</f>
        <v>1848.7404700000002</v>
      </c>
      <c r="D7" s="50">
        <f>D5*D6/1000</f>
        <v>173.30112861367689</v>
      </c>
      <c r="E7" s="50">
        <f>E5*E6/1000</f>
        <v>162.81811411316656</v>
      </c>
      <c r="F7" s="50">
        <f>F5*F6/1000</f>
        <v>163.79662617020196</v>
      </c>
      <c r="G7" s="6">
        <f t="shared" si="0"/>
        <v>166.63862296568183</v>
      </c>
      <c r="H7" s="50">
        <f>H5*H6/1000</f>
        <v>162.81811411316656</v>
      </c>
      <c r="I7" s="50">
        <f>I5*I6/1000</f>
        <v>163.79662617020196</v>
      </c>
      <c r="J7" s="50">
        <f>J5*J6/1000</f>
        <v>174.34853169867614</v>
      </c>
      <c r="K7" s="6">
        <f t="shared" si="1"/>
        <v>166.98775732734822</v>
      </c>
      <c r="L7" s="50">
        <f>L5*L6/1000</f>
        <v>192.46725962910892</v>
      </c>
      <c r="M7" s="50">
        <f>M5*M6/1000</f>
        <v>189.40304836066207</v>
      </c>
      <c r="N7" s="50">
        <f>N5*N6/1000</f>
        <v>189.3229374085044</v>
      </c>
      <c r="O7" s="6">
        <f t="shared" si="2"/>
        <v>190.3977484660918</v>
      </c>
      <c r="P7" s="50">
        <f>P5*P6/1000</f>
        <v>181.99750246315941</v>
      </c>
      <c r="Q7" s="50">
        <f>Q5*Q6/1000</f>
        <v>139.85289644490894</v>
      </c>
      <c r="R7" s="50">
        <f>R5*R6/1000</f>
        <v>139.25661051094565</v>
      </c>
      <c r="S7" s="6">
        <f t="shared" si="3"/>
        <v>153.70233647300464</v>
      </c>
      <c r="T7" s="26">
        <f t="array" ref="T7">SUM(IF(D$4:S$4&lt;&gt;"Média",D7:S7))</f>
        <v>2033.1793956963795</v>
      </c>
      <c r="U7" s="19">
        <f>ROW()</f>
        <v>7</v>
      </c>
    </row>
    <row r="8" spans="1:21" ht="21.95" customHeight="1">
      <c r="A8" s="122" t="s">
        <v>12</v>
      </c>
      <c r="B8" s="86" t="s">
        <v>9</v>
      </c>
      <c r="C8" s="26">
        <f>'[26]SJCPIL-R 17-203-00'!T8</f>
        <v>1601</v>
      </c>
      <c r="D8" s="82">
        <f>$C8/$C$40*D$40</f>
        <v>150.07791056280425</v>
      </c>
      <c r="E8" s="82">
        <f>$C8/$C$40*E$40</f>
        <v>140.99967243924704</v>
      </c>
      <c r="F8" s="82">
        <f>$C8/$C$40*F$40</f>
        <v>141.84705898632342</v>
      </c>
      <c r="G8" s="4">
        <f>AVERAGE(D8:F8)</f>
        <v>144.30821399612489</v>
      </c>
      <c r="H8" s="82">
        <f>$C8/$C$40*H$40</f>
        <v>140.99967243924704</v>
      </c>
      <c r="I8" s="82">
        <f>$C8/$C$40*I$40</f>
        <v>141.84705898632342</v>
      </c>
      <c r="J8" s="82">
        <f>$C8/$C$40*J$40</f>
        <v>150.98495639551857</v>
      </c>
      <c r="K8" s="4">
        <f t="shared" si="1"/>
        <v>144.61056260702966</v>
      </c>
      <c r="L8" s="82">
        <f>$C8/$C$40*L$40</f>
        <v>166.67568415711878</v>
      </c>
      <c r="M8" s="82">
        <f>$C8/$C$40*M$40</f>
        <v>164.02209252519904</v>
      </c>
      <c r="N8" s="82">
        <f>$C8/$C$40*N$40</f>
        <v>163.95271684132899</v>
      </c>
      <c r="O8" s="4">
        <f t="shared" si="2"/>
        <v>164.88349784121559</v>
      </c>
      <c r="P8" s="82">
        <f>$C8/$C$40*P$40</f>
        <v>157.60892681898082</v>
      </c>
      <c r="Q8" s="82">
        <f>$C8/$C$40*Q$40</f>
        <v>121.11190880583642</v>
      </c>
      <c r="R8" s="82">
        <f>$C8/$C$40*R$40</f>
        <v>120.59552816952394</v>
      </c>
      <c r="S8" s="4">
        <f t="shared" si="3"/>
        <v>133.10545459811374</v>
      </c>
      <c r="T8" s="26">
        <f t="array" ref="T8">SUM(IF(D$4:S$4&lt;&gt;"Média",D8:S8))</f>
        <v>1760.7231871274516</v>
      </c>
      <c r="U8" s="19">
        <f>ROW()</f>
        <v>8</v>
      </c>
    </row>
    <row r="9" spans="1:21" ht="21.95" customHeight="1">
      <c r="A9" s="123"/>
      <c r="B9" s="87" t="s">
        <v>10</v>
      </c>
      <c r="C9" s="26">
        <f>'[26]SJCPIL-R 17-203-00'!T9</f>
        <v>3791.6400000000012</v>
      </c>
      <c r="D9" s="51">
        <f>D6</f>
        <v>315.97000000000003</v>
      </c>
      <c r="E9" s="51">
        <f>E6</f>
        <v>315.97000000000003</v>
      </c>
      <c r="F9" s="51">
        <f>F6</f>
        <v>315.97000000000003</v>
      </c>
      <c r="G9" s="5">
        <f t="shared" si="0"/>
        <v>315.97000000000003</v>
      </c>
      <c r="H9" s="51">
        <f>H6</f>
        <v>315.97000000000003</v>
      </c>
      <c r="I9" s="51">
        <f>I6</f>
        <v>315.97000000000003</v>
      </c>
      <c r="J9" s="51">
        <f>J6</f>
        <v>315.97000000000003</v>
      </c>
      <c r="K9" s="5">
        <f t="shared" si="1"/>
        <v>315.97000000000003</v>
      </c>
      <c r="L9" s="51">
        <f>L6</f>
        <v>315.97000000000003</v>
      </c>
      <c r="M9" s="51">
        <f>M6</f>
        <v>315.97000000000003</v>
      </c>
      <c r="N9" s="51">
        <f>N6</f>
        <v>315.97000000000003</v>
      </c>
      <c r="O9" s="5">
        <f t="shared" si="2"/>
        <v>315.97000000000003</v>
      </c>
      <c r="P9" s="51">
        <f>P6</f>
        <v>315.97000000000003</v>
      </c>
      <c r="Q9" s="51">
        <f>Q6</f>
        <v>315.97000000000003</v>
      </c>
      <c r="R9" s="51">
        <f>R6</f>
        <v>315.97000000000003</v>
      </c>
      <c r="S9" s="5">
        <f t="shared" si="3"/>
        <v>315.97000000000003</v>
      </c>
      <c r="T9" s="26">
        <f t="array" ref="T9">SUM(IF(D$4:S$4&lt;&gt;"Média",D9:S9))</f>
        <v>3791.6400000000012</v>
      </c>
      <c r="U9" s="19">
        <f>ROW()</f>
        <v>9</v>
      </c>
    </row>
    <row r="10" spans="1:21" ht="21.95" customHeight="1">
      <c r="A10" s="124"/>
      <c r="B10" s="88" t="s">
        <v>11</v>
      </c>
      <c r="C10" s="26">
        <f>'[26]SJCPIL-R 17-203-00'!T10</f>
        <v>505.86797000000007</v>
      </c>
      <c r="D10" s="50">
        <f>D8*D9/1000</f>
        <v>47.420117400529264</v>
      </c>
      <c r="E10" s="50">
        <f>E8*E9/1000</f>
        <v>44.55166650062889</v>
      </c>
      <c r="F10" s="50">
        <f>F8*F9/1000</f>
        <v>44.819415227908614</v>
      </c>
      <c r="G10" s="6">
        <f t="shared" si="0"/>
        <v>45.597066376355592</v>
      </c>
      <c r="H10" s="50">
        <f>H8*H9/1000</f>
        <v>44.55166650062889</v>
      </c>
      <c r="I10" s="50">
        <f>I8*I9/1000</f>
        <v>44.819415227908614</v>
      </c>
      <c r="J10" s="50">
        <f>J8*J9/1000</f>
        <v>47.706716672292011</v>
      </c>
      <c r="K10" s="6">
        <f t="shared" si="1"/>
        <v>45.692599466943172</v>
      </c>
      <c r="L10" s="50">
        <f>L8*L9/1000</f>
        <v>52.664515923124824</v>
      </c>
      <c r="M10" s="50">
        <f>M8*M9/1000</f>
        <v>51.826060575187149</v>
      </c>
      <c r="N10" s="50">
        <f>N8*N9/1000</f>
        <v>51.804139940354723</v>
      </c>
      <c r="O10" s="6">
        <f t="shared" si="2"/>
        <v>52.098238812888901</v>
      </c>
      <c r="P10" s="50">
        <f>P8*P9/1000</f>
        <v>49.799692606993375</v>
      </c>
      <c r="Q10" s="50">
        <f>Q8*Q9/1000</f>
        <v>38.267729825380137</v>
      </c>
      <c r="R10" s="50">
        <f>R8*R9/1000</f>
        <v>38.104569035724481</v>
      </c>
      <c r="S10" s="6">
        <f t="shared" si="3"/>
        <v>42.057330489366002</v>
      </c>
      <c r="T10" s="26">
        <f t="array" ref="T10">SUM(IF(D$4:S$4&lt;&gt;"Média",D10:S10))</f>
        <v>556.33570543666099</v>
      </c>
      <c r="U10" s="19">
        <f>ROW()</f>
        <v>10</v>
      </c>
    </row>
    <row r="11" spans="1:21" ht="21.95" customHeight="1">
      <c r="A11" s="122" t="s">
        <v>13</v>
      </c>
      <c r="B11" s="86" t="s">
        <v>9</v>
      </c>
      <c r="C11" s="26">
        <f>'[26]SJCPIL-R 17-203-00'!T11</f>
        <v>0</v>
      </c>
      <c r="D11" s="82">
        <f>$C11/$C$40*D$40</f>
        <v>0</v>
      </c>
      <c r="E11" s="82">
        <f>$C11/$C$40*E$40</f>
        <v>0</v>
      </c>
      <c r="F11" s="82">
        <f>$C11/$C$40*F$40</f>
        <v>0</v>
      </c>
      <c r="G11" s="4">
        <f t="shared" si="0"/>
        <v>0</v>
      </c>
      <c r="H11" s="82">
        <f>$C11/$C$40*H$40</f>
        <v>0</v>
      </c>
      <c r="I11" s="82">
        <f>$C11/$C$40*I$40</f>
        <v>0</v>
      </c>
      <c r="J11" s="82">
        <f>$C11/$C$40*J$40</f>
        <v>0</v>
      </c>
      <c r="K11" s="4">
        <v>0</v>
      </c>
      <c r="L11" s="82">
        <f>$C11/$C$40*L$40</f>
        <v>0</v>
      </c>
      <c r="M11" s="82">
        <f>$C11/$C$40*M$40</f>
        <v>0</v>
      </c>
      <c r="N11" s="82">
        <f>$C11/$C$40*N$40</f>
        <v>0</v>
      </c>
      <c r="O11" s="4">
        <f t="shared" si="2"/>
        <v>0</v>
      </c>
      <c r="P11" s="82">
        <f>$C11/$C$40*P$40</f>
        <v>0</v>
      </c>
      <c r="Q11" s="82">
        <f>$C11/$C$40*Q$40</f>
        <v>0</v>
      </c>
      <c r="R11" s="82">
        <f>$C11/$C$40*R$40</f>
        <v>0</v>
      </c>
      <c r="S11" s="4">
        <f t="shared" si="3"/>
        <v>0</v>
      </c>
      <c r="T11" s="26">
        <f t="array" ref="T11">SUM(IF(D$4:S$4&lt;&gt;"Média",D11:S11))</f>
        <v>0</v>
      </c>
      <c r="U11" s="19">
        <f>ROW()</f>
        <v>11</v>
      </c>
    </row>
    <row r="12" spans="1:21" ht="21.95" customHeight="1">
      <c r="A12" s="123"/>
      <c r="B12" s="87" t="s">
        <v>10</v>
      </c>
      <c r="C12" s="26">
        <f>'[26]SJCPIL-R 17-203-00'!T12</f>
        <v>3791.6400000000012</v>
      </c>
      <c r="D12" s="51">
        <f>D9</f>
        <v>315.97000000000003</v>
      </c>
      <c r="E12" s="51">
        <f>D12</f>
        <v>315.97000000000003</v>
      </c>
      <c r="F12" s="51">
        <f>E12</f>
        <v>315.97000000000003</v>
      </c>
      <c r="G12" s="5">
        <f t="shared" ref="G12" si="4">AVERAGE(D12:F12)</f>
        <v>315.97000000000003</v>
      </c>
      <c r="H12" s="51">
        <f>F12</f>
        <v>315.97000000000003</v>
      </c>
      <c r="I12" s="51">
        <f t="shared" ref="I12:J12" si="5">G12</f>
        <v>315.97000000000003</v>
      </c>
      <c r="J12" s="51">
        <f t="shared" si="5"/>
        <v>315.97000000000003</v>
      </c>
      <c r="K12" s="5">
        <f t="shared" ref="K12" si="6">AVERAGE(H12:J12)</f>
        <v>315.97000000000003</v>
      </c>
      <c r="L12" s="51">
        <f>J12</f>
        <v>315.97000000000003</v>
      </c>
      <c r="M12" s="51">
        <f t="shared" ref="M12:N12" si="7">K12</f>
        <v>315.97000000000003</v>
      </c>
      <c r="N12" s="51">
        <f t="shared" si="7"/>
        <v>315.97000000000003</v>
      </c>
      <c r="O12" s="5">
        <f t="shared" ref="O12" si="8">AVERAGE(L12:N12)</f>
        <v>315.97000000000003</v>
      </c>
      <c r="P12" s="51">
        <f>N12</f>
        <v>315.97000000000003</v>
      </c>
      <c r="Q12" s="51">
        <f t="shared" ref="Q12:R12" si="9">O12</f>
        <v>315.97000000000003</v>
      </c>
      <c r="R12" s="51">
        <f t="shared" si="9"/>
        <v>315.97000000000003</v>
      </c>
      <c r="S12" s="5">
        <f t="shared" ref="S12" si="10">AVERAGE(P12:R12)</f>
        <v>315.97000000000003</v>
      </c>
      <c r="T12" s="26">
        <f t="array" ref="T12">SUM(IF(D$4:S$4&lt;&gt;"Média",D12:S12))</f>
        <v>3791.6400000000012</v>
      </c>
      <c r="U12" s="19">
        <f>ROW()</f>
        <v>12</v>
      </c>
    </row>
    <row r="13" spans="1:21" ht="21.95" customHeight="1">
      <c r="A13" s="124"/>
      <c r="B13" s="88" t="s">
        <v>11</v>
      </c>
      <c r="C13" s="26">
        <f>'[26]SJCPIL-R 17-203-00'!T13</f>
        <v>0</v>
      </c>
      <c r="D13" s="50">
        <f>D11*D12/1000</f>
        <v>0</v>
      </c>
      <c r="E13" s="50">
        <f>E11*E12/1000</f>
        <v>0</v>
      </c>
      <c r="F13" s="50">
        <f>F11*F12/1000</f>
        <v>0</v>
      </c>
      <c r="G13" s="6">
        <f t="shared" si="0"/>
        <v>0</v>
      </c>
      <c r="H13" s="50">
        <f>H11*H12/1000</f>
        <v>0</v>
      </c>
      <c r="I13" s="50">
        <f>I11*I12/1000</f>
        <v>0</v>
      </c>
      <c r="J13" s="50">
        <f>J11*J12/1000</f>
        <v>0</v>
      </c>
      <c r="K13" s="6">
        <f t="shared" si="1"/>
        <v>0</v>
      </c>
      <c r="L13" s="50">
        <f>L11*L12/1000</f>
        <v>0</v>
      </c>
      <c r="M13" s="50">
        <f>M11*M12/1000</f>
        <v>0</v>
      </c>
      <c r="N13" s="50">
        <f>N11*N12/1000</f>
        <v>0</v>
      </c>
      <c r="O13" s="6">
        <f t="shared" si="2"/>
        <v>0</v>
      </c>
      <c r="P13" s="50">
        <f>P11*P12/1000</f>
        <v>0</v>
      </c>
      <c r="Q13" s="50">
        <f>Q11*Q12/1000</f>
        <v>0</v>
      </c>
      <c r="R13" s="50">
        <f>R11*R12/1000</f>
        <v>0</v>
      </c>
      <c r="S13" s="6">
        <f t="shared" si="3"/>
        <v>0</v>
      </c>
      <c r="T13" s="26">
        <f t="array" ref="T13">SUM(IF(D$4:S$4&lt;&gt;"Média",D13:S13))</f>
        <v>0</v>
      </c>
      <c r="U13" s="19">
        <f>ROW()</f>
        <v>13</v>
      </c>
    </row>
    <row r="14" spans="1:21" ht="21.95" customHeight="1">
      <c r="A14" s="122" t="s">
        <v>14</v>
      </c>
      <c r="B14" s="86" t="s">
        <v>9</v>
      </c>
      <c r="C14" s="26">
        <f>'[26]SJCPIL-R 17-203-00'!T14</f>
        <v>18914</v>
      </c>
      <c r="D14" s="82">
        <f>$C14/$C$40*D$40</f>
        <v>1773.0003750061708</v>
      </c>
      <c r="E14" s="82">
        <f>$C14/$C$40*E$40</f>
        <v>1665.7512832704049</v>
      </c>
      <c r="F14" s="82">
        <f>$C14/$C$40*F$40</f>
        <v>1675.7621946704064</v>
      </c>
      <c r="G14" s="4">
        <f t="shared" si="0"/>
        <v>1704.8379509823274</v>
      </c>
      <c r="H14" s="82">
        <f>$C14/$C$40*H$40</f>
        <v>1665.7512832704049</v>
      </c>
      <c r="I14" s="82">
        <f>$C14/$C$40*I$40</f>
        <v>1675.7621946704064</v>
      </c>
      <c r="J14" s="82">
        <f>$C14/$C$40*J$40</f>
        <v>1783.7160932322536</v>
      </c>
      <c r="K14" s="4">
        <f t="shared" si="1"/>
        <v>1708.4098570576882</v>
      </c>
      <c r="L14" s="82">
        <f>$C14/$C$40*L$40</f>
        <v>1969.0842536837877</v>
      </c>
      <c r="M14" s="82">
        <f>$C14/$C$40*M$40</f>
        <v>1937.7350768404835</v>
      </c>
      <c r="N14" s="82">
        <f>$C14/$C$40*N$40</f>
        <v>1936.9154817844449</v>
      </c>
      <c r="O14" s="4">
        <f t="shared" si="2"/>
        <v>1947.9116041029054</v>
      </c>
      <c r="P14" s="82">
        <f>$C14/$C$40*P$40</f>
        <v>1861.9707944123691</v>
      </c>
      <c r="Q14" s="82">
        <f>$C14/$C$40*Q$40</f>
        <v>1430.7999020322236</v>
      </c>
      <c r="R14" s="82">
        <f>$C14/$C$40*R$40</f>
        <v>1424.699450217599</v>
      </c>
      <c r="S14" s="4">
        <f t="shared" si="3"/>
        <v>1572.4900488873973</v>
      </c>
      <c r="T14" s="26">
        <f t="array" ref="T14">SUM(IF(D$4:S$4&lt;&gt;"Média",D14:S14))</f>
        <v>20800.948383090952</v>
      </c>
      <c r="U14" s="19">
        <f>ROW()</f>
        <v>14</v>
      </c>
    </row>
    <row r="15" spans="1:21" ht="21.95" customHeight="1">
      <c r="A15" s="123"/>
      <c r="B15" s="87" t="s">
        <v>15</v>
      </c>
      <c r="C15" s="26">
        <f>'[26]SJCPIL-R 17-203-00'!T15</f>
        <v>3791.6400000000012</v>
      </c>
      <c r="D15" s="51">
        <f>D12</f>
        <v>315.97000000000003</v>
      </c>
      <c r="E15" s="52">
        <f>E12</f>
        <v>315.97000000000003</v>
      </c>
      <c r="F15" s="52">
        <f>F12</f>
        <v>315.97000000000003</v>
      </c>
      <c r="G15" s="8">
        <f t="shared" si="0"/>
        <v>315.97000000000003</v>
      </c>
      <c r="H15" s="52">
        <f>H12</f>
        <v>315.97000000000003</v>
      </c>
      <c r="I15" s="52">
        <f>I12</f>
        <v>315.97000000000003</v>
      </c>
      <c r="J15" s="52">
        <f>J12</f>
        <v>315.97000000000003</v>
      </c>
      <c r="K15" s="8">
        <f t="shared" si="1"/>
        <v>315.97000000000003</v>
      </c>
      <c r="L15" s="52">
        <f>L12</f>
        <v>315.97000000000003</v>
      </c>
      <c r="M15" s="52">
        <f>M12</f>
        <v>315.97000000000003</v>
      </c>
      <c r="N15" s="52">
        <f>N12</f>
        <v>315.97000000000003</v>
      </c>
      <c r="O15" s="8">
        <f t="shared" si="2"/>
        <v>315.97000000000003</v>
      </c>
      <c r="P15" s="52">
        <f>P12</f>
        <v>315.97000000000003</v>
      </c>
      <c r="Q15" s="52">
        <f>Q12</f>
        <v>315.97000000000003</v>
      </c>
      <c r="R15" s="52">
        <f>R12</f>
        <v>315.97000000000003</v>
      </c>
      <c r="S15" s="8">
        <f t="shared" si="3"/>
        <v>315.97000000000003</v>
      </c>
      <c r="T15" s="26">
        <f t="array" ref="T15">SUM(IF(D$4:S$4&lt;&gt;"Média",D15:S15))</f>
        <v>3791.6400000000012</v>
      </c>
      <c r="U15" s="19">
        <f>ROW()</f>
        <v>15</v>
      </c>
    </row>
    <row r="16" spans="1:21" ht="21.95" customHeight="1">
      <c r="A16" s="124"/>
      <c r="B16" s="88" t="s">
        <v>11</v>
      </c>
      <c r="C16" s="26">
        <f>'[26]SJCPIL-R 17-203-00'!T16</f>
        <v>5976.2565800000011</v>
      </c>
      <c r="D16" s="50">
        <f>D14*D15/1000</f>
        <v>560.21492849069989</v>
      </c>
      <c r="E16" s="50">
        <f>E14*E15/1000</f>
        <v>526.32743297494983</v>
      </c>
      <c r="F16" s="50">
        <f>F14*F15/1000</f>
        <v>529.49058065000838</v>
      </c>
      <c r="G16" s="6">
        <f t="shared" si="0"/>
        <v>538.677647371886</v>
      </c>
      <c r="H16" s="50">
        <f>H14*H15/1000</f>
        <v>526.32743297494983</v>
      </c>
      <c r="I16" s="50">
        <f>I14*I15/1000</f>
        <v>529.49058065000838</v>
      </c>
      <c r="J16" s="50">
        <f>J14*J15/1000</f>
        <v>563.60077397859516</v>
      </c>
      <c r="K16" s="6">
        <f t="shared" si="1"/>
        <v>539.80626253451783</v>
      </c>
      <c r="L16" s="50">
        <f>L14*L15/1000</f>
        <v>622.17155163646646</v>
      </c>
      <c r="M16" s="50">
        <f>M14*M15/1000</f>
        <v>612.26615222928763</v>
      </c>
      <c r="N16" s="50">
        <f>N14*N15/1000</f>
        <v>612.0071847794311</v>
      </c>
      <c r="O16" s="6">
        <f t="shared" si="2"/>
        <v>615.48162954839506</v>
      </c>
      <c r="P16" s="50">
        <f>P14*P15/1000</f>
        <v>588.32691191047627</v>
      </c>
      <c r="Q16" s="50">
        <f>Q14*Q15/1000</f>
        <v>452.08984504512176</v>
      </c>
      <c r="R16" s="50">
        <f>R14*R15/1000</f>
        <v>450.16228528525477</v>
      </c>
      <c r="S16" s="6">
        <f t="shared" si="3"/>
        <v>496.85968074695091</v>
      </c>
      <c r="T16" s="26">
        <f t="array" ref="T16">SUM(IF(D$4:S$4&lt;&gt;"Média",D16:S16))</f>
        <v>6572.4756606052497</v>
      </c>
      <c r="U16" s="19">
        <f>ROW()</f>
        <v>16</v>
      </c>
    </row>
    <row r="17" spans="1:23" ht="21.95" customHeight="1">
      <c r="A17" s="133" t="s">
        <v>16</v>
      </c>
      <c r="B17" s="89" t="s">
        <v>9</v>
      </c>
      <c r="C17" s="26">
        <f>'[26]SJCPIL-R 17-203-00'!T17</f>
        <v>284</v>
      </c>
      <c r="D17" s="82">
        <f>$C17/$C$40*D$40</f>
        <v>26.622190255987764</v>
      </c>
      <c r="E17" s="82">
        <f>$C17/$C$40*E$40</f>
        <v>25.011809477043197</v>
      </c>
      <c r="F17" s="82">
        <f>$C17/$C$40*F$40</f>
        <v>25.16212664092183</v>
      </c>
      <c r="G17" s="9">
        <f>AVERAGE(D17:F17)</f>
        <v>25.598708791317595</v>
      </c>
      <c r="H17" s="82">
        <f>$C17/$C$40*H$40</f>
        <v>25.011809477043197</v>
      </c>
      <c r="I17" s="82">
        <f>$C17/$C$40*I$40</f>
        <v>25.16212664092183</v>
      </c>
      <c r="J17" s="82">
        <f>$C17/$C$40*J$40</f>
        <v>26.783090328749079</v>
      </c>
      <c r="K17" s="9">
        <f>AVERAGE(H17:J17)</f>
        <v>25.652342148904705</v>
      </c>
      <c r="L17" s="82">
        <f>$C17/$C$40*L$40</f>
        <v>29.566454903573849</v>
      </c>
      <c r="M17" s="82">
        <f>$C17/$C$40*M$40</f>
        <v>29.09573658785542</v>
      </c>
      <c r="N17" s="82">
        <f>$C17/$C$40*N$40</f>
        <v>29.083430095526193</v>
      </c>
      <c r="O17" s="9">
        <f>AVERAGE(L17:N17)</f>
        <v>29.248540528985156</v>
      </c>
      <c r="P17" s="82">
        <f>$C17/$C$40*P$40</f>
        <v>27.958110691187105</v>
      </c>
      <c r="Q17" s="82">
        <f>$C17/$C$40*Q$40</f>
        <v>21.483936352815455</v>
      </c>
      <c r="R17" s="82">
        <f>$C17/$C$40*R$40</f>
        <v>21.392336040065459</v>
      </c>
      <c r="S17" s="9">
        <f>AVERAGE(P17:R17)</f>
        <v>23.611461028022674</v>
      </c>
      <c r="T17" s="26">
        <f t="array" ref="T17">SUM(IF(D$4:S$4&lt;&gt;"Média",D17:S17))</f>
        <v>312.33315749169037</v>
      </c>
      <c r="U17" s="19">
        <f>ROW()</f>
        <v>17</v>
      </c>
    </row>
    <row r="18" spans="1:23" ht="49.5" customHeight="1">
      <c r="A18" s="134"/>
      <c r="B18" s="90" t="s">
        <v>17</v>
      </c>
      <c r="C18" s="26">
        <f>'[26]SJCPIL-R 17-203-00'!T18</f>
        <v>83.491332671621734</v>
      </c>
      <c r="D18" s="51">
        <f>C18</f>
        <v>83.491332671621734</v>
      </c>
      <c r="E18" s="53">
        <f>D18</f>
        <v>83.491332671621734</v>
      </c>
      <c r="F18" s="53">
        <f>E18</f>
        <v>83.491332671621734</v>
      </c>
      <c r="G18" s="10">
        <f>AVERAGE(D18:F18)</f>
        <v>83.491332671621734</v>
      </c>
      <c r="H18" s="53">
        <f>D18</f>
        <v>83.491332671621734</v>
      </c>
      <c r="I18" s="53">
        <f>H18</f>
        <v>83.491332671621734</v>
      </c>
      <c r="J18" s="53">
        <f>I18</f>
        <v>83.491332671621734</v>
      </c>
      <c r="K18" s="10"/>
      <c r="L18" s="53">
        <f>H18</f>
        <v>83.491332671621734</v>
      </c>
      <c r="M18" s="53">
        <f>L18</f>
        <v>83.491332671621734</v>
      </c>
      <c r="N18" s="53">
        <f>M18</f>
        <v>83.491332671621734</v>
      </c>
      <c r="O18" s="5">
        <f>AVERAGE(L18:N18)</f>
        <v>83.491332671621734</v>
      </c>
      <c r="P18" s="53">
        <f>L18</f>
        <v>83.491332671621734</v>
      </c>
      <c r="Q18" s="53">
        <f>P18</f>
        <v>83.491332671621734</v>
      </c>
      <c r="R18" s="53">
        <f>Q18</f>
        <v>83.491332671621734</v>
      </c>
      <c r="S18" s="70">
        <f>AVERAGE(P18:R18)</f>
        <v>83.491332671621734</v>
      </c>
      <c r="T18" s="26">
        <f t="array" ref="T18">SUM(IF(D$4:S$4&lt;&gt;"Média",D18:S18))</f>
        <v>1001.895992059461</v>
      </c>
      <c r="U18" s="19">
        <f>ROW()</f>
        <v>18</v>
      </c>
    </row>
    <row r="19" spans="1:23" ht="21.95" customHeight="1">
      <c r="A19" s="135"/>
      <c r="B19" s="68" t="s">
        <v>11</v>
      </c>
      <c r="C19" s="26">
        <f>'[26]SJCPIL-R 17-203-00'!T19</f>
        <v>2119.4407409819996</v>
      </c>
      <c r="D19" s="60">
        <f t="shared" ref="D19:S19" si="11">D17*D22</f>
        <v>2223.7969458069874</v>
      </c>
      <c r="E19" s="60">
        <f t="shared" si="11"/>
        <v>2089.2790934677068</v>
      </c>
      <c r="F19" s="60">
        <f t="shared" si="11"/>
        <v>2101.8353424735706</v>
      </c>
      <c r="G19" s="6">
        <f t="shared" si="11"/>
        <v>2138.3037939160881</v>
      </c>
      <c r="H19" s="60">
        <f t="shared" si="11"/>
        <v>2089.2790934677068</v>
      </c>
      <c r="I19" s="60">
        <f t="shared" si="11"/>
        <v>2101.8353424735706</v>
      </c>
      <c r="J19" s="60">
        <f t="shared" si="11"/>
        <v>2237.2372032368307</v>
      </c>
      <c r="K19" s="6">
        <f t="shared" si="11"/>
        <v>2142.783879726036</v>
      </c>
      <c r="L19" s="60">
        <f t="shared" si="11"/>
        <v>2469.7363921106889</v>
      </c>
      <c r="M19" s="60">
        <f t="shared" si="11"/>
        <v>2430.4164885729019</v>
      </c>
      <c r="N19" s="60">
        <f t="shared" si="11"/>
        <v>2429.3885062847362</v>
      </c>
      <c r="O19" s="69">
        <f t="shared" si="11"/>
        <v>2443.1804623227758</v>
      </c>
      <c r="P19" s="60">
        <f t="shared" si="11"/>
        <v>2335.3886576485497</v>
      </c>
      <c r="Q19" s="60">
        <f t="shared" si="11"/>
        <v>1794.5898359943221</v>
      </c>
      <c r="R19" s="60">
        <f t="shared" si="11"/>
        <v>1786.9383056818381</v>
      </c>
      <c r="S19" s="69">
        <f t="shared" si="11"/>
        <v>1972.3055997749034</v>
      </c>
      <c r="T19" s="26">
        <f t="array" ref="T19">SUM(IF(D$4:S$4&lt;&gt;"Média",D19:S19))</f>
        <v>26089.721207219405</v>
      </c>
      <c r="U19" s="19">
        <f>ROW()</f>
        <v>19</v>
      </c>
      <c r="V19" s="22"/>
      <c r="W19" s="22"/>
    </row>
    <row r="20" spans="1:23" ht="21.95" customHeight="1">
      <c r="A20" s="122" t="s">
        <v>18</v>
      </c>
      <c r="B20" s="86" t="s">
        <v>9</v>
      </c>
      <c r="C20" s="26">
        <f>'[26]SJCPIL-R 17-203-00'!T20</f>
        <v>12120</v>
      </c>
      <c r="D20" s="82">
        <f>$C20/$C$40*D$40</f>
        <v>1136.1300912062384</v>
      </c>
      <c r="E20" s="82">
        <f>$C20/$C$40*E$40</f>
        <v>1067.4053903583224</v>
      </c>
      <c r="F20" s="82">
        <f>$C20/$C$40*F$40</f>
        <v>1073.8203341125793</v>
      </c>
      <c r="G20" s="4">
        <f t="shared" si="0"/>
        <v>1092.4519385590465</v>
      </c>
      <c r="H20" s="82">
        <f>$C20/$C$40*H$40</f>
        <v>1067.4053903583224</v>
      </c>
      <c r="I20" s="82">
        <f>$C20/$C$40*I$40</f>
        <v>1073.8203341125793</v>
      </c>
      <c r="J20" s="82">
        <f>$C20/$C$40*J$40</f>
        <v>1142.9966717761929</v>
      </c>
      <c r="K20" s="4">
        <f t="shared" si="1"/>
        <v>1094.7407987490315</v>
      </c>
      <c r="L20" s="82">
        <f>$C20/$C$40*L$40</f>
        <v>1261.7796951806868</v>
      </c>
      <c r="M20" s="82">
        <f>$C20/$C$40*M$40</f>
        <v>1241.6912938197452</v>
      </c>
      <c r="N20" s="82">
        <f>$C20/$C$40*N$40</f>
        <v>1241.1661012597797</v>
      </c>
      <c r="O20" s="4">
        <f t="shared" si="2"/>
        <v>1248.2123634200705</v>
      </c>
      <c r="P20" s="82">
        <f>$C20/$C$40*P$40</f>
        <v>1193.1419069619285</v>
      </c>
      <c r="Q20" s="82">
        <f>$C20/$C$40*Q$40</f>
        <v>916.84967815536379</v>
      </c>
      <c r="R20" s="82">
        <f>$C20/$C$40*R$40</f>
        <v>912.94053804786392</v>
      </c>
      <c r="S20" s="4">
        <f t="shared" si="3"/>
        <v>1007.6440410550521</v>
      </c>
      <c r="T20" s="26">
        <f t="array" ref="T20">SUM(IF(D$4:S$4&lt;&gt;"Média",D20:S20))</f>
        <v>13329.147425349602</v>
      </c>
      <c r="U20" s="19">
        <f>ROW()</f>
        <v>20</v>
      </c>
      <c r="V20" s="22"/>
      <c r="W20" s="22"/>
    </row>
    <row r="21" spans="1:23" ht="45">
      <c r="A21" s="123"/>
      <c r="B21" s="90" t="s">
        <v>19</v>
      </c>
      <c r="C21" s="26">
        <f>'[26]SJCPIL-R 17-203-00'!T21</f>
        <v>171.29499999999999</v>
      </c>
      <c r="D21" s="51">
        <f t="shared" ref="D21:F22" si="12">C21</f>
        <v>171.29499999999999</v>
      </c>
      <c r="E21" s="51">
        <f t="shared" si="12"/>
        <v>171.29499999999999</v>
      </c>
      <c r="F21" s="51">
        <f t="shared" si="12"/>
        <v>171.29499999999999</v>
      </c>
      <c r="G21" s="5">
        <f t="shared" si="0"/>
        <v>171.29499999999999</v>
      </c>
      <c r="H21" s="51">
        <v>10.98</v>
      </c>
      <c r="I21" s="51">
        <f>H21</f>
        <v>10.98</v>
      </c>
      <c r="J21" s="51">
        <f>I21</f>
        <v>10.98</v>
      </c>
      <c r="K21" s="5">
        <f t="shared" si="1"/>
        <v>10.979999999999999</v>
      </c>
      <c r="L21" s="51">
        <v>10.98</v>
      </c>
      <c r="M21" s="51">
        <f>L21</f>
        <v>10.98</v>
      </c>
      <c r="N21" s="51">
        <f>M21</f>
        <v>10.98</v>
      </c>
      <c r="O21" s="5">
        <f t="shared" si="2"/>
        <v>10.979999999999999</v>
      </c>
      <c r="P21" s="51">
        <v>10.98</v>
      </c>
      <c r="Q21" s="51">
        <f>P21</f>
        <v>10.98</v>
      </c>
      <c r="R21" s="51">
        <f>Q21</f>
        <v>10.98</v>
      </c>
      <c r="S21" s="5">
        <f t="shared" si="3"/>
        <v>10.979999999999999</v>
      </c>
      <c r="T21" s="26">
        <f t="array" ref="T21">SUM(IF(D$4:S$4&lt;&gt;"Média",D21:S21))</f>
        <v>612.70500000000015</v>
      </c>
      <c r="U21" s="19">
        <f>ROW()</f>
        <v>21</v>
      </c>
      <c r="V21" s="22"/>
      <c r="W21" s="22"/>
    </row>
    <row r="22" spans="1:23" ht="45">
      <c r="A22" s="123"/>
      <c r="B22" s="90" t="s">
        <v>20</v>
      </c>
      <c r="C22" s="26">
        <f>'[26]SJCPIL-R 17-203-00'!T22</f>
        <v>83.531705108553922</v>
      </c>
      <c r="D22" s="51">
        <f t="shared" si="12"/>
        <v>83.531705108553922</v>
      </c>
      <c r="E22" s="54">
        <f t="shared" si="12"/>
        <v>83.531705108553922</v>
      </c>
      <c r="F22" s="54">
        <f t="shared" si="12"/>
        <v>83.531705108553922</v>
      </c>
      <c r="G22" s="31">
        <f t="shared" si="0"/>
        <v>83.531705108553922</v>
      </c>
      <c r="H22" s="54">
        <f>F22</f>
        <v>83.531705108553922</v>
      </c>
      <c r="I22" s="54">
        <f>H22</f>
        <v>83.531705108553922</v>
      </c>
      <c r="J22" s="54">
        <f>I22</f>
        <v>83.531705108553922</v>
      </c>
      <c r="K22" s="5">
        <f>AVERAGE(H22:J22)</f>
        <v>83.531705108553922</v>
      </c>
      <c r="L22" s="54">
        <f>J22</f>
        <v>83.531705108553922</v>
      </c>
      <c r="M22" s="54">
        <f>L22</f>
        <v>83.531705108553922</v>
      </c>
      <c r="N22" s="54">
        <f>M22</f>
        <v>83.531705108553922</v>
      </c>
      <c r="O22" s="5">
        <f t="shared" si="2"/>
        <v>83.531705108553922</v>
      </c>
      <c r="P22" s="54">
        <f>N22</f>
        <v>83.531705108553922</v>
      </c>
      <c r="Q22" s="54">
        <f>P22</f>
        <v>83.531705108553922</v>
      </c>
      <c r="R22" s="54">
        <f>Q22</f>
        <v>83.531705108553922</v>
      </c>
      <c r="S22" s="5">
        <f t="shared" si="3"/>
        <v>83.531705108553922</v>
      </c>
      <c r="T22" s="26">
        <f t="array" ref="T22">SUM(IF(D$4:S$4&lt;&gt;"Média",D22:S22))</f>
        <v>1002.3804613026473</v>
      </c>
      <c r="U22" s="19">
        <f>ROW()</f>
        <v>22</v>
      </c>
      <c r="V22" s="22"/>
      <c r="W22" s="22"/>
    </row>
    <row r="23" spans="1:23" ht="21.95" customHeight="1">
      <c r="A23" s="124"/>
      <c r="B23" s="88" t="s">
        <v>21</v>
      </c>
      <c r="C23" s="26">
        <f>'[26]SJCPIL-R 17-203-00'!T23</f>
        <v>107591.1932724889</v>
      </c>
      <c r="D23" s="50">
        <f>D20*(D21-D22)</f>
        <v>99710.520229578615</v>
      </c>
      <c r="E23" s="50">
        <f>E20*(E21-E22)</f>
        <v>93679.014042736555</v>
      </c>
      <c r="F23" s="50">
        <f>F20*(F21-F22)</f>
        <v>94242.010643153437</v>
      </c>
      <c r="G23" s="6">
        <f t="shared" si="0"/>
        <v>95877.181638489536</v>
      </c>
      <c r="H23" s="50">
        <f>H20*(H21-H22)</f>
        <v>-77442.081112557891</v>
      </c>
      <c r="I23" s="50">
        <f>I20*(I21-I22)</f>
        <v>-77907.496220104702</v>
      </c>
      <c r="J23" s="50">
        <f>J20*(J21-J22)</f>
        <v>-82926.357470764939</v>
      </c>
      <c r="K23" s="6">
        <f t="shared" si="1"/>
        <v>-79425.311601142515</v>
      </c>
      <c r="L23" s="50">
        <f>L20*(L21-L22)</f>
        <v>-91544.268356710236</v>
      </c>
      <c r="M23" s="50">
        <f>M20*(M21-M22)</f>
        <v>-90086.820585068926</v>
      </c>
      <c r="N23" s="50">
        <f>N20*(N21-N22)</f>
        <v>-90048.716969333109</v>
      </c>
      <c r="O23" s="6">
        <f t="shared" si="2"/>
        <v>-90559.9353037041</v>
      </c>
      <c r="P23" s="50">
        <f>P20*(P21-P22)</f>
        <v>-86564.479786559517</v>
      </c>
      <c r="Q23" s="50">
        <f>Q20*(Q21-Q22)</f>
        <v>-66519.007478400526</v>
      </c>
      <c r="R23" s="50">
        <f>R20*(R21-R22)</f>
        <v>-66235.392698093172</v>
      </c>
      <c r="S23" s="6">
        <f t="shared" si="3"/>
        <v>-73106.293321017743</v>
      </c>
      <c r="T23" s="26">
        <f t="array" ref="T23">SUM(IF(D$4:S$4&lt;&gt;"Média",D23:S23))</f>
        <v>-441643.0757621245</v>
      </c>
      <c r="U23" s="19">
        <f>ROW()</f>
        <v>23</v>
      </c>
      <c r="V23" s="25"/>
      <c r="W23" s="25"/>
    </row>
    <row r="24" spans="1:23" ht="21.95" customHeight="1">
      <c r="A24" s="133" t="s">
        <v>22</v>
      </c>
      <c r="B24" s="86" t="s">
        <v>9</v>
      </c>
      <c r="C24" s="26">
        <f>'[26]SJCPIL-R 17-203-00'!T24</f>
        <v>1905</v>
      </c>
      <c r="D24" s="82">
        <f>$C24/$C$40*D$40</f>
        <v>178.5749029494954</v>
      </c>
      <c r="E24" s="82">
        <f>$C24/$C$40*E$40</f>
        <v>167.77287694988482</v>
      </c>
      <c r="F24" s="82">
        <f>$C24/$C$40*F$40</f>
        <v>168.78116637660594</v>
      </c>
      <c r="G24" s="4">
        <f t="shared" si="0"/>
        <v>171.70964875866207</v>
      </c>
      <c r="H24" s="82">
        <f>$C24/$C$40*H$40</f>
        <v>167.77287694988482</v>
      </c>
      <c r="I24" s="82">
        <f>$C24/$C$40*I$40</f>
        <v>168.78116637660594</v>
      </c>
      <c r="J24" s="82">
        <f>$C24/$C$40*J$40</f>
        <v>179.65417984601055</v>
      </c>
      <c r="K24" s="4">
        <f t="shared" si="1"/>
        <v>172.06940772416706</v>
      </c>
      <c r="L24" s="82">
        <f>$C24/$C$40*L$40</f>
        <v>198.32428377221191</v>
      </c>
      <c r="M24" s="82">
        <f>$C24/$C$40*M$40</f>
        <v>195.16682464741046</v>
      </c>
      <c r="N24" s="82">
        <f>$C24/$C$40*N$40</f>
        <v>195.08427581682182</v>
      </c>
      <c r="O24" s="4">
        <f t="shared" si="2"/>
        <v>196.19179474548139</v>
      </c>
      <c r="P24" s="82">
        <f>$C24/$C$40*P$40</f>
        <v>187.53591854475857</v>
      </c>
      <c r="Q24" s="82">
        <f>$C24/$C$40*Q$40</f>
        <v>144.10879842293465</v>
      </c>
      <c r="R24" s="82">
        <f>$C24/$C$40*R$40</f>
        <v>143.49436674762219</v>
      </c>
      <c r="S24" s="4">
        <f t="shared" si="3"/>
        <v>158.37969457177181</v>
      </c>
      <c r="T24" s="26">
        <f t="array" ref="T24">SUM(IF(D$4:S$4&lt;&gt;"Média",D24:S24))</f>
        <v>2095.0516374002468</v>
      </c>
      <c r="U24" s="19">
        <f>ROW()</f>
        <v>24</v>
      </c>
    </row>
    <row r="25" spans="1:23" ht="45">
      <c r="A25" s="134"/>
      <c r="B25" s="90" t="s">
        <v>19</v>
      </c>
      <c r="C25" s="26">
        <f>'[26]SJCPIL-R 17-203-00'!T25</f>
        <v>206.57999999999998</v>
      </c>
      <c r="D25" s="51">
        <f>C25</f>
        <v>206.57999999999998</v>
      </c>
      <c r="E25" s="54">
        <f>D25</f>
        <v>206.57999999999998</v>
      </c>
      <c r="F25" s="54">
        <f>E25</f>
        <v>206.57999999999998</v>
      </c>
      <c r="G25" s="8">
        <f t="shared" si="0"/>
        <v>206.58</v>
      </c>
      <c r="H25" s="54">
        <f>D25</f>
        <v>206.57999999999998</v>
      </c>
      <c r="I25" s="54">
        <f>H25</f>
        <v>206.57999999999998</v>
      </c>
      <c r="J25" s="54">
        <f>I25</f>
        <v>206.57999999999998</v>
      </c>
      <c r="K25" s="8">
        <f t="shared" si="1"/>
        <v>206.58</v>
      </c>
      <c r="L25" s="54">
        <f>H25</f>
        <v>206.57999999999998</v>
      </c>
      <c r="M25" s="54">
        <f>L25</f>
        <v>206.57999999999998</v>
      </c>
      <c r="N25" s="54">
        <f>M25</f>
        <v>206.57999999999998</v>
      </c>
      <c r="O25" s="8">
        <f t="shared" si="2"/>
        <v>206.58</v>
      </c>
      <c r="P25" s="54">
        <f>L25</f>
        <v>206.57999999999998</v>
      </c>
      <c r="Q25" s="54">
        <f>P25</f>
        <v>206.57999999999998</v>
      </c>
      <c r="R25" s="54">
        <f>Q25</f>
        <v>206.57999999999998</v>
      </c>
      <c r="S25" s="8">
        <f t="shared" si="3"/>
        <v>206.58</v>
      </c>
      <c r="T25" s="26">
        <f t="array" ref="T25">SUM(IF(D$4:S$4&lt;&gt;"Média",D25:S25))</f>
        <v>2478.9599999999996</v>
      </c>
      <c r="U25" s="19">
        <f>ROW()</f>
        <v>25</v>
      </c>
    </row>
    <row r="26" spans="1:23" ht="45">
      <c r="A26" s="134"/>
      <c r="B26" s="90" t="s">
        <v>23</v>
      </c>
      <c r="C26" s="26">
        <f>'[26]SJCPIL-R 17-203-00'!T26</f>
        <v>86.531308958563358</v>
      </c>
      <c r="D26" s="51">
        <v>0.9</v>
      </c>
      <c r="E26" s="54">
        <f>D26</f>
        <v>0.9</v>
      </c>
      <c r="F26" s="54">
        <f>E26</f>
        <v>0.9</v>
      </c>
      <c r="G26" s="8">
        <f t="shared" si="0"/>
        <v>0.9</v>
      </c>
      <c r="H26" s="54">
        <f>F26</f>
        <v>0.9</v>
      </c>
      <c r="I26" s="54">
        <f>H26</f>
        <v>0.9</v>
      </c>
      <c r="J26" s="54">
        <f>I26</f>
        <v>0.9</v>
      </c>
      <c r="K26" s="8">
        <f t="shared" si="1"/>
        <v>0.9</v>
      </c>
      <c r="L26" s="54">
        <f>J26</f>
        <v>0.9</v>
      </c>
      <c r="M26" s="54">
        <f>L26</f>
        <v>0.9</v>
      </c>
      <c r="N26" s="54">
        <f>M26</f>
        <v>0.9</v>
      </c>
      <c r="O26" s="7">
        <f t="shared" si="2"/>
        <v>0.9</v>
      </c>
      <c r="P26" s="54">
        <f>N26</f>
        <v>0.9</v>
      </c>
      <c r="Q26" s="54">
        <f>P26</f>
        <v>0.9</v>
      </c>
      <c r="R26" s="54">
        <f>Q26</f>
        <v>0.9</v>
      </c>
      <c r="S26" s="7">
        <f t="shared" si="3"/>
        <v>0.9</v>
      </c>
      <c r="T26" s="26">
        <f t="array" ref="T26">SUM(IF(D$4:S$4&lt;&gt;"Média",D26:S26))</f>
        <v>10.800000000000002</v>
      </c>
      <c r="U26" s="19">
        <f>ROW()</f>
        <v>26</v>
      </c>
    </row>
    <row r="27" spans="1:23" ht="21.95" customHeight="1">
      <c r="A27" s="135"/>
      <c r="B27" s="88" t="s">
        <v>21</v>
      </c>
      <c r="C27" s="26">
        <f>'[26]SJCPIL-R 17-203-00'!T27</f>
        <v>29957.847867056578</v>
      </c>
      <c r="D27" s="60">
        <f>D24*D26</f>
        <v>160.71741265454585</v>
      </c>
      <c r="E27" s="60">
        <f t="shared" ref="E27:F27" si="13">E24*(E25-E26)</f>
        <v>34507.525331052304</v>
      </c>
      <c r="F27" s="60">
        <f t="shared" si="13"/>
        <v>34714.910300340307</v>
      </c>
      <c r="G27" s="6">
        <f t="shared" si="0"/>
        <v>23127.717681349051</v>
      </c>
      <c r="H27" s="60">
        <f t="shared" ref="H27:J27" si="14">H24*(H25-H26)</f>
        <v>34507.525331052304</v>
      </c>
      <c r="I27" s="60">
        <f t="shared" si="14"/>
        <v>34714.910300340307</v>
      </c>
      <c r="J27" s="60">
        <f t="shared" si="14"/>
        <v>36951.271710727444</v>
      </c>
      <c r="K27" s="6">
        <f t="shared" si="1"/>
        <v>35391.235780706687</v>
      </c>
      <c r="L27" s="60">
        <f t="shared" ref="L27:N27" si="15">L24*(L25-L26)</f>
        <v>40791.338686268544</v>
      </c>
      <c r="M27" s="60">
        <f t="shared" si="15"/>
        <v>40141.91249347938</v>
      </c>
      <c r="N27" s="60">
        <f t="shared" si="15"/>
        <v>40124.933850003908</v>
      </c>
      <c r="O27" s="6">
        <f t="shared" si="2"/>
        <v>40352.728343250608</v>
      </c>
      <c r="P27" s="60">
        <f t="shared" ref="P27:R27" si="16">P24*(P25-P26)</f>
        <v>38572.387726285939</v>
      </c>
      <c r="Q27" s="60">
        <f t="shared" si="16"/>
        <v>29640.297659629196</v>
      </c>
      <c r="R27" s="60">
        <f t="shared" si="16"/>
        <v>29513.92135265093</v>
      </c>
      <c r="S27" s="6">
        <f t="shared" si="3"/>
        <v>32575.53557952202</v>
      </c>
      <c r="T27" s="26">
        <f t="array" ref="T27">SUM(IF(D$4:S$4&lt;&gt;"Média",D27:S27))</f>
        <v>394341.65215448511</v>
      </c>
      <c r="U27" s="19">
        <f>ROW()</f>
        <v>27</v>
      </c>
    </row>
    <row r="28" spans="1:23" ht="21.95" customHeight="1">
      <c r="A28" s="133" t="s">
        <v>24</v>
      </c>
      <c r="B28" s="91" t="s">
        <v>9</v>
      </c>
      <c r="C28" s="26">
        <f>'[26]SJCPIL-R 17-203-00'!T28</f>
        <v>18146</v>
      </c>
      <c r="D28" s="82">
        <f>$C28/$C$40*D$40</f>
        <v>1701.0079731871617</v>
      </c>
      <c r="E28" s="82">
        <f>$C28/$C$40*E$40</f>
        <v>1598.1137139803727</v>
      </c>
      <c r="F28" s="82">
        <f>$C28/$C$40*F$40</f>
        <v>1607.7181338949561</v>
      </c>
      <c r="G28" s="4">
        <f>AVERAGE(D28:F28)</f>
        <v>1635.6132736874968</v>
      </c>
      <c r="H28" s="82">
        <f>$C28/$C$40*H$40</f>
        <v>1598.1137139803727</v>
      </c>
      <c r="I28" s="82">
        <f>$C28/$C$40*I$40</f>
        <v>1607.7181338949561</v>
      </c>
      <c r="J28" s="82">
        <f>$C28/$C$40*J$40</f>
        <v>1711.2885813573266</v>
      </c>
      <c r="K28" s="4">
        <f t="shared" si="1"/>
        <v>1639.0401430775519</v>
      </c>
      <c r="L28" s="82">
        <f>$C28/$C$40*L$40</f>
        <v>1889.1298967614473</v>
      </c>
      <c r="M28" s="82">
        <f>$C28/$C$40*M$40</f>
        <v>1859.0536483212127</v>
      </c>
      <c r="N28" s="82">
        <f>$C28/$C$40*N$40</f>
        <v>1858.2673327937262</v>
      </c>
      <c r="O28" s="9">
        <f t="shared" si="2"/>
        <v>1868.8169592921288</v>
      </c>
      <c r="P28" s="82">
        <f>$C28/$C$40*P$40</f>
        <v>1786.3657626840886</v>
      </c>
      <c r="Q28" s="82">
        <f>$C28/$C$40*Q$40</f>
        <v>1372.702496683765</v>
      </c>
      <c r="R28" s="82">
        <f>$C28/$C$40*R$40</f>
        <v>1366.8497527571403</v>
      </c>
      <c r="S28" s="9">
        <f t="shared" si="3"/>
        <v>1508.6393373749979</v>
      </c>
      <c r="T28" s="26">
        <f t="array" ref="T28">SUM(IF(D$4:S$4&lt;&gt;"Média",D28:S28))</f>
        <v>19956.329140296526</v>
      </c>
      <c r="U28" s="19">
        <f>ROW()</f>
        <v>28</v>
      </c>
    </row>
    <row r="29" spans="1:23" ht="30">
      <c r="A29" s="134"/>
      <c r="B29" s="90" t="s">
        <v>25</v>
      </c>
      <c r="C29" s="27">
        <f>'[26]SJCPIL-R 17-203-00'!T29</f>
        <v>-43.8</v>
      </c>
      <c r="D29" s="51">
        <v>-3</v>
      </c>
      <c r="E29" s="51">
        <f>D29</f>
        <v>-3</v>
      </c>
      <c r="F29" s="51">
        <f>E29</f>
        <v>-3</v>
      </c>
      <c r="G29" s="5">
        <v>-1</v>
      </c>
      <c r="H29" s="51">
        <f>F29</f>
        <v>-3</v>
      </c>
      <c r="I29" s="51">
        <f t="shared" ref="I29:J29" si="17">G29</f>
        <v>-1</v>
      </c>
      <c r="J29" s="51">
        <f t="shared" si="17"/>
        <v>-3</v>
      </c>
      <c r="K29" s="5"/>
      <c r="L29" s="51">
        <f>J29</f>
        <v>-3</v>
      </c>
      <c r="M29" s="51">
        <f>L29</f>
        <v>-3</v>
      </c>
      <c r="N29" s="51">
        <f>M29</f>
        <v>-3</v>
      </c>
      <c r="O29" s="5">
        <f t="shared" si="2"/>
        <v>-3</v>
      </c>
      <c r="P29" s="51">
        <f>N29</f>
        <v>-3</v>
      </c>
      <c r="Q29" s="51">
        <f>P29</f>
        <v>-3</v>
      </c>
      <c r="R29" s="51">
        <f>Q29</f>
        <v>-3</v>
      </c>
      <c r="S29" s="5">
        <f t="shared" si="3"/>
        <v>-3</v>
      </c>
      <c r="T29" s="26">
        <f t="array" ref="T29">SUM(IF(D$4:S$4&lt;&gt;"Média",D29:S29))</f>
        <v>-34</v>
      </c>
      <c r="U29" s="19">
        <f>ROW()</f>
        <v>29</v>
      </c>
    </row>
    <row r="30" spans="1:23" ht="21.95" customHeight="1">
      <c r="A30" s="135"/>
      <c r="B30" s="92" t="s">
        <v>11</v>
      </c>
      <c r="C30" s="28">
        <f>'[26]SJCPIL-R 17-203-00'!T30</f>
        <v>-79627.8</v>
      </c>
      <c r="D30" s="50">
        <f>D29*D28</f>
        <v>-5103.0239195614849</v>
      </c>
      <c r="E30" s="50">
        <f>E29*E28</f>
        <v>-4794.3411419411186</v>
      </c>
      <c r="F30" s="50">
        <f>F29*F28</f>
        <v>-4823.1544016848684</v>
      </c>
      <c r="G30" s="6">
        <f t="shared" ref="G30" si="18">G29*G28</f>
        <v>-1635.6132736874968</v>
      </c>
      <c r="H30" s="50">
        <f>H29*H28</f>
        <v>-4794.3411419411186</v>
      </c>
      <c r="I30" s="50">
        <f>I29*I28</f>
        <v>-1607.7181338949561</v>
      </c>
      <c r="J30" s="50">
        <f>J29*J28</f>
        <v>-5133.8657440719799</v>
      </c>
      <c r="K30" s="6"/>
      <c r="L30" s="50">
        <f>L29*L28</f>
        <v>-5667.3896902843417</v>
      </c>
      <c r="M30" s="50">
        <f>M29*M28</f>
        <v>-5577.160944963638</v>
      </c>
      <c r="N30" s="50">
        <f>N29*N28</f>
        <v>-5574.8019983811782</v>
      </c>
      <c r="O30" s="6">
        <f t="shared" si="2"/>
        <v>-5606.4508778763857</v>
      </c>
      <c r="P30" s="50">
        <f>P29*P28</f>
        <v>-5359.0972880522659</v>
      </c>
      <c r="Q30" s="50">
        <f>Q29*Q28</f>
        <v>-4118.1074900512949</v>
      </c>
      <c r="R30" s="50">
        <f>R29*R28</f>
        <v>-4100.5492582714214</v>
      </c>
      <c r="S30" s="6">
        <f t="shared" si="3"/>
        <v>-4525.9180121249947</v>
      </c>
      <c r="T30" s="26">
        <f t="array" ref="T30">SUM(IF(D$4:S$4&lt;&gt;"Média",D30:S30))</f>
        <v>-56653.551153099666</v>
      </c>
      <c r="U30" s="19">
        <f>ROW()</f>
        <v>30</v>
      </c>
    </row>
    <row r="31" spans="1:23" ht="21.95" customHeight="1">
      <c r="A31" s="133" t="s">
        <v>26</v>
      </c>
      <c r="B31" s="91" t="s">
        <v>9</v>
      </c>
      <c r="C31" s="26">
        <f>'[26]SJCPIL-R 17-203-00'!T31</f>
        <v>2807</v>
      </c>
      <c r="D31" s="82">
        <f>$C31/$C$40*D$40</f>
        <v>263.12847904421704</v>
      </c>
      <c r="E31" s="82">
        <f>$C31/$C$40*E$40</f>
        <v>247.21179296500088</v>
      </c>
      <c r="F31" s="82">
        <f>$C31/$C$40*F$40</f>
        <v>248.69749817277312</v>
      </c>
      <c r="G31" s="9">
        <f>AVERAGE(D31:F31)</f>
        <v>253.01259006066368</v>
      </c>
      <c r="H31" s="82">
        <f>$C31/$C$40*H$40</f>
        <v>247.21179296500088</v>
      </c>
      <c r="I31" s="82">
        <f>$C31/$C$40*I$40</f>
        <v>248.69749817277312</v>
      </c>
      <c r="J31" s="82">
        <f>$C31/$C$40*J$40</f>
        <v>264.718783636615</v>
      </c>
      <c r="K31" s="4">
        <f t="shared" ref="K31" si="19">AVERAGE(H31:J31)</f>
        <v>253.54269159146301</v>
      </c>
      <c r="L31" s="82">
        <f>$C31/$C$40*L$40</f>
        <v>292.22901026173162</v>
      </c>
      <c r="M31" s="82">
        <f>$C31/$C$40*M$40</f>
        <v>287.57652324686671</v>
      </c>
      <c r="N31" s="82">
        <f>$C31/$C$40*N$40</f>
        <v>287.45488830331698</v>
      </c>
      <c r="O31" s="9">
        <f t="shared" si="2"/>
        <v>289.08680727063842</v>
      </c>
      <c r="P31" s="82">
        <f>$C31/$C$40*P$40</f>
        <v>276.33245320479648</v>
      </c>
      <c r="Q31" s="82">
        <f>$C31/$C$40*Q$40</f>
        <v>212.34299064208795</v>
      </c>
      <c r="R31" s="82">
        <f>$C31/$C$40*R$40</f>
        <v>211.4376312129005</v>
      </c>
      <c r="S31" s="9">
        <f t="shared" si="3"/>
        <v>233.37102501992831</v>
      </c>
      <c r="T31" s="26">
        <f t="array" ref="T31">SUM(IF(D$4:S$4&lt;&gt;"Média",D31:S31))</f>
        <v>3087.0393418280805</v>
      </c>
      <c r="U31" s="19">
        <f>ROW()</f>
        <v>31</v>
      </c>
    </row>
    <row r="32" spans="1:23" ht="30">
      <c r="A32" s="134"/>
      <c r="B32" s="90" t="s">
        <v>25</v>
      </c>
      <c r="C32" s="27">
        <f>'[26]SJCPIL-R 17-203-00'!T32</f>
        <v>-18.599999999999998</v>
      </c>
      <c r="D32" s="51">
        <v>-1.5</v>
      </c>
      <c r="E32" s="51">
        <f>D32</f>
        <v>-1.5</v>
      </c>
      <c r="F32" s="51">
        <f>E32</f>
        <v>-1.5</v>
      </c>
      <c r="G32" s="5">
        <f>F32</f>
        <v>-1.5</v>
      </c>
      <c r="H32" s="51">
        <f>F32</f>
        <v>-1.5</v>
      </c>
      <c r="I32" s="51">
        <f t="shared" ref="I32:J32" si="20">G32</f>
        <v>-1.5</v>
      </c>
      <c r="J32" s="51">
        <f t="shared" si="20"/>
        <v>-1.5</v>
      </c>
      <c r="K32" s="5"/>
      <c r="L32" s="51">
        <f>J32</f>
        <v>-1.5</v>
      </c>
      <c r="M32" s="51">
        <f>L32</f>
        <v>-1.5</v>
      </c>
      <c r="N32" s="51">
        <f>M32</f>
        <v>-1.5</v>
      </c>
      <c r="O32" s="5">
        <f t="shared" si="2"/>
        <v>-1.5</v>
      </c>
      <c r="P32" s="51">
        <f>N32</f>
        <v>-1.5</v>
      </c>
      <c r="Q32" s="51">
        <f>P32</f>
        <v>-1.5</v>
      </c>
      <c r="R32" s="51">
        <f>Q32</f>
        <v>-1.5</v>
      </c>
      <c r="S32" s="5">
        <f t="shared" si="3"/>
        <v>-1.5</v>
      </c>
      <c r="T32" s="26">
        <f t="array" ref="T32">SUM(IF(D$4:S$4&lt;&gt;"Média",D32:S32))</f>
        <v>-18</v>
      </c>
      <c r="U32" s="19">
        <f>ROW()</f>
        <v>32</v>
      </c>
    </row>
    <row r="33" spans="1:22" ht="21.95" customHeight="1">
      <c r="A33" s="135"/>
      <c r="B33" s="92" t="s">
        <v>11</v>
      </c>
      <c r="C33" s="28">
        <f>'[26]SJCPIL-R 17-203-00'!T33</f>
        <v>-5240.9999999999991</v>
      </c>
      <c r="D33" s="50">
        <f t="shared" ref="D33:G33" si="21">D32*D31</f>
        <v>-394.69271856632554</v>
      </c>
      <c r="E33" s="50">
        <f t="shared" ref="E33:F33" si="22">E32*E31</f>
        <v>-370.81768944750132</v>
      </c>
      <c r="F33" s="50">
        <f t="shared" si="22"/>
        <v>-373.04624725915971</v>
      </c>
      <c r="G33" s="6">
        <f t="shared" si="21"/>
        <v>-379.51888509099552</v>
      </c>
      <c r="H33" s="50">
        <f t="shared" ref="H33:J33" si="23">H32*H31</f>
        <v>-370.81768944750132</v>
      </c>
      <c r="I33" s="50">
        <f t="shared" si="23"/>
        <v>-373.04624725915971</v>
      </c>
      <c r="J33" s="50">
        <f t="shared" si="23"/>
        <v>-397.07817545492253</v>
      </c>
      <c r="K33" s="6"/>
      <c r="L33" s="50">
        <f t="shared" ref="L33:N33" si="24">L32*L31</f>
        <v>-438.3435153925974</v>
      </c>
      <c r="M33" s="50">
        <f t="shared" si="24"/>
        <v>-431.36478487030007</v>
      </c>
      <c r="N33" s="50">
        <f t="shared" si="24"/>
        <v>-431.18233245497549</v>
      </c>
      <c r="O33" s="6">
        <f t="shared" si="2"/>
        <v>-433.63021090595765</v>
      </c>
      <c r="P33" s="50">
        <f t="shared" ref="P33:R33" si="25">P32*P31</f>
        <v>-414.49867980719472</v>
      </c>
      <c r="Q33" s="50">
        <f t="shared" si="25"/>
        <v>-318.51448596313196</v>
      </c>
      <c r="R33" s="50">
        <f t="shared" si="25"/>
        <v>-317.15644681935078</v>
      </c>
      <c r="S33" s="6">
        <f t="shared" si="3"/>
        <v>-350.05653752989247</v>
      </c>
      <c r="T33" s="26">
        <f t="array" ref="T33">SUM(IF(D$4:S$4&lt;&gt;"Média",D33:S33))</f>
        <v>-4630.559012742121</v>
      </c>
      <c r="U33" s="19">
        <f>ROW()</f>
        <v>33</v>
      </c>
    </row>
    <row r="34" spans="1:22" ht="21.95" customHeight="1">
      <c r="A34" s="133" t="s">
        <v>27</v>
      </c>
      <c r="B34" s="91" t="s">
        <v>9</v>
      </c>
      <c r="C34" s="26">
        <f>'[26]SJCPIL-R 17-203-00'!T34</f>
        <v>0</v>
      </c>
      <c r="D34" s="82">
        <v>0</v>
      </c>
      <c r="E34" s="82">
        <f>$C34/$C$40*E$40</f>
        <v>0</v>
      </c>
      <c r="F34" s="82">
        <f>$C34/$C$40*F$40</f>
        <v>0</v>
      </c>
      <c r="G34" s="9">
        <f>AVERAGE(D34:F34)</f>
        <v>0</v>
      </c>
      <c r="H34" s="82">
        <f>$C34/$C$40*H$40</f>
        <v>0</v>
      </c>
      <c r="I34" s="82">
        <f>$C34/$C$40*I$40</f>
        <v>0</v>
      </c>
      <c r="J34" s="82">
        <f>$C34/$C$40*J$40</f>
        <v>0</v>
      </c>
      <c r="K34" s="4">
        <f t="shared" ref="K34" si="26">AVERAGE(H34:J34)</f>
        <v>0</v>
      </c>
      <c r="L34" s="82">
        <f>$C34/$C$40*L$40</f>
        <v>0</v>
      </c>
      <c r="M34" s="82">
        <f>$C34/$C$40*M$40</f>
        <v>0</v>
      </c>
      <c r="N34" s="82">
        <f>$C34/$C$40*N$40</f>
        <v>0</v>
      </c>
      <c r="O34" s="9">
        <f t="shared" si="2"/>
        <v>0</v>
      </c>
      <c r="P34" s="82">
        <f>$C34/$C$40*P$40</f>
        <v>0</v>
      </c>
      <c r="Q34" s="82">
        <f>$C34/$C$40*Q$40</f>
        <v>0</v>
      </c>
      <c r="R34" s="82">
        <f>$C34/$C$40*R$40</f>
        <v>0</v>
      </c>
      <c r="S34" s="9">
        <f t="shared" si="3"/>
        <v>0</v>
      </c>
      <c r="T34" s="26">
        <f t="array" ref="T34">SUM(IF(D$4:S$4&lt;&gt;"Média",D34:S34))</f>
        <v>0</v>
      </c>
      <c r="U34" s="19">
        <f>ROW()</f>
        <v>34</v>
      </c>
    </row>
    <row r="35" spans="1:22" ht="30">
      <c r="A35" s="134"/>
      <c r="B35" s="90" t="s">
        <v>25</v>
      </c>
      <c r="C35" s="27">
        <f>'[26]SJCPIL-R 17-203-00'!T35</f>
        <v>0</v>
      </c>
      <c r="D35" s="51">
        <v>-0.5</v>
      </c>
      <c r="E35" s="51" t="s">
        <v>28</v>
      </c>
      <c r="F35" s="51" t="s">
        <v>28</v>
      </c>
      <c r="G35" s="5">
        <v>-0.5</v>
      </c>
      <c r="H35" s="51" t="s">
        <v>28</v>
      </c>
      <c r="I35" s="51" t="s">
        <v>28</v>
      </c>
      <c r="J35" s="51" t="s">
        <v>28</v>
      </c>
      <c r="K35" s="5"/>
      <c r="L35" s="51" t="s">
        <v>28</v>
      </c>
      <c r="M35" s="51" t="s">
        <v>28</v>
      </c>
      <c r="N35" s="51" t="s">
        <v>28</v>
      </c>
      <c r="O35" s="5" t="e">
        <f t="shared" si="2"/>
        <v>#DIV/0!</v>
      </c>
      <c r="P35" s="51" t="s">
        <v>28</v>
      </c>
      <c r="Q35" s="51" t="s">
        <v>28</v>
      </c>
      <c r="R35" s="51" t="s">
        <v>28</v>
      </c>
      <c r="S35" s="5" t="e">
        <f t="shared" si="3"/>
        <v>#DIV/0!</v>
      </c>
      <c r="T35" s="26">
        <f t="array" ref="T35">SUM(IF(D$4:S$4&lt;&gt;"Média",D35:S35))</f>
        <v>-0.5</v>
      </c>
      <c r="U35" s="19">
        <f>ROW()</f>
        <v>35</v>
      </c>
    </row>
    <row r="36" spans="1:22" ht="21.95" customHeight="1">
      <c r="A36" s="135"/>
      <c r="B36" s="92" t="s">
        <v>11</v>
      </c>
      <c r="C36" s="28">
        <f>'[26]SJCPIL-R 17-203-00'!T36</f>
        <v>0</v>
      </c>
      <c r="D36" s="50"/>
      <c r="E36" s="50"/>
      <c r="F36" s="50"/>
      <c r="G36" s="6">
        <f t="shared" ref="G36" si="27">G35*G34</f>
        <v>0</v>
      </c>
      <c r="H36" s="50"/>
      <c r="I36" s="50"/>
      <c r="J36" s="50"/>
      <c r="K36" s="6"/>
      <c r="L36" s="50"/>
      <c r="M36" s="50"/>
      <c r="N36" s="50"/>
      <c r="O36" s="6" t="e">
        <f t="shared" si="2"/>
        <v>#DIV/0!</v>
      </c>
      <c r="P36" s="50"/>
      <c r="Q36" s="50"/>
      <c r="R36" s="50"/>
      <c r="S36" s="6" t="e">
        <f t="shared" si="3"/>
        <v>#DIV/0!</v>
      </c>
      <c r="T36" s="26">
        <f t="array" ref="T36">SUM(IF(D$4:S$4&lt;&gt;"Média",D36:S36))</f>
        <v>0</v>
      </c>
      <c r="U36" s="19">
        <f>ROW()</f>
        <v>36</v>
      </c>
    </row>
    <row r="37" spans="1:22" ht="21.95" customHeight="1">
      <c r="A37" s="93"/>
      <c r="B37" s="94" t="s">
        <v>29</v>
      </c>
      <c r="C37" s="29">
        <f>'[26]SJCPIL-R 17-203-00'!T37</f>
        <v>-84868.800000000003</v>
      </c>
      <c r="D37" s="50">
        <f t="shared" ref="D37" si="28">D36+D33+D30</f>
        <v>-5497.7166381278103</v>
      </c>
      <c r="E37" s="50">
        <f t="shared" ref="E37:F37" si="29">E36+E33+E30</f>
        <v>-5165.1588313886195</v>
      </c>
      <c r="F37" s="50">
        <f t="shared" si="29"/>
        <v>-5196.2006489440282</v>
      </c>
      <c r="G37" s="6">
        <f>AVERAGE(D37:F37)</f>
        <v>-5286.3587061534863</v>
      </c>
      <c r="H37" s="50">
        <f t="shared" ref="H37:J37" si="30">H36+H33+H30</f>
        <v>-5165.1588313886195</v>
      </c>
      <c r="I37" s="50">
        <f t="shared" si="30"/>
        <v>-1980.7643811541157</v>
      </c>
      <c r="J37" s="50">
        <f t="shared" si="30"/>
        <v>-5530.9439195269024</v>
      </c>
      <c r="K37" s="6">
        <f>AVERAGE(H37:J37)</f>
        <v>-4225.6223773565462</v>
      </c>
      <c r="L37" s="50">
        <f t="shared" ref="L37:N37" si="31">L36+L33+L30</f>
        <v>-6105.7332056769392</v>
      </c>
      <c r="M37" s="50">
        <f t="shared" si="31"/>
        <v>-6008.5257298339384</v>
      </c>
      <c r="N37" s="50">
        <f t="shared" si="31"/>
        <v>-6005.9843308361542</v>
      </c>
      <c r="O37" s="6">
        <f t="shared" si="2"/>
        <v>-6040.0810887823436</v>
      </c>
      <c r="P37" s="50">
        <f t="shared" ref="P37:R37" si="32">P36+P33+P30</f>
        <v>-5773.5959678594609</v>
      </c>
      <c r="Q37" s="50">
        <f t="shared" si="32"/>
        <v>-4436.6219760144268</v>
      </c>
      <c r="R37" s="50">
        <f t="shared" si="32"/>
        <v>-4417.7057050907724</v>
      </c>
      <c r="S37" s="6">
        <f t="shared" si="3"/>
        <v>-4875.9745496548867</v>
      </c>
      <c r="T37" s="26">
        <f t="array" ref="T37">SUM(IF(D$4:S$4&lt;&gt;"Média",D37:S37))</f>
        <v>-61284.11016584179</v>
      </c>
      <c r="U37" s="19">
        <f>ROW()</f>
        <v>37</v>
      </c>
    </row>
    <row r="38" spans="1:22" ht="21.95" customHeight="1">
      <c r="A38" s="131" t="s">
        <v>30</v>
      </c>
      <c r="B38" s="132"/>
      <c r="C38" s="26">
        <f>'[26]SJCPIL-R 17-203-00'!T38</f>
        <v>6482.1245500000005</v>
      </c>
      <c r="D38" s="50">
        <f t="array" ref="D38">SUM(IF($B8:$B16="Sub-Total",D8:D16))</f>
        <v>607.6350458912292</v>
      </c>
      <c r="E38" s="50">
        <f t="array" ref="E38">SUM(IF($B8:$B16="Sub-Total",E8:E16))</f>
        <v>570.87909947557876</v>
      </c>
      <c r="F38" s="50">
        <f t="array" ref="F38">SUM(IF($B8:$B16="Sub-Total",F8:F16))</f>
        <v>574.309995877917</v>
      </c>
      <c r="G38" s="6">
        <f t="array" ref="G38">SUM(IF($B8:$B16="Sub-Total",G8:G16))</f>
        <v>584.27471374824154</v>
      </c>
      <c r="H38" s="50">
        <f t="array" ref="H38">SUM(IF($B8:$B16="Sub-Total",H8:H16))</f>
        <v>570.87909947557876</v>
      </c>
      <c r="I38" s="50">
        <f t="array" ref="I38">SUM(IF($B8:$B16="Sub-Total",I8:I16))</f>
        <v>574.309995877917</v>
      </c>
      <c r="J38" s="50">
        <f t="array" ref="J38">SUM(IF($B8:$B16="Sub-Total",J8:J16))</f>
        <v>611.30749065088719</v>
      </c>
      <c r="K38" s="6">
        <f t="array" ref="K38">SUM(IF($B8:$B16="Sub-Total",K8:K16))</f>
        <v>585.49886200146102</v>
      </c>
      <c r="L38" s="50">
        <f t="array" ref="L38">SUM(IF($B8:$B16="Sub-Total",L8:L16))</f>
        <v>674.83606755959124</v>
      </c>
      <c r="M38" s="50">
        <f t="array" ref="M38">SUM(IF($B8:$B16="Sub-Total",M8:M16))</f>
        <v>664.0922128044748</v>
      </c>
      <c r="N38" s="50">
        <f t="array" ref="N38">SUM(IF($B8:$B16="Sub-Total",N8:N16))</f>
        <v>663.81132471978583</v>
      </c>
      <c r="O38" s="6">
        <f t="array" ref="O38">SUM(IF($B8:$B16="Sub-Total",O8:O16))</f>
        <v>667.57986836128396</v>
      </c>
      <c r="P38" s="50">
        <f t="array" ref="P38">SUM(IF($B8:$B16="Sub-Total",P8:P16))</f>
        <v>638.12660451746967</v>
      </c>
      <c r="Q38" s="50">
        <f t="array" ref="Q38">SUM(IF($B8:$B16="Sub-Total",Q8:Q16))</f>
        <v>490.35757487050188</v>
      </c>
      <c r="R38" s="50">
        <f t="array" ref="R38">SUM(IF($B8:$B16="Sub-Total",R8:R16))</f>
        <v>488.26685432097923</v>
      </c>
      <c r="S38" s="6">
        <f t="array" ref="S38">SUM(IF($B8:$B16="Sub-Total",S8:S16))</f>
        <v>538.91701123631697</v>
      </c>
      <c r="T38" s="26">
        <f t="array" ref="T38">SUM(IF(D$4:S$4&lt;&gt;"Média",D38:S38))</f>
        <v>7128.8113660419112</v>
      </c>
      <c r="U38" s="19">
        <f>ROW()</f>
        <v>38</v>
      </c>
    </row>
    <row r="39" spans="1:22" ht="37.5" customHeight="1">
      <c r="A39" s="127" t="s">
        <v>31</v>
      </c>
      <c r="B39" s="129"/>
      <c r="C39" s="26">
        <f>'[26]SJCPIL-R 17-203-00'!T39</f>
        <v>0</v>
      </c>
      <c r="D39" s="55" t="s">
        <v>32</v>
      </c>
      <c r="E39" s="63"/>
      <c r="F39" s="63"/>
      <c r="G39" s="32"/>
      <c r="H39" s="63"/>
      <c r="I39" s="63"/>
      <c r="J39" s="55"/>
      <c r="K39" s="55"/>
      <c r="L39" s="55"/>
      <c r="M39" s="55"/>
      <c r="N39" s="55"/>
      <c r="O39" s="55"/>
      <c r="P39" s="63"/>
      <c r="Q39" s="63"/>
      <c r="R39" s="110"/>
      <c r="S39" s="11"/>
      <c r="T39" s="26">
        <f t="array" ref="T39">SUM(IF(D$4:R$4&lt;&gt;"Média",D39:R39))</f>
        <v>0</v>
      </c>
      <c r="U39" s="19">
        <f>ROW()</f>
        <v>39</v>
      </c>
    </row>
    <row r="40" spans="1:22">
      <c r="A40" s="20"/>
      <c r="B40" s="21" t="s">
        <v>33</v>
      </c>
      <c r="C40" s="13">
        <f>'[26]SJCPIL-R 17-203-00'!T40</f>
        <v>285128193</v>
      </c>
      <c r="D40" s="56">
        <f>SUM('[27]Prod &amp; Defects - Qty'!G$5:G$8)</f>
        <v>26727947.187999994</v>
      </c>
      <c r="E40" s="56">
        <f>SUM('[27]Prod &amp; Defects - Qty'!H$5:H$8)</f>
        <v>25111169.154400006</v>
      </c>
      <c r="F40" s="56">
        <f>SUM('[27]Prod &amp; Defects - Qty'!I$5:I$8)</f>
        <v>25262083.454800002</v>
      </c>
      <c r="G40" s="12">
        <f>AVERAGE(D40:F40)</f>
        <v>25700399.932399999</v>
      </c>
      <c r="H40" s="56">
        <f>SUM('[27]Prod &amp; Defects - Qty'!H$5:H$8)</f>
        <v>25111169.154400006</v>
      </c>
      <c r="I40" s="56">
        <f>SUM('[27]Prod &amp; Defects - Qty'!I$5:I$8)</f>
        <v>25262083.454800002</v>
      </c>
      <c r="J40" s="56">
        <f>SUM('[27]Prod &amp; Defects - Qty'!J$5:J$8)</f>
        <v>26889486.438000001</v>
      </c>
      <c r="K40" s="12">
        <f>AVERAGE(H40:J40)</f>
        <v>25754246.349066671</v>
      </c>
      <c r="L40" s="56">
        <f>SUM('[27]Prod &amp; Defects - Qty'!K$5:K$8)</f>
        <v>29683907.958000001</v>
      </c>
      <c r="M40" s="56">
        <f>SUM('[27]Prod &amp; Defects - Qty'!L$5:L$8)</f>
        <v>29211319.708800003</v>
      </c>
      <c r="N40" s="56">
        <f>SUM('[27]Prod &amp; Defects - Qty'!M$5:M$8)</f>
        <v>29198964.3288</v>
      </c>
      <c r="O40" s="12">
        <f>AVERAGE(L40:N40)</f>
        <v>29364730.665200006</v>
      </c>
      <c r="P40" s="56">
        <f>SUM('[27]Prod &amp; Defects - Qty'!N$5:N$8)</f>
        <v>28069174.581239998</v>
      </c>
      <c r="Q40" s="56">
        <f>SUM('[27]Prod &amp; Defects - Qty'!O$5:O$8)</f>
        <v>21569281.516920004</v>
      </c>
      <c r="R40" s="56">
        <f>SUM('[27]Prod &amp; Defects - Qty'!P$5:P$8)</f>
        <v>21477317.32096</v>
      </c>
      <c r="S40" s="12">
        <f>AVERAGE(P40:R40)</f>
        <v>23705257.806373332</v>
      </c>
      <c r="T40" s="13">
        <f t="array" ref="T40">SUM(IF(D$4:R$4&lt;&gt;"Média",D40:R40))</f>
        <v>313573904.25911999</v>
      </c>
      <c r="U40">
        <f>T40/12</f>
        <v>26131158.68826</v>
      </c>
    </row>
    <row r="41" spans="1:22">
      <c r="B41" s="22" t="s">
        <v>34</v>
      </c>
      <c r="C41" s="13">
        <f>'[26]SJCPIL-R 17-203-00'!T41</f>
        <v>27983553</v>
      </c>
      <c r="D41" s="56">
        <f>'[27]Prod &amp; Defects - Qty'!G$9</f>
        <v>3185354.3056000001</v>
      </c>
      <c r="E41" s="56">
        <f>'[27]Prod &amp; Defects - Qty'!H$9</f>
        <v>3093608.6620000005</v>
      </c>
      <c r="F41" s="56">
        <f>'[27]Prod &amp; Defects - Qty'!I$9</f>
        <v>3151055.1489999997</v>
      </c>
      <c r="G41" s="12">
        <f>AVERAGE(D41:F41)</f>
        <v>3143339.3722000006</v>
      </c>
      <c r="H41" s="56">
        <f>'[27]Prod &amp; Defects - Qty'!H$9</f>
        <v>3093608.6620000005</v>
      </c>
      <c r="I41" s="56">
        <f>'[27]Prod &amp; Defects - Qty'!I$9</f>
        <v>3151055.1489999997</v>
      </c>
      <c r="J41" s="56">
        <f>'[27]Prod &amp; Defects - Qty'!J$9</f>
        <v>3141480.7345000003</v>
      </c>
      <c r="K41" s="12">
        <f>AVERAGE(H41:J41)</f>
        <v>3128714.8485000003</v>
      </c>
      <c r="L41" s="56">
        <f>'[27]Prod &amp; Defects - Qty'!K$9</f>
        <v>3469465.8730000006</v>
      </c>
      <c r="M41" s="56">
        <f>'[27]Prod &amp; Defects - Qty'!L$9</f>
        <v>3542507.2598000006</v>
      </c>
      <c r="N41" s="56">
        <f>'[27]Prod &amp; Defects - Qty'!M$9</f>
        <v>3579027.9532000008</v>
      </c>
      <c r="O41" s="12">
        <f>AVERAGE(L41:N41)</f>
        <v>3530333.6953333342</v>
      </c>
      <c r="P41" s="56">
        <f>'[27]Prod &amp; Defects - Qty'!N$9</f>
        <v>3319138.7550000004</v>
      </c>
      <c r="Q41" s="56">
        <f>'[27]Prod &amp; Defects - Qty'!O$9</f>
        <v>2144673.8849999998</v>
      </c>
      <c r="R41" s="56">
        <f>'[27]Prod &amp; Defects - Qty'!P$9</f>
        <v>2440418.0299999998</v>
      </c>
      <c r="S41" s="12">
        <f>AVERAGE(P41:R41)</f>
        <v>2634743.5566666666</v>
      </c>
      <c r="T41" s="13">
        <f t="array" ref="T41">SUM(IF(D$4:R$4&lt;&gt;"Média",D41:R41))</f>
        <v>37311394.418100007</v>
      </c>
    </row>
    <row r="42" spans="1:22">
      <c r="B42" s="22" t="s">
        <v>35</v>
      </c>
      <c r="C42" s="13">
        <f>'[26]SJCPIL-R 17-203-00'!T42</f>
        <v>313111746</v>
      </c>
      <c r="D42" s="57">
        <f>SUM(D40:D41)</f>
        <v>29913301.493599992</v>
      </c>
      <c r="E42" s="57">
        <f t="shared" ref="E42:F42" si="33">SUM(E40:E41)</f>
        <v>28204777.816400006</v>
      </c>
      <c r="F42" s="57">
        <f t="shared" si="33"/>
        <v>28413138.603800002</v>
      </c>
      <c r="G42" s="12">
        <f>SUM(D42:F42)</f>
        <v>86531217.913800001</v>
      </c>
      <c r="H42" s="64">
        <f>SUM(H40:H41)</f>
        <v>28204777.816400006</v>
      </c>
      <c r="I42" s="64">
        <f t="shared" ref="I42:J42" si="34">SUM(I40:I41)</f>
        <v>28413138.603800002</v>
      </c>
      <c r="J42" s="64">
        <f t="shared" si="34"/>
        <v>30030967.172499999</v>
      </c>
      <c r="K42" s="12">
        <f>AVERAGE(H42:J42)</f>
        <v>28882961.197566669</v>
      </c>
      <c r="L42" s="64">
        <f>SUM(L40:L41)</f>
        <v>33153373.831</v>
      </c>
      <c r="M42" s="64">
        <f t="shared" ref="M42:N42" si="35">SUM(M40:M41)</f>
        <v>32753826.968600005</v>
      </c>
      <c r="N42" s="64">
        <f t="shared" si="35"/>
        <v>32777992.282000002</v>
      </c>
      <c r="O42" s="12">
        <f>AVERAGE(L42:N42)</f>
        <v>32895064.360533338</v>
      </c>
      <c r="P42" s="64">
        <f t="shared" ref="P42" si="36">SUM(P40:P41)</f>
        <v>31388313.336239997</v>
      </c>
      <c r="Q42" s="64">
        <f t="shared" ref="Q42:R42" si="37">SUM(Q40:Q41)</f>
        <v>23713955.401920006</v>
      </c>
      <c r="R42" s="111">
        <f t="shared" si="37"/>
        <v>23917735.350960001</v>
      </c>
      <c r="S42" s="12">
        <f>AVERAGE(P42:R42)</f>
        <v>26340001.36304</v>
      </c>
      <c r="T42" s="13">
        <f t="array" ref="T42">SUM(IF(D$4:R$4&lt;&gt;"Média",D42:R42))</f>
        <v>350885298.67722005</v>
      </c>
    </row>
    <row r="43" spans="1:22">
      <c r="B43" s="34" t="s">
        <v>36</v>
      </c>
      <c r="C43" s="38">
        <f>'[26]SJCPIL-R 17-203-00'!T43</f>
        <v>0</v>
      </c>
      <c r="D43" s="35">
        <v>5.4</v>
      </c>
      <c r="E43" s="35">
        <f>D43</f>
        <v>5.4</v>
      </c>
      <c r="F43" s="35">
        <f>E43</f>
        <v>5.4</v>
      </c>
      <c r="G43" s="35">
        <f t="shared" ref="G43:R43" si="38">F43</f>
        <v>5.4</v>
      </c>
      <c r="H43" s="35">
        <f t="shared" si="38"/>
        <v>5.4</v>
      </c>
      <c r="I43" s="35">
        <f t="shared" si="38"/>
        <v>5.4</v>
      </c>
      <c r="J43" s="35">
        <f t="shared" si="38"/>
        <v>5.4</v>
      </c>
      <c r="K43" s="35">
        <f t="shared" si="38"/>
        <v>5.4</v>
      </c>
      <c r="L43" s="35">
        <f t="shared" si="38"/>
        <v>5.4</v>
      </c>
      <c r="M43" s="35">
        <f t="shared" si="38"/>
        <v>5.4</v>
      </c>
      <c r="N43" s="35">
        <f t="shared" si="38"/>
        <v>5.4</v>
      </c>
      <c r="O43" s="35">
        <f t="shared" si="38"/>
        <v>5.4</v>
      </c>
      <c r="P43" s="35">
        <f t="shared" si="38"/>
        <v>5.4</v>
      </c>
      <c r="Q43" s="35">
        <f t="shared" si="38"/>
        <v>5.4</v>
      </c>
      <c r="R43" s="35">
        <f t="shared" si="38"/>
        <v>5.4</v>
      </c>
      <c r="S43" s="35"/>
      <c r="T43" s="34"/>
    </row>
    <row r="44" spans="1:22" ht="15">
      <c r="B44" s="36" t="s">
        <v>37</v>
      </c>
      <c r="C44" s="108">
        <f>'[26]SJCPIL-R 17-203-00'!T44</f>
        <v>0</v>
      </c>
      <c r="D44" s="40">
        <f>C44</f>
        <v>0</v>
      </c>
      <c r="E44" s="47">
        <f>D44</f>
        <v>0</v>
      </c>
      <c r="F44" s="47">
        <f t="shared" ref="F44:R44" si="39">E44</f>
        <v>0</v>
      </c>
      <c r="G44" s="47">
        <f t="shared" si="39"/>
        <v>0</v>
      </c>
      <c r="H44" s="47">
        <f t="shared" si="39"/>
        <v>0</v>
      </c>
      <c r="I44" s="47">
        <f t="shared" si="39"/>
        <v>0</v>
      </c>
      <c r="J44" s="47">
        <f t="shared" si="39"/>
        <v>0</v>
      </c>
      <c r="K44" s="47">
        <f t="shared" si="39"/>
        <v>0</v>
      </c>
      <c r="L44" s="47">
        <f t="shared" si="39"/>
        <v>0</v>
      </c>
      <c r="M44" s="47">
        <f t="shared" si="39"/>
        <v>0</v>
      </c>
      <c r="N44" s="47">
        <f t="shared" si="39"/>
        <v>0</v>
      </c>
      <c r="O44" s="47">
        <f t="shared" si="39"/>
        <v>0</v>
      </c>
      <c r="P44" s="47">
        <f t="shared" si="39"/>
        <v>0</v>
      </c>
      <c r="Q44" s="47">
        <f t="shared" si="39"/>
        <v>0</v>
      </c>
      <c r="R44" s="47">
        <f t="shared" si="39"/>
        <v>0</v>
      </c>
      <c r="S44" s="42"/>
      <c r="T44" s="43"/>
    </row>
    <row r="45" spans="1:22" ht="15">
      <c r="D45" s="23"/>
      <c r="E45" s="23"/>
      <c r="F45" s="23"/>
      <c r="G45" s="2"/>
      <c r="H45" s="23"/>
      <c r="I45" s="23"/>
      <c r="J45" s="23"/>
      <c r="K45" s="2"/>
      <c r="L45" s="44"/>
      <c r="M45" s="2"/>
      <c r="N45" s="2"/>
      <c r="O45" s="2"/>
      <c r="P45" s="2"/>
      <c r="Q45" s="2"/>
      <c r="R45" s="2"/>
      <c r="S45" s="2"/>
      <c r="T45" s="1"/>
      <c r="U45" s="1"/>
      <c r="V45" s="1"/>
    </row>
    <row r="46" spans="1:22">
      <c r="B46" t="s">
        <v>38</v>
      </c>
      <c r="D46" s="23">
        <f>'[28]PRODUCTION (Rev.2)'!C$146</f>
        <v>4070228</v>
      </c>
      <c r="E46" s="23">
        <f>'[28]PRODUCTION (Rev.2)'!D$146</f>
        <v>3972428</v>
      </c>
      <c r="F46" s="23">
        <f>'[28]PRODUCTION (Rev.2)'!E$146</f>
        <v>4425731</v>
      </c>
      <c r="G46" s="12">
        <f>AVERAGE(D46:F46)</f>
        <v>4156129</v>
      </c>
      <c r="H46" s="23">
        <f>'[28]PRODUCTION (Rev.2)'!F$146</f>
        <v>4192446</v>
      </c>
      <c r="I46" s="23">
        <f>'[28]PRODUCTION (Rev.2)'!G$146</f>
        <v>4365518</v>
      </c>
      <c r="J46" s="23">
        <f>'[28]PRODUCTION (Rev.2)'!H$146</f>
        <v>4575273</v>
      </c>
      <c r="K46" s="12">
        <f>AVERAGE(H46:J46)</f>
        <v>4377745.666666667</v>
      </c>
      <c r="L46" s="23">
        <f>'[28]PRODUCTION (Rev.2)'!I$146</f>
        <v>4628685</v>
      </c>
      <c r="M46" s="23">
        <f>'[28]PRODUCTION (Rev.2)'!J$146</f>
        <v>5100279</v>
      </c>
      <c r="N46" s="23">
        <f>'[28]PRODUCTION (Rev.2)'!K$146</f>
        <v>4992224</v>
      </c>
      <c r="O46" s="12">
        <f>AVERAGE(L46:N46)</f>
        <v>4907062.666666667</v>
      </c>
      <c r="P46" s="23">
        <f>'[28]PRODUCTION (Rev.2)'!L$146</f>
        <v>3337138</v>
      </c>
      <c r="Q46" s="23">
        <f>'[28]PRODUCTION (Rev.2)'!M$146</f>
        <v>3657406</v>
      </c>
      <c r="R46" s="23">
        <f>'[28]PRODUCTION (Rev.2)'!N$146</f>
        <v>4810565</v>
      </c>
      <c r="S46" s="12">
        <f>AVERAGE(P46:R46)</f>
        <v>3935036.3333333335</v>
      </c>
    </row>
    <row r="47" spans="1:22">
      <c r="C47" s="48"/>
      <c r="D47" s="49"/>
      <c r="H47" s="33"/>
      <c r="I47" s="33"/>
    </row>
    <row r="48" spans="1:22">
      <c r="H48" s="33"/>
      <c r="I48" s="33"/>
      <c r="J48" s="33"/>
    </row>
    <row r="49" spans="4:10">
      <c r="D49" s="24"/>
      <c r="E49" s="24"/>
      <c r="F49" s="24"/>
      <c r="G49" s="24"/>
      <c r="H49" s="24"/>
    </row>
    <row r="50" spans="4:10">
      <c r="D50" s="24"/>
      <c r="E50" s="24"/>
      <c r="F50" s="24"/>
      <c r="G50" s="24"/>
      <c r="H50" s="24"/>
    </row>
    <row r="51" spans="4:10">
      <c r="D51" s="24"/>
      <c r="E51" s="24"/>
      <c r="F51" s="24"/>
      <c r="G51" s="24"/>
      <c r="H51" s="24"/>
    </row>
    <row r="52" spans="4:10">
      <c r="D52" s="24"/>
      <c r="E52" s="24"/>
      <c r="F52" s="24"/>
      <c r="G52" s="24"/>
      <c r="H52" s="24"/>
    </row>
    <row r="55" spans="4:10">
      <c r="J55" s="24"/>
    </row>
    <row r="56" spans="4:10">
      <c r="J56" s="24"/>
    </row>
  </sheetData>
  <customSheetViews>
    <customSheetView guid="{7EAACBAD-C652-4EA3-A0AF-62412D25DCC6}" showGridLines="0" fitToPage="1">
      <pane xSplit="2" ySplit="4" topLeftCell="C35" activePane="bottomRight" state="frozen"/>
      <selection pane="bottomRight" activeCell="F40" sqref="F40"/>
      <pageMargins left="0" right="0" top="0" bottom="0" header="0" footer="0"/>
      <printOptions horizontalCentered="1" verticalCentered="1"/>
      <pageSetup paperSize="9" scale="48" orientation="landscape" r:id="rId1"/>
      <headerFooter alignWithMargins="0">
        <oddFooter>&amp;L&amp;A (PGQ-7.03)&amp;R&amp;F</oddFooter>
      </headerFooter>
    </customSheetView>
    <customSheetView guid="{CA4D3B59-92A2-447C-A1A8-A00FAAA76E92}" showPageBreaks="1" showGridLines="0" fitToPage="1" printArea="1">
      <pane xSplit="2" ySplit="4" topLeftCell="C5" activePane="bottomRight" state="frozen"/>
      <selection pane="bottomRight" activeCell="C3" sqref="C3:C4"/>
      <pageMargins left="0" right="0" top="0" bottom="0" header="0" footer="0"/>
      <printOptions horizontalCentered="1" verticalCentered="1"/>
      <pageSetup paperSize="9" scale="48" orientation="landscape" r:id="rId2"/>
      <headerFooter alignWithMargins="0">
        <oddFooter>&amp;L&amp;A (PGQ-7.03)&amp;R&amp;F</oddFooter>
      </headerFooter>
    </customSheetView>
  </customSheetViews>
  <mergeCells count="19">
    <mergeCell ref="A39:B39"/>
    <mergeCell ref="D2:R2"/>
    <mergeCell ref="A38:B38"/>
    <mergeCell ref="A20:A23"/>
    <mergeCell ref="A24:A27"/>
    <mergeCell ref="A3:B3"/>
    <mergeCell ref="P3:R3"/>
    <mergeCell ref="A8:A10"/>
    <mergeCell ref="A11:A13"/>
    <mergeCell ref="A17:A19"/>
    <mergeCell ref="A28:A30"/>
    <mergeCell ref="A31:A33"/>
    <mergeCell ref="A34:A36"/>
    <mergeCell ref="D1:R1"/>
    <mergeCell ref="T3:T4"/>
    <mergeCell ref="A5:A7"/>
    <mergeCell ref="A14:A16"/>
    <mergeCell ref="C3:C4"/>
    <mergeCell ref="D3:O3"/>
  </mergeCells>
  <phoneticPr fontId="0" type="noConversion"/>
  <printOptions horizontalCentered="1" verticalCentered="1" gridLinesSet="0"/>
  <pageMargins left="0.39370078740157483" right="0.39370078740157483" top="0.59055118110236227" bottom="0.59055118110236227" header="0.51181102362204722" footer="0.31496062992125984"/>
  <pageSetup paperSize="9" scale="48" orientation="landscape" r:id="rId3"/>
  <headerFooter alignWithMargins="0">
    <oddFooter>&amp;L&amp;A (PGQ-7.03)&amp;R&amp;F</oddFooter>
  </headerFooter>
  <ignoredErrors>
    <ignoredError sqref="K22" formula="1"/>
  </ignoredErrors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11">
    <pageSetUpPr fitToPage="1"/>
  </sheetPr>
  <dimension ref="A1:W63"/>
  <sheetViews>
    <sheetView showGridLines="0" showZeros="0" zoomScaleNormal="100" zoomScaleSheetLayoutView="75" workbookViewId="0">
      <pane xSplit="2" ySplit="4" topLeftCell="C35" activePane="bottomRight" state="frozen"/>
      <selection pane="topRight" activeCell="C1" sqref="C1"/>
      <selection pane="bottomLeft" activeCell="A5" sqref="A5"/>
      <selection pane="bottomRight" activeCell="L40" sqref="L40:M42"/>
    </sheetView>
  </sheetViews>
  <sheetFormatPr defaultColWidth="11.42578125" defaultRowHeight="12.75"/>
  <cols>
    <col min="1" max="1" width="12.5703125" customWidth="1"/>
    <col min="2" max="2" width="17.5703125" bestFit="1" customWidth="1"/>
    <col min="3" max="3" width="15.7109375" bestFit="1" customWidth="1"/>
    <col min="4" max="11" width="13.7109375" bestFit="1" customWidth="1"/>
    <col min="12" max="12" width="11.5703125" style="46" bestFit="1" customWidth="1"/>
    <col min="13" max="13" width="11.5703125" bestFit="1" customWidth="1"/>
    <col min="14" max="14" width="11.140625" bestFit="1" customWidth="1"/>
    <col min="15" max="15" width="13.7109375" bestFit="1" customWidth="1"/>
    <col min="16" max="16" width="11.5703125" bestFit="1" customWidth="1"/>
    <col min="17" max="18" width="11.140625" customWidth="1"/>
    <col min="19" max="19" width="13.7109375" customWidth="1"/>
    <col min="20" max="20" width="12.7109375" bestFit="1" customWidth="1"/>
    <col min="21" max="21" width="4" customWidth="1"/>
    <col min="22" max="22" width="11.42578125" customWidth="1"/>
    <col min="23" max="23" width="14.5703125" bestFit="1" customWidth="1"/>
  </cols>
  <sheetData>
    <row r="1" spans="1:21" ht="20.25" customHeight="1">
      <c r="A1" s="14"/>
      <c r="B1" s="14"/>
      <c r="C1" s="14"/>
      <c r="D1" s="119" t="s">
        <v>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84"/>
    </row>
    <row r="2" spans="1:21" s="16" customFormat="1" ht="22.5" customHeight="1">
      <c r="A2" s="15"/>
      <c r="B2" s="15"/>
      <c r="C2" s="15"/>
      <c r="D2" s="130" t="s">
        <v>1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30"/>
    </row>
    <row r="3" spans="1:21" s="16" customFormat="1" ht="22.5" customHeight="1">
      <c r="A3" s="127" t="s">
        <v>2</v>
      </c>
      <c r="B3" s="129"/>
      <c r="C3" s="125" t="str">
        <f>'SJCPIL-R 17-203-00 (Forecast)'!C3</f>
        <v>Resultado 
FY-2021</v>
      </c>
      <c r="D3" s="127">
        <f>'SJCPIL-R 17-203-00 (Forecast)'!D3</f>
        <v>2022</v>
      </c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9"/>
      <c r="P3" s="127">
        <f>D3+1</f>
        <v>2023</v>
      </c>
      <c r="Q3" s="128"/>
      <c r="R3" s="128"/>
      <c r="S3" s="85"/>
      <c r="T3" s="120" t="s">
        <v>3</v>
      </c>
    </row>
    <row r="4" spans="1:21" s="19" customFormat="1" ht="30">
      <c r="A4" s="17" t="s">
        <v>5</v>
      </c>
      <c r="B4" s="18" t="s">
        <v>6</v>
      </c>
      <c r="C4" s="126"/>
      <c r="D4" s="106">
        <f>'SJCPIL-R 17-203-00 (Forecast)'!D4</f>
        <v>44652</v>
      </c>
      <c r="E4" s="106">
        <f>'SJCPIL-R 17-203-00 (Forecast)'!E4</f>
        <v>44682</v>
      </c>
      <c r="F4" s="106">
        <f>'SJCPIL-R 17-203-00 (Forecast)'!F4</f>
        <v>44713</v>
      </c>
      <c r="G4" s="74" t="s">
        <v>7</v>
      </c>
      <c r="H4" s="107">
        <f>'SJCPIL-R 17-203-00 (Forecast)'!H4</f>
        <v>44743</v>
      </c>
      <c r="I4" s="107">
        <f>'SJCPIL-R 17-203-00 (Forecast)'!I4</f>
        <v>44774</v>
      </c>
      <c r="J4" s="107">
        <f>'SJCPIL-R 17-203-00 (Forecast)'!J4</f>
        <v>44805</v>
      </c>
      <c r="K4" s="74" t="s">
        <v>7</v>
      </c>
      <c r="L4" s="107">
        <f>'SJCPIL-R 17-203-00 (Forecast)'!L4</f>
        <v>44835</v>
      </c>
      <c r="M4" s="107">
        <f>'SJCPIL-R 17-203-00 (Forecast)'!M4</f>
        <v>44866</v>
      </c>
      <c r="N4" s="107">
        <f>'SJCPIL-R 17-203-00 (Forecast)'!N4</f>
        <v>44896</v>
      </c>
      <c r="O4" s="74" t="s">
        <v>7</v>
      </c>
      <c r="P4" s="107">
        <f>'SJCPIL-R 17-203-00 (Forecast)'!P4</f>
        <v>44927</v>
      </c>
      <c r="Q4" s="107">
        <f>'SJCPIL-R 17-203-00 (Forecast)'!Q4</f>
        <v>44958</v>
      </c>
      <c r="R4" s="107">
        <f>'SJCPIL-R 17-203-00 (Forecast)'!R4</f>
        <v>44986</v>
      </c>
      <c r="S4" s="74" t="s">
        <v>7</v>
      </c>
      <c r="T4" s="121"/>
    </row>
    <row r="5" spans="1:21" ht="21.95" customHeight="1">
      <c r="A5" s="122" t="s">
        <v>8</v>
      </c>
      <c r="B5" s="86" t="s">
        <v>9</v>
      </c>
      <c r="C5" s="26">
        <f>'SJCPIL-R 17-203-00 (Forecast)'!C5</f>
        <v>5851</v>
      </c>
      <c r="D5" s="58"/>
      <c r="E5" s="58"/>
      <c r="F5" s="58"/>
      <c r="G5" s="75" t="e">
        <f>AVERAGE(D5:F5)</f>
        <v>#DIV/0!</v>
      </c>
      <c r="H5" s="58"/>
      <c r="I5" s="58"/>
      <c r="J5" s="58"/>
      <c r="K5" s="75" t="e">
        <f>AVERAGE(H5:J5)</f>
        <v>#DIV/0!</v>
      </c>
      <c r="L5" s="58"/>
      <c r="M5" s="58"/>
      <c r="N5" s="58"/>
      <c r="O5" s="75" t="e">
        <f>AVERAGE(L5:N5)</f>
        <v>#DIV/0!</v>
      </c>
      <c r="P5" s="58"/>
      <c r="Q5" s="58"/>
      <c r="R5" s="58"/>
      <c r="S5" s="75" t="e">
        <f>AVERAGE(P5:R5)</f>
        <v>#DIV/0!</v>
      </c>
      <c r="T5" s="26">
        <f t="array" ref="T5">SUM(IF(D$4:S$4&lt;&gt;"Média",D5:S5))</f>
        <v>0</v>
      </c>
      <c r="U5" s="19"/>
    </row>
    <row r="6" spans="1:21" ht="21.95" customHeight="1">
      <c r="A6" s="123"/>
      <c r="B6" s="87" t="s">
        <v>10</v>
      </c>
      <c r="C6" s="26">
        <f>'SJCPIL-R 17-203-00 (Forecast)'!C6</f>
        <v>3791.6400000000012</v>
      </c>
      <c r="D6" s="59">
        <v>315.97000000000003</v>
      </c>
      <c r="E6" s="59">
        <f>D6</f>
        <v>315.97000000000003</v>
      </c>
      <c r="F6" s="59">
        <f>E6</f>
        <v>315.97000000000003</v>
      </c>
      <c r="G6" s="76">
        <f t="shared" ref="G6:G7" si="0">AVERAGE(D6:F6)</f>
        <v>315.97000000000003</v>
      </c>
      <c r="H6" s="59">
        <f>G6</f>
        <v>315.97000000000003</v>
      </c>
      <c r="I6" s="59">
        <f>H6</f>
        <v>315.97000000000003</v>
      </c>
      <c r="J6" s="59">
        <f>I6</f>
        <v>315.97000000000003</v>
      </c>
      <c r="K6" s="76">
        <f t="shared" ref="K6:K7" si="1">AVERAGE(H6:J6)</f>
        <v>315.97000000000003</v>
      </c>
      <c r="L6" s="59">
        <f>K6</f>
        <v>315.97000000000003</v>
      </c>
      <c r="M6" s="59">
        <f>L6</f>
        <v>315.97000000000003</v>
      </c>
      <c r="N6" s="59">
        <f>M6</f>
        <v>315.97000000000003</v>
      </c>
      <c r="O6" s="76">
        <f t="shared" ref="O6:O7" si="2">AVERAGE(L6:N6)</f>
        <v>315.97000000000003</v>
      </c>
      <c r="P6" s="59">
        <f>O6</f>
        <v>315.97000000000003</v>
      </c>
      <c r="Q6" s="59">
        <f>P6</f>
        <v>315.97000000000003</v>
      </c>
      <c r="R6" s="59">
        <f>Q6</f>
        <v>315.97000000000003</v>
      </c>
      <c r="S6" s="76">
        <f t="shared" ref="S6:S7" si="3">AVERAGE(P6:R6)</f>
        <v>315.97000000000003</v>
      </c>
      <c r="T6" s="26">
        <f t="array" ref="T6">SUM(IF(D$4:S$4&lt;&gt;"Média",D6:S6))</f>
        <v>3791.6400000000012</v>
      </c>
      <c r="U6" s="19"/>
    </row>
    <row r="7" spans="1:21" ht="21.95" customHeight="1">
      <c r="A7" s="124"/>
      <c r="B7" s="88" t="s">
        <v>11</v>
      </c>
      <c r="C7" s="26">
        <f>'SJCPIL-R 17-203-00 (Forecast)'!C7</f>
        <v>1848.7404700000002</v>
      </c>
      <c r="D7" s="60">
        <f>D5*D6/1000</f>
        <v>0</v>
      </c>
      <c r="E7" s="60">
        <f>E5*E6/1000</f>
        <v>0</v>
      </c>
      <c r="F7" s="60">
        <f>F5*F6/1000</f>
        <v>0</v>
      </c>
      <c r="G7" s="77">
        <f t="shared" si="0"/>
        <v>0</v>
      </c>
      <c r="H7" s="60">
        <f>H5*H6/1000</f>
        <v>0</v>
      </c>
      <c r="I7" s="60">
        <f>I5*I6/1000</f>
        <v>0</v>
      </c>
      <c r="J7" s="60">
        <f>J5*J6/1000</f>
        <v>0</v>
      </c>
      <c r="K7" s="77">
        <f t="shared" si="1"/>
        <v>0</v>
      </c>
      <c r="L7" s="60">
        <f>L5*L6/1000</f>
        <v>0</v>
      </c>
      <c r="M7" s="60">
        <f>M5*M6/1000</f>
        <v>0</v>
      </c>
      <c r="N7" s="60">
        <f>N5*N6/1000</f>
        <v>0</v>
      </c>
      <c r="O7" s="77">
        <f t="shared" si="2"/>
        <v>0</v>
      </c>
      <c r="P7" s="60">
        <f>P5*P6/1000</f>
        <v>0</v>
      </c>
      <c r="Q7" s="60">
        <f>Q5*Q6/1000</f>
        <v>0</v>
      </c>
      <c r="R7" s="60">
        <f>R5*R6/1000</f>
        <v>0</v>
      </c>
      <c r="S7" s="77">
        <f t="shared" si="3"/>
        <v>0</v>
      </c>
      <c r="T7" s="26">
        <f t="array" ref="T7">SUM(IF(D$4:S$4&lt;&gt;"Média",D7:S7))</f>
        <v>0</v>
      </c>
      <c r="U7" s="19"/>
    </row>
    <row r="8" spans="1:21" ht="21.95" customHeight="1">
      <c r="A8" s="122" t="s">
        <v>12</v>
      </c>
      <c r="B8" s="86" t="s">
        <v>9</v>
      </c>
      <c r="C8" s="26">
        <f>'SJCPIL-R 17-203-00 (Forecast)'!C8</f>
        <v>1601</v>
      </c>
      <c r="D8" s="95"/>
      <c r="E8" s="96"/>
      <c r="F8" s="58"/>
      <c r="G8" s="75" t="e">
        <f>AVERAGE(D8:F8)</f>
        <v>#DIV/0!</v>
      </c>
      <c r="H8" s="95"/>
      <c r="I8" s="96"/>
      <c r="J8" s="58"/>
      <c r="K8" s="75" t="e">
        <f>AVERAGE(H8:J8)</f>
        <v>#DIV/0!</v>
      </c>
      <c r="L8" s="95"/>
      <c r="M8" s="96"/>
      <c r="N8" s="58"/>
      <c r="O8" s="75" t="e">
        <f>AVERAGE(L8:N8)</f>
        <v>#DIV/0!</v>
      </c>
      <c r="P8" s="95"/>
      <c r="Q8" s="96"/>
      <c r="R8" s="58"/>
      <c r="S8" s="75" t="e">
        <f>AVERAGE(P8:R8)</f>
        <v>#DIV/0!</v>
      </c>
      <c r="T8" s="26">
        <f t="array" ref="T8">SUM(IF(D$4:S$4&lt;&gt;"Média",D8:S8))</f>
        <v>0</v>
      </c>
      <c r="U8" s="19"/>
    </row>
    <row r="9" spans="1:21" ht="21.95" customHeight="1">
      <c r="A9" s="123"/>
      <c r="B9" s="87" t="s">
        <v>10</v>
      </c>
      <c r="C9" s="26">
        <f>'SJCPIL-R 17-203-00 (Forecast)'!C9</f>
        <v>3791.6400000000012</v>
      </c>
      <c r="D9" s="109">
        <f>D6</f>
        <v>315.97000000000003</v>
      </c>
      <c r="E9" s="59">
        <f>D9</f>
        <v>315.97000000000003</v>
      </c>
      <c r="F9" s="59">
        <f>E9</f>
        <v>315.97000000000003</v>
      </c>
      <c r="G9" s="76">
        <f t="shared" ref="G9:G16" si="4">AVERAGE(D9:F9)</f>
        <v>315.97000000000003</v>
      </c>
      <c r="H9" s="109">
        <f>F9</f>
        <v>315.97000000000003</v>
      </c>
      <c r="I9" s="59">
        <f>H9</f>
        <v>315.97000000000003</v>
      </c>
      <c r="J9" s="59">
        <f>I9</f>
        <v>315.97000000000003</v>
      </c>
      <c r="K9" s="76">
        <f t="shared" ref="K9:K16" si="5">AVERAGE(H9:J9)</f>
        <v>315.97000000000003</v>
      </c>
      <c r="L9" s="109">
        <f>J9</f>
        <v>315.97000000000003</v>
      </c>
      <c r="M9" s="59">
        <f>L9</f>
        <v>315.97000000000003</v>
      </c>
      <c r="N9" s="59">
        <f>M9</f>
        <v>315.97000000000003</v>
      </c>
      <c r="O9" s="76">
        <f t="shared" ref="O9:O16" si="6">AVERAGE(L9:N9)</f>
        <v>315.97000000000003</v>
      </c>
      <c r="P9" s="109">
        <f>N9</f>
        <v>315.97000000000003</v>
      </c>
      <c r="Q9" s="59">
        <f>P9</f>
        <v>315.97000000000003</v>
      </c>
      <c r="R9" s="59">
        <f>Q9</f>
        <v>315.97000000000003</v>
      </c>
      <c r="S9" s="76">
        <f t="shared" ref="S9:S16" si="7">AVERAGE(P9:R9)</f>
        <v>315.97000000000003</v>
      </c>
      <c r="T9" s="26">
        <f t="array" ref="T9">SUM(IF(D$4:S$4&lt;&gt;"Média",D9:S9))</f>
        <v>3791.6400000000012</v>
      </c>
      <c r="U9" s="19"/>
    </row>
    <row r="10" spans="1:21" ht="21.95" customHeight="1">
      <c r="A10" s="124"/>
      <c r="B10" s="88" t="s">
        <v>11</v>
      </c>
      <c r="C10" s="26">
        <f>'SJCPIL-R 17-203-00 (Forecast)'!C10</f>
        <v>505.86797000000007</v>
      </c>
      <c r="D10" s="60">
        <f>D8*D9/1000</f>
        <v>0</v>
      </c>
      <c r="E10" s="114">
        <f t="shared" ref="E10:F10" si="8">E8*E9/1000</f>
        <v>0</v>
      </c>
      <c r="F10" s="115">
        <f t="shared" si="8"/>
        <v>0</v>
      </c>
      <c r="G10" s="77">
        <f t="shared" si="4"/>
        <v>0</v>
      </c>
      <c r="H10" s="60">
        <f>H8*H9/1000</f>
        <v>0</v>
      </c>
      <c r="I10" s="114">
        <f t="shared" ref="I10" si="9">I8*I9/1000</f>
        <v>0</v>
      </c>
      <c r="J10" s="115">
        <f t="shared" ref="J10" si="10">J8*J9/1000</f>
        <v>0</v>
      </c>
      <c r="K10" s="77">
        <f t="shared" si="5"/>
        <v>0</v>
      </c>
      <c r="L10" s="60">
        <f>L8*L9/1000</f>
        <v>0</v>
      </c>
      <c r="M10" s="99">
        <f t="shared" ref="M10" si="11">M8*M9/1000</f>
        <v>0</v>
      </c>
      <c r="N10" s="100">
        <f t="shared" ref="N10" si="12">N8*N9/1000</f>
        <v>0</v>
      </c>
      <c r="O10" s="77">
        <f t="shared" si="6"/>
        <v>0</v>
      </c>
      <c r="P10" s="60">
        <f>P8*P9/1000</f>
        <v>0</v>
      </c>
      <c r="Q10" s="99">
        <f t="shared" ref="Q10" si="13">Q8*Q9/1000</f>
        <v>0</v>
      </c>
      <c r="R10" s="100">
        <f t="shared" ref="R10" si="14">R8*R9/1000</f>
        <v>0</v>
      </c>
      <c r="S10" s="77">
        <f t="shared" si="7"/>
        <v>0</v>
      </c>
      <c r="T10" s="26">
        <f t="array" ref="T10">SUM(IF(D$4:S$4&lt;&gt;"Média",D10:S10))</f>
        <v>0</v>
      </c>
      <c r="U10" s="19"/>
    </row>
    <row r="11" spans="1:21" ht="21.95" customHeight="1">
      <c r="A11" s="122" t="s">
        <v>13</v>
      </c>
      <c r="B11" s="86" t="s">
        <v>9</v>
      </c>
      <c r="C11" s="26">
        <f>'SJCPIL-R 17-203-00 (Forecast)'!C11</f>
        <v>0</v>
      </c>
      <c r="D11" s="58"/>
      <c r="E11" s="58"/>
      <c r="F11" s="58"/>
      <c r="G11" s="75" t="e">
        <f t="shared" si="4"/>
        <v>#DIV/0!</v>
      </c>
      <c r="H11" s="58"/>
      <c r="I11" s="58"/>
      <c r="J11" s="58"/>
      <c r="K11" s="75" t="e">
        <f t="shared" si="5"/>
        <v>#DIV/0!</v>
      </c>
      <c r="L11" s="58"/>
      <c r="M11" s="58"/>
      <c r="N11" s="58"/>
      <c r="O11" s="75" t="e">
        <f t="shared" si="6"/>
        <v>#DIV/0!</v>
      </c>
      <c r="P11" s="58"/>
      <c r="Q11" s="58"/>
      <c r="R11" s="58"/>
      <c r="S11" s="75" t="e">
        <f t="shared" si="7"/>
        <v>#DIV/0!</v>
      </c>
      <c r="T11" s="26">
        <f t="array" ref="T11">SUM(IF(D$4:S$4&lt;&gt;"Média",D11:S11))</f>
        <v>0</v>
      </c>
      <c r="U11" s="19"/>
    </row>
    <row r="12" spans="1:21" ht="21.95" customHeight="1">
      <c r="A12" s="123"/>
      <c r="B12" s="87" t="s">
        <v>10</v>
      </c>
      <c r="C12" s="26">
        <f>'SJCPIL-R 17-203-00 (Forecast)'!C12</f>
        <v>3791.6400000000012</v>
      </c>
      <c r="D12" s="59">
        <f>D9</f>
        <v>315.97000000000003</v>
      </c>
      <c r="E12" s="59">
        <f>D12</f>
        <v>315.97000000000003</v>
      </c>
      <c r="F12" s="59">
        <f>E12</f>
        <v>315.97000000000003</v>
      </c>
      <c r="G12" s="76">
        <f t="shared" si="4"/>
        <v>315.97000000000003</v>
      </c>
      <c r="H12" s="109">
        <f>F12</f>
        <v>315.97000000000003</v>
      </c>
      <c r="I12" s="59">
        <f>H12</f>
        <v>315.97000000000003</v>
      </c>
      <c r="J12" s="59">
        <f>I12</f>
        <v>315.97000000000003</v>
      </c>
      <c r="K12" s="76">
        <f t="shared" si="5"/>
        <v>315.97000000000003</v>
      </c>
      <c r="L12" s="109">
        <f>J12</f>
        <v>315.97000000000003</v>
      </c>
      <c r="M12" s="59">
        <f>L12</f>
        <v>315.97000000000003</v>
      </c>
      <c r="N12" s="59">
        <f>M12</f>
        <v>315.97000000000003</v>
      </c>
      <c r="O12" s="76">
        <f t="shared" si="6"/>
        <v>315.97000000000003</v>
      </c>
      <c r="P12" s="109">
        <f>N12</f>
        <v>315.97000000000003</v>
      </c>
      <c r="Q12" s="59">
        <f>P12</f>
        <v>315.97000000000003</v>
      </c>
      <c r="R12" s="59">
        <f>Q12</f>
        <v>315.97000000000003</v>
      </c>
      <c r="S12" s="76">
        <f t="shared" si="7"/>
        <v>315.97000000000003</v>
      </c>
      <c r="T12" s="26">
        <f t="array" ref="T12">SUM(IF(D$4:S$4&lt;&gt;"Média",D12:S12))</f>
        <v>3791.6400000000012</v>
      </c>
      <c r="U12" s="19"/>
    </row>
    <row r="13" spans="1:21" ht="21.95" customHeight="1">
      <c r="A13" s="124"/>
      <c r="B13" s="88" t="s">
        <v>11</v>
      </c>
      <c r="C13" s="26">
        <f>'SJCPIL-R 17-203-00 (Forecast)'!C13</f>
        <v>0</v>
      </c>
      <c r="D13" s="60">
        <f t="shared" ref="D13:F13" si="15">D11*D12/1000</f>
        <v>0</v>
      </c>
      <c r="E13" s="60">
        <f t="shared" si="15"/>
        <v>0</v>
      </c>
      <c r="F13" s="60">
        <f t="shared" si="15"/>
        <v>0</v>
      </c>
      <c r="G13" s="77">
        <f t="shared" si="4"/>
        <v>0</v>
      </c>
      <c r="H13" s="60">
        <f t="shared" ref="H13:J13" si="16">H11*H12/1000</f>
        <v>0</v>
      </c>
      <c r="I13" s="60">
        <f t="shared" si="16"/>
        <v>0</v>
      </c>
      <c r="J13" s="60">
        <f t="shared" si="16"/>
        <v>0</v>
      </c>
      <c r="K13" s="77">
        <f t="shared" si="5"/>
        <v>0</v>
      </c>
      <c r="L13" s="60">
        <f t="shared" ref="L13:N13" si="17">L11*L12/1000</f>
        <v>0</v>
      </c>
      <c r="M13" s="60">
        <f t="shared" si="17"/>
        <v>0</v>
      </c>
      <c r="N13" s="60">
        <f t="shared" si="17"/>
        <v>0</v>
      </c>
      <c r="O13" s="77">
        <f t="shared" si="6"/>
        <v>0</v>
      </c>
      <c r="P13" s="60">
        <f t="shared" ref="P13:R13" si="18">P11*P12/1000</f>
        <v>0</v>
      </c>
      <c r="Q13" s="60">
        <f t="shared" si="18"/>
        <v>0</v>
      </c>
      <c r="R13" s="60">
        <f t="shared" si="18"/>
        <v>0</v>
      </c>
      <c r="S13" s="77">
        <f t="shared" si="7"/>
        <v>0</v>
      </c>
      <c r="T13" s="26">
        <f t="array" ref="T13">SUM(IF(D$4:S$4&lt;&gt;"Média",D13:S13))</f>
        <v>0</v>
      </c>
      <c r="U13" s="19"/>
    </row>
    <row r="14" spans="1:21" ht="21.95" customHeight="1">
      <c r="A14" s="122" t="s">
        <v>14</v>
      </c>
      <c r="B14" s="86" t="s">
        <v>9</v>
      </c>
      <c r="C14" s="26">
        <f>'SJCPIL-R 17-203-00 (Forecast)'!C14</f>
        <v>18914</v>
      </c>
      <c r="D14" s="95"/>
      <c r="E14" s="96"/>
      <c r="F14" s="58"/>
      <c r="G14" s="75" t="e">
        <f t="shared" si="4"/>
        <v>#DIV/0!</v>
      </c>
      <c r="H14" s="95"/>
      <c r="I14" s="96"/>
      <c r="J14" s="118"/>
      <c r="K14" s="75" t="e">
        <f t="shared" si="5"/>
        <v>#DIV/0!</v>
      </c>
      <c r="L14" s="95"/>
      <c r="M14" s="96"/>
      <c r="N14" s="58"/>
      <c r="O14" s="75" t="e">
        <f t="shared" si="6"/>
        <v>#DIV/0!</v>
      </c>
      <c r="P14" s="95"/>
      <c r="Q14" s="96"/>
      <c r="R14" s="58"/>
      <c r="S14" s="75" t="e">
        <f t="shared" si="7"/>
        <v>#DIV/0!</v>
      </c>
      <c r="T14" s="26">
        <f t="array" ref="T14">SUM(IF(D$4:S$4&lt;&gt;"Média",D14:S14))</f>
        <v>0</v>
      </c>
      <c r="U14" s="19"/>
    </row>
    <row r="15" spans="1:21" ht="21.95" customHeight="1">
      <c r="A15" s="123"/>
      <c r="B15" s="87" t="s">
        <v>15</v>
      </c>
      <c r="C15" s="26">
        <f>'SJCPIL-R 17-203-00 (Forecast)'!C15</f>
        <v>3791.6400000000012</v>
      </c>
      <c r="D15" s="109">
        <f>D12</f>
        <v>315.97000000000003</v>
      </c>
      <c r="E15" s="59">
        <f>D15</f>
        <v>315.97000000000003</v>
      </c>
      <c r="F15" s="59">
        <f>E15</f>
        <v>315.97000000000003</v>
      </c>
      <c r="G15" s="78">
        <f t="shared" si="4"/>
        <v>315.97000000000003</v>
      </c>
      <c r="H15" s="109">
        <f>F15</f>
        <v>315.97000000000003</v>
      </c>
      <c r="I15" s="59">
        <f>H15</f>
        <v>315.97000000000003</v>
      </c>
      <c r="J15" s="61">
        <f>I15</f>
        <v>315.97000000000003</v>
      </c>
      <c r="K15" s="78">
        <f t="shared" si="5"/>
        <v>315.97000000000003</v>
      </c>
      <c r="L15" s="112">
        <f>J15</f>
        <v>315.97000000000003</v>
      </c>
      <c r="M15" s="61">
        <f>L15</f>
        <v>315.97000000000003</v>
      </c>
      <c r="N15" s="61">
        <f>M15</f>
        <v>315.97000000000003</v>
      </c>
      <c r="O15" s="78">
        <f t="shared" si="6"/>
        <v>315.97000000000003</v>
      </c>
      <c r="P15" s="97">
        <v>510</v>
      </c>
      <c r="Q15" s="98">
        <v>510</v>
      </c>
      <c r="R15" s="61">
        <v>510</v>
      </c>
      <c r="S15" s="78">
        <f t="shared" si="7"/>
        <v>510</v>
      </c>
      <c r="T15" s="26">
        <f t="array" ref="T15">SUM(IF(D$4:S$4&lt;&gt;"Média",D15:S15))</f>
        <v>4373.7300000000005</v>
      </c>
      <c r="U15" s="19"/>
    </row>
    <row r="16" spans="1:21" ht="21.95" customHeight="1">
      <c r="A16" s="124"/>
      <c r="B16" s="88" t="s">
        <v>11</v>
      </c>
      <c r="C16" s="26">
        <f>'SJCPIL-R 17-203-00 (Forecast)'!C16</f>
        <v>5976.2565800000011</v>
      </c>
      <c r="D16" s="114">
        <f>D14*D15/1000</f>
        <v>0</v>
      </c>
      <c r="E16" s="114">
        <f>E14*E15/1000</f>
        <v>0</v>
      </c>
      <c r="F16" s="115">
        <f>F14*F15/1000</f>
        <v>0</v>
      </c>
      <c r="G16" s="77">
        <f t="shared" si="4"/>
        <v>0</v>
      </c>
      <c r="H16" s="114">
        <f>H14*H15/1000</f>
        <v>0</v>
      </c>
      <c r="I16" s="114">
        <f>I14*I15/1000</f>
        <v>0</v>
      </c>
      <c r="J16" s="115">
        <f>J14*J15/1000</f>
        <v>0</v>
      </c>
      <c r="K16" s="77">
        <f t="shared" si="5"/>
        <v>0</v>
      </c>
      <c r="L16" s="99">
        <f>L14*L15/1000</f>
        <v>0</v>
      </c>
      <c r="M16" s="99">
        <f>M14*M15/1000</f>
        <v>0</v>
      </c>
      <c r="N16" s="100">
        <f>N14*N15/1000</f>
        <v>0</v>
      </c>
      <c r="O16" s="77">
        <f t="shared" si="6"/>
        <v>0</v>
      </c>
      <c r="P16" s="99">
        <f>P14*P15/1000</f>
        <v>0</v>
      </c>
      <c r="Q16" s="99">
        <f>Q14*Q15/1000</f>
        <v>0</v>
      </c>
      <c r="R16" s="100">
        <f>R14*R15/1000</f>
        <v>0</v>
      </c>
      <c r="S16" s="77">
        <f t="shared" si="7"/>
        <v>0</v>
      </c>
      <c r="T16" s="26">
        <f t="array" ref="T16">SUM(IF(D$4:S$4&lt;&gt;"Média",D16:S16))</f>
        <v>0</v>
      </c>
      <c r="U16" s="19"/>
    </row>
    <row r="17" spans="1:23" ht="21.95" customHeight="1">
      <c r="A17" s="133" t="s">
        <v>16</v>
      </c>
      <c r="B17" s="89" t="s">
        <v>9</v>
      </c>
      <c r="C17" s="26">
        <f>'SJCPIL-R 17-203-00 (Forecast)'!C17</f>
        <v>284</v>
      </c>
      <c r="D17" s="95"/>
      <c r="E17" s="96"/>
      <c r="F17" s="58"/>
      <c r="G17" s="75" t="e">
        <f>AVERAGE(D17:F17)</f>
        <v>#DIV/0!</v>
      </c>
      <c r="H17" s="58">
        <v>0</v>
      </c>
      <c r="I17" s="58"/>
      <c r="J17" s="58"/>
      <c r="K17" s="75">
        <f>AVERAGE(H17:J17)</f>
        <v>0</v>
      </c>
      <c r="L17" s="58"/>
      <c r="M17" s="58"/>
      <c r="N17" s="58"/>
      <c r="O17" s="75" t="e">
        <f>AVERAGE(L17:N17)</f>
        <v>#DIV/0!</v>
      </c>
      <c r="P17" s="58"/>
      <c r="Q17" s="58"/>
      <c r="R17" s="58"/>
      <c r="S17" s="75" t="e">
        <f>AVERAGE(P17:R17)</f>
        <v>#DIV/0!</v>
      </c>
      <c r="T17" s="26">
        <f t="array" ref="T17">SUM(IF(D$4:S$4&lt;&gt;"Média",D17:S17))</f>
        <v>0</v>
      </c>
      <c r="U17" s="19"/>
    </row>
    <row r="18" spans="1:23" ht="49.5" customHeight="1">
      <c r="A18" s="134"/>
      <c r="B18" s="90" t="s">
        <v>17</v>
      </c>
      <c r="C18" s="26">
        <f>'SJCPIL-R 17-203-00 (Forecast)'!C18</f>
        <v>83.491332671621734</v>
      </c>
      <c r="D18" s="116">
        <f>D22</f>
        <v>0</v>
      </c>
      <c r="E18" s="116">
        <f t="shared" ref="E18:M18" si="19">E22</f>
        <v>0</v>
      </c>
      <c r="F18" s="116">
        <f t="shared" si="19"/>
        <v>0</v>
      </c>
      <c r="G18" s="79">
        <f>AVERAGE(D18:F18)</f>
        <v>0</v>
      </c>
      <c r="H18" s="116">
        <f t="shared" si="19"/>
        <v>0</v>
      </c>
      <c r="I18" s="116">
        <f t="shared" si="19"/>
        <v>0</v>
      </c>
      <c r="J18" s="116">
        <f t="shared" si="19"/>
        <v>0</v>
      </c>
      <c r="K18" s="79">
        <f>AVERAGE(H18:J18)</f>
        <v>0</v>
      </c>
      <c r="L18" s="116">
        <f t="shared" si="19"/>
        <v>0</v>
      </c>
      <c r="M18" s="116">
        <f t="shared" si="19"/>
        <v>0</v>
      </c>
      <c r="N18" s="83"/>
      <c r="O18" s="79">
        <f>AVERAGE(L18:N18)</f>
        <v>0</v>
      </c>
      <c r="P18" s="83"/>
      <c r="Q18" s="83"/>
      <c r="R18" s="83"/>
      <c r="S18" s="79" t="e">
        <f>AVERAGE(P18:R18)</f>
        <v>#DIV/0!</v>
      </c>
      <c r="T18" s="26">
        <f t="array" ref="T18">SUM(IF(D$4:S$4&lt;&gt;"Média",D18:S18))</f>
        <v>0</v>
      </c>
      <c r="U18" s="19"/>
    </row>
    <row r="19" spans="1:23" ht="21.95" customHeight="1">
      <c r="A19" s="135"/>
      <c r="B19" s="68" t="s">
        <v>11</v>
      </c>
      <c r="C19" s="26">
        <f>'SJCPIL-R 17-203-00 (Forecast)'!C19</f>
        <v>2119.4407409819996</v>
      </c>
      <c r="D19" s="100">
        <f t="shared" ref="D19:F19" si="20">D17*D18</f>
        <v>0</v>
      </c>
      <c r="E19" s="60">
        <f t="shared" si="20"/>
        <v>0</v>
      </c>
      <c r="F19" s="60">
        <f t="shared" si="20"/>
        <v>0</v>
      </c>
      <c r="G19" s="77" t="e">
        <f>G17*G22</f>
        <v>#DIV/0!</v>
      </c>
      <c r="H19" s="60">
        <f>H17*H18</f>
        <v>0</v>
      </c>
      <c r="I19" s="60">
        <f>I17*I18</f>
        <v>0</v>
      </c>
      <c r="J19" s="60">
        <f>J17*J18</f>
        <v>0</v>
      </c>
      <c r="K19" s="77">
        <f>K17*K22</f>
        <v>0</v>
      </c>
      <c r="L19" s="60">
        <f t="shared" ref="L19:N19" si="21">L17*L18</f>
        <v>0</v>
      </c>
      <c r="M19" s="60">
        <f t="shared" si="21"/>
        <v>0</v>
      </c>
      <c r="N19" s="60">
        <f t="shared" si="21"/>
        <v>0</v>
      </c>
      <c r="O19" s="77" t="e">
        <f>O17*O22</f>
        <v>#DIV/0!</v>
      </c>
      <c r="P19" s="60">
        <f t="shared" ref="P19:R19" si="22">P17*P18</f>
        <v>0</v>
      </c>
      <c r="Q19" s="60">
        <f t="shared" si="22"/>
        <v>0</v>
      </c>
      <c r="R19" s="60">
        <f t="shared" si="22"/>
        <v>0</v>
      </c>
      <c r="S19" s="77" t="e">
        <f>S17*S22</f>
        <v>#DIV/0!</v>
      </c>
      <c r="T19" s="26">
        <f t="array" ref="T19">SUM(IF(D$4:S$4&lt;&gt;"Média",D19:S19))</f>
        <v>0</v>
      </c>
      <c r="U19" s="19"/>
      <c r="V19" s="22"/>
      <c r="W19" s="22"/>
    </row>
    <row r="20" spans="1:23" ht="21.95" customHeight="1">
      <c r="A20" s="122" t="s">
        <v>39</v>
      </c>
      <c r="B20" s="86" t="s">
        <v>9</v>
      </c>
      <c r="C20" s="26">
        <f>'SJCPIL-R 17-203-00 (Forecast)'!C20</f>
        <v>12120</v>
      </c>
      <c r="D20" s="95"/>
      <c r="E20" s="58"/>
      <c r="F20" s="58"/>
      <c r="G20" s="75" t="e">
        <f t="shared" ref="G20:G27" si="23">AVERAGE(D20:F20)</f>
        <v>#DIV/0!</v>
      </c>
      <c r="H20" s="58"/>
      <c r="I20" s="58"/>
      <c r="J20" s="58"/>
      <c r="K20" s="75" t="e">
        <f t="shared" ref="K20:K27" si="24">AVERAGE(H20:J20)</f>
        <v>#DIV/0!</v>
      </c>
      <c r="L20" s="58"/>
      <c r="M20" s="58"/>
      <c r="N20" s="58"/>
      <c r="O20" s="75" t="e">
        <f t="shared" ref="O20:O27" si="25">AVERAGE(L20:N20)</f>
        <v>#DIV/0!</v>
      </c>
      <c r="P20" s="58"/>
      <c r="Q20" s="58"/>
      <c r="R20" s="58"/>
      <c r="S20" s="75" t="e">
        <f t="shared" ref="S20:S27" si="26">AVERAGE(P20:R20)</f>
        <v>#DIV/0!</v>
      </c>
      <c r="T20" s="26">
        <f t="array" ref="T20">SUM(IF(D$4:S$4&lt;&gt;"Média",D20:S20))</f>
        <v>0</v>
      </c>
      <c r="U20" s="19"/>
      <c r="V20" s="22"/>
      <c r="W20" s="22"/>
    </row>
    <row r="21" spans="1:23" ht="45">
      <c r="A21" s="123"/>
      <c r="B21" s="90" t="s">
        <v>19</v>
      </c>
      <c r="C21" s="26">
        <f>'SJCPIL-R 17-203-00 (Forecast)'!C21</f>
        <v>171.29499999999999</v>
      </c>
      <c r="D21" s="97">
        <v>15.36</v>
      </c>
      <c r="E21" s="98">
        <v>17.02</v>
      </c>
      <c r="F21" s="59">
        <v>16.670000000000002</v>
      </c>
      <c r="G21" s="76">
        <f>AVERAGE(D21:F21)</f>
        <v>16.349999999999998</v>
      </c>
      <c r="H21" s="59">
        <v>16.48</v>
      </c>
      <c r="I21" s="59">
        <v>16.54</v>
      </c>
      <c r="J21" s="59">
        <v>16.82</v>
      </c>
      <c r="K21" s="76">
        <f t="shared" si="24"/>
        <v>16.613333333333333</v>
      </c>
      <c r="L21" s="59">
        <v>18.635000000000002</v>
      </c>
      <c r="M21" s="59">
        <v>17.170000000000002</v>
      </c>
      <c r="N21" s="59"/>
      <c r="O21" s="76">
        <f t="shared" si="25"/>
        <v>17.902500000000003</v>
      </c>
      <c r="P21" s="59"/>
      <c r="Q21" s="59"/>
      <c r="R21" s="59"/>
      <c r="S21" s="76" t="e">
        <f t="shared" si="26"/>
        <v>#DIV/0!</v>
      </c>
      <c r="T21" s="26">
        <f t="array" ref="T21">SUM(IF(D$4:S$4&lt;&gt;"Média",D21:S21))</f>
        <v>134.69499999999999</v>
      </c>
      <c r="U21" s="19"/>
      <c r="V21" s="22"/>
      <c r="W21" s="22"/>
    </row>
    <row r="22" spans="1:23" ht="45">
      <c r="A22" s="123"/>
      <c r="B22" s="90" t="s">
        <v>20</v>
      </c>
      <c r="C22" s="26">
        <f>'SJCPIL-R 17-203-00 (Forecast)'!C22</f>
        <v>83.531705108553922</v>
      </c>
      <c r="D22" s="113">
        <f>D44*0.5*D43</f>
        <v>0</v>
      </c>
      <c r="E22" s="113">
        <f>E44*0.5*E43</f>
        <v>0</v>
      </c>
      <c r="F22" s="113">
        <f>F$44*0.5*F$43</f>
        <v>0</v>
      </c>
      <c r="G22" s="76">
        <f t="shared" si="23"/>
        <v>0</v>
      </c>
      <c r="H22" s="113">
        <f>H$44*0.5*H$43</f>
        <v>0</v>
      </c>
      <c r="I22" s="113">
        <f>I$44*0.51*I$43</f>
        <v>0</v>
      </c>
      <c r="J22" s="113">
        <f>J$44*0.51*J$43</f>
        <v>0</v>
      </c>
      <c r="K22" s="76">
        <f t="shared" si="24"/>
        <v>0</v>
      </c>
      <c r="L22" s="113">
        <f>L$44*0.51*L$43</f>
        <v>0</v>
      </c>
      <c r="M22" s="113">
        <f>M$44*0.51*M$43</f>
        <v>0</v>
      </c>
      <c r="N22" s="62"/>
      <c r="O22" s="76">
        <f t="shared" si="25"/>
        <v>0</v>
      </c>
      <c r="P22" s="62"/>
      <c r="Q22" s="62"/>
      <c r="R22" s="62"/>
      <c r="S22" s="76" t="e">
        <f t="shared" si="26"/>
        <v>#DIV/0!</v>
      </c>
      <c r="T22" s="26">
        <f t="array" ref="T22">SUM(IF(D$4:S$4&lt;&gt;"Média",D22:S22))</f>
        <v>0</v>
      </c>
      <c r="U22" s="19"/>
      <c r="V22" s="22"/>
      <c r="W22" s="22"/>
    </row>
    <row r="23" spans="1:23" ht="21.95" customHeight="1">
      <c r="A23" s="124"/>
      <c r="B23" s="88" t="s">
        <v>21</v>
      </c>
      <c r="C23" s="26">
        <f>'SJCPIL-R 17-203-00 (Forecast)'!C23</f>
        <v>107591.1932724889</v>
      </c>
      <c r="D23" s="60">
        <f>D20*(D21-D22)</f>
        <v>0</v>
      </c>
      <c r="E23" s="60">
        <f t="shared" ref="E23:R23" si="27">E20*(E21-E22)</f>
        <v>0</v>
      </c>
      <c r="F23" s="60">
        <f t="shared" si="27"/>
        <v>0</v>
      </c>
      <c r="G23" s="77">
        <f t="shared" si="23"/>
        <v>0</v>
      </c>
      <c r="H23" s="60">
        <f t="shared" si="27"/>
        <v>0</v>
      </c>
      <c r="I23" s="60">
        <f t="shared" si="27"/>
        <v>0</v>
      </c>
      <c r="J23" s="60">
        <f t="shared" si="27"/>
        <v>0</v>
      </c>
      <c r="K23" s="77">
        <f t="shared" si="24"/>
        <v>0</v>
      </c>
      <c r="L23" s="60">
        <f t="shared" si="27"/>
        <v>0</v>
      </c>
      <c r="M23" s="60">
        <f t="shared" si="27"/>
        <v>0</v>
      </c>
      <c r="N23" s="60">
        <f t="shared" si="27"/>
        <v>0</v>
      </c>
      <c r="O23" s="77">
        <f t="shared" si="25"/>
        <v>0</v>
      </c>
      <c r="P23" s="60">
        <f t="shared" si="27"/>
        <v>0</v>
      </c>
      <c r="Q23" s="60">
        <f t="shared" si="27"/>
        <v>0</v>
      </c>
      <c r="R23" s="60">
        <f t="shared" si="27"/>
        <v>0</v>
      </c>
      <c r="S23" s="77">
        <f t="shared" si="26"/>
        <v>0</v>
      </c>
      <c r="T23" s="26">
        <f t="array" ref="T23">SUM(IF(D$4:S$4&lt;&gt;"Média",D23:S23))</f>
        <v>0</v>
      </c>
      <c r="U23" s="19"/>
      <c r="V23" s="25"/>
      <c r="W23" s="25"/>
    </row>
    <row r="24" spans="1:23" ht="21.95" customHeight="1">
      <c r="A24" s="133" t="s">
        <v>22</v>
      </c>
      <c r="B24" s="86" t="s">
        <v>9</v>
      </c>
      <c r="C24" s="26">
        <f>'SJCPIL-R 17-203-00 (Forecast)'!C24</f>
        <v>1905</v>
      </c>
      <c r="D24" s="95"/>
      <c r="E24" s="96"/>
      <c r="F24" s="58"/>
      <c r="G24" s="75" t="e">
        <f t="shared" si="23"/>
        <v>#DIV/0!</v>
      </c>
      <c r="H24" s="58"/>
      <c r="I24" s="58"/>
      <c r="J24" s="58"/>
      <c r="K24" s="75" t="e">
        <f t="shared" si="24"/>
        <v>#DIV/0!</v>
      </c>
      <c r="L24" s="58"/>
      <c r="M24" s="58"/>
      <c r="N24" s="58"/>
      <c r="O24" s="75" t="e">
        <f t="shared" si="25"/>
        <v>#DIV/0!</v>
      </c>
      <c r="P24" s="58"/>
      <c r="Q24" s="58"/>
      <c r="R24" s="58"/>
      <c r="S24" s="75" t="e">
        <f t="shared" si="26"/>
        <v>#DIV/0!</v>
      </c>
      <c r="T24" s="26">
        <f t="array" ref="T24">SUM(IF(D$4:S$4&lt;&gt;"Média",D24:S24))</f>
        <v>0</v>
      </c>
      <c r="U24" s="19"/>
    </row>
    <row r="25" spans="1:23" ht="45">
      <c r="A25" s="134"/>
      <c r="B25" s="90" t="s">
        <v>19</v>
      </c>
      <c r="C25" s="26">
        <f>'SJCPIL-R 17-203-00 (Forecast)'!C25</f>
        <v>206.57999999999998</v>
      </c>
      <c r="D25" s="101"/>
      <c r="E25" s="102"/>
      <c r="F25" s="62">
        <v>25.68</v>
      </c>
      <c r="G25" s="78">
        <f t="shared" si="23"/>
        <v>25.68</v>
      </c>
      <c r="H25" s="62">
        <v>25.68</v>
      </c>
      <c r="I25" s="62">
        <v>25.49</v>
      </c>
      <c r="J25" s="62">
        <v>25.49</v>
      </c>
      <c r="K25" s="78">
        <f t="shared" si="24"/>
        <v>25.553333333333331</v>
      </c>
      <c r="L25" s="62"/>
      <c r="M25" s="62"/>
      <c r="N25" s="62"/>
      <c r="O25" s="78" t="e">
        <f t="shared" si="25"/>
        <v>#DIV/0!</v>
      </c>
      <c r="P25" s="62"/>
      <c r="Q25" s="62"/>
      <c r="R25" s="62"/>
      <c r="S25" s="78" t="e">
        <f t="shared" si="26"/>
        <v>#DIV/0!</v>
      </c>
      <c r="T25" s="26">
        <f t="array" ref="T25">SUM(IF(D$4:S$4&lt;&gt;"Média",D25:S25))</f>
        <v>102.33999999999999</v>
      </c>
      <c r="U25" s="19"/>
    </row>
    <row r="26" spans="1:23" ht="45">
      <c r="A26" s="134"/>
      <c r="B26" s="90" t="s">
        <v>23</v>
      </c>
      <c r="C26" s="26">
        <f>'SJCPIL-R 17-203-00 (Forecast)'!C26</f>
        <v>86.531308958563358</v>
      </c>
      <c r="D26" s="101"/>
      <c r="E26" s="102"/>
      <c r="F26" s="113">
        <f>F$44*0.45*F$43</f>
        <v>0</v>
      </c>
      <c r="G26" s="78">
        <f t="shared" si="23"/>
        <v>0</v>
      </c>
      <c r="H26" s="117">
        <f>H$44*0.45*H$43</f>
        <v>0</v>
      </c>
      <c r="I26" s="117">
        <f>I$44*0.7*I$43</f>
        <v>0</v>
      </c>
      <c r="J26" s="117">
        <f>J$44*0.7*J$43</f>
        <v>0</v>
      </c>
      <c r="K26" s="78">
        <f t="shared" si="24"/>
        <v>0</v>
      </c>
      <c r="L26" s="62"/>
      <c r="M26" s="62"/>
      <c r="N26" s="62"/>
      <c r="O26" s="78" t="e">
        <f t="shared" si="25"/>
        <v>#DIV/0!</v>
      </c>
      <c r="P26" s="62"/>
      <c r="Q26" s="62"/>
      <c r="R26" s="62"/>
      <c r="S26" s="78" t="e">
        <f t="shared" si="26"/>
        <v>#DIV/0!</v>
      </c>
      <c r="T26" s="26">
        <f t="array" ref="T26">SUM(IF(D$4:S$4&lt;&gt;"Média",D26:S26))</f>
        <v>0</v>
      </c>
      <c r="U26" s="19"/>
    </row>
    <row r="27" spans="1:23" ht="21.95" customHeight="1">
      <c r="A27" s="135"/>
      <c r="B27" s="88" t="s">
        <v>21</v>
      </c>
      <c r="C27" s="26">
        <f>'SJCPIL-R 17-203-00 (Forecast)'!C27</f>
        <v>29957.847867056578</v>
      </c>
      <c r="D27" s="100"/>
      <c r="E27" s="100"/>
      <c r="F27" s="60">
        <f t="shared" ref="F27" si="28">F24*(F25-F26)</f>
        <v>0</v>
      </c>
      <c r="G27" s="77">
        <f t="shared" si="23"/>
        <v>0</v>
      </c>
      <c r="H27" s="60">
        <f>H24*H26</f>
        <v>0</v>
      </c>
      <c r="I27" s="60">
        <f>I24*I26</f>
        <v>0</v>
      </c>
      <c r="J27" s="60"/>
      <c r="K27" s="77">
        <f t="shared" si="24"/>
        <v>0</v>
      </c>
      <c r="L27" s="60">
        <f>L24*L26</f>
        <v>0</v>
      </c>
      <c r="M27" s="60">
        <f>(M25-M26)*M24</f>
        <v>0</v>
      </c>
      <c r="N27" s="60"/>
      <c r="O27" s="77">
        <f t="shared" si="25"/>
        <v>0</v>
      </c>
      <c r="P27" s="60"/>
      <c r="Q27" s="60"/>
      <c r="R27" s="60"/>
      <c r="S27" s="77" t="e">
        <f t="shared" si="26"/>
        <v>#DIV/0!</v>
      </c>
      <c r="T27" s="26">
        <f t="array" ref="T27">SUM(IF(D$4:S$4&lt;&gt;"Média",D27:S27))</f>
        <v>0</v>
      </c>
      <c r="U27" s="19"/>
    </row>
    <row r="28" spans="1:23" ht="21.95" customHeight="1">
      <c r="A28" s="133" t="s">
        <v>24</v>
      </c>
      <c r="B28" s="91" t="s">
        <v>9</v>
      </c>
      <c r="C28" s="26">
        <f>'SJCPIL-R 17-203-00 (Forecast)'!C28</f>
        <v>18146</v>
      </c>
      <c r="D28" s="95"/>
      <c r="E28" s="58"/>
      <c r="F28" s="58"/>
      <c r="G28" s="75" t="e">
        <f>AVERAGE(D28:F28)</f>
        <v>#DIV/0!</v>
      </c>
      <c r="H28" s="58"/>
      <c r="I28" s="58"/>
      <c r="J28" s="58"/>
      <c r="K28" s="75" t="e">
        <f>AVERAGE(H28:J28)</f>
        <v>#DIV/0!</v>
      </c>
      <c r="L28" s="58"/>
      <c r="M28" s="58"/>
      <c r="N28" s="58"/>
      <c r="O28" s="75" t="e">
        <f>AVERAGE(L28:N28)</f>
        <v>#DIV/0!</v>
      </c>
      <c r="P28" s="58"/>
      <c r="Q28" s="58"/>
      <c r="R28" s="58"/>
      <c r="S28" s="75" t="e">
        <f>AVERAGE(P28:R28)</f>
        <v>#DIV/0!</v>
      </c>
      <c r="T28" s="26">
        <f t="array" ref="T28">SUM(IF(D$4:S$4&lt;&gt;"Média",D28:S28))</f>
        <v>0</v>
      </c>
      <c r="U28" s="19"/>
    </row>
    <row r="29" spans="1:23" ht="30">
      <c r="A29" s="134"/>
      <c r="B29" s="90" t="s">
        <v>25</v>
      </c>
      <c r="C29" s="27">
        <f>'SJCPIL-R 17-203-00 (Forecast)'!C29</f>
        <v>-43.8</v>
      </c>
      <c r="D29" s="112">
        <v>-4.2</v>
      </c>
      <c r="E29" s="61">
        <f>D29</f>
        <v>-4.2</v>
      </c>
      <c r="F29" s="61">
        <f>E29</f>
        <v>-4.2</v>
      </c>
      <c r="G29" s="76">
        <f>AVERAGE(D29:F29)</f>
        <v>-4.2</v>
      </c>
      <c r="H29" s="59">
        <f>F29</f>
        <v>-4.2</v>
      </c>
      <c r="I29" s="59">
        <v>-4.5</v>
      </c>
      <c r="J29" s="59">
        <v>-4.5</v>
      </c>
      <c r="K29" s="76">
        <f>AVERAGE(H29:J29)</f>
        <v>-4.3999999999999995</v>
      </c>
      <c r="L29" s="59">
        <f>J29</f>
        <v>-4.5</v>
      </c>
      <c r="M29" s="59">
        <f>L29</f>
        <v>-4.5</v>
      </c>
      <c r="N29" s="59"/>
      <c r="O29" s="76">
        <f>AVERAGE(L29:N29)</f>
        <v>-4.5</v>
      </c>
      <c r="P29" s="59"/>
      <c r="Q29" s="59"/>
      <c r="R29" s="59"/>
      <c r="S29" s="76" t="e">
        <f>AVERAGE(P29:R29)</f>
        <v>#DIV/0!</v>
      </c>
      <c r="T29" s="26">
        <f t="array" ref="T29">SUM(IF(D$4:S$4&lt;&gt;"Média",D29:S29))</f>
        <v>-34.799999999999997</v>
      </c>
      <c r="U29" s="19"/>
    </row>
    <row r="30" spans="1:23" ht="21.95" customHeight="1">
      <c r="A30" s="135"/>
      <c r="B30" s="92" t="s">
        <v>11</v>
      </c>
      <c r="C30" s="28">
        <f>'SJCPIL-R 17-203-00 (Forecast)'!C30</f>
        <v>-79627.8</v>
      </c>
      <c r="D30" s="60">
        <f>D28*D29</f>
        <v>0</v>
      </c>
      <c r="E30" s="60">
        <f>E28*E29</f>
        <v>0</v>
      </c>
      <c r="F30" s="60">
        <f>F28*F29</f>
        <v>0</v>
      </c>
      <c r="G30" s="77" t="e">
        <f t="shared" ref="G30" si="29">G29*G28</f>
        <v>#DIV/0!</v>
      </c>
      <c r="H30" s="60">
        <f>H28*H29</f>
        <v>0</v>
      </c>
      <c r="I30" s="60">
        <f>I28*I29</f>
        <v>0</v>
      </c>
      <c r="J30" s="60">
        <f>J28*J29</f>
        <v>0</v>
      </c>
      <c r="K30" s="77" t="e">
        <f t="shared" ref="K30" si="30">K29*K28</f>
        <v>#DIV/0!</v>
      </c>
      <c r="L30" s="60">
        <f>L28*L29</f>
        <v>0</v>
      </c>
      <c r="M30" s="60">
        <f>M28*M29</f>
        <v>0</v>
      </c>
      <c r="N30" s="60"/>
      <c r="O30" s="77" t="e">
        <f t="shared" ref="O30" si="31">O29*O28</f>
        <v>#DIV/0!</v>
      </c>
      <c r="P30" s="60"/>
      <c r="Q30" s="60"/>
      <c r="R30" s="60"/>
      <c r="S30" s="77" t="e">
        <f t="shared" ref="S30" si="32">S29*S28</f>
        <v>#DIV/0!</v>
      </c>
      <c r="T30" s="26">
        <f t="array" ref="T30">SUM(IF(D$4:S$4&lt;&gt;"Média",D30:S30))</f>
        <v>0</v>
      </c>
      <c r="U30" s="19"/>
    </row>
    <row r="31" spans="1:23" ht="21.95" customHeight="1">
      <c r="A31" s="133" t="s">
        <v>26</v>
      </c>
      <c r="B31" s="91" t="s">
        <v>9</v>
      </c>
      <c r="C31" s="26">
        <f>'SJCPIL-R 17-203-00 (Forecast)'!C31</f>
        <v>2807</v>
      </c>
      <c r="D31" s="95"/>
      <c r="E31" s="96"/>
      <c r="F31" s="58"/>
      <c r="G31" s="75" t="e">
        <f>AVERAGE(D31:F31)</f>
        <v>#DIV/0!</v>
      </c>
      <c r="H31" s="58"/>
      <c r="I31" s="58"/>
      <c r="J31" s="58"/>
      <c r="K31" s="75" t="e">
        <f>AVERAGE(H31:J31)</f>
        <v>#DIV/0!</v>
      </c>
      <c r="L31" s="58"/>
      <c r="M31" s="58"/>
      <c r="N31" s="58"/>
      <c r="O31" s="75" t="e">
        <f>AVERAGE(L31:N31)</f>
        <v>#DIV/0!</v>
      </c>
      <c r="P31" s="58"/>
      <c r="Q31" s="58"/>
      <c r="R31" s="58"/>
      <c r="S31" s="75" t="e">
        <f>AVERAGE(P31:R31)</f>
        <v>#DIV/0!</v>
      </c>
      <c r="T31" s="26">
        <f t="array" ref="T31">SUM(IF(D$4:S$4&lt;&gt;"Média",D31:S31))</f>
        <v>0</v>
      </c>
      <c r="U31" s="19"/>
    </row>
    <row r="32" spans="1:23" ht="30">
      <c r="A32" s="134"/>
      <c r="B32" s="90" t="s">
        <v>25</v>
      </c>
      <c r="C32" s="27">
        <f>'SJCPIL-R 17-203-00 (Forecast)'!C32</f>
        <v>-18.599999999999998</v>
      </c>
      <c r="D32" s="112">
        <v>-1.8</v>
      </c>
      <c r="E32" s="61">
        <f>D32</f>
        <v>-1.8</v>
      </c>
      <c r="F32" s="61">
        <f>E32</f>
        <v>-1.8</v>
      </c>
      <c r="G32" s="76">
        <f>AVERAGE(D32:F32)</f>
        <v>-1.8</v>
      </c>
      <c r="H32" s="59">
        <f>F32</f>
        <v>-1.8</v>
      </c>
      <c r="I32" s="59">
        <v>-1.9</v>
      </c>
      <c r="J32" s="59">
        <v>-1.9</v>
      </c>
      <c r="K32" s="76">
        <f>AVERAGE(H32:J32)</f>
        <v>-1.8666666666666665</v>
      </c>
      <c r="L32" s="59">
        <f>J32</f>
        <v>-1.9</v>
      </c>
      <c r="M32" s="59">
        <f>L32</f>
        <v>-1.9</v>
      </c>
      <c r="N32" s="59"/>
      <c r="O32" s="76">
        <f>AVERAGE(L32:N32)</f>
        <v>-1.9</v>
      </c>
      <c r="P32" s="59"/>
      <c r="Q32" s="59"/>
      <c r="R32" s="59"/>
      <c r="S32" s="76">
        <f>R32</f>
        <v>0</v>
      </c>
      <c r="T32" s="26">
        <f t="array" ref="T32">SUM(IF(D$4:S$4&lt;&gt;"Média",D32:S32))</f>
        <v>-14.8</v>
      </c>
      <c r="U32" s="19"/>
    </row>
    <row r="33" spans="1:22" ht="21.95" customHeight="1">
      <c r="A33" s="135"/>
      <c r="B33" s="92" t="s">
        <v>11</v>
      </c>
      <c r="C33" s="28">
        <f>'SJCPIL-R 17-203-00 (Forecast)'!C33</f>
        <v>-5240.9999999999991</v>
      </c>
      <c r="D33" s="60">
        <f>D32*D31</f>
        <v>0</v>
      </c>
      <c r="E33" s="60">
        <f>E32*E31</f>
        <v>0</v>
      </c>
      <c r="F33" s="60">
        <f>F32*F31</f>
        <v>0</v>
      </c>
      <c r="G33" s="77" t="e">
        <f t="shared" ref="G33" si="33">G32*G31</f>
        <v>#DIV/0!</v>
      </c>
      <c r="H33" s="60">
        <f>H32*H31</f>
        <v>0</v>
      </c>
      <c r="I33" s="60">
        <f>I32*I31</f>
        <v>0</v>
      </c>
      <c r="J33" s="60">
        <f>J32*J31</f>
        <v>0</v>
      </c>
      <c r="K33" s="77" t="e">
        <f t="shared" ref="K33" si="34">K32*K31</f>
        <v>#DIV/0!</v>
      </c>
      <c r="L33" s="60">
        <f>L32*L31</f>
        <v>0</v>
      </c>
      <c r="M33" s="60">
        <f>M32*M31</f>
        <v>0</v>
      </c>
      <c r="N33" s="60"/>
      <c r="O33" s="77" t="e">
        <f t="shared" ref="O33" si="35">O32*O31</f>
        <v>#DIV/0!</v>
      </c>
      <c r="P33" s="60"/>
      <c r="Q33" s="60"/>
      <c r="R33" s="60"/>
      <c r="S33" s="77" t="e">
        <f t="shared" ref="S33" si="36">S32*S31</f>
        <v>#DIV/0!</v>
      </c>
      <c r="T33" s="26">
        <f t="array" ref="T33">SUM(IF(D$4:S$4&lt;&gt;"Média",D33:S33))</f>
        <v>0</v>
      </c>
      <c r="U33" s="19"/>
    </row>
    <row r="34" spans="1:22" ht="21.95" customHeight="1">
      <c r="A34" s="133" t="s">
        <v>27</v>
      </c>
      <c r="B34" s="91" t="s">
        <v>9</v>
      </c>
      <c r="C34" s="26">
        <f>'SJCPIL-R 17-203-00 (Forecast)'!C34</f>
        <v>0</v>
      </c>
      <c r="D34" s="95"/>
      <c r="E34" s="96"/>
      <c r="F34" s="58"/>
      <c r="G34" s="75" t="e">
        <f>AVERAGE(D34:F34)</f>
        <v>#DIV/0!</v>
      </c>
      <c r="H34" s="58"/>
      <c r="I34" s="58"/>
      <c r="J34" s="58">
        <f>I34-H34</f>
        <v>0</v>
      </c>
      <c r="K34" s="75">
        <f>AVERAGE(H34:J34)</f>
        <v>0</v>
      </c>
      <c r="L34" s="58"/>
      <c r="M34" s="58"/>
      <c r="N34" s="58"/>
      <c r="O34" s="75" t="e">
        <f>AVERAGE(L34:N34)</f>
        <v>#DIV/0!</v>
      </c>
      <c r="P34" s="58"/>
      <c r="Q34" s="58"/>
      <c r="R34" s="58"/>
      <c r="S34" s="75" t="e">
        <f>AVERAGE(P34:R34)</f>
        <v>#DIV/0!</v>
      </c>
      <c r="T34" s="26">
        <f t="array" ref="T34">SUM(IF(D$4:S$4&lt;&gt;"Média",D34:S34))</f>
        <v>0</v>
      </c>
      <c r="U34" s="19"/>
    </row>
    <row r="35" spans="1:22" ht="30">
      <c r="A35" s="134"/>
      <c r="B35" s="90" t="s">
        <v>25</v>
      </c>
      <c r="C35" s="27">
        <f>'SJCPIL-R 17-203-00 (Forecast)'!C35</f>
        <v>0</v>
      </c>
      <c r="D35" s="97"/>
      <c r="E35" s="98"/>
      <c r="F35" s="59"/>
      <c r="G35" s="76" t="e">
        <f>AVERAGE(D35:F35)</f>
        <v>#DIV/0!</v>
      </c>
      <c r="H35" s="59"/>
      <c r="I35" s="59"/>
      <c r="J35" s="59"/>
      <c r="K35" s="76" t="e">
        <f>AVERAGE(H35:J35)</f>
        <v>#DIV/0!</v>
      </c>
      <c r="L35" s="59"/>
      <c r="M35" s="59"/>
      <c r="N35" s="59"/>
      <c r="O35" s="76" t="e">
        <f>AVERAGE(L35:N35)</f>
        <v>#DIV/0!</v>
      </c>
      <c r="P35" s="59"/>
      <c r="Q35" s="59"/>
      <c r="R35" s="59"/>
      <c r="S35" s="76" t="e">
        <f>AVERAGE(P35:R35)</f>
        <v>#DIV/0!</v>
      </c>
      <c r="T35" s="26">
        <f t="array" ref="T35">SUM(IF(D$4:S$4&lt;&gt;"Média",D35:S35))</f>
        <v>0</v>
      </c>
      <c r="U35" s="19"/>
    </row>
    <row r="36" spans="1:22" ht="21.95" customHeight="1">
      <c r="A36" s="135"/>
      <c r="B36" s="92" t="s">
        <v>11</v>
      </c>
      <c r="C36" s="28">
        <f>'SJCPIL-R 17-203-00 (Forecast)'!C36</f>
        <v>0</v>
      </c>
      <c r="D36" s="99"/>
      <c r="E36" s="100"/>
      <c r="F36" s="60"/>
      <c r="G36" s="77" t="e">
        <f t="shared" ref="G36" si="37">G35*G34</f>
        <v>#DIV/0!</v>
      </c>
      <c r="H36" s="60"/>
      <c r="I36" s="60"/>
      <c r="J36" s="60"/>
      <c r="K36" s="77" t="e">
        <f t="shared" ref="K36" si="38">K35*K34</f>
        <v>#DIV/0!</v>
      </c>
      <c r="L36" s="60"/>
      <c r="M36" s="60"/>
      <c r="N36" s="60"/>
      <c r="O36" s="77" t="e">
        <f t="shared" ref="O36" si="39">O35*O34</f>
        <v>#DIV/0!</v>
      </c>
      <c r="P36" s="60"/>
      <c r="Q36" s="60"/>
      <c r="R36" s="60"/>
      <c r="S36" s="77" t="e">
        <f t="shared" ref="S36" si="40">S35*S34</f>
        <v>#DIV/0!</v>
      </c>
      <c r="T36" s="26">
        <f t="array" ref="T36">SUM(IF(D$4:S$4&lt;&gt;"Média",D36:S36))</f>
        <v>0</v>
      </c>
      <c r="U36" s="19"/>
    </row>
    <row r="37" spans="1:22" ht="21.95" customHeight="1">
      <c r="A37" s="93"/>
      <c r="B37" s="94" t="s">
        <v>29</v>
      </c>
      <c r="C37" s="29">
        <f>'SJCPIL-R 17-203-00 (Forecast)'!C37</f>
        <v>-84868.800000000003</v>
      </c>
      <c r="D37" s="50">
        <f t="shared" ref="D37:M37" si="41">D36+D33+D30</f>
        <v>0</v>
      </c>
      <c r="E37" s="50">
        <f t="shared" si="41"/>
        <v>0</v>
      </c>
      <c r="F37" s="50">
        <f t="shared" si="41"/>
        <v>0</v>
      </c>
      <c r="G37" s="77" t="e">
        <f t="shared" ref="G37" si="42">G36+G33+G30</f>
        <v>#DIV/0!</v>
      </c>
      <c r="H37" s="50">
        <f t="shared" si="41"/>
        <v>0</v>
      </c>
      <c r="I37" s="50">
        <f t="shared" si="41"/>
        <v>0</v>
      </c>
      <c r="J37" s="50">
        <f>J36+J33+J30</f>
        <v>0</v>
      </c>
      <c r="K37" s="77" t="e">
        <f t="shared" ref="K37" si="43">K36+K33+K30</f>
        <v>#DIV/0!</v>
      </c>
      <c r="L37" s="50">
        <f t="shared" si="41"/>
        <v>0</v>
      </c>
      <c r="M37" s="50">
        <f t="shared" si="41"/>
        <v>0</v>
      </c>
      <c r="N37" s="60"/>
      <c r="O37" s="77" t="e">
        <f t="shared" ref="O37" si="44">O36+O33+O30</f>
        <v>#DIV/0!</v>
      </c>
      <c r="P37" s="60"/>
      <c r="Q37" s="60"/>
      <c r="R37" s="60"/>
      <c r="S37" s="77" t="e">
        <f t="shared" ref="S37" si="45">S36+S33+S30</f>
        <v>#DIV/0!</v>
      </c>
      <c r="T37" s="26">
        <f t="array" ref="T37">SUM(IF(D$4:S$4&lt;&gt;"Média",D37:S37))</f>
        <v>0</v>
      </c>
      <c r="U37" s="19"/>
    </row>
    <row r="38" spans="1:22" ht="21.95" customHeight="1">
      <c r="A38" s="131" t="s">
        <v>30</v>
      </c>
      <c r="B38" s="132"/>
      <c r="C38" s="26">
        <f>'SJCPIL-R 17-203-00 (Forecast)'!C38</f>
        <v>6482.1245500000005</v>
      </c>
      <c r="D38" s="114">
        <f t="array" ref="D38">SUM(IF($B8:$B16="Sub-Total",D8:D16))</f>
        <v>0</v>
      </c>
      <c r="E38" s="115">
        <f t="array" ref="E38">SUM(IF($B8:$B16="Sub-Total",E8:E16))</f>
        <v>0</v>
      </c>
      <c r="F38" s="115">
        <f t="array" ref="F38">SUM(IF($B8:$B16="Sub-Total",F8:F16))</f>
        <v>0</v>
      </c>
      <c r="G38" s="77">
        <f t="array" ref="G38">SUM(IF($B8:$B16="Sub-Total",G8:G16))</f>
        <v>0</v>
      </c>
      <c r="H38" s="60">
        <f t="array" ref="H38">SUM(IF($B8:$B16="Sub-Total",H8:H16))</f>
        <v>0</v>
      </c>
      <c r="I38" s="60">
        <f t="array" ref="I38">SUM(IF($B8:$B16="Sub-Total",I8:I16))</f>
        <v>0</v>
      </c>
      <c r="J38" s="60">
        <f t="array" ref="J38">SUM(IF($B8:$B16="Sub-Total",J8:J16))</f>
        <v>0</v>
      </c>
      <c r="K38" s="77">
        <f t="array" ref="K38">SUM(IF($B8:$B16="Sub-Total",K8:K16))</f>
        <v>0</v>
      </c>
      <c r="L38" s="60">
        <f t="array" ref="L38">SUM(IF($B8:$B16="Sub-Total",L8:L16))</f>
        <v>0</v>
      </c>
      <c r="M38" s="60">
        <f t="array" ref="M38">SUM(IF($B8:$B16="Sub-Total",M8:M16))</f>
        <v>0</v>
      </c>
      <c r="N38" s="60"/>
      <c r="O38" s="77">
        <f t="array" ref="O38">SUM(IF($B8:$B16="Sub-Total",O8:O16))</f>
        <v>0</v>
      </c>
      <c r="P38" s="60"/>
      <c r="Q38" s="60"/>
      <c r="R38" s="60"/>
      <c r="S38" s="77">
        <f t="array" ref="S38">SUM(IF($B8:$B16="Sub-Total",S8:S16))</f>
        <v>0</v>
      </c>
      <c r="T38" s="26">
        <f t="array" ref="T38">SUM(IF(D$4:S$4&lt;&gt;"Média",D38:S38))</f>
        <v>0</v>
      </c>
      <c r="U38" s="19"/>
    </row>
    <row r="39" spans="1:22" ht="37.5" customHeight="1">
      <c r="A39" s="127" t="s">
        <v>31</v>
      </c>
      <c r="B39" s="129"/>
      <c r="C39" s="26">
        <f>'SJCPIL-R 17-203-00 (Forecast)'!C39</f>
        <v>0</v>
      </c>
      <c r="D39" s="103"/>
      <c r="E39" s="103"/>
      <c r="F39" s="55"/>
      <c r="G39" s="80"/>
      <c r="H39" s="55"/>
      <c r="I39" s="55"/>
      <c r="J39" s="55"/>
      <c r="K39" s="80"/>
      <c r="L39" s="63"/>
      <c r="M39" s="63"/>
      <c r="N39" s="63"/>
      <c r="O39" s="80"/>
      <c r="P39" s="63"/>
      <c r="Q39" s="63"/>
      <c r="R39" s="63"/>
      <c r="S39" s="80"/>
      <c r="T39" s="26">
        <f t="array" ref="T39">SUM(IF(D$4:R$4&lt;&gt;"Média",D39:R39))</f>
        <v>0</v>
      </c>
      <c r="U39" s="19"/>
    </row>
    <row r="40" spans="1:22">
      <c r="A40" s="20"/>
      <c r="B40" s="21" t="s">
        <v>33</v>
      </c>
      <c r="C40" s="13">
        <f>'SJCPIL-R 17-203-00 (Forecast)'!C40</f>
        <v>285128193</v>
      </c>
      <c r="D40" s="104"/>
      <c r="E40" s="104"/>
      <c r="F40" s="104"/>
      <c r="G40" s="12" t="e">
        <f>AVERAGE(D40:F40)</f>
        <v>#DIV/0!</v>
      </c>
      <c r="H40" s="104"/>
      <c r="I40" s="104"/>
      <c r="J40" s="104"/>
      <c r="K40" s="12" t="e">
        <f>AVERAGE(H40:J40)</f>
        <v>#DIV/0!</v>
      </c>
      <c r="L40" s="104"/>
      <c r="M40" s="104"/>
      <c r="N40" s="73"/>
      <c r="O40" s="12" t="e">
        <f>AVERAGE(L40:N40)</f>
        <v>#DIV/0!</v>
      </c>
      <c r="P40" s="65"/>
      <c r="Q40" s="65"/>
      <c r="R40" s="65"/>
      <c r="S40" s="12" t="e">
        <f>AVERAGE(P40:R40)</f>
        <v>#DIV/0!</v>
      </c>
      <c r="T40" s="13">
        <f t="array" ref="T40">SUM(IF(D$4:R$4&lt;&gt;"Média",D40:R40))</f>
        <v>0</v>
      </c>
    </row>
    <row r="41" spans="1:22">
      <c r="B41" s="22" t="s">
        <v>34</v>
      </c>
      <c r="C41" s="13">
        <f>'SJCPIL-R 17-203-00 (Forecast)'!C41</f>
        <v>27983553</v>
      </c>
      <c r="D41" s="104"/>
      <c r="E41" s="104"/>
      <c r="F41" s="104"/>
      <c r="G41" s="12" t="e">
        <f>AVERAGE(D41:F41)</f>
        <v>#DIV/0!</v>
      </c>
      <c r="H41" s="104"/>
      <c r="I41" s="104"/>
      <c r="J41" s="104"/>
      <c r="K41" s="12" t="e">
        <f>AVERAGE(H41:J41)</f>
        <v>#DIV/0!</v>
      </c>
      <c r="L41" s="104"/>
      <c r="M41" s="104"/>
      <c r="N41" s="73"/>
      <c r="O41" s="12" t="e">
        <f>AVERAGE(L41:N41)</f>
        <v>#DIV/0!</v>
      </c>
      <c r="P41" s="65"/>
      <c r="Q41" s="65"/>
      <c r="R41" s="65"/>
      <c r="S41" s="12" t="e">
        <f>AVERAGE(P41:R41)</f>
        <v>#DIV/0!</v>
      </c>
      <c r="T41" s="13">
        <f t="array" ref="T41">SUM(IF(D$4:R$4&lt;&gt;"Média",D41:R41))</f>
        <v>0</v>
      </c>
    </row>
    <row r="42" spans="1:22">
      <c r="B42" s="22" t="s">
        <v>35</v>
      </c>
      <c r="C42" s="13">
        <f>'SJCPIL-R 17-203-00 (Forecast)'!C42</f>
        <v>313111746</v>
      </c>
      <c r="D42" s="104"/>
      <c r="E42" s="104"/>
      <c r="F42" s="104"/>
      <c r="G42" s="12">
        <f>SUM(D42:F42)</f>
        <v>0</v>
      </c>
      <c r="H42" s="104"/>
      <c r="I42" s="104"/>
      <c r="J42" s="104"/>
      <c r="K42" s="12">
        <f>SUM(H42:J42)</f>
        <v>0</v>
      </c>
      <c r="L42" s="71"/>
      <c r="M42" s="71"/>
      <c r="N42" s="64"/>
      <c r="O42" s="12">
        <f>SUM(L42:N42)</f>
        <v>0</v>
      </c>
      <c r="P42" s="64"/>
      <c r="Q42" s="64"/>
      <c r="R42" s="64"/>
      <c r="S42" s="12">
        <f>SUM(P42:R42)</f>
        <v>0</v>
      </c>
      <c r="T42" s="13">
        <f t="array" ref="T42">SUM(IF(D$4:R$4&lt;&gt;"Média",D42:R42))</f>
        <v>0</v>
      </c>
    </row>
    <row r="43" spans="1:22">
      <c r="B43" s="34" t="s">
        <v>36</v>
      </c>
      <c r="C43" s="38">
        <f>'SJCPIL-R 17-203-00 (Forecast)'!C43</f>
        <v>0</v>
      </c>
      <c r="D43" s="35">
        <f>INDEX([29]Planilha1!$H$3:$I$14,MATCH(MONTH(D4),[29]Planilha1!$H$3:$H$14,0),2)</f>
        <v>5.5659000000000001</v>
      </c>
      <c r="E43" s="35">
        <f>INDEX([29]Planilha1!$H$3:$I$14,MATCH(MONTH(E4),[29]Planilha1!$H$3:$H$14,0),2)</f>
        <v>5.2959761904761891</v>
      </c>
      <c r="F43" s="35">
        <f>INDEX([29]Planilha1!$H$3:$I$14,MATCH(MONTH(F4),[29]Planilha1!$H$3:$H$14,0),2)</f>
        <v>5.025095454545454</v>
      </c>
      <c r="G43" s="35"/>
      <c r="H43" s="35">
        <f>INDEX([29]Planilha1!$H$3:$I$14,MATCH(MONTH(H4),[29]Planilha1!$H$3:$H$14,0),2)</f>
        <v>5.162990909090909</v>
      </c>
      <c r="I43" s="35">
        <f>INDEX([29]Planilha1!$H$3:$I$14,MATCH(MONTH(I4),[29]Planilha1!$H$3:$H$14,0),2)</f>
        <v>5.2503181818181819</v>
      </c>
      <c r="J43" s="35">
        <f>INDEX([29]Planilha1!$H$3:$I$14,MATCH(MONTH(I4),[29]Planilha1!$H$3:$H$14,0),2)</f>
        <v>5.2503181818181819</v>
      </c>
      <c r="K43" s="35"/>
      <c r="L43" s="35">
        <f>INDEX([29]Planilha1!$H$3:$I$14,MATCH(MONTH(L4),[29]Planilha1!$H$3:$H$14,0),2)</f>
        <v>5.5385380952380956</v>
      </c>
      <c r="M43" s="35">
        <f>INDEX([29]Planilha1!$H$3:$I$14,MATCH(MONTH(M4),[29]Planilha1!$H$3:$H$14,0),2)</f>
        <v>5.5571409090909087</v>
      </c>
      <c r="N43" s="35">
        <f>INDEX([29]Planilha1!$H$3:$I$14,MATCH(MONTH(N4),[29]Planilha1!$H$3:$H$14,0),2)</f>
        <v>5.6534956521739108</v>
      </c>
      <c r="O43" s="35"/>
      <c r="P43" s="35">
        <f>INDEX([29]Planilha1!$H$3:$I$14,MATCH(MONTH(P4),[29]Planilha1!$H$3:$H$14,0),2)</f>
        <v>5.5264571428571427</v>
      </c>
      <c r="Q43" s="35">
        <f>INDEX([29]Planilha1!$H$3:$I$14,MATCH(MONTH(Q4),[29]Planilha1!$H$3:$H$14,0),2)</f>
        <v>5.2637499999999999</v>
      </c>
      <c r="R43" s="35" t="e">
        <f>INDEX([29]Planilha1!$H$3:$I$14,MATCH(MONTH(R4),[29]Planilha1!$H$3:$H$14,0),2)</f>
        <v>#DIV/0!</v>
      </c>
      <c r="S43" s="35"/>
      <c r="T43" s="34"/>
    </row>
    <row r="44" spans="1:22">
      <c r="B44" s="36" t="s">
        <v>37</v>
      </c>
      <c r="C44" s="39">
        <f>'SJCPIL-R 17-203-00 (Forecast)'!C44</f>
        <v>0</v>
      </c>
      <c r="D44" s="105"/>
      <c r="E44" s="105"/>
      <c r="F44" s="72"/>
      <c r="G44" s="41"/>
      <c r="H44" s="81"/>
      <c r="I44" s="41"/>
      <c r="J44" s="41"/>
      <c r="K44" s="41"/>
      <c r="L44" s="41"/>
      <c r="M44" s="66"/>
      <c r="N44" s="67"/>
      <c r="O44" s="41"/>
      <c r="P44" s="67"/>
      <c r="Q44" s="66"/>
      <c r="R44" s="67"/>
      <c r="S44" s="41"/>
      <c r="T44" s="43"/>
    </row>
    <row r="45" spans="1:22" ht="15">
      <c r="D45" s="23"/>
      <c r="E45" s="23"/>
      <c r="F45" s="23"/>
      <c r="G45" s="2"/>
      <c r="H45" s="23"/>
      <c r="I45" s="23"/>
      <c r="J45" s="23"/>
      <c r="K45" s="2"/>
      <c r="L45" s="44"/>
      <c r="M45" s="2"/>
      <c r="N45" s="2"/>
      <c r="O45" s="2"/>
      <c r="P45" s="2"/>
      <c r="Q45" s="2"/>
      <c r="R45" s="2"/>
      <c r="S45" s="2"/>
      <c r="T45" s="1"/>
      <c r="U45" s="1"/>
      <c r="V45" s="1"/>
    </row>
    <row r="46" spans="1:22">
      <c r="D46" s="37"/>
      <c r="E46" s="37"/>
      <c r="F46" s="37"/>
      <c r="G46" s="37"/>
      <c r="H46" s="37"/>
      <c r="I46" s="37"/>
      <c r="J46" s="37"/>
      <c r="K46" s="37"/>
      <c r="L46" s="45"/>
      <c r="M46" s="37"/>
      <c r="N46" s="37"/>
      <c r="O46" s="37"/>
      <c r="P46" s="37"/>
      <c r="Q46" s="37"/>
      <c r="R46" s="37"/>
      <c r="S46" s="2"/>
    </row>
    <row r="47" spans="1:22">
      <c r="C47" s="48"/>
      <c r="D47" s="49"/>
      <c r="H47" s="33"/>
      <c r="I47" s="33"/>
    </row>
    <row r="48" spans="1:22">
      <c r="H48" s="33"/>
      <c r="I48" s="33"/>
      <c r="J48" s="33"/>
    </row>
    <row r="49" spans="4:10">
      <c r="D49" s="24"/>
      <c r="E49" s="24"/>
      <c r="F49" s="24"/>
      <c r="G49" s="24"/>
      <c r="H49" s="24"/>
    </row>
    <row r="50" spans="4:10">
      <c r="D50" s="24"/>
      <c r="E50" s="24"/>
      <c r="F50" s="24"/>
      <c r="G50" s="24"/>
      <c r="H50" s="24"/>
    </row>
    <row r="51" spans="4:10">
      <c r="D51" s="24"/>
      <c r="E51" s="24"/>
      <c r="F51" s="24"/>
      <c r="G51" s="24"/>
      <c r="H51" s="24"/>
    </row>
    <row r="52" spans="4:10">
      <c r="D52" s="24"/>
      <c r="E52" s="24"/>
      <c r="F52" s="24"/>
      <c r="G52" s="24"/>
      <c r="H52" s="24"/>
    </row>
    <row r="55" spans="4:10">
      <c r="J55" s="24"/>
    </row>
    <row r="56" spans="4:10">
      <c r="J56" s="24"/>
    </row>
    <row r="63" spans="4:10">
      <c r="D63">
        <v>982.66670000000011</v>
      </c>
      <c r="E63">
        <v>666.38073000000009</v>
      </c>
      <c r="F63">
        <v>541.88855000000012</v>
      </c>
      <c r="G63">
        <v>730.31199333333348</v>
      </c>
      <c r="H63">
        <v>678.38759000000005</v>
      </c>
      <c r="I63">
        <v>932.74344000000008</v>
      </c>
    </row>
  </sheetData>
  <customSheetViews>
    <customSheetView guid="{7EAACBAD-C652-4EA3-A0AF-62412D25DCC6}" showGridLines="0" zeroValues="0" fitToPage="1">
      <pane xSplit="2" ySplit="4" topLeftCell="C28" activePane="bottomRight" state="frozen"/>
      <selection pane="bottomRight" activeCell="H49" sqref="H49"/>
      <pageMargins left="0" right="0" top="0" bottom="0" header="0" footer="0"/>
      <printOptions horizontalCentered="1" verticalCentered="1" headings="1"/>
      <pageSetup paperSize="9" scale="48" orientation="landscape" r:id="rId1"/>
      <headerFooter alignWithMargins="0">
        <oddFooter>&amp;L&amp;A (PGQ-7.03)&amp;R&amp;F</oddFooter>
      </headerFooter>
    </customSheetView>
    <customSheetView guid="{CA4D3B59-92A2-447C-A1A8-A00FAAA76E92}" showGridLines="0" zeroValues="0" fitToPage="1">
      <pane xSplit="2" ySplit="4" topLeftCell="C5" activePane="bottomRight" state="frozen"/>
      <selection pane="bottomRight" activeCell="N34" sqref="N34"/>
      <pageMargins left="0" right="0" top="0" bottom="0" header="0" footer="0"/>
      <printOptions horizontalCentered="1" verticalCentered="1" headings="1"/>
      <pageSetup paperSize="9" scale="48" orientation="landscape" r:id="rId2"/>
      <headerFooter alignWithMargins="0">
        <oddFooter>&amp;L&amp;A (PGQ-7.03)&amp;R&amp;F</oddFooter>
      </headerFooter>
    </customSheetView>
  </customSheetViews>
  <mergeCells count="19">
    <mergeCell ref="A39:B39"/>
    <mergeCell ref="A20:A23"/>
    <mergeCell ref="A24:A27"/>
    <mergeCell ref="A28:A30"/>
    <mergeCell ref="A31:A33"/>
    <mergeCell ref="A34:A36"/>
    <mergeCell ref="A38:B38"/>
    <mergeCell ref="T3:T4"/>
    <mergeCell ref="A5:A7"/>
    <mergeCell ref="A8:A10"/>
    <mergeCell ref="A11:A13"/>
    <mergeCell ref="A14:A16"/>
    <mergeCell ref="A17:A19"/>
    <mergeCell ref="D1:R1"/>
    <mergeCell ref="D2:R2"/>
    <mergeCell ref="A3:B3"/>
    <mergeCell ref="C3:C4"/>
    <mergeCell ref="D3:O3"/>
    <mergeCell ref="P3:R3"/>
  </mergeCells>
  <printOptions horizontalCentered="1" verticalCentered="1" headings="1" gridLinesSet="0"/>
  <pageMargins left="0.39370078740157483" right="0.39370078740157483" top="0.59055118110236227" bottom="0.59055118110236227" header="0.51181102362204722" footer="0.31496062992125984"/>
  <pageSetup paperSize="9" scale="48" orientation="landscape" r:id="rId3"/>
  <headerFooter alignWithMargins="0">
    <oddFooter>&amp;L&amp;A (PGQ-7.03)&amp;R&amp;F</oddFooter>
  </headerFooter>
  <drawing r:id="rId4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4</vt:i4>
      </vt:variant>
    </vt:vector>
  </HeadingPairs>
  <TitlesOfParts>
    <vt:vector size="6" baseType="lpstr">
      <vt:lpstr>SJCPIL-R 17-203-00 (Forecast)</vt:lpstr>
      <vt:lpstr>SJCPIL-R 17-203-00</vt:lpstr>
      <vt:lpstr>'SJCPIL-R 17-203-00'!Area_de_impressao</vt:lpstr>
      <vt:lpstr>'SJCPIL-R 17-203-00 (Forecast)'!Area_de_impressao</vt:lpstr>
      <vt:lpstr>'SJCPIL-R 17-203-00'!F7.134</vt:lpstr>
      <vt:lpstr>'SJCPIL-R 17-203-00 (Forecast)'!F7.134</vt:lpstr>
    </vt:vector>
  </TitlesOfParts>
  <Manager/>
  <Company>Panasonic do Brasil Limitada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otorquati</dc:creator>
  <cp:keywords/>
  <dc:description/>
  <cp:lastModifiedBy>Osvaldo Martins Torquati</cp:lastModifiedBy>
  <cp:revision/>
  <cp:lastPrinted>2021-12-07T13:40:42Z</cp:lastPrinted>
  <dcterms:created xsi:type="dcterms:W3CDTF">2011-05-09T16:54:50Z</dcterms:created>
  <dcterms:modified xsi:type="dcterms:W3CDTF">2022-02-03T18:38:12Z</dcterms:modified>
  <cp:category/>
  <cp:contentStatus/>
</cp:coreProperties>
</file>