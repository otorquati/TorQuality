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2\(2) Resultados\2.9 - Q-Loss\"/>
    </mc:Choice>
  </mc:AlternateContent>
  <xr:revisionPtr revIDLastSave="0" documentId="13_ncr:1_{B2B5229A-AF57-42C8-8D2C-9BE49E69C45F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Plan1" sheetId="2" r:id="rId1"/>
    <sheet name="SJCPIL-R 17-204-01 (Forecat)" sheetId="4" r:id="rId2"/>
    <sheet name="SJCPIL-R 17-204-01" sheetId="3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Print_Titles" localSheetId="2">'SJCPIL-R 17-204-01'!$1:$4</definedName>
    <definedName name="_xlnm.Print_Titles" localSheetId="1">'SJCPIL-R 17-204-01 (Forecat)'!$1:$4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49" i="3" l="1"/>
  <c r="R49" i="3"/>
  <c r="Q49" i="3"/>
  <c r="O49" i="3"/>
  <c r="N49" i="3"/>
  <c r="M49" i="3"/>
  <c r="K49" i="3"/>
  <c r="J49" i="3"/>
  <c r="I49" i="3"/>
  <c r="G49" i="3"/>
  <c r="F49" i="3"/>
  <c r="E49" i="3"/>
  <c r="S48" i="3"/>
  <c r="R48" i="3"/>
  <c r="Q48" i="3"/>
  <c r="O48" i="3"/>
  <c r="N48" i="3"/>
  <c r="M48" i="3"/>
  <c r="K48" i="3"/>
  <c r="J48" i="3"/>
  <c r="I48" i="3"/>
  <c r="G48" i="3"/>
  <c r="F48" i="3"/>
  <c r="E48" i="3"/>
  <c r="S29" i="3"/>
  <c r="R29" i="3"/>
  <c r="Q29" i="3"/>
  <c r="O29" i="3"/>
  <c r="N29" i="3"/>
  <c r="M29" i="3"/>
  <c r="J29" i="3"/>
  <c r="I29" i="3"/>
  <c r="G29" i="3"/>
  <c r="F29" i="3"/>
  <c r="E29" i="3"/>
  <c r="S26" i="3"/>
  <c r="R26" i="3"/>
  <c r="Q26" i="3"/>
  <c r="O26" i="3"/>
  <c r="N26" i="3"/>
  <c r="M26" i="3"/>
  <c r="K26" i="3"/>
  <c r="J26" i="3"/>
  <c r="I26" i="3"/>
  <c r="G26" i="3"/>
  <c r="F26" i="3"/>
  <c r="E26" i="3"/>
  <c r="S23" i="3"/>
  <c r="R23" i="3"/>
  <c r="Q23" i="3"/>
  <c r="O23" i="3"/>
  <c r="N23" i="3"/>
  <c r="M23" i="3"/>
  <c r="K23" i="3"/>
  <c r="J23" i="3"/>
  <c r="I23" i="3"/>
  <c r="G23" i="3"/>
  <c r="F23" i="3"/>
  <c r="E23" i="3"/>
  <c r="S21" i="3"/>
  <c r="R21" i="3"/>
  <c r="Q21" i="3"/>
  <c r="O21" i="3"/>
  <c r="N21" i="3"/>
  <c r="M21" i="3"/>
  <c r="K21" i="3"/>
  <c r="J21" i="3"/>
  <c r="I21" i="3"/>
  <c r="G21" i="3"/>
  <c r="F21" i="3"/>
  <c r="E21" i="3"/>
  <c r="S20" i="3"/>
  <c r="R20" i="3"/>
  <c r="Q20" i="3"/>
  <c r="O20" i="3"/>
  <c r="N20" i="3"/>
  <c r="M20" i="3"/>
  <c r="K20" i="3"/>
  <c r="J20" i="3"/>
  <c r="I20" i="3"/>
  <c r="G20" i="3"/>
  <c r="F20" i="3"/>
  <c r="E20" i="3"/>
  <c r="S18" i="3"/>
  <c r="R18" i="3"/>
  <c r="Q18" i="3"/>
  <c r="O18" i="3"/>
  <c r="N18" i="3"/>
  <c r="M18" i="3"/>
  <c r="K18" i="3"/>
  <c r="J18" i="3"/>
  <c r="I18" i="3"/>
  <c r="G18" i="3"/>
  <c r="F18" i="3"/>
  <c r="E18" i="3"/>
  <c r="S17" i="3"/>
  <c r="R17" i="3"/>
  <c r="Q17" i="3"/>
  <c r="O17" i="3"/>
  <c r="N17" i="3"/>
  <c r="M17" i="3"/>
  <c r="K17" i="3"/>
  <c r="J17" i="3"/>
  <c r="I17" i="3"/>
  <c r="G17" i="3"/>
  <c r="F17" i="3"/>
  <c r="E17" i="3"/>
  <c r="S50" i="4"/>
  <c r="R50" i="4"/>
  <c r="Q50" i="4"/>
  <c r="S49" i="4"/>
  <c r="R49" i="4"/>
  <c r="Q49" i="4"/>
  <c r="S48" i="4"/>
  <c r="R48" i="4"/>
  <c r="Q48" i="4"/>
  <c r="O50" i="4"/>
  <c r="N50" i="4"/>
  <c r="M50" i="4"/>
  <c r="O49" i="4"/>
  <c r="N49" i="4"/>
  <c r="M49" i="4"/>
  <c r="O48" i="4"/>
  <c r="N48" i="4"/>
  <c r="M48" i="4"/>
  <c r="K50" i="4"/>
  <c r="J50" i="4"/>
  <c r="I50" i="4"/>
  <c r="K49" i="4"/>
  <c r="J49" i="4"/>
  <c r="I49" i="4"/>
  <c r="K48" i="4"/>
  <c r="J48" i="4"/>
  <c r="I48" i="4"/>
  <c r="G50" i="4"/>
  <c r="F50" i="4"/>
  <c r="G49" i="4"/>
  <c r="F49" i="4"/>
  <c r="G48" i="4"/>
  <c r="F48" i="4"/>
  <c r="E50" i="4"/>
  <c r="E49" i="4"/>
  <c r="E48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F5" i="4" l="1"/>
  <c r="O5" i="4"/>
  <c r="M5" i="4"/>
  <c r="J5" i="4"/>
  <c r="G5" i="4"/>
  <c r="E5" i="4"/>
  <c r="N5" i="4"/>
  <c r="K5" i="4"/>
  <c r="I5" i="4"/>
  <c r="N14" i="3"/>
  <c r="N9" i="3"/>
  <c r="N6" i="3"/>
  <c r="N13" i="3"/>
  <c r="N43" i="3"/>
  <c r="N40" i="3"/>
  <c r="N37" i="3"/>
  <c r="N34" i="3"/>
  <c r="N38" i="3"/>
  <c r="N41" i="3"/>
  <c r="N44" i="3"/>
  <c r="M34" i="3"/>
  <c r="M37" i="3"/>
  <c r="M40" i="3"/>
  <c r="M43" i="3"/>
  <c r="M14" i="3"/>
  <c r="M13" i="3"/>
  <c r="N35" i="3" l="1"/>
  <c r="N45" i="3" a="1"/>
  <c r="N45" i="3" s="1"/>
  <c r="M44" i="3"/>
  <c r="M41" i="3"/>
  <c r="M38" i="3"/>
  <c r="M35" i="3"/>
  <c r="M9" i="3" l="1"/>
  <c r="M6" i="3"/>
  <c r="K43" i="3"/>
  <c r="K40" i="3"/>
  <c r="K37" i="3"/>
  <c r="K34" i="3"/>
  <c r="K14" i="3"/>
  <c r="K9" i="3"/>
  <c r="K6" i="3"/>
  <c r="S5" i="3"/>
  <c r="R5" i="3"/>
  <c r="Q5" i="3"/>
  <c r="O5" i="3"/>
  <c r="J14" i="3" l="1"/>
  <c r="J9" i="3" l="1"/>
  <c r="J6" i="3"/>
  <c r="J8" i="3" s="1"/>
  <c r="I34" i="3"/>
  <c r="I37" i="3"/>
  <c r="I40" i="3"/>
  <c r="I43" i="3"/>
  <c r="J37" i="3"/>
  <c r="J43" i="3"/>
  <c r="J40" i="3"/>
  <c r="J34" i="3"/>
  <c r="I9" i="3"/>
  <c r="I6" i="3"/>
  <c r="I10" i="3"/>
  <c r="I7" i="3"/>
  <c r="I14" i="3"/>
  <c r="I11" i="3"/>
  <c r="F14" i="3"/>
  <c r="G14" i="3"/>
  <c r="G9" i="3"/>
  <c r="G6" i="3"/>
  <c r="G43" i="3"/>
  <c r="G40" i="3"/>
  <c r="G37" i="3"/>
  <c r="G34" i="3"/>
  <c r="G8" i="3" l="1"/>
  <c r="I8" i="3"/>
  <c r="I12" i="3" s="1"/>
  <c r="F43" i="3"/>
  <c r="F40" i="3"/>
  <c r="F37" i="3"/>
  <c r="F34" i="3"/>
  <c r="F9" i="3" l="1"/>
  <c r="F6" i="3"/>
  <c r="F8" i="3" l="1"/>
  <c r="F11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E4" i="3"/>
  <c r="E14" i="3"/>
  <c r="E43" i="3"/>
  <c r="E40" i="3"/>
  <c r="E37" i="3"/>
  <c r="E34" i="3"/>
  <c r="J50" i="3" l="1"/>
  <c r="F12" i="3"/>
  <c r="S11" i="3" l="1"/>
  <c r="R11" i="3"/>
  <c r="Q11" i="3"/>
  <c r="O11" i="3"/>
  <c r="N11" i="3"/>
  <c r="M11" i="3"/>
  <c r="K11" i="3"/>
  <c r="J11" i="3"/>
  <c r="S8" i="3"/>
  <c r="R8" i="3"/>
  <c r="Q8" i="3"/>
  <c r="O8" i="3"/>
  <c r="N8" i="3"/>
  <c r="M8" i="3"/>
  <c r="K8" i="3"/>
  <c r="G11" i="3"/>
  <c r="G12" i="3" s="1"/>
  <c r="S10" i="3"/>
  <c r="R10" i="3"/>
  <c r="Q10" i="3"/>
  <c r="O10" i="3"/>
  <c r="N10" i="3"/>
  <c r="M10" i="3"/>
  <c r="K10" i="3"/>
  <c r="J10" i="3"/>
  <c r="G10" i="3"/>
  <c r="S7" i="3"/>
  <c r="R7" i="3"/>
  <c r="Q7" i="3"/>
  <c r="O7" i="3"/>
  <c r="N7" i="3"/>
  <c r="M7" i="3"/>
  <c r="K7" i="3"/>
  <c r="J7" i="3"/>
  <c r="G7" i="3"/>
  <c r="R12" i="3" l="1"/>
  <c r="Q12" i="3"/>
  <c r="S12" i="3"/>
  <c r="M12" i="3"/>
  <c r="O12" i="3"/>
  <c r="N12" i="3"/>
  <c r="K12" i="3"/>
  <c r="J12" i="3"/>
  <c r="E9" i="3"/>
  <c r="E6" i="3"/>
  <c r="H13" i="3" l="1"/>
  <c r="T49" i="4"/>
  <c r="P49" i="4"/>
  <c r="L49" i="4"/>
  <c r="H49" i="4"/>
  <c r="T48" i="4"/>
  <c r="P48" i="4"/>
  <c r="L48" i="4"/>
  <c r="H48" i="4"/>
  <c r="E8" i="3" l="1"/>
  <c r="E11" i="3"/>
  <c r="S28" i="3"/>
  <c r="S22" i="3"/>
  <c r="E22" i="3"/>
  <c r="F30" i="3"/>
  <c r="I30" i="3"/>
  <c r="F28" i="3"/>
  <c r="K30" i="3"/>
  <c r="N30" i="3"/>
  <c r="F22" i="3"/>
  <c r="O30" i="3"/>
  <c r="K22" i="3"/>
  <c r="N22" i="3"/>
  <c r="Q22" i="3"/>
  <c r="G22" i="3"/>
  <c r="M30" i="3"/>
  <c r="J28" i="3"/>
  <c r="G30" i="3"/>
  <c r="K28" i="3"/>
  <c r="N28" i="3"/>
  <c r="Q28" i="3"/>
  <c r="R30" i="3"/>
  <c r="M28" i="3"/>
  <c r="O28" i="3"/>
  <c r="R28" i="3"/>
  <c r="O22" i="3"/>
  <c r="R22" i="3"/>
  <c r="Q30" i="3"/>
  <c r="S30" i="3"/>
  <c r="G28" i="3"/>
  <c r="I22" i="3"/>
  <c r="J22" i="3"/>
  <c r="M22" i="3"/>
  <c r="I28" i="3"/>
  <c r="J30" i="3"/>
  <c r="Q24" i="3"/>
  <c r="R24" i="3"/>
  <c r="S24" i="3"/>
  <c r="M24" i="3"/>
  <c r="N24" i="3"/>
  <c r="O24" i="3"/>
  <c r="K24" i="3"/>
  <c r="E12" i="3" l="1"/>
  <c r="S31" i="3"/>
  <c r="R25" i="3"/>
  <c r="S25" i="3"/>
  <c r="F31" i="3"/>
  <c r="M31" i="3"/>
  <c r="N25" i="3"/>
  <c r="I31" i="3"/>
  <c r="O25" i="3"/>
  <c r="J31" i="3"/>
  <c r="O31" i="3"/>
  <c r="G31" i="3"/>
  <c r="K25" i="3"/>
  <c r="Q25" i="3"/>
  <c r="Q31" i="3"/>
  <c r="R31" i="3"/>
  <c r="K31" i="3"/>
  <c r="N31" i="3"/>
  <c r="M25" i="3"/>
  <c r="N15" i="3"/>
  <c r="N16" i="3" l="1"/>
  <c r="N19" i="3" l="1"/>
  <c r="N46" i="3" s="1" a="1"/>
  <c r="N46" i="3" s="1"/>
  <c r="N32" i="3" l="1"/>
  <c r="M15" i="3"/>
  <c r="M16" i="3" l="1"/>
  <c r="M19" i="3"/>
  <c r="M46" i="3" l="1" a="1"/>
  <c r="M46" i="3" s="1"/>
  <c r="M45" i="3" l="1" a="1"/>
  <c r="M45" i="3" s="1"/>
  <c r="M32" i="3"/>
  <c r="K19" i="3" l="1"/>
  <c r="K32" i="3" s="1"/>
  <c r="K44" i="3" l="1"/>
  <c r="K41" i="3"/>
  <c r="K38" i="3"/>
  <c r="K35" i="3"/>
  <c r="K45" i="3" l="1" a="1"/>
  <c r="K45" i="3" s="1"/>
  <c r="K16" i="3"/>
  <c r="K50" i="3"/>
  <c r="K46" i="3" l="1" a="1"/>
  <c r="K46" i="3" s="1"/>
  <c r="J44" i="3" l="1"/>
  <c r="J41" i="3"/>
  <c r="J38" i="3"/>
  <c r="J35" i="3"/>
  <c r="J45" i="3" l="1" a="1"/>
  <c r="J45" i="3" s="1"/>
  <c r="J15" i="3"/>
  <c r="J16" i="3" l="1"/>
  <c r="I15" i="3" l="1"/>
  <c r="I19" i="3" l="1"/>
  <c r="I16" i="3"/>
  <c r="G15" i="3" l="1"/>
  <c r="G19" i="3" l="1"/>
  <c r="G44" i="3"/>
  <c r="G41" i="3"/>
  <c r="G35" i="3" l="1"/>
  <c r="G38" i="3"/>
  <c r="G45" i="3" l="1" a="1"/>
  <c r="G45" i="3" s="1"/>
  <c r="F44" i="3"/>
  <c r="F41" i="3"/>
  <c r="F38" i="3"/>
  <c r="E44" i="3"/>
  <c r="E41" i="3"/>
  <c r="E38" i="3"/>
  <c r="E35" i="3"/>
  <c r="E45" i="3" l="1" a="1"/>
  <c r="E45" i="3" s="1"/>
  <c r="F35" i="3"/>
  <c r="F45" i="3" s="1" a="1"/>
  <c r="F45" i="3" s="1"/>
  <c r="F19" i="3"/>
  <c r="E30" i="3"/>
  <c r="E28" i="3"/>
  <c r="E31" i="3" l="1"/>
  <c r="E15" i="3"/>
  <c r="F15" i="3"/>
  <c r="H5" i="3" l="1"/>
  <c r="L5" i="3"/>
  <c r="P5" i="3"/>
  <c r="E16" i="3" l="1"/>
  <c r="F43" i="4"/>
  <c r="G43" i="4" s="1"/>
  <c r="F40" i="4"/>
  <c r="G40" i="4" s="1"/>
  <c r="F37" i="4"/>
  <c r="G37" i="4" s="1"/>
  <c r="F34" i="4"/>
  <c r="G34" i="4" s="1"/>
  <c r="D6" i="3" l="1"/>
  <c r="D7" i="3"/>
  <c r="D9" i="3"/>
  <c r="D10" i="3"/>
  <c r="D14" i="3"/>
  <c r="D20" i="3"/>
  <c r="D21" i="3"/>
  <c r="D22" i="3"/>
  <c r="D25" i="3"/>
  <c r="D47" i="3"/>
  <c r="D48" i="3"/>
  <c r="D49" i="3"/>
  <c r="D50" i="3"/>
  <c r="D42" i="3" l="1"/>
  <c r="D36" i="3"/>
  <c r="D33" i="3" l="1"/>
  <c r="D29" i="3"/>
  <c r="D23" i="3"/>
  <c r="D40" i="3" l="1"/>
  <c r="D18" i="3"/>
  <c r="D27" i="3" l="1"/>
  <c r="D11" i="3" l="1"/>
  <c r="D13" i="3"/>
  <c r="D8" i="3"/>
  <c r="D5" i="3"/>
  <c r="D12" i="3" l="1"/>
  <c r="D15" i="3"/>
  <c r="D16" i="3" l="1"/>
  <c r="D41" i="3" l="1"/>
  <c r="D39" i="3"/>
  <c r="D43" i="3" l="1"/>
  <c r="D44" i="3" l="1"/>
  <c r="D34" i="3" l="1"/>
  <c r="D35" i="3" l="1"/>
  <c r="D37" i="3" l="1"/>
  <c r="D45" i="3" l="1"/>
  <c r="D38" i="3"/>
  <c r="D19" i="3" l="1"/>
  <c r="D17" i="3"/>
  <c r="D30" i="3"/>
  <c r="D26" i="3"/>
  <c r="D31" i="3" l="1"/>
  <c r="D28" i="3"/>
  <c r="D24" i="3"/>
  <c r="D46" i="3" l="1"/>
  <c r="D32" i="3"/>
  <c r="H10" i="3" l="1"/>
  <c r="F27" i="4" l="1"/>
  <c r="F21" i="4"/>
  <c r="E14" i="4"/>
  <c r="F6" i="4"/>
  <c r="G6" i="4" s="1"/>
  <c r="Q14" i="3"/>
  <c r="R14" i="3" s="1"/>
  <c r="S14" i="3" s="1"/>
  <c r="Q9" i="3"/>
  <c r="R9" i="3" s="1"/>
  <c r="S9" i="3" s="1"/>
  <c r="Q6" i="3"/>
  <c r="R6" i="3" s="1"/>
  <c r="S6" i="3" s="1"/>
  <c r="H27" i="4" l="1"/>
  <c r="G27" i="4"/>
  <c r="I27" i="4" s="1"/>
  <c r="G21" i="4"/>
  <c r="I21" i="4" s="1"/>
  <c r="F14" i="4"/>
  <c r="G14" i="4" s="1"/>
  <c r="I14" i="4" s="1"/>
  <c r="H6" i="4"/>
  <c r="I6" i="4"/>
  <c r="J27" i="4" l="1"/>
  <c r="K27" i="4" s="1"/>
  <c r="M27" i="4" s="1"/>
  <c r="L27" i="4"/>
  <c r="J21" i="4"/>
  <c r="K21" i="4" s="1"/>
  <c r="M21" i="4" s="1"/>
  <c r="H21" i="4"/>
  <c r="J14" i="4"/>
  <c r="K14" i="4" s="1"/>
  <c r="M14" i="4" s="1"/>
  <c r="L14" i="4"/>
  <c r="H14" i="4"/>
  <c r="L6" i="4"/>
  <c r="J6" i="4"/>
  <c r="K6" i="4" s="1"/>
  <c r="M6" i="4" s="1"/>
  <c r="H21" i="3"/>
  <c r="N27" i="4" l="1"/>
  <c r="O27" i="4" s="1"/>
  <c r="Q27" i="4" s="1"/>
  <c r="R27" i="4" s="1"/>
  <c r="S27" i="4" s="1"/>
  <c r="N21" i="4"/>
  <c r="O21" i="4" s="1"/>
  <c r="Q21" i="4" s="1"/>
  <c r="R21" i="4" s="1"/>
  <c r="S21" i="4" s="1"/>
  <c r="L21" i="4"/>
  <c r="N14" i="4"/>
  <c r="O14" i="4" s="1"/>
  <c r="Q14" i="4" s="1"/>
  <c r="R14" i="4" s="1"/>
  <c r="S14" i="4" s="1"/>
  <c r="N6" i="4"/>
  <c r="O6" i="4" s="1"/>
  <c r="Q6" i="4" s="1"/>
  <c r="R6" i="4" s="1"/>
  <c r="S6" i="4" s="1"/>
  <c r="L21" i="3"/>
  <c r="P27" i="4" l="1"/>
  <c r="P21" i="4"/>
  <c r="P14" i="4"/>
  <c r="P6" i="4"/>
  <c r="P21" i="3"/>
  <c r="H50" i="4" l="1"/>
  <c r="L50" i="4"/>
  <c r="P50" i="4"/>
  <c r="T50" i="4"/>
  <c r="B4" i="2"/>
  <c r="Q35" i="3" l="1"/>
  <c r="R35" i="3"/>
  <c r="Q38" i="3"/>
  <c r="Q41" i="3"/>
  <c r="R41" i="3"/>
  <c r="Q44" i="3"/>
  <c r="R44" i="3"/>
  <c r="U50" i="4"/>
  <c r="U49" i="4"/>
  <c r="U48" i="4"/>
  <c r="U47" i="4"/>
  <c r="U46" i="4"/>
  <c r="U45" i="4"/>
  <c r="U44" i="4"/>
  <c r="G44" i="4"/>
  <c r="F44" i="4"/>
  <c r="E44" i="4"/>
  <c r="U43" i="4"/>
  <c r="H43" i="4"/>
  <c r="I43" i="4" s="1"/>
  <c r="U42" i="4"/>
  <c r="P42" i="4"/>
  <c r="L42" i="4"/>
  <c r="H42" i="4"/>
  <c r="U41" i="4"/>
  <c r="U40" i="4"/>
  <c r="H40" i="4"/>
  <c r="I40" i="4" s="1"/>
  <c r="U39" i="4"/>
  <c r="U38" i="4"/>
  <c r="U37" i="4"/>
  <c r="H37" i="4"/>
  <c r="I37" i="4" s="1"/>
  <c r="U36" i="4"/>
  <c r="U35" i="4"/>
  <c r="U34" i="4"/>
  <c r="H34" i="4"/>
  <c r="I34" i="4" s="1"/>
  <c r="J34" i="4" s="1"/>
  <c r="K34" i="4" s="1"/>
  <c r="U33" i="4"/>
  <c r="U32" i="4"/>
  <c r="U31" i="4"/>
  <c r="U30" i="4"/>
  <c r="U29" i="4"/>
  <c r="Q29" i="4"/>
  <c r="R29" i="4" s="1"/>
  <c r="S29" i="4" s="1"/>
  <c r="P29" i="4"/>
  <c r="M29" i="4"/>
  <c r="N29" i="4" s="1"/>
  <c r="O29" i="4" s="1"/>
  <c r="L29" i="4"/>
  <c r="T29" i="4" s="1" a="1"/>
  <c r="T29" i="4" s="1"/>
  <c r="J29" i="4"/>
  <c r="H29" i="4"/>
  <c r="U28" i="4"/>
  <c r="U27" i="4"/>
  <c r="U26" i="4"/>
  <c r="U25" i="4"/>
  <c r="S25" i="4"/>
  <c r="R25" i="4"/>
  <c r="Q25" i="4"/>
  <c r="O25" i="4"/>
  <c r="U24" i="4"/>
  <c r="U23" i="4"/>
  <c r="S23" i="4"/>
  <c r="R23" i="4"/>
  <c r="Q23" i="4"/>
  <c r="O23" i="4"/>
  <c r="N23" i="4"/>
  <c r="K23" i="4"/>
  <c r="J23" i="4"/>
  <c r="I23" i="4"/>
  <c r="G23" i="4"/>
  <c r="F23" i="4"/>
  <c r="E23" i="4"/>
  <c r="U22" i="4"/>
  <c r="U21" i="4"/>
  <c r="U20" i="4"/>
  <c r="U19" i="4"/>
  <c r="U18" i="4"/>
  <c r="S18" i="4"/>
  <c r="R18" i="4"/>
  <c r="Q18" i="4"/>
  <c r="O18" i="4"/>
  <c r="N18" i="4"/>
  <c r="M18" i="4"/>
  <c r="K18" i="4"/>
  <c r="J18" i="4"/>
  <c r="I18" i="4"/>
  <c r="G18" i="4"/>
  <c r="F18" i="4"/>
  <c r="E18" i="4"/>
  <c r="U17" i="4"/>
  <c r="U16" i="4"/>
  <c r="U15" i="4"/>
  <c r="U14" i="4"/>
  <c r="T14" i="4" a="1"/>
  <c r="T14" i="4" s="1"/>
  <c r="U13" i="4"/>
  <c r="U12" i="4"/>
  <c r="U11" i="4"/>
  <c r="U10" i="4"/>
  <c r="T10" i="4" a="1"/>
  <c r="T10" i="4" s="1"/>
  <c r="P10" i="4"/>
  <c r="L10" i="4"/>
  <c r="H10" i="4"/>
  <c r="U9" i="4"/>
  <c r="R9" i="4"/>
  <c r="S9" i="4" s="1"/>
  <c r="O9" i="4"/>
  <c r="N9" i="4"/>
  <c r="J9" i="4"/>
  <c r="K9" i="4" s="1"/>
  <c r="G9" i="4"/>
  <c r="F9" i="4"/>
  <c r="U8" i="4"/>
  <c r="U7" i="4"/>
  <c r="P7" i="4"/>
  <c r="T7" i="4" s="1" a="1"/>
  <c r="T7" i="4" s="1"/>
  <c r="L7" i="4"/>
  <c r="H7" i="4"/>
  <c r="U6" i="4"/>
  <c r="U5" i="4"/>
  <c r="Q3" i="4"/>
  <c r="H44" i="4" l="1"/>
  <c r="T42" i="4" a="1"/>
  <c r="T42" i="4" s="1"/>
  <c r="J43" i="4"/>
  <c r="I44" i="4"/>
  <c r="J40" i="4"/>
  <c r="J37" i="4"/>
  <c r="R38" i="3"/>
  <c r="P18" i="4"/>
  <c r="R45" i="3" a="1"/>
  <c r="R45" i="3" s="1"/>
  <c r="Q45" i="3" a="1"/>
  <c r="Q45" i="3" s="1"/>
  <c r="H9" i="4"/>
  <c r="T23" i="4" a="1"/>
  <c r="T23" i="4" s="1"/>
  <c r="L9" i="4"/>
  <c r="P9" i="4"/>
  <c r="H18" i="4"/>
  <c r="T9" i="4" a="1"/>
  <c r="T9" i="4" s="1"/>
  <c r="L18" i="4"/>
  <c r="L34" i="4"/>
  <c r="M34" i="4" l="1"/>
  <c r="K43" i="4"/>
  <c r="J44" i="4"/>
  <c r="K40" i="4"/>
  <c r="K37" i="4"/>
  <c r="T18" i="4" a="1"/>
  <c r="T18" i="4" s="1"/>
  <c r="N34" i="4" l="1"/>
  <c r="L43" i="4"/>
  <c r="M43" i="4" s="1"/>
  <c r="K44" i="4"/>
  <c r="L44" i="4" s="1"/>
  <c r="L40" i="4"/>
  <c r="L37" i="4"/>
  <c r="M37" i="4" s="1"/>
  <c r="T6" i="4" a="1"/>
  <c r="T6" i="4" s="1"/>
  <c r="O34" i="4" l="1"/>
  <c r="N43" i="4"/>
  <c r="M44" i="4"/>
  <c r="M40" i="4"/>
  <c r="N37" i="4"/>
  <c r="P34" i="4" l="1"/>
  <c r="O43" i="4"/>
  <c r="N44" i="4"/>
  <c r="N40" i="4"/>
  <c r="O37" i="4"/>
  <c r="T27" i="4" a="1"/>
  <c r="T27" i="4" s="1"/>
  <c r="Q34" i="4" l="1"/>
  <c r="O44" i="4"/>
  <c r="P44" i="4" s="1"/>
  <c r="P43" i="4"/>
  <c r="O40" i="4"/>
  <c r="P40" i="4"/>
  <c r="Q40" i="4" s="1"/>
  <c r="P37" i="4"/>
  <c r="P44" i="3"/>
  <c r="P38" i="3"/>
  <c r="P35" i="3"/>
  <c r="P33" i="3"/>
  <c r="P42" i="3"/>
  <c r="P39" i="3"/>
  <c r="P36" i="3"/>
  <c r="L42" i="3"/>
  <c r="L39" i="3"/>
  <c r="L36" i="3"/>
  <c r="L33" i="3"/>
  <c r="H42" i="3"/>
  <c r="T42" i="3" s="1" a="1"/>
  <c r="T42" i="3" s="1"/>
  <c r="H36" i="3"/>
  <c r="T36" i="3" s="1" a="1"/>
  <c r="T36" i="3" s="1"/>
  <c r="H33" i="3"/>
  <c r="H40" i="3"/>
  <c r="H29" i="3"/>
  <c r="P14" i="3"/>
  <c r="L14" i="3"/>
  <c r="H14" i="3"/>
  <c r="P10" i="3"/>
  <c r="L10" i="3"/>
  <c r="H9" i="3"/>
  <c r="P7" i="3"/>
  <c r="L7" i="3"/>
  <c r="H7" i="3"/>
  <c r="P6" i="3"/>
  <c r="H6" i="3"/>
  <c r="Q3" i="3"/>
  <c r="L29" i="3"/>
  <c r="P9" i="3"/>
  <c r="L9" i="3"/>
  <c r="L6" i="3"/>
  <c r="H27" i="3"/>
  <c r="P37" i="3"/>
  <c r="T14" i="3" l="1" a="1"/>
  <c r="T14" i="3" s="1"/>
  <c r="R34" i="4"/>
  <c r="Q43" i="4"/>
  <c r="R40" i="4"/>
  <c r="Q37" i="4"/>
  <c r="T7" i="3" a="1"/>
  <c r="T7" i="3" s="1"/>
  <c r="P34" i="3"/>
  <c r="G16" i="3"/>
  <c r="L8" i="3"/>
  <c r="H11" i="3"/>
  <c r="T10" i="3" a="1"/>
  <c r="T10" i="3" s="1"/>
  <c r="T33" i="3" a="1"/>
  <c r="T33" i="3" s="1"/>
  <c r="L11" i="3"/>
  <c r="T9" i="3" a="1"/>
  <c r="T9" i="3" s="1"/>
  <c r="P29" i="3"/>
  <c r="T29" i="3" s="1" a="1"/>
  <c r="T29" i="3" s="1"/>
  <c r="T6" i="3" a="1"/>
  <c r="T6" i="3" s="1"/>
  <c r="L13" i="3"/>
  <c r="H20" i="3"/>
  <c r="P18" i="3"/>
  <c r="L18" i="3"/>
  <c r="H26" i="3"/>
  <c r="L15" i="3"/>
  <c r="H18" i="3"/>
  <c r="P40" i="3"/>
  <c r="P43" i="3"/>
  <c r="S34" i="4" l="1"/>
  <c r="T34" i="4" a="1"/>
  <c r="T34" i="4" s="1"/>
  <c r="R43" i="4"/>
  <c r="Q44" i="4"/>
  <c r="S40" i="4"/>
  <c r="T40" i="4" a="1"/>
  <c r="T40" i="4" s="1"/>
  <c r="R37" i="4"/>
  <c r="L27" i="3"/>
  <c r="L12" i="3"/>
  <c r="L16" i="3"/>
  <c r="H30" i="3"/>
  <c r="H22" i="3"/>
  <c r="T18" i="3" a="1"/>
  <c r="T18" i="3" s="1"/>
  <c r="P41" i="3"/>
  <c r="H28" i="3"/>
  <c r="T44" i="4" l="1" a="1"/>
  <c r="T44" i="4" s="1"/>
  <c r="S43" i="4"/>
  <c r="S44" i="4" s="1"/>
  <c r="R44" i="4"/>
  <c r="T43" i="4" a="1"/>
  <c r="T43" i="4" s="1"/>
  <c r="S37" i="4"/>
  <c r="T37" i="4" a="1"/>
  <c r="T37" i="4" s="1"/>
  <c r="P45" i="3"/>
  <c r="P27" i="3" l="1"/>
  <c r="T27" i="3" s="1" a="1"/>
  <c r="T27" i="3" s="1"/>
  <c r="R15" i="3" l="1"/>
  <c r="S19" i="3"/>
  <c r="S50" i="3"/>
  <c r="S15" i="3"/>
  <c r="Q19" i="3"/>
  <c r="Q50" i="3"/>
  <c r="Q15" i="3"/>
  <c r="R19" i="3" l="1"/>
  <c r="R50" i="3"/>
  <c r="Q16" i="3" l="1"/>
  <c r="R16" i="3"/>
  <c r="R32" i="3"/>
  <c r="Q32" i="3"/>
  <c r="Q46" i="3" l="1" a="1"/>
  <c r="Q46" i="3" s="1"/>
  <c r="S16" i="3"/>
  <c r="R46" i="3" a="1"/>
  <c r="R46" i="3" s="1"/>
  <c r="S32" i="3"/>
  <c r="M36" i="4" l="1"/>
  <c r="S36" i="4"/>
  <c r="S38" i="4" s="1"/>
  <c r="F39" i="4"/>
  <c r="F41" i="4" s="1"/>
  <c r="R33" i="4"/>
  <c r="O33" i="4"/>
  <c r="O35" i="4" s="1"/>
  <c r="K36" i="4"/>
  <c r="K38" i="4" s="1"/>
  <c r="I36" i="4"/>
  <c r="S39" i="4"/>
  <c r="S41" i="4" s="1"/>
  <c r="G33" i="4"/>
  <c r="E33" i="4"/>
  <c r="E36" i="4"/>
  <c r="R36" i="4"/>
  <c r="R38" i="4" s="1"/>
  <c r="I39" i="4"/>
  <c r="Q33" i="4"/>
  <c r="N33" i="4"/>
  <c r="N36" i="4"/>
  <c r="N38" i="4" s="1"/>
  <c r="G36" i="4"/>
  <c r="G38" i="4" s="1"/>
  <c r="O39" i="4"/>
  <c r="O41" i="4" s="1"/>
  <c r="F33" i="4"/>
  <c r="M33" i="4"/>
  <c r="J36" i="4"/>
  <c r="J38" i="4" s="1"/>
  <c r="R39" i="4"/>
  <c r="R41" i="4" s="1"/>
  <c r="E39" i="4"/>
  <c r="K33" i="4"/>
  <c r="Q36" i="4"/>
  <c r="Q38" i="4" s="1"/>
  <c r="G39" i="4"/>
  <c r="G41" i="4" s="1"/>
  <c r="J39" i="4"/>
  <c r="J41" i="4" s="1"/>
  <c r="J33" i="4"/>
  <c r="J35" i="4" s="1"/>
  <c r="F36" i="4"/>
  <c r="F38" i="4" s="1"/>
  <c r="K39" i="4"/>
  <c r="K41" i="4" s="1"/>
  <c r="N39" i="4"/>
  <c r="N41" i="4" s="1"/>
  <c r="S33" i="4"/>
  <c r="O36" i="4"/>
  <c r="O38" i="4" s="1"/>
  <c r="Q39" i="4"/>
  <c r="Q41" i="4" s="1"/>
  <c r="M39" i="4"/>
  <c r="I33" i="4"/>
  <c r="Q13" i="4"/>
  <c r="Q15" i="4" s="1"/>
  <c r="F13" i="4"/>
  <c r="K13" i="4"/>
  <c r="K15" i="4" s="1"/>
  <c r="M13" i="4"/>
  <c r="R5" i="4"/>
  <c r="Q5" i="4"/>
  <c r="J13" i="4"/>
  <c r="J15" i="4" s="1"/>
  <c r="S13" i="4"/>
  <c r="S15" i="4" s="1"/>
  <c r="I13" i="4"/>
  <c r="S5" i="4"/>
  <c r="E13" i="4"/>
  <c r="E15" i="4" s="1"/>
  <c r="G13" i="4"/>
  <c r="G15" i="4" s="1"/>
  <c r="R13" i="4"/>
  <c r="N13" i="4"/>
  <c r="O13" i="4"/>
  <c r="O15" i="4" s="1"/>
  <c r="Q17" i="4"/>
  <c r="Q19" i="4" s="1"/>
  <c r="Q32" i="4" s="1"/>
  <c r="F17" i="4"/>
  <c r="F19" i="4" s="1"/>
  <c r="I20" i="4"/>
  <c r="Q26" i="4"/>
  <c r="I17" i="4"/>
  <c r="J17" i="4"/>
  <c r="J19" i="4" s="1"/>
  <c r="M26" i="4"/>
  <c r="E17" i="4"/>
  <c r="G20" i="4"/>
  <c r="G17" i="4"/>
  <c r="G19" i="4" s="1"/>
  <c r="S17" i="4"/>
  <c r="J26" i="4"/>
  <c r="E26" i="4"/>
  <c r="F20" i="4"/>
  <c r="J20" i="4"/>
  <c r="O20" i="4"/>
  <c r="G26" i="4"/>
  <c r="S26" i="4"/>
  <c r="K17" i="4"/>
  <c r="K19" i="4" s="1"/>
  <c r="R17" i="4"/>
  <c r="R19" i="4" s="1"/>
  <c r="R32" i="4" s="1"/>
  <c r="R20" i="4"/>
  <c r="E20" i="4"/>
  <c r="R26" i="4"/>
  <c r="K26" i="4"/>
  <c r="N17" i="4"/>
  <c r="N19" i="4" s="1"/>
  <c r="O17" i="4"/>
  <c r="O19" i="4" s="1"/>
  <c r="O32" i="4" s="1"/>
  <c r="Q20" i="4"/>
  <c r="N20" i="4"/>
  <c r="N22" i="4" s="1"/>
  <c r="N26" i="4"/>
  <c r="K20" i="4"/>
  <c r="M20" i="4"/>
  <c r="S20" i="4"/>
  <c r="O26" i="4"/>
  <c r="M17" i="4"/>
  <c r="I26" i="4"/>
  <c r="F26" i="4"/>
  <c r="J45" i="4" l="1" a="1"/>
  <c r="J45" i="4" s="1"/>
  <c r="G35" i="4"/>
  <c r="K35" i="4"/>
  <c r="H39" i="4"/>
  <c r="E41" i="4"/>
  <c r="N35" i="4"/>
  <c r="L36" i="4"/>
  <c r="I38" i="4"/>
  <c r="L38" i="4" s="1"/>
  <c r="O45" i="4" a="1"/>
  <c r="O45" i="4" s="1"/>
  <c r="S35" i="4"/>
  <c r="S45" i="4" s="1" a="1"/>
  <c r="S45" i="4" s="1"/>
  <c r="Q35" i="4"/>
  <c r="R35" i="4"/>
  <c r="P33" i="4"/>
  <c r="M35" i="4"/>
  <c r="P39" i="4"/>
  <c r="M41" i="4"/>
  <c r="P41" i="4" s="1"/>
  <c r="F35" i="4"/>
  <c r="E38" i="4"/>
  <c r="H38" i="4" s="1"/>
  <c r="H36" i="4"/>
  <c r="L39" i="4"/>
  <c r="I41" i="4"/>
  <c r="L41" i="4" s="1"/>
  <c r="L33" i="4"/>
  <c r="I35" i="4"/>
  <c r="H33" i="4"/>
  <c r="E35" i="4"/>
  <c r="P36" i="4"/>
  <c r="M38" i="4"/>
  <c r="P38" i="4" s="1"/>
  <c r="N15" i="4"/>
  <c r="P8" i="3"/>
  <c r="H8" i="3"/>
  <c r="F15" i="4"/>
  <c r="H15" i="4" s="1"/>
  <c r="K30" i="4"/>
  <c r="K28" i="4"/>
  <c r="O24" i="4"/>
  <c r="O22" i="4"/>
  <c r="H17" i="4"/>
  <c r="E19" i="4"/>
  <c r="H19" i="4" s="1"/>
  <c r="H5" i="4"/>
  <c r="H8" i="4" s="1"/>
  <c r="E11" i="4"/>
  <c r="E8" i="4"/>
  <c r="J8" i="4"/>
  <c r="J11" i="4"/>
  <c r="G11" i="4"/>
  <c r="G8" i="4"/>
  <c r="Q30" i="4"/>
  <c r="Q28" i="4"/>
  <c r="P20" i="4"/>
  <c r="M24" i="4"/>
  <c r="M22" i="4"/>
  <c r="J22" i="4"/>
  <c r="J24" i="4"/>
  <c r="P26" i="4"/>
  <c r="M30" i="4"/>
  <c r="M28" i="4"/>
  <c r="I11" i="4"/>
  <c r="I8" i="4"/>
  <c r="L5" i="4"/>
  <c r="L8" i="4" s="1"/>
  <c r="R8" i="4"/>
  <c r="R11" i="4"/>
  <c r="K22" i="4"/>
  <c r="K24" i="4"/>
  <c r="H20" i="4"/>
  <c r="E22" i="4"/>
  <c r="E24" i="4"/>
  <c r="F24" i="4"/>
  <c r="F22" i="4"/>
  <c r="I15" i="4"/>
  <c r="L15" i="4" s="1"/>
  <c r="L13" i="4"/>
  <c r="M15" i="4"/>
  <c r="P13" i="4"/>
  <c r="R30" i="4"/>
  <c r="R28" i="4"/>
  <c r="N30" i="4"/>
  <c r="N28" i="4"/>
  <c r="R22" i="4"/>
  <c r="R24" i="4"/>
  <c r="H26" i="4"/>
  <c r="E30" i="4"/>
  <c r="E28" i="4"/>
  <c r="I19" i="4"/>
  <c r="L19" i="4" s="1"/>
  <c r="L17" i="4"/>
  <c r="F11" i="4"/>
  <c r="F8" i="4"/>
  <c r="J30" i="4"/>
  <c r="J28" i="4"/>
  <c r="N8" i="4"/>
  <c r="N11" i="4"/>
  <c r="F30" i="4"/>
  <c r="F28" i="4"/>
  <c r="Q22" i="4"/>
  <c r="Q24" i="4"/>
  <c r="L26" i="4"/>
  <c r="I30" i="4"/>
  <c r="I28" i="4"/>
  <c r="L20" i="4"/>
  <c r="I22" i="4"/>
  <c r="I24" i="4"/>
  <c r="O11" i="4"/>
  <c r="O8" i="4"/>
  <c r="P17" i="4"/>
  <c r="M19" i="4"/>
  <c r="P19" i="4" s="1"/>
  <c r="O30" i="4"/>
  <c r="O28" i="4"/>
  <c r="G30" i="4"/>
  <c r="G28" i="4"/>
  <c r="G24" i="4"/>
  <c r="G22" i="4"/>
  <c r="M8" i="4"/>
  <c r="P5" i="4"/>
  <c r="M11" i="4"/>
  <c r="Q8" i="4"/>
  <c r="Q11" i="4"/>
  <c r="K11" i="4"/>
  <c r="K8" i="4"/>
  <c r="S8" i="4"/>
  <c r="S11" i="4"/>
  <c r="R15" i="4"/>
  <c r="S22" i="4"/>
  <c r="S24" i="4"/>
  <c r="S46" i="3" a="1"/>
  <c r="S46" i="3" s="1"/>
  <c r="S19" i="4"/>
  <c r="S30" i="4"/>
  <c r="S28" i="4"/>
  <c r="N45" i="4" l="1" a="1"/>
  <c r="N45" i="4" s="1"/>
  <c r="R45" i="4" a="1"/>
  <c r="R45" i="4" s="1"/>
  <c r="Q45" i="4" a="1"/>
  <c r="Q45" i="4" s="1"/>
  <c r="K45" i="4" a="1"/>
  <c r="K45" i="4" s="1"/>
  <c r="G45" i="4" a="1"/>
  <c r="G45" i="4" s="1"/>
  <c r="F45" i="4" a="1"/>
  <c r="F45" i="4" s="1"/>
  <c r="I45" i="4" a="1"/>
  <c r="I45" i="4" s="1"/>
  <c r="T36" i="4" a="1"/>
  <c r="T36" i="4" s="1"/>
  <c r="T38" i="4" a="1"/>
  <c r="T38" i="4" s="1"/>
  <c r="T33" i="4" a="1"/>
  <c r="T33" i="4" s="1"/>
  <c r="T39" i="4" a="1"/>
  <c r="T39" i="4" s="1"/>
  <c r="M45" i="4" a="1"/>
  <c r="M45" i="4" s="1"/>
  <c r="H41" i="4"/>
  <c r="T41" i="4" s="1" a="1"/>
  <c r="T41" i="4" s="1"/>
  <c r="E45" i="4" a="1"/>
  <c r="E45" i="4" s="1"/>
  <c r="H35" i="4"/>
  <c r="P35" i="4"/>
  <c r="L35" i="4"/>
  <c r="P15" i="4"/>
  <c r="T15" i="4" s="1" a="1"/>
  <c r="T15" i="4" s="1"/>
  <c r="P11" i="3"/>
  <c r="T11" i="3" s="1" a="1"/>
  <c r="T11" i="3" s="1"/>
  <c r="P15" i="3"/>
  <c r="P13" i="3"/>
  <c r="T13" i="3" s="1" a="1"/>
  <c r="T13" i="3" s="1"/>
  <c r="T13" i="4" a="1"/>
  <c r="T13" i="4" s="1"/>
  <c r="T26" i="4" a="1"/>
  <c r="T26" i="4" s="1"/>
  <c r="T20" i="4" a="1"/>
  <c r="T20" i="4" s="1"/>
  <c r="H12" i="3"/>
  <c r="T8" i="3" a="1"/>
  <c r="T8" i="3" s="1"/>
  <c r="T5" i="3" a="1"/>
  <c r="T5" i="3" s="1"/>
  <c r="G12" i="4"/>
  <c r="G16" i="4" s="1"/>
  <c r="F12" i="4"/>
  <c r="F16" i="4" s="1"/>
  <c r="Q12" i="4"/>
  <c r="Q16" i="4" s="1"/>
  <c r="T17" i="4" a="1"/>
  <c r="T17" i="4" s="1"/>
  <c r="K31" i="4"/>
  <c r="N12" i="4"/>
  <c r="N16" i="4" s="1"/>
  <c r="L30" i="4"/>
  <c r="J31" i="4"/>
  <c r="K12" i="4"/>
  <c r="K16" i="4" s="1"/>
  <c r="R12" i="4"/>
  <c r="R16" i="4" s="1"/>
  <c r="G31" i="4"/>
  <c r="O12" i="4"/>
  <c r="O16" i="4" s="1"/>
  <c r="J12" i="4"/>
  <c r="J16" i="4" s="1"/>
  <c r="L22" i="4"/>
  <c r="R31" i="4"/>
  <c r="H24" i="4"/>
  <c r="P30" i="4"/>
  <c r="H11" i="4"/>
  <c r="H12" i="4" s="1"/>
  <c r="E12" i="4"/>
  <c r="E16" i="4" s="1"/>
  <c r="I25" i="4"/>
  <c r="L24" i="4"/>
  <c r="F31" i="4"/>
  <c r="N31" i="4"/>
  <c r="F25" i="4"/>
  <c r="F32" i="4" s="1"/>
  <c r="M12" i="4"/>
  <c r="P11" i="4"/>
  <c r="T5" i="4" a="1"/>
  <c r="T5" i="4" s="1"/>
  <c r="O31" i="4"/>
  <c r="J25" i="4"/>
  <c r="L28" i="4"/>
  <c r="I31" i="4"/>
  <c r="E31" i="4"/>
  <c r="H28" i="4"/>
  <c r="H22" i="4"/>
  <c r="E25" i="4"/>
  <c r="P8" i="4"/>
  <c r="T8" i="4" s="1" a="1"/>
  <c r="T8" i="4" s="1"/>
  <c r="H30" i="4"/>
  <c r="I12" i="4"/>
  <c r="I16" i="4" s="1"/>
  <c r="L11" i="4"/>
  <c r="L12" i="4" s="1"/>
  <c r="M25" i="4"/>
  <c r="P22" i="4"/>
  <c r="G25" i="4"/>
  <c r="G32" i="4" s="1"/>
  <c r="K25" i="4"/>
  <c r="M31" i="4"/>
  <c r="P28" i="4"/>
  <c r="Q31" i="4"/>
  <c r="S31" i="4"/>
  <c r="S32" i="4"/>
  <c r="T19" i="4" a="1"/>
  <c r="T19" i="4" s="1"/>
  <c r="S12" i="4"/>
  <c r="H45" i="4" l="1"/>
  <c r="L45" i="4"/>
  <c r="P45" i="4"/>
  <c r="T35" i="4" a="1"/>
  <c r="T35" i="4" s="1"/>
  <c r="P16" i="3"/>
  <c r="P12" i="3"/>
  <c r="T12" i="3" s="1" a="1"/>
  <c r="T12" i="3" s="1"/>
  <c r="H15" i="3"/>
  <c r="T15" i="3" s="1" a="1"/>
  <c r="T15" i="3" s="1"/>
  <c r="F16" i="3"/>
  <c r="Q46" i="4" a="1"/>
  <c r="Q46" i="4" s="1"/>
  <c r="H16" i="4"/>
  <c r="L16" i="4"/>
  <c r="T22" i="4" a="1"/>
  <c r="T22" i="4" s="1"/>
  <c r="F46" i="4" a="1"/>
  <c r="F46" i="4" s="1"/>
  <c r="T28" i="4" a="1"/>
  <c r="T28" i="4" s="1"/>
  <c r="T30" i="4" a="1"/>
  <c r="T30" i="4" s="1"/>
  <c r="T11" i="4" a="1"/>
  <c r="T11" i="4" s="1"/>
  <c r="O46" i="4" a="1"/>
  <c r="O46" i="4" s="1"/>
  <c r="T31" i="4" a="1"/>
  <c r="T31" i="4" s="1"/>
  <c r="K32" i="4"/>
  <c r="K46" i="4" a="1"/>
  <c r="K46" i="4" s="1"/>
  <c r="J32" i="4"/>
  <c r="J46" i="4" a="1"/>
  <c r="J46" i="4" s="1"/>
  <c r="E46" i="4" a="1"/>
  <c r="E46" i="4" s="1"/>
  <c r="E32" i="4"/>
  <c r="H25" i="4"/>
  <c r="I32" i="4"/>
  <c r="L25" i="4"/>
  <c r="M16" i="4"/>
  <c r="P12" i="4"/>
  <c r="T12" i="4" s="1" a="1"/>
  <c r="T12" i="4" s="1"/>
  <c r="B3" i="2" s="1"/>
  <c r="I46" i="4" a="1"/>
  <c r="I46" i="4" s="1"/>
  <c r="M32" i="4"/>
  <c r="G46" i="4" a="1"/>
  <c r="G46" i="4" s="1"/>
  <c r="R46" i="4" a="1"/>
  <c r="R46" i="4" s="1"/>
  <c r="S16" i="4"/>
  <c r="S46" i="4" s="1" a="1"/>
  <c r="S46" i="4" s="1"/>
  <c r="T45" i="4" l="1" a="1"/>
  <c r="T45" i="4" s="1"/>
  <c r="H32" i="4"/>
  <c r="H16" i="3"/>
  <c r="T16" i="3" s="1" a="1"/>
  <c r="T16" i="3" s="1"/>
  <c r="H46" i="4"/>
  <c r="P16" i="4"/>
  <c r="T16" i="4" s="1" a="1"/>
  <c r="T16" i="4" s="1"/>
  <c r="M46" i="4" a="1"/>
  <c r="M46" i="4" s="1"/>
  <c r="L46" i="4"/>
  <c r="L32" i="4"/>
  <c r="H41" i="3" l="1"/>
  <c r="H39" i="3"/>
  <c r="T39" i="3" a="1"/>
  <c r="T39" i="3" s="1"/>
  <c r="H43" i="3" l="1"/>
  <c r="H44" i="3" l="1"/>
  <c r="H34" i="3" l="1"/>
  <c r="H35" i="3" l="1"/>
  <c r="H37" i="3" l="1"/>
  <c r="H45" i="3" l="1"/>
  <c r="H38" i="3"/>
  <c r="P19" i="3" l="1"/>
  <c r="P17" i="3"/>
  <c r="P30" i="3"/>
  <c r="P26" i="3"/>
  <c r="P20" i="3"/>
  <c r="N25" i="4"/>
  <c r="N24" i="4"/>
  <c r="P22" i="3" l="1"/>
  <c r="P28" i="3"/>
  <c r="P24" i="4"/>
  <c r="T24" i="4" s="1" a="1"/>
  <c r="T24" i="4" s="1"/>
  <c r="N46" i="4" a="1"/>
  <c r="N46" i="4" s="1"/>
  <c r="P24" i="3"/>
  <c r="N32" i="4"/>
  <c r="P25" i="4"/>
  <c r="T25" i="4" s="1" a="1"/>
  <c r="T25" i="4" s="1"/>
  <c r="P32" i="4" l="1"/>
  <c r="B2" i="2"/>
  <c r="C2" i="2" s="1"/>
  <c r="C3" i="2" s="1"/>
  <c r="T32" i="4"/>
  <c r="P46" i="4"/>
  <c r="T46" i="4" s="1" a="1"/>
  <c r="T46" i="4" s="1"/>
  <c r="P46" i="3"/>
  <c r="P32" i="3"/>
  <c r="P25" i="3"/>
  <c r="C4" i="2" l="1"/>
  <c r="D3" i="2" s="1"/>
  <c r="D2" i="2" l="1"/>
  <c r="E2" i="2" s="1"/>
  <c r="D4" i="2"/>
  <c r="E4" i="2" s="1"/>
  <c r="E3" i="2" l="1"/>
  <c r="E19" i="3" l="1"/>
  <c r="H17" i="3"/>
  <c r="H19" i="3" l="1"/>
  <c r="F50" i="3" l="1"/>
  <c r="E50" i="3" l="1"/>
  <c r="I41" i="3" l="1"/>
  <c r="L40" i="3"/>
  <c r="T40" i="3" s="1" a="1"/>
  <c r="T40" i="3" s="1"/>
  <c r="I44" i="3"/>
  <c r="L43" i="3"/>
  <c r="T43" i="3" s="1" a="1"/>
  <c r="T43" i="3" s="1"/>
  <c r="I35" i="3"/>
  <c r="L34" i="3"/>
  <c r="T34" i="3" s="1" a="1"/>
  <c r="T34" i="3" s="1"/>
  <c r="I38" i="3"/>
  <c r="L37" i="3"/>
  <c r="T37" i="3" s="1" a="1"/>
  <c r="T37" i="3" s="1"/>
  <c r="I45" i="3" l="1" a="1"/>
  <c r="I45" i="3" s="1"/>
  <c r="L45" i="3" s="1"/>
  <c r="T45" i="3" s="1" a="1"/>
  <c r="T45" i="3" s="1"/>
  <c r="L35" i="3"/>
  <c r="T35" i="3" s="1" a="1"/>
  <c r="T35" i="3" s="1"/>
  <c r="L44" i="3"/>
  <c r="T44" i="3" s="1" a="1"/>
  <c r="T44" i="3" s="1"/>
  <c r="L38" i="3"/>
  <c r="T38" i="3" s="1" a="1"/>
  <c r="T38" i="3" s="1"/>
  <c r="L41" i="3"/>
  <c r="T41" i="3" s="1" a="1"/>
  <c r="T41" i="3" s="1"/>
  <c r="L49" i="3" l="1"/>
  <c r="I50" i="3" l="1"/>
  <c r="L50" i="3" s="1"/>
  <c r="L48" i="3"/>
  <c r="H49" i="3" l="1"/>
  <c r="G50" i="3" l="1"/>
  <c r="H48" i="3"/>
  <c r="H50" i="3" s="1"/>
  <c r="L20" i="3" l="1"/>
  <c r="T20" i="3" s="1" a="1"/>
  <c r="T20" i="3" s="1"/>
  <c r="J19" i="3"/>
  <c r="L17" i="3"/>
  <c r="T17" i="3" s="1" a="1"/>
  <c r="T17" i="3" s="1"/>
  <c r="L26" i="3"/>
  <c r="T26" i="3" s="1" a="1"/>
  <c r="T26" i="3" s="1"/>
  <c r="L19" i="3" l="1"/>
  <c r="T19" i="3" s="1" a="1"/>
  <c r="T19" i="3" s="1"/>
  <c r="L30" i="3"/>
  <c r="T30" i="3" s="1" a="1"/>
  <c r="T30" i="3" s="1"/>
  <c r="L22" i="3"/>
  <c r="T22" i="3" s="1" a="1"/>
  <c r="T22" i="3" s="1"/>
  <c r="T31" i="3" a="1"/>
  <c r="T31" i="3" s="1"/>
  <c r="L28" i="3"/>
  <c r="T28" i="3" s="1" a="1"/>
  <c r="T28" i="3" s="1"/>
  <c r="N50" i="3" l="1"/>
  <c r="T49" i="3" l="1"/>
  <c r="P49" i="3"/>
  <c r="T48" i="3" l="1"/>
  <c r="P48" i="3"/>
  <c r="M50" i="3"/>
  <c r="P50" i="3" l="1"/>
  <c r="T50" i="3"/>
  <c r="I24" i="3" l="1"/>
  <c r="G24" i="3"/>
  <c r="G25" i="3" s="1"/>
  <c r="G32" i="3" s="1"/>
  <c r="J24" i="3" l="1"/>
  <c r="J25" i="3" s="1"/>
  <c r="J32" i="3" s="1"/>
  <c r="G46" i="3" a="1"/>
  <c r="G46" i="3" s="1"/>
  <c r="I25" i="3"/>
  <c r="L24" i="3" l="1"/>
  <c r="F24" i="3"/>
  <c r="I32" i="3"/>
  <c r="L32" i="3" s="1"/>
  <c r="L25" i="3"/>
  <c r="I46" i="3" a="1"/>
  <c r="I46" i="3" s="1"/>
  <c r="J46" i="3" a="1"/>
  <c r="J46" i="3" s="1"/>
  <c r="F25" i="3" l="1"/>
  <c r="L46" i="3"/>
  <c r="F32" i="3" l="1"/>
  <c r="F46" i="3" a="1"/>
  <c r="F46" i="3" s="1"/>
  <c r="E24" i="3"/>
  <c r="E25" i="3" l="1"/>
  <c r="H24" i="3"/>
  <c r="T24" i="3" s="1" a="1"/>
  <c r="T24" i="3" s="1"/>
  <c r="E46" i="3" a="1"/>
  <c r="E46" i="3" s="1"/>
  <c r="T23" i="3" a="1"/>
  <c r="T23" i="3" s="1"/>
  <c r="H46" i="3" l="1"/>
  <c r="T46" i="3" s="1" a="1"/>
  <c r="T46" i="3" s="1"/>
  <c r="H25" i="3"/>
  <c r="T25" i="3" s="1" a="1"/>
  <c r="T25" i="3" s="1"/>
  <c r="T32" i="3" s="1"/>
  <c r="E32" i="3"/>
  <c r="H3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Osvaldo Martins Torquati</author>
  </authors>
  <commentList>
    <comment ref="F25" authorId="0" shapeId="0" xr:uid="{3B9E7ED8-203D-452A-8E47-FFD7AFD2E8A5}">
      <text>
        <r>
          <rPr>
            <b/>
            <sz val="9"/>
            <color indexed="81"/>
            <rFont val="Segoe UI"/>
            <family val="2"/>
          </rPr>
          <t>Osvaldo Martins Torquati:</t>
        </r>
        <r>
          <rPr>
            <sz val="9"/>
            <color indexed="81"/>
            <rFont val="Segoe UI"/>
            <family val="2"/>
          </rPr>
          <t xml:space="preserve">
Somado 1150,52 devido a diferença no calculo do mês de abril
lançamento errado dos preços da borra de zinco
 </t>
        </r>
      </text>
    </comment>
    <comment ref="K30" authorId="0" shapeId="0" xr:uid="{AFBC70B6-9A51-4F6E-B813-F0F89942437A}">
      <text>
        <r>
          <rPr>
            <b/>
            <sz val="9"/>
            <color indexed="81"/>
            <rFont val="Segoe UI"/>
            <family val="2"/>
          </rPr>
          <t>Osvaldo Martins Torquati:</t>
        </r>
        <r>
          <rPr>
            <sz val="9"/>
            <color indexed="81"/>
            <rFont val="Segoe UI"/>
            <family val="2"/>
          </rPr>
          <t xml:space="preserve">
Acrescentado 513,30 devido a ter calculado o valor em agosto utilizando 2,20 ao invés do correto que era 2,50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<sst xmlns="http://schemas.openxmlformats.org/spreadsheetml/2006/main" count="217" uniqueCount="61">
  <si>
    <t xml:space="preserve"> (Q-Loss item 31)</t>
  </si>
  <si>
    <t>Ano</t>
  </si>
  <si>
    <t>Total Anual</t>
  </si>
  <si>
    <t>Tipo de Perda</t>
  </si>
  <si>
    <t>Descrição</t>
  </si>
  <si>
    <t>Un.</t>
  </si>
  <si>
    <t>Pó de Mistura Alcalina</t>
  </si>
  <si>
    <t xml:space="preserve">Quantidade </t>
  </si>
  <si>
    <t>Kg</t>
  </si>
  <si>
    <t>Custo EMD/Kg</t>
  </si>
  <si>
    <t>R$</t>
  </si>
  <si>
    <t>% EMD</t>
  </si>
  <si>
    <t>%</t>
  </si>
  <si>
    <t>Valor EMD</t>
  </si>
  <si>
    <t>Custo Grafite/kg</t>
  </si>
  <si>
    <t>% Grafite</t>
  </si>
  <si>
    <t>Valor Grafite</t>
  </si>
  <si>
    <t>Sub-Total</t>
  </si>
  <si>
    <t>Varredura de Manganês da Mistura</t>
  </si>
  <si>
    <t>Quantidade</t>
  </si>
  <si>
    <t>Custo/kg</t>
  </si>
  <si>
    <t>Borra de Zinco</t>
  </si>
  <si>
    <t>kg</t>
  </si>
  <si>
    <t>Custo de Aquisição do Zinco /kg</t>
  </si>
  <si>
    <t xml:space="preserve">Custo do Zinco </t>
  </si>
  <si>
    <t>Custo de Venda da Borra/kg</t>
  </si>
  <si>
    <t>Custo da venda da Borra</t>
  </si>
  <si>
    <t>Total</t>
  </si>
  <si>
    <t>Responsável</t>
  </si>
  <si>
    <t>Custo por Perda de Rendimento (Yield Loss)</t>
  </si>
  <si>
    <t>Rótulo</t>
  </si>
  <si>
    <t>Custo</t>
  </si>
  <si>
    <t>-</t>
  </si>
  <si>
    <t xml:space="preserve">Alcalinas </t>
  </si>
  <si>
    <t>Manganês</t>
  </si>
  <si>
    <t>Total Geral</t>
  </si>
  <si>
    <t>(Label)</t>
  </si>
  <si>
    <t>Produção Mn</t>
  </si>
  <si>
    <t>Produção Alk</t>
  </si>
  <si>
    <t>média</t>
  </si>
  <si>
    <t>Média</t>
  </si>
  <si>
    <t>mistura alcalina</t>
  </si>
  <si>
    <t>borra de zinco</t>
  </si>
  <si>
    <t>outros</t>
  </si>
  <si>
    <t>REAL</t>
  </si>
  <si>
    <t>PREVISÃO</t>
  </si>
  <si>
    <t>PVC</t>
  </si>
  <si>
    <t>Custo de Aquisição do Composto /kg</t>
  </si>
  <si>
    <t>Custo de Venda/kg</t>
  </si>
  <si>
    <t>Custo do PVC</t>
  </si>
  <si>
    <t>Custo da venda do Composto</t>
  </si>
  <si>
    <t>L</t>
  </si>
  <si>
    <t>Custo de Amostragem para Testes</t>
  </si>
  <si>
    <t>UM-1</t>
  </si>
  <si>
    <t>Custo / Milheiro</t>
  </si>
  <si>
    <t>Pçs</t>
  </si>
  <si>
    <t>UM-3</t>
  </si>
  <si>
    <t>UM-4</t>
  </si>
  <si>
    <t>LR6</t>
  </si>
  <si>
    <t>Resultados
FY-2020</t>
  </si>
  <si>
    <t>Resultados
FY-2021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</si>
</sst>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164" formatCode="_(* #,##0_);_(* \(#,##0\);_(* &quot;-&quot;_);_(@_)"/>
    <numFmt numFmtId="165" formatCode="_(* #,##0.00_);_(* \(#,##0.00\);_(* &quot;-&quot;??_);_(@_)"/>
    <numFmt numFmtId="166" formatCode="0.0"/>
    <numFmt numFmtId="167" formatCode="0.00_)"/>
    <numFmt numFmtId="168" formatCode="&quot;W&quot;#,##0;[Red]\-&quot;W&quot;#,##0"/>
    <numFmt numFmtId="169" formatCode="&quot;W&quot;#,##0.00;[Red]\-&quot;W&quot;#,##0.00"/>
    <numFmt numFmtId="170" formatCode="0.0000"/>
    <numFmt numFmtId="171" formatCode="0.0%"/>
    <numFmt numFmtId="172" formatCode="0.0_ "/>
    <numFmt numFmtId="173" formatCode="0_ "/>
  </numFmts>
  <fonts count="20">
    <font>
      <sz val="10"/>
      <name val="Arial"/>
    </font>
    <font>
      <sz val="8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2"/>
      <name val="ＭＳ ゴシック"/>
      <family val="3"/>
      <charset val="128"/>
    </font>
    <font>
      <sz val="11"/>
      <name val="明朝"/>
      <family val="1"/>
      <charset val="128"/>
    </font>
    <font>
      <b/>
      <sz val="14"/>
      <name val="Arial"/>
      <family val="2"/>
    </font>
    <font>
      <b/>
      <sz val="11"/>
      <name val="Times New Roman"/>
      <family val="1"/>
    </font>
    <font>
      <sz val="12"/>
      <name val="Arial"/>
      <family val="2"/>
    </font>
    <font>
      <sz val="12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i/>
      <sz val="10"/>
      <color rgb="FF0070C0"/>
      <name val="Arial"/>
      <family val="2"/>
    </font>
    <font>
      <i/>
      <sz val="10"/>
      <color rgb="FF0070C0"/>
      <name val="Times New Roman"/>
      <family val="1"/>
    </font>
    <font>
      <sz val="1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1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7" fontId="2" fillId="0" borderId="0"/>
    <xf numFmtId="10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37" fontId="4" fillId="0" borderId="0"/>
    <xf numFmtId="169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41" fontId="17" fillId="0" borderId="0" applyFont="0" applyFill="0" applyBorder="0" applyAlignment="0" applyProtection="0"/>
  </cellStyleXfs>
  <cellXfs count="247">
    <xf numFmtId="0" fontId="0" fillId="0" borderId="0" xfId="0"/>
    <xf numFmtId="2" fontId="0" fillId="0" borderId="0" xfId="0" applyNumberFormat="1"/>
    <xf numFmtId="171" fontId="0" fillId="0" borderId="0" xfId="0" applyNumberFormat="1"/>
    <xf numFmtId="0" fontId="6" fillId="0" borderId="0" xfId="0" quotePrefix="1" applyFont="1"/>
    <xf numFmtId="0" fontId="7" fillId="0" borderId="2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9" fillId="0" borderId="8" xfId="0" applyFont="1" applyBorder="1"/>
    <xf numFmtId="0" fontId="9" fillId="0" borderId="9" xfId="0" applyFont="1" applyBorder="1"/>
    <xf numFmtId="4" fontId="9" fillId="0" borderId="10" xfId="0" applyNumberFormat="1" applyFont="1" applyBorder="1"/>
    <xf numFmtId="2" fontId="0" fillId="4" borderId="11" xfId="0" applyNumberFormat="1" applyFill="1" applyBorder="1"/>
    <xf numFmtId="166" fontId="0" fillId="4" borderId="11" xfId="0" applyNumberFormat="1" applyFill="1" applyBorder="1"/>
    <xf numFmtId="0" fontId="9" fillId="0" borderId="12" xfId="0" applyFont="1" applyBorder="1"/>
    <xf numFmtId="0" fontId="9" fillId="0" borderId="13" xfId="0" applyFont="1" applyBorder="1"/>
    <xf numFmtId="0" fontId="0" fillId="4" borderId="15" xfId="0" applyFill="1" applyBorder="1"/>
    <xf numFmtId="2" fontId="0" fillId="4" borderId="16" xfId="0" applyNumberFormat="1" applyFill="1" applyBorder="1"/>
    <xf numFmtId="0" fontId="9" fillId="0" borderId="17" xfId="0" applyFont="1" applyBorder="1"/>
    <xf numFmtId="0" fontId="9" fillId="0" borderId="18" xfId="0" applyFont="1" applyBorder="1"/>
    <xf numFmtId="4" fontId="9" fillId="0" borderId="19" xfId="0" applyNumberFormat="1" applyFont="1" applyBorder="1"/>
    <xf numFmtId="2" fontId="0" fillId="4" borderId="20" xfId="0" applyNumberFormat="1" applyFill="1" applyBorder="1"/>
    <xf numFmtId="0" fontId="9" fillId="0" borderId="21" xfId="0" applyFont="1" applyBorder="1"/>
    <xf numFmtId="0" fontId="9" fillId="0" borderId="22" xfId="0" applyFont="1" applyBorder="1"/>
    <xf numFmtId="0" fontId="0" fillId="4" borderId="24" xfId="0" applyFill="1" applyBorder="1"/>
    <xf numFmtId="2" fontId="0" fillId="4" borderId="25" xfId="0" applyNumberFormat="1" applyFill="1" applyBorder="1"/>
    <xf numFmtId="0" fontId="9" fillId="0" borderId="26" xfId="0" applyFont="1" applyBorder="1"/>
    <xf numFmtId="0" fontId="9" fillId="0" borderId="27" xfId="0" applyFont="1" applyBorder="1"/>
    <xf numFmtId="2" fontId="0" fillId="4" borderId="29" xfId="0" applyNumberFormat="1" applyFill="1" applyBorder="1"/>
    <xf numFmtId="170" fontId="0" fillId="4" borderId="31" xfId="0" applyNumberFormat="1" applyFill="1" applyBorder="1"/>
    <xf numFmtId="2" fontId="0" fillId="4" borderId="31" xfId="0" applyNumberFormat="1" applyFill="1" applyBorder="1"/>
    <xf numFmtId="0" fontId="0" fillId="4" borderId="31" xfId="0" applyFill="1" applyBorder="1"/>
    <xf numFmtId="4" fontId="0" fillId="0" borderId="10" xfId="0" applyNumberFormat="1" applyBorder="1"/>
    <xf numFmtId="0" fontId="9" fillId="0" borderId="17" xfId="0" applyFont="1" applyBorder="1" applyAlignment="1">
      <alignment wrapText="1"/>
    </xf>
    <xf numFmtId="0" fontId="9" fillId="0" borderId="18" xfId="0" applyFont="1" applyBorder="1" applyAlignment="1">
      <alignment wrapText="1"/>
    </xf>
    <xf numFmtId="4" fontId="0" fillId="0" borderId="19" xfId="0" applyNumberFormat="1" applyBorder="1"/>
    <xf numFmtId="0" fontId="9" fillId="0" borderId="21" xfId="0" applyFont="1" applyBorder="1" applyAlignment="1">
      <alignment wrapText="1"/>
    </xf>
    <xf numFmtId="0" fontId="9" fillId="0" borderId="22" xfId="0" applyFont="1" applyBorder="1" applyAlignment="1">
      <alignment wrapText="1"/>
    </xf>
    <xf numFmtId="4" fontId="0" fillId="0" borderId="23" xfId="0" applyNumberFormat="1" applyBorder="1"/>
    <xf numFmtId="4" fontId="0" fillId="0" borderId="28" xfId="0" applyNumberFormat="1" applyBorder="1"/>
    <xf numFmtId="0" fontId="9" fillId="0" borderId="32" xfId="0" applyFont="1" applyBorder="1"/>
    <xf numFmtId="0" fontId="9" fillId="0" borderId="19" xfId="0" applyFont="1" applyBorder="1" applyAlignment="1">
      <alignment wrapText="1"/>
    </xf>
    <xf numFmtId="0" fontId="9" fillId="0" borderId="23" xfId="0" applyFont="1" applyBorder="1" applyAlignment="1">
      <alignment wrapText="1"/>
    </xf>
    <xf numFmtId="0" fontId="9" fillId="0" borderId="26" xfId="0" applyFont="1" applyBorder="1" applyAlignment="1">
      <alignment wrapText="1"/>
    </xf>
    <xf numFmtId="0" fontId="9" fillId="0" borderId="28" xfId="0" applyFont="1" applyBorder="1"/>
    <xf numFmtId="2" fontId="0" fillId="4" borderId="38" xfId="0" applyNumberFormat="1" applyFill="1" applyBorder="1"/>
    <xf numFmtId="2" fontId="0" fillId="5" borderId="39" xfId="0" applyNumberFormat="1" applyFill="1" applyBorder="1"/>
    <xf numFmtId="0" fontId="9" fillId="0" borderId="40" xfId="0" applyFont="1" applyBorder="1" applyAlignment="1">
      <alignment horizontal="center"/>
    </xf>
    <xf numFmtId="4" fontId="9" fillId="0" borderId="37" xfId="0" applyNumberFormat="1" applyFont="1" applyBorder="1" applyAlignment="1">
      <alignment horizontal="center"/>
    </xf>
    <xf numFmtId="4" fontId="0" fillId="0" borderId="39" xfId="0" applyNumberFormat="1" applyBorder="1"/>
    <xf numFmtId="4" fontId="9" fillId="0" borderId="1" xfId="0" applyNumberFormat="1" applyFont="1" applyBorder="1" applyAlignment="1">
      <alignment horizontal="center" vertical="center"/>
    </xf>
    <xf numFmtId="0" fontId="0" fillId="4" borderId="41" xfId="0" applyFill="1" applyBorder="1" applyAlignment="1">
      <alignment horizontal="center" vertical="center" wrapText="1"/>
    </xf>
    <xf numFmtId="0" fontId="0" fillId="0" borderId="39" xfId="0" applyBorder="1" applyAlignment="1">
      <alignment vertical="center"/>
    </xf>
    <xf numFmtId="0" fontId="1" fillId="0" borderId="0" xfId="0" applyFont="1"/>
    <xf numFmtId="0" fontId="1" fillId="0" borderId="1" xfId="0" applyFont="1" applyBorder="1"/>
    <xf numFmtId="0" fontId="1" fillId="0" borderId="40" xfId="0" applyFont="1" applyBorder="1"/>
    <xf numFmtId="3" fontId="0" fillId="4" borderId="42" xfId="0" applyNumberFormat="1" applyFill="1" applyBorder="1"/>
    <xf numFmtId="3" fontId="0" fillId="0" borderId="1" xfId="0" applyNumberFormat="1" applyBorder="1"/>
    <xf numFmtId="0" fontId="0" fillId="0" borderId="1" xfId="0" applyBorder="1"/>
    <xf numFmtId="0" fontId="0" fillId="0" borderId="40" xfId="0" applyBorder="1"/>
    <xf numFmtId="0" fontId="12" fillId="0" borderId="0" xfId="0" applyFont="1"/>
    <xf numFmtId="0" fontId="13" fillId="0" borderId="0" xfId="0" applyFont="1" applyAlignment="1">
      <alignment horizontal="right" vertical="center"/>
    </xf>
    <xf numFmtId="2" fontId="0" fillId="0" borderId="31" xfId="0" applyNumberFormat="1" applyBorder="1"/>
    <xf numFmtId="2" fontId="0" fillId="0" borderId="25" xfId="0" applyNumberFormat="1" applyBorder="1"/>
    <xf numFmtId="2" fontId="0" fillId="0" borderId="29" xfId="0" applyNumberFormat="1" applyBorder="1"/>
    <xf numFmtId="2" fontId="0" fillId="0" borderId="38" xfId="0" applyNumberFormat="1" applyBorder="1"/>
    <xf numFmtId="3" fontId="0" fillId="0" borderId="44" xfId="0" applyNumberFormat="1" applyBorder="1"/>
    <xf numFmtId="2" fontId="0" fillId="6" borderId="29" xfId="0" applyNumberFormat="1" applyFill="1" applyBorder="1"/>
    <xf numFmtId="0" fontId="9" fillId="6" borderId="34" xfId="0" applyFont="1" applyFill="1" applyBorder="1" applyAlignment="1">
      <alignment horizontal="center" vertical="center" wrapText="1"/>
    </xf>
    <xf numFmtId="0" fontId="9" fillId="6" borderId="35" xfId="0" applyFont="1" applyFill="1" applyBorder="1"/>
    <xf numFmtId="0" fontId="9" fillId="6" borderId="36" xfId="0" applyFont="1" applyFill="1" applyBorder="1"/>
    <xf numFmtId="2" fontId="0" fillId="6" borderId="38" xfId="0" applyNumberFormat="1" applyFill="1" applyBorder="1"/>
    <xf numFmtId="0" fontId="9" fillId="6" borderId="30" xfId="0" applyFont="1" applyFill="1" applyBorder="1" applyAlignment="1">
      <alignment horizontal="center" vertical="center" wrapText="1"/>
    </xf>
    <xf numFmtId="0" fontId="9" fillId="6" borderId="26" xfId="0" applyFont="1" applyFill="1" applyBorder="1"/>
    <xf numFmtId="0" fontId="9" fillId="6" borderId="27" xfId="0" applyFont="1" applyFill="1" applyBorder="1"/>
    <xf numFmtId="4" fontId="0" fillId="0" borderId="14" xfId="0" applyNumberFormat="1" applyBorder="1"/>
    <xf numFmtId="4" fontId="0" fillId="6" borderId="19" xfId="0" applyNumberFormat="1" applyFill="1" applyBorder="1"/>
    <xf numFmtId="2" fontId="0" fillId="0" borderId="33" xfId="0" applyNumberFormat="1" applyBorder="1"/>
    <xf numFmtId="0" fontId="0" fillId="0" borderId="16" xfId="0" applyBorder="1"/>
    <xf numFmtId="2" fontId="0" fillId="0" borderId="16" xfId="0" applyNumberFormat="1" applyBorder="1"/>
    <xf numFmtId="0" fontId="0" fillId="0" borderId="25" xfId="0" applyBorder="1"/>
    <xf numFmtId="170" fontId="0" fillId="0" borderId="31" xfId="0" applyNumberFormat="1" applyBorder="1"/>
    <xf numFmtId="4" fontId="0" fillId="0" borderId="31" xfId="0" applyNumberFormat="1" applyBorder="1"/>
    <xf numFmtId="0" fontId="0" fillId="0" borderId="44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7" borderId="1" xfId="0" applyFill="1" applyBorder="1"/>
    <xf numFmtId="3" fontId="14" fillId="0" borderId="1" xfId="0" applyNumberFormat="1" applyFont="1" applyBorder="1"/>
    <xf numFmtId="0" fontId="9" fillId="0" borderId="3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4" fontId="9" fillId="0" borderId="37" xfId="0" applyNumberFormat="1" applyFont="1" applyBorder="1"/>
    <xf numFmtId="2" fontId="0" fillId="0" borderId="39" xfId="0" applyNumberFormat="1" applyBorder="1"/>
    <xf numFmtId="0" fontId="8" fillId="0" borderId="35" xfId="0" applyFont="1" applyBorder="1"/>
    <xf numFmtId="0" fontId="8" fillId="0" borderId="36" xfId="0" applyFont="1" applyBorder="1"/>
    <xf numFmtId="2" fontId="3" fillId="0" borderId="38" xfId="0" applyNumberFormat="1" applyFont="1" applyBorder="1"/>
    <xf numFmtId="41" fontId="3" fillId="0" borderId="38" xfId="10" applyFont="1" applyBorder="1" applyAlignment="1">
      <alignment vertical="center"/>
    </xf>
    <xf numFmtId="2" fontId="3" fillId="8" borderId="38" xfId="0" applyNumberFormat="1" applyFont="1" applyFill="1" applyBorder="1"/>
    <xf numFmtId="0" fontId="8" fillId="0" borderId="8" xfId="0" applyFont="1" applyBorder="1"/>
    <xf numFmtId="0" fontId="8" fillId="0" borderId="9" xfId="0" applyFont="1" applyBorder="1"/>
    <xf numFmtId="41" fontId="3" fillId="0" borderId="33" xfId="10" applyFont="1" applyBorder="1" applyAlignment="1">
      <alignment vertical="center"/>
    </xf>
    <xf numFmtId="2" fontId="3" fillId="8" borderId="33" xfId="0" applyNumberFormat="1" applyFont="1" applyFill="1" applyBorder="1"/>
    <xf numFmtId="2" fontId="0" fillId="0" borderId="51" xfId="0" applyNumberFormat="1" applyBorder="1"/>
    <xf numFmtId="0" fontId="8" fillId="0" borderId="17" xfId="0" applyFont="1" applyBorder="1"/>
    <xf numFmtId="0" fontId="8" fillId="0" borderId="18" xfId="0" applyFont="1" applyBorder="1"/>
    <xf numFmtId="2" fontId="3" fillId="0" borderId="31" xfId="0" applyNumberFormat="1" applyFont="1" applyBorder="1"/>
    <xf numFmtId="2" fontId="3" fillId="8" borderId="31" xfId="0" applyNumberFormat="1" applyFont="1" applyFill="1" applyBorder="1"/>
    <xf numFmtId="2" fontId="0" fillId="0" borderId="52" xfId="0" applyNumberFormat="1" applyBorder="1"/>
    <xf numFmtId="0" fontId="18" fillId="0" borderId="35" xfId="0" applyFont="1" applyBorder="1"/>
    <xf numFmtId="0" fontId="18" fillId="0" borderId="36" xfId="0" applyFont="1" applyBorder="1"/>
    <xf numFmtId="4" fontId="18" fillId="0" borderId="37" xfId="0" applyNumberFormat="1" applyFont="1" applyBorder="1"/>
    <xf numFmtId="2" fontId="19" fillId="0" borderId="38" xfId="0" applyNumberFormat="1" applyFont="1" applyBorder="1"/>
    <xf numFmtId="2" fontId="19" fillId="8" borderId="38" xfId="0" applyNumberFormat="1" applyFont="1" applyFill="1" applyBorder="1"/>
    <xf numFmtId="2" fontId="19" fillId="0" borderId="39" xfId="0" applyNumberFormat="1" applyFont="1" applyBorder="1"/>
    <xf numFmtId="0" fontId="18" fillId="0" borderId="26" xfId="0" applyFont="1" applyBorder="1"/>
    <xf numFmtId="0" fontId="18" fillId="0" borderId="27" xfId="0" applyFont="1" applyBorder="1"/>
    <xf numFmtId="4" fontId="18" fillId="0" borderId="28" xfId="0" applyNumberFormat="1" applyFont="1" applyBorder="1"/>
    <xf numFmtId="2" fontId="19" fillId="0" borderId="29" xfId="0" applyNumberFormat="1" applyFont="1" applyBorder="1"/>
    <xf numFmtId="2" fontId="19" fillId="8" borderId="29" xfId="0" applyNumberFormat="1" applyFont="1" applyFill="1" applyBorder="1"/>
    <xf numFmtId="2" fontId="19" fillId="0" borderId="53" xfId="0" applyNumberFormat="1" applyFont="1" applyBorder="1"/>
    <xf numFmtId="0" fontId="3" fillId="0" borderId="44" xfId="0" applyFont="1" applyBorder="1" applyAlignment="1">
      <alignment horizontal="center" vertical="center" wrapText="1"/>
    </xf>
    <xf numFmtId="4" fontId="8" fillId="0" borderId="10" xfId="0" applyNumberFormat="1" applyFont="1" applyBorder="1"/>
    <xf numFmtId="4" fontId="8" fillId="0" borderId="14" xfId="0" applyNumberFormat="1" applyFont="1" applyBorder="1"/>
    <xf numFmtId="4" fontId="8" fillId="0" borderId="19" xfId="0" applyNumberFormat="1" applyFont="1" applyBorder="1"/>
    <xf numFmtId="4" fontId="8" fillId="0" borderId="23" xfId="0" applyNumberFormat="1" applyFont="1" applyBorder="1"/>
    <xf numFmtId="4" fontId="8" fillId="0" borderId="28" xfId="0" applyNumberFormat="1" applyFont="1" applyBorder="1"/>
    <xf numFmtId="4" fontId="8" fillId="6" borderId="28" xfId="0" applyNumberFormat="1" applyFont="1" applyFill="1" applyBorder="1"/>
    <xf numFmtId="4" fontId="8" fillId="0" borderId="19" xfId="0" applyNumberFormat="1" applyFont="1" applyBorder="1" applyAlignment="1">
      <alignment wrapText="1"/>
    </xf>
    <xf numFmtId="4" fontId="8" fillId="0" borderId="23" xfId="0" applyNumberFormat="1" applyFont="1" applyBorder="1" applyAlignment="1">
      <alignment wrapText="1"/>
    </xf>
    <xf numFmtId="4" fontId="8" fillId="6" borderId="37" xfId="0" applyNumberFormat="1" applyFont="1" applyFill="1" applyBorder="1"/>
    <xf numFmtId="2" fontId="0" fillId="0" borderId="54" xfId="0" applyNumberFormat="1" applyBorder="1"/>
    <xf numFmtId="0" fontId="0" fillId="0" borderId="55" xfId="0" applyBorder="1"/>
    <xf numFmtId="2" fontId="0" fillId="0" borderId="56" xfId="0" applyNumberFormat="1" applyBorder="1"/>
    <xf numFmtId="170" fontId="0" fillId="0" borderId="58" xfId="0" applyNumberFormat="1" applyBorder="1"/>
    <xf numFmtId="2" fontId="0" fillId="0" borderId="58" xfId="0" applyNumberFormat="1" applyBorder="1"/>
    <xf numFmtId="41" fontId="3" fillId="0" borderId="54" xfId="10" applyFont="1" applyBorder="1" applyAlignment="1">
      <alignment vertical="center"/>
    </xf>
    <xf numFmtId="2" fontId="19" fillId="0" borderId="57" xfId="0" applyNumberFormat="1" applyFont="1" applyBorder="1"/>
    <xf numFmtId="2" fontId="19" fillId="0" borderId="2" xfId="0" applyNumberFormat="1" applyFont="1" applyBorder="1"/>
    <xf numFmtId="2" fontId="0" fillId="0" borderId="2" xfId="0" applyNumberFormat="1" applyBorder="1"/>
    <xf numFmtId="3" fontId="0" fillId="0" borderId="3" xfId="0" applyNumberFormat="1" applyBorder="1"/>
    <xf numFmtId="2" fontId="0" fillId="4" borderId="10" xfId="0" applyNumberFormat="1" applyFill="1" applyBorder="1"/>
    <xf numFmtId="0" fontId="0" fillId="4" borderId="14" xfId="0" applyFill="1" applyBorder="1"/>
    <xf numFmtId="2" fontId="0" fillId="4" borderId="14" xfId="0" applyNumberFormat="1" applyFill="1" applyBorder="1"/>
    <xf numFmtId="2" fontId="0" fillId="4" borderId="19" xfId="0" applyNumberFormat="1" applyFill="1" applyBorder="1"/>
    <xf numFmtId="0" fontId="0" fillId="4" borderId="23" xfId="0" applyFill="1" applyBorder="1"/>
    <xf numFmtId="2" fontId="0" fillId="4" borderId="23" xfId="0" applyNumberFormat="1" applyFill="1" applyBorder="1"/>
    <xf numFmtId="2" fontId="0" fillId="4" borderId="28" xfId="0" applyNumberFormat="1" applyFill="1" applyBorder="1"/>
    <xf numFmtId="170" fontId="0" fillId="4" borderId="19" xfId="0" applyNumberFormat="1" applyFill="1" applyBorder="1"/>
    <xf numFmtId="0" fontId="0" fillId="4" borderId="19" xfId="0" applyFill="1" applyBorder="1"/>
    <xf numFmtId="2" fontId="3" fillId="8" borderId="10" xfId="0" applyNumberFormat="1" applyFont="1" applyFill="1" applyBorder="1"/>
    <xf numFmtId="2" fontId="3" fillId="8" borderId="19" xfId="0" applyNumberFormat="1" applyFont="1" applyFill="1" applyBorder="1"/>
    <xf numFmtId="2" fontId="19" fillId="8" borderId="28" xfId="0" applyNumberFormat="1" applyFont="1" applyFill="1" applyBorder="1"/>
    <xf numFmtId="2" fontId="19" fillId="8" borderId="37" xfId="0" applyNumberFormat="1" applyFont="1" applyFill="1" applyBorder="1"/>
    <xf numFmtId="2" fontId="0" fillId="4" borderId="37" xfId="0" applyNumberFormat="1" applyFill="1" applyBorder="1"/>
    <xf numFmtId="0" fontId="0" fillId="4" borderId="37" xfId="0" applyFill="1" applyBorder="1" applyAlignment="1">
      <alignment horizontal="center" vertical="center" wrapText="1"/>
    </xf>
    <xf numFmtId="3" fontId="0" fillId="4" borderId="1" xfId="0" applyNumberFormat="1" applyFill="1" applyBorder="1"/>
    <xf numFmtId="166" fontId="0" fillId="4" borderId="10" xfId="0" applyNumberFormat="1" applyFill="1" applyBorder="1"/>
    <xf numFmtId="2" fontId="0" fillId="0" borderId="10" xfId="0" applyNumberFormat="1" applyBorder="1"/>
    <xf numFmtId="2" fontId="0" fillId="0" borderId="19" xfId="0" applyNumberFormat="1" applyBorder="1"/>
    <xf numFmtId="2" fontId="19" fillId="0" borderId="28" xfId="0" applyNumberFormat="1" applyFont="1" applyBorder="1"/>
    <xf numFmtId="2" fontId="19" fillId="0" borderId="37" xfId="0" applyNumberFormat="1" applyFont="1" applyBorder="1"/>
    <xf numFmtId="4" fontId="0" fillId="0" borderId="37" xfId="0" applyNumberFormat="1" applyBorder="1"/>
    <xf numFmtId="0" fontId="0" fillId="0" borderId="37" xfId="0" applyBorder="1" applyAlignment="1">
      <alignment vertical="center"/>
    </xf>
    <xf numFmtId="0" fontId="9" fillId="6" borderId="42" xfId="0" applyFont="1" applyFill="1" applyBorder="1" applyAlignment="1">
      <alignment horizontal="center" vertical="center" wrapText="1"/>
    </xf>
    <xf numFmtId="0" fontId="9" fillId="6" borderId="59" xfId="0" applyFont="1" applyFill="1" applyBorder="1"/>
    <xf numFmtId="0" fontId="9" fillId="6" borderId="40" xfId="0" applyFont="1" applyFill="1" applyBorder="1"/>
    <xf numFmtId="4" fontId="8" fillId="6" borderId="1" xfId="0" applyNumberFormat="1" applyFont="1" applyFill="1" applyBorder="1"/>
    <xf numFmtId="2" fontId="0" fillId="6" borderId="44" xfId="0" applyNumberFormat="1" applyFill="1" applyBorder="1"/>
    <xf numFmtId="2" fontId="0" fillId="6" borderId="3" xfId="0" applyNumberFormat="1" applyFill="1" applyBorder="1"/>
    <xf numFmtId="2" fontId="0" fillId="6" borderId="1" xfId="0" applyNumberFormat="1" applyFill="1" applyBorder="1"/>
    <xf numFmtId="4" fontId="0" fillId="6" borderId="1" xfId="0" applyNumberFormat="1" applyFill="1" applyBorder="1"/>
    <xf numFmtId="2" fontId="3" fillId="0" borderId="33" xfId="0" applyNumberFormat="1" applyFont="1" applyBorder="1"/>
    <xf numFmtId="0" fontId="3" fillId="0" borderId="16" xfId="0" applyFont="1" applyBorder="1"/>
    <xf numFmtId="0" fontId="3" fillId="0" borderId="25" xfId="0" applyFont="1" applyBorder="1"/>
    <xf numFmtId="2" fontId="3" fillId="0" borderId="25" xfId="0" applyNumberFormat="1" applyFont="1" applyBorder="1"/>
    <xf numFmtId="2" fontId="3" fillId="6" borderId="44" xfId="0" applyNumberFormat="1" applyFont="1" applyFill="1" applyBorder="1"/>
    <xf numFmtId="2" fontId="0" fillId="0" borderId="45" xfId="0" applyNumberFormat="1" applyBorder="1"/>
    <xf numFmtId="2" fontId="0" fillId="0" borderId="49" xfId="0" applyNumberFormat="1" applyBorder="1"/>
    <xf numFmtId="2" fontId="3" fillId="0" borderId="45" xfId="0" applyNumberFormat="1" applyFont="1" applyBorder="1"/>
    <xf numFmtId="2" fontId="3" fillId="0" borderId="47" xfId="0" applyNumberFormat="1" applyFont="1" applyBorder="1"/>
    <xf numFmtId="41" fontId="3" fillId="0" borderId="45" xfId="10" applyFont="1" applyBorder="1" applyAlignment="1">
      <alignment vertical="center"/>
    </xf>
    <xf numFmtId="2" fontId="19" fillId="0" borderId="49" xfId="0" applyNumberFormat="1" applyFont="1" applyBorder="1"/>
    <xf numFmtId="2" fontId="19" fillId="0" borderId="34" xfId="0" applyNumberFormat="1" applyFont="1" applyBorder="1"/>
    <xf numFmtId="2" fontId="0" fillId="0" borderId="34" xfId="0" applyNumberFormat="1" applyBorder="1"/>
    <xf numFmtId="3" fontId="0" fillId="0" borderId="42" xfId="0" applyNumberFormat="1" applyBorder="1"/>
    <xf numFmtId="2" fontId="0" fillId="0" borderId="8" xfId="0" applyNumberFormat="1" applyBorder="1"/>
    <xf numFmtId="2" fontId="0" fillId="0" borderId="21" xfId="0" applyNumberFormat="1" applyBorder="1"/>
    <xf numFmtId="2" fontId="3" fillId="0" borderId="11" xfId="0" applyNumberFormat="1" applyFont="1" applyBorder="1"/>
    <xf numFmtId="2" fontId="3" fillId="0" borderId="8" xfId="0" applyNumberFormat="1" applyFont="1" applyBorder="1"/>
    <xf numFmtId="41" fontId="3" fillId="0" borderId="11" xfId="10" applyFont="1" applyBorder="1" applyAlignment="1">
      <alignment vertical="center"/>
    </xf>
    <xf numFmtId="41" fontId="3" fillId="0" borderId="8" xfId="10" applyFont="1" applyBorder="1" applyAlignment="1">
      <alignment vertical="center"/>
    </xf>
    <xf numFmtId="172" fontId="3" fillId="0" borderId="33" xfId="0" applyNumberFormat="1" applyFont="1" applyBorder="1" applyAlignment="1">
      <alignment vertical="center"/>
    </xf>
    <xf numFmtId="172" fontId="3" fillId="0" borderId="54" xfId="0" applyNumberFormat="1" applyFont="1" applyBorder="1" applyAlignment="1">
      <alignment vertical="center"/>
    </xf>
    <xf numFmtId="172" fontId="3" fillId="0" borderId="45" xfId="0" applyNumberFormat="1" applyFont="1" applyBorder="1" applyAlignment="1">
      <alignment vertical="center"/>
    </xf>
    <xf numFmtId="172" fontId="3" fillId="0" borderId="11" xfId="0" applyNumberFormat="1" applyFont="1" applyBorder="1" applyAlignment="1">
      <alignment vertical="center"/>
    </xf>
    <xf numFmtId="172" fontId="3" fillId="0" borderId="8" xfId="0" applyNumberFormat="1" applyFont="1" applyBorder="1" applyAlignment="1">
      <alignment vertical="center"/>
    </xf>
    <xf numFmtId="2" fontId="3" fillId="0" borderId="54" xfId="0" applyNumberFormat="1" applyFont="1" applyBorder="1"/>
    <xf numFmtId="173" fontId="3" fillId="0" borderId="38" xfId="0" applyNumberFormat="1" applyFont="1" applyBorder="1" applyAlignment="1">
      <alignment vertical="center"/>
    </xf>
    <xf numFmtId="173" fontId="3" fillId="8" borderId="38" xfId="0" applyNumberFormat="1" applyFont="1" applyFill="1" applyBorder="1"/>
    <xf numFmtId="1" fontId="3" fillId="0" borderId="38" xfId="0" applyNumberFormat="1" applyFont="1" applyBorder="1"/>
    <xf numFmtId="17" fontId="8" fillId="0" borderId="43" xfId="0" applyNumberFormat="1" applyFont="1" applyBorder="1" applyAlignment="1">
      <alignment horizontal="center" vertical="center" wrapText="1"/>
    </xf>
    <xf numFmtId="2" fontId="3" fillId="0" borderId="48" xfId="0" applyNumberFormat="1" applyFont="1" applyBorder="1"/>
    <xf numFmtId="2" fontId="0" fillId="6" borderId="42" xfId="0" applyNumberFormat="1" applyFill="1" applyBorder="1"/>
    <xf numFmtId="0" fontId="0" fillId="0" borderId="12" xfId="0" applyBorder="1"/>
    <xf numFmtId="2" fontId="0" fillId="0" borderId="60" xfId="0" applyNumberFormat="1" applyBorder="1"/>
    <xf numFmtId="2" fontId="0" fillId="0" borderId="26" xfId="0" applyNumberFormat="1" applyBorder="1"/>
    <xf numFmtId="170" fontId="0" fillId="0" borderId="17" xfId="0" applyNumberFormat="1" applyBorder="1"/>
    <xf numFmtId="2" fontId="3" fillId="0" borderId="24" xfId="0" applyNumberFormat="1" applyFont="1" applyBorder="1"/>
    <xf numFmtId="2" fontId="0" fillId="6" borderId="61" xfId="0" applyNumberFormat="1" applyFill="1" applyBorder="1"/>
    <xf numFmtId="2" fontId="0" fillId="6" borderId="59" xfId="0" applyNumberFormat="1" applyFill="1" applyBorder="1"/>
    <xf numFmtId="2" fontId="3" fillId="0" borderId="17" xfId="0" applyNumberFormat="1" applyFont="1" applyBorder="1"/>
    <xf numFmtId="2" fontId="19" fillId="0" borderId="26" xfId="0" applyNumberFormat="1" applyFont="1" applyBorder="1"/>
    <xf numFmtId="2" fontId="19" fillId="0" borderId="35" xfId="0" applyNumberFormat="1" applyFont="1" applyBorder="1"/>
    <xf numFmtId="2" fontId="0" fillId="0" borderId="35" xfId="0" applyNumberFormat="1" applyBorder="1"/>
    <xf numFmtId="3" fontId="0" fillId="0" borderId="59" xfId="0" applyNumberFormat="1" applyBorder="1"/>
    <xf numFmtId="4" fontId="0" fillId="0" borderId="16" xfId="0" applyNumberFormat="1" applyBorder="1"/>
    <xf numFmtId="2" fontId="0" fillId="0" borderId="53" xfId="0" applyNumberFormat="1" applyBorder="1"/>
    <xf numFmtId="14" fontId="0" fillId="0" borderId="0" xfId="0" applyNumberFormat="1"/>
    <xf numFmtId="17" fontId="8" fillId="0" borderId="62" xfId="0" applyNumberFormat="1" applyFont="1" applyBorder="1" applyAlignment="1">
      <alignment horizontal="center" vertical="center" wrapText="1"/>
    </xf>
    <xf numFmtId="17" fontId="8" fillId="8" borderId="1" xfId="0" applyNumberFormat="1" applyFont="1" applyFill="1" applyBorder="1" applyAlignment="1">
      <alignment horizontal="center" vertical="center" wrapText="1"/>
    </xf>
    <xf numFmtId="1" fontId="3" fillId="0" borderId="33" xfId="0" applyNumberFormat="1" applyFont="1" applyBorder="1"/>
    <xf numFmtId="0" fontId="3" fillId="0" borderId="42" xfId="0" applyFont="1" applyBorder="1" applyAlignment="1">
      <alignment horizontal="center" vertical="center" wrapText="1"/>
    </xf>
    <xf numFmtId="0" fontId="9" fillId="0" borderId="34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4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 wrapText="1"/>
    </xf>
    <xf numFmtId="0" fontId="9" fillId="0" borderId="47" xfId="0" applyFont="1" applyBorder="1" applyAlignment="1">
      <alignment horizontal="center" vertical="center" wrapText="1"/>
    </xf>
    <xf numFmtId="0" fontId="9" fillId="0" borderId="48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textRotation="90" wrapText="1"/>
    </xf>
    <xf numFmtId="0" fontId="8" fillId="0" borderId="30" xfId="0" applyFont="1" applyBorder="1" applyAlignment="1">
      <alignment horizontal="center" vertical="center" textRotation="90" wrapText="1"/>
    </xf>
    <xf numFmtId="0" fontId="8" fillId="0" borderId="34" xfId="0" applyFont="1" applyBorder="1" applyAlignment="1">
      <alignment horizontal="center" vertical="center" textRotation="90" wrapText="1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1" xfId="0" quotePrefix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</cellXfs>
  <cellStyles count="11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Percent [2]" xfId="4" xr:uid="{00000000-0005-0000-0000-000004000000}"/>
    <cellStyle name="Separador de milhares [0]" xfId="10" builtinId="6"/>
    <cellStyle name="桁区切り [0.00]_laroux" xfId="5" xr:uid="{00000000-0005-0000-0000-000006000000}"/>
    <cellStyle name="桁区切り_laroux" xfId="6" xr:uid="{00000000-0005-0000-0000-000007000000}"/>
    <cellStyle name="標準_22生産1" xfId="7" xr:uid="{00000000-0005-0000-0000-000008000000}"/>
    <cellStyle name="通貨 [0.00]_９７上" xfId="8" xr:uid="{00000000-0005-0000-0000-000009000000}"/>
    <cellStyle name="通貨_９７上" xfId="9" xr:uid="{00000000-0005-0000-0000-00000A000000}"/>
  </cellStyles>
  <dxfs count="21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microsoft.com/office/2006/relationships/vbaProject" Target="vbaProject.bin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Pareto de Custo de Preparação</a:t>
            </a:r>
          </a:p>
        </c:rich>
      </c:tx>
      <c:layout>
        <c:manualLayout>
          <c:xMode val="edge"/>
          <c:yMode val="edge"/>
          <c:x val="0.14701147816942914"/>
          <c:y val="3.3505154639175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01305660359497"/>
          <c:y val="0.23969102329028985"/>
          <c:w val="0.71405549056527873"/>
          <c:h val="0.64433070776959644"/>
        </c:manualLayout>
      </c:layout>
      <c:barChart>
        <c:barDir val="col"/>
        <c:grouping val="clustered"/>
        <c:varyColors val="0"/>
        <c:ser>
          <c:idx val="1"/>
          <c:order val="0"/>
          <c:tx>
            <c:v>Custo de Preparação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763B3B" mc:Ignorable="a14" a14:legacySpreadsheetColorIndex="29">
                    <a:gamma/>
                    <a:shade val="46275"/>
                    <a:invGamma/>
                  </a:srgbClr>
                </a:gs>
                <a:gs pos="50000">
                  <a:srgbClr xmlns:mc="http://schemas.openxmlformats.org/markup-compatibility/2006" xmlns:a14="http://schemas.microsoft.com/office/drawing/2010/main" val="FF8080" mc:Ignorable="a14" a14:legacySpreadsheetColorIndex="29"/>
                </a:gs>
                <a:gs pos="100000">
                  <a:srgbClr xmlns:mc="http://schemas.openxmlformats.org/markup-compatibility/2006" xmlns:a14="http://schemas.microsoft.com/office/drawing/2010/main" val="763B3B" mc:Ignorable="a14" a14:legacySpreadsheetColorIndex="29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Plan1!$A$2:$A$4</c:f>
              <c:strCache>
                <c:ptCount val="3"/>
                <c:pt idx="0">
                  <c:v>borra de zinco</c:v>
                </c:pt>
                <c:pt idx="1">
                  <c:v>mistura alcalina</c:v>
                </c:pt>
                <c:pt idx="2">
                  <c:v>outros</c:v>
                </c:pt>
              </c:strCache>
            </c:strRef>
          </c:cat>
          <c:val>
            <c:numRef>
              <c:f>Plan1!$B$2:$B$4</c:f>
              <c:numCache>
                <c:formatCode>0.00</c:formatCode>
                <c:ptCount val="3"/>
                <c:pt idx="0">
                  <c:v>128338.90224386661</c:v>
                </c:pt>
                <c:pt idx="1">
                  <c:v>2450.6153706600417</c:v>
                </c:pt>
                <c:pt idx="2">
                  <c:v>2136.0116753939542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A-48E3-BA23-309155C22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3966392"/>
        <c:axId val="423963648"/>
      </c:barChart>
      <c:lineChart>
        <c:grouping val="standard"/>
        <c:varyColors val="0"/>
        <c:ser>
          <c:idx val="0"/>
          <c:order val="1"/>
          <c:tx>
            <c:v>Acumulado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numFmt formatCode="0.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Plan1!$A$2:$A$4</c:f>
              <c:strCache>
                <c:ptCount val="3"/>
                <c:pt idx="0">
                  <c:v>borra de zinco</c:v>
                </c:pt>
                <c:pt idx="1">
                  <c:v>mistura alcalina</c:v>
                </c:pt>
                <c:pt idx="2">
                  <c:v>outros</c:v>
                </c:pt>
              </c:strCache>
            </c:strRef>
          </c:cat>
          <c:val>
            <c:numRef>
              <c:f>Plan1!$D$2:$D$4</c:f>
              <c:numCache>
                <c:formatCode>General</c:formatCode>
                <c:ptCount val="3"/>
                <c:pt idx="0">
                  <c:v>96.549476183728245</c:v>
                </c:pt>
                <c:pt idx="1">
                  <c:v>98.393076418950983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A-48E3-BA23-309155C22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960120"/>
        <c:axId val="423961688"/>
      </c:lineChart>
      <c:catAx>
        <c:axId val="42396639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239636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23963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Custo (R$)</a:t>
                </a:r>
              </a:p>
            </c:rich>
          </c:tx>
          <c:layout>
            <c:manualLayout>
              <c:xMode val="edge"/>
              <c:yMode val="edge"/>
              <c:x val="2.5848142164781908E-2"/>
              <c:y val="0.47680466488080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23966392"/>
        <c:crosses val="autoZero"/>
        <c:crossBetween val="between"/>
      </c:valAx>
      <c:catAx>
        <c:axId val="423960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3961688"/>
        <c:crosses val="autoZero"/>
        <c:auto val="0"/>
        <c:lblAlgn val="ctr"/>
        <c:lblOffset val="100"/>
        <c:noMultiLvlLbl val="0"/>
      </c:catAx>
      <c:valAx>
        <c:axId val="4239616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Acumulado (%)</a:t>
                </a:r>
              </a:p>
            </c:rich>
          </c:tx>
          <c:layout>
            <c:manualLayout>
              <c:xMode val="edge"/>
              <c:yMode val="edge"/>
              <c:x val="0.93538032301697338"/>
              <c:y val="0.435567551478745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2396012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197142966176078"/>
          <c:y val="0.57989771897069564"/>
          <c:w val="0.29886931338752276"/>
          <c:h val="0.108247693265145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>
      <c:oddHeader>&amp;A</c:oddHeader>
      <c:oddFooter>Page &amp;P</c:oddFooter>
    </c:headerFooter>
    <c:pageMargins b="0.984251969" l="0.78740157499999996" r="0.78740157499999996" t="0.984251969" header="0.5" footer="0.5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5</xdr:row>
      <xdr:rowOff>38100</xdr:rowOff>
    </xdr:from>
    <xdr:to>
      <xdr:col>9</xdr:col>
      <xdr:colOff>114300</xdr:colOff>
      <xdr:row>28</xdr:row>
      <xdr:rowOff>9525</xdr:rowOff>
    </xdr:to>
    <xdr:graphicFrame macro="">
      <xdr:nvGraphicFramePr>
        <xdr:cNvPr id="2061" name="Gráfico 3">
          <a:extLs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0.55903</cdr:x>
      <cdr:y>0.70558</cdr:y>
    </cdr:from>
    <cdr:to>
      <cdr:x>0.6188</cdr:x>
      <cdr:y>0.73456</cdr:y>
    </cdr:to>
    <cdr:sp macro="" textlink="Plan1!$E$3">
      <cdr:nvSpPr>
        <cdr:cNvPr id="8193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304540" y="2617492"/>
          <a:ext cx="352973" cy="1073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6D268768-63B1-40C0-B9B1-487A510F3F3C}" type="TxLink">
            <a:rPr lang="pt-BR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pPr algn="ctr" rtl="0">
              <a:defRPr sz="1000"/>
            </a:pPr>
            <a:t>1,8%</a:t>
          </a:fld>
          <a:endParaRPr lang="pt-BR" sz="1000" b="1" i="0" u="none" strike="noStrike" baseline="0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0.79639</cdr:x>
      <cdr:y>0.82054</cdr:y>
    </cdr:from>
    <cdr:to>
      <cdr:x>0.84485</cdr:x>
      <cdr:y>0.84953</cdr:y>
    </cdr:to>
    <cdr:sp macro="" textlink="Plan1!$E$4">
      <cdr:nvSpPr>
        <cdr:cNvPr id="8194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706263" y="3043469"/>
          <a:ext cx="286155" cy="1073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AD44FBF-BF51-4179-BFB6-0E25D79C7ACE}" type="TxLink">
            <a:rPr lang="pt-BR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pPr algn="ctr" rtl="0">
              <a:defRPr sz="1000"/>
            </a:pPr>
            <a:t>1,6%</a:t>
          </a:fld>
          <a:endParaRPr lang="pt-BR" sz="1000" b="1" i="0" u="none" strike="noStrike" baseline="0">
            <a:solidFill>
              <a:srgbClr val="000080"/>
            </a:solidFill>
            <a:latin typeface="Arial"/>
            <a:cs typeface="Arial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</xdr:col>
      <xdr:colOff>533400</xdr:colOff>
      <xdr:row>1</xdr:row>
      <xdr:rowOff>228600</xdr:rowOff>
    </xdr:to>
    <xdr:pic>
      <xdr:nvPicPr>
        <xdr:cNvPr id="2" name="Picture 1" descr="Logo Panasonic">
          <a:extLst>
            <a:ext uri="{FF2B5EF4-FFF2-40B4-BE49-F238E27FC236}">
              <a16:creationId xmlns:a16="http://schemas.microsoft.com/office/drawing/2014/main" id="{8C00479A-FF1D-4EA5-86A0-F9C0F5645E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3335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352425</xdr:colOff>
      <xdr:row>0</xdr:row>
      <xdr:rowOff>47625</xdr:rowOff>
    </xdr:from>
    <xdr:to>
      <xdr:col>19</xdr:col>
      <xdr:colOff>742950</xdr:colOff>
      <xdr:row>1</xdr:row>
      <xdr:rowOff>238125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4DA3E285-B355-46FE-98AC-5C708D21A9E8}"/>
            </a:ext>
          </a:extLst>
        </xdr:cNvPr>
        <xdr:cNvSpPr>
          <a:spLocks noChangeArrowheads="1"/>
        </xdr:cNvSpPr>
      </xdr:nvSpPr>
      <xdr:spPr bwMode="auto">
        <a:xfrm>
          <a:off x="14878050" y="47625"/>
          <a:ext cx="2085975" cy="4476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pt-BR" sz="1200" b="1" i="0" u="none" strike="noStrike" baseline="0">
              <a:solidFill>
                <a:srgbClr val="FF0000"/>
              </a:solidFill>
              <a:latin typeface="Arial"/>
              <a:cs typeface="Arial"/>
            </a:rPr>
            <a:t>CONFIDÊNCIAL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</xdr:col>
      <xdr:colOff>533400</xdr:colOff>
      <xdr:row>1</xdr:row>
      <xdr:rowOff>228600</xdr:rowOff>
    </xdr:to>
    <xdr:pic>
      <xdr:nvPicPr>
        <xdr:cNvPr id="2" name="Picture 1" descr="Logo Panasoni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3335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352425</xdr:colOff>
      <xdr:row>0</xdr:row>
      <xdr:rowOff>47625</xdr:rowOff>
    </xdr:from>
    <xdr:to>
      <xdr:col>19</xdr:col>
      <xdr:colOff>742950</xdr:colOff>
      <xdr:row>1</xdr:row>
      <xdr:rowOff>238125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13277850" y="47625"/>
          <a:ext cx="1819275" cy="4476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pt-BR" sz="1200" b="1" i="0" u="none" strike="noStrike" baseline="0">
              <a:solidFill>
                <a:srgbClr val="FF0000"/>
              </a:solidFill>
              <a:latin typeface="Arial"/>
              <a:cs typeface="Arial"/>
            </a:rPr>
            <a:t>CONFIDÊNCIAL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9%20-%20Q-Loss/SJCPIL-R%2017-204-01%20-%20FY2021%20-%20CUSTO%20DE%20PERD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19/(2)%20Resultados/2.9%20-%20Q-Loss/SJCPIL-R%2017-203-00%20-%20CONTROLE%20DE%20RES&#205;DUO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JCPIL-R%2017-203-00%20-%20FY2022%20-%20CONTROLE%20DE%20RES&#205;DUO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9%20-%20Q-Loss/SJCPIL-R%2017-203-00%20-%20FY2021%20-%20CONTROLE%20DE%20RES&#205;DUO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19/(2)%20Resultados/2.9%20-%20Q-Loss/SJCPIL-R%2017-204-01%20-%20CUSTO%20DE%20PERDA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ALCALINA/FRANCISCO/ISO/ISO%2014001/RESIDUO%20ALCALINA/SJCAMB-R-17-026-00%20-%20Alcalina202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0)%20BASE%20DE%20CUSTOS/C&#225;lculo%20Custo%20de%20Falhas%20-%202103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0)%20BASE%20DE%20CUSTOS/C&#225;lculo%20Custo%20de%20Falhas%20-%202104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0)%20BASE%20DE%20CUSTOS/C&#225;lculo%20Custo%20de%20Falhas%20-%202105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0)%20BASE%20DE%20CUSTOS/C&#225;lculo%20Custo%20de%20Falhas%20-%202106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0)%20BASE%20DE%20CUSTOS/C&#225;lculo%20Custo%20de%20Falhas%20-%202107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0)%20BASE%20DE%20CUSTOS/C&#225;lculo%20Custo%20de%20Falhas%20-%202108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0)%20BASE%20DE%20CUSTOS/C&#225;lculo%20Custo%20de%20Falhas%20-%202109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0)%20BASE%20DE%20CUSTOS/C&#225;lculo%20Custo%20de%20Falhas%20-%202110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ALCALINA/05%20-%20RELATORIOS/2021-d/F.P/TOTAL%20finish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SJCPIL-R 17-204-01 (Forecat)"/>
      <sheetName val="SJCPIL-R 17-204-01"/>
    </sheetNames>
    <sheetDataSet>
      <sheetData sheetId="0"/>
      <sheetData sheetId="1"/>
      <sheetData sheetId="2">
        <row r="5">
          <cell r="T5">
            <v>232</v>
          </cell>
        </row>
        <row r="6">
          <cell r="T6">
            <v>121.14999999999999</v>
          </cell>
        </row>
        <row r="7">
          <cell r="T7">
            <v>1111</v>
          </cell>
        </row>
        <row r="8">
          <cell r="T8">
            <v>2173.3795550000004</v>
          </cell>
        </row>
        <row r="9">
          <cell r="T9">
            <v>86.780000000000015</v>
          </cell>
        </row>
        <row r="10">
          <cell r="T10">
            <v>91</v>
          </cell>
        </row>
        <row r="11">
          <cell r="T11">
            <v>127.69051999999999</v>
          </cell>
        </row>
        <row r="12">
          <cell r="T12">
            <v>2301.0700750000001</v>
          </cell>
        </row>
        <row r="13">
          <cell r="T13">
            <v>368</v>
          </cell>
        </row>
        <row r="14">
          <cell r="T14">
            <v>0.38086000000000009</v>
          </cell>
        </row>
        <row r="15">
          <cell r="T15">
            <v>11.150499999999999</v>
          </cell>
        </row>
        <row r="16">
          <cell r="T16">
            <v>2312.2205750000003</v>
          </cell>
        </row>
        <row r="17">
          <cell r="T17">
            <v>5851</v>
          </cell>
        </row>
        <row r="18">
          <cell r="T18">
            <v>3791.6400000000012</v>
          </cell>
        </row>
        <row r="19">
          <cell r="T19">
            <v>1682.4818425995218</v>
          </cell>
        </row>
        <row r="20">
          <cell r="T20">
            <v>12120</v>
          </cell>
        </row>
        <row r="21">
          <cell r="T21"/>
        </row>
        <row r="22">
          <cell r="T22">
            <v>209610.73327641111</v>
          </cell>
        </row>
        <row r="23">
          <cell r="T23">
            <v>83.531705108553922</v>
          </cell>
        </row>
        <row r="24">
          <cell r="T24">
            <v>102019.54000392221</v>
          </cell>
        </row>
        <row r="25">
          <cell r="T25">
            <v>107591.19327248889</v>
          </cell>
        </row>
        <row r="26">
          <cell r="T26">
            <v>2807</v>
          </cell>
        </row>
        <row r="27">
          <cell r="T27">
            <v>112.91490000000002</v>
          </cell>
        </row>
        <row r="28">
          <cell r="T28">
            <v>31801.13463183256</v>
          </cell>
        </row>
        <row r="29">
          <cell r="T29">
            <v>-18.599999999999998</v>
          </cell>
        </row>
        <row r="30">
          <cell r="T30">
            <v>-5240.9999999999991</v>
          </cell>
        </row>
        <row r="31">
          <cell r="T31">
            <v>26560.13463183256</v>
          </cell>
        </row>
        <row r="32">
          <cell r="T32">
            <v>109273.67511508841</v>
          </cell>
        </row>
        <row r="33">
          <cell r="T33">
            <v>4589</v>
          </cell>
        </row>
        <row r="34">
          <cell r="T34">
            <v>7887.9131999999991</v>
          </cell>
        </row>
        <row r="35">
          <cell r="T35">
            <v>3591.9288980699998</v>
          </cell>
        </row>
        <row r="36">
          <cell r="T36">
            <v>7191</v>
          </cell>
        </row>
        <row r="37">
          <cell r="T37">
            <v>1952.0354</v>
          </cell>
        </row>
        <row r="38">
          <cell r="T38">
            <v>1384.1782934999999</v>
          </cell>
        </row>
        <row r="39">
          <cell r="T39">
            <v>4935</v>
          </cell>
        </row>
        <row r="40">
          <cell r="T40">
            <v>1441.4452999999999</v>
          </cell>
        </row>
        <row r="41">
          <cell r="T41">
            <v>697.6671887</v>
          </cell>
        </row>
        <row r="42">
          <cell r="T42">
            <v>12921</v>
          </cell>
        </row>
        <row r="43">
          <cell r="T43">
            <v>4598.4012777999997</v>
          </cell>
        </row>
        <row r="44">
          <cell r="T44">
            <v>5928.5483007258008</v>
          </cell>
        </row>
        <row r="45">
          <cell r="T45">
            <v>11633.522680995799</v>
          </cell>
        </row>
        <row r="46">
          <cell r="T46">
            <v>113717.62769008844</v>
          </cell>
        </row>
        <row r="47">
          <cell r="T47"/>
        </row>
        <row r="48">
          <cell r="T48">
            <v>285128193</v>
          </cell>
        </row>
        <row r="49">
          <cell r="T49">
            <v>27983553</v>
          </cell>
        </row>
        <row r="50">
          <cell r="T50">
            <v>313111746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-R 17-203-00 (Forecast)"/>
      <sheetName val="SJCPIL-R 17-203-00"/>
    </sheetNames>
    <sheetDataSet>
      <sheetData sheetId="0">
        <row r="42">
          <cell r="G42">
            <v>86853442</v>
          </cell>
          <cell r="K42">
            <v>30668253.666666668</v>
          </cell>
          <cell r="O42">
            <v>34079941.699999996</v>
          </cell>
          <cell r="S42">
            <v>27637599.666666668</v>
          </cell>
        </row>
      </sheetData>
      <sheetData sheetId="1">
        <row r="6">
          <cell r="D6">
            <v>510</v>
          </cell>
          <cell r="E6">
            <v>510</v>
          </cell>
        </row>
        <row r="22">
          <cell r="D22">
            <v>6.4083300000000003</v>
          </cell>
          <cell r="E22">
            <v>6.1650521856000005</v>
          </cell>
          <cell r="F22">
            <v>6.1650521856000005</v>
          </cell>
          <cell r="H22">
            <v>5.1667576352000006</v>
          </cell>
          <cell r="I22">
            <v>5.1176573280000008</v>
          </cell>
          <cell r="J22">
            <v>5.12</v>
          </cell>
          <cell r="M22">
            <v>6.0969555900000003</v>
          </cell>
          <cell r="N22">
            <v>6.0969555900000003</v>
          </cell>
          <cell r="P22">
            <v>5.8130278200000012</v>
          </cell>
          <cell r="Q22">
            <v>6.0274090440000005</v>
          </cell>
          <cell r="R22">
            <v>6.0274090440000005</v>
          </cell>
        </row>
        <row r="23">
          <cell r="M23">
            <v>20883.611402768202</v>
          </cell>
          <cell r="N23">
            <v>13727.090102128144</v>
          </cell>
          <cell r="P23">
            <v>7995.7852421799989</v>
          </cell>
          <cell r="Q23">
            <v>11723.283102167999</v>
          </cell>
          <cell r="R23">
            <v>21364.427607367288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-R 17-203-00 (Forecast)"/>
      <sheetName val="SJCPIL-R 17-203-00"/>
    </sheetNames>
    <sheetDataSet>
      <sheetData sheetId="0">
        <row r="40">
          <cell r="D40">
            <v>26727947.187999994</v>
          </cell>
          <cell r="E40">
            <v>25111169.154400006</v>
          </cell>
          <cell r="F40">
            <v>25262083.454800002</v>
          </cell>
          <cell r="H40">
            <v>25111169.154400006</v>
          </cell>
          <cell r="I40">
            <v>25262083.454800002</v>
          </cell>
          <cell r="J40">
            <v>26889486.438000001</v>
          </cell>
          <cell r="L40">
            <v>29683907.958000001</v>
          </cell>
          <cell r="M40">
            <v>29211319.708800003</v>
          </cell>
          <cell r="N40">
            <v>29198964.3288</v>
          </cell>
          <cell r="P40">
            <v>28069174.581239998</v>
          </cell>
          <cell r="Q40">
            <v>21569281.516920004</v>
          </cell>
          <cell r="R40">
            <v>21477317.32096</v>
          </cell>
        </row>
        <row r="41">
          <cell r="D41">
            <v>3185354.3056000001</v>
          </cell>
          <cell r="E41">
            <v>3093608.6620000005</v>
          </cell>
          <cell r="F41">
            <v>3151055.1489999997</v>
          </cell>
          <cell r="H41">
            <v>3093608.6620000005</v>
          </cell>
          <cell r="I41">
            <v>3151055.1489999997</v>
          </cell>
          <cell r="J41">
            <v>3141480.7345000003</v>
          </cell>
          <cell r="L41">
            <v>3469465.8730000006</v>
          </cell>
          <cell r="M41">
            <v>3542507.2598000006</v>
          </cell>
          <cell r="N41">
            <v>3579027.9532000008</v>
          </cell>
          <cell r="P41">
            <v>3319138.7550000004</v>
          </cell>
          <cell r="Q41">
            <v>2144673.8849999998</v>
          </cell>
          <cell r="R41">
            <v>2440418.0299999998</v>
          </cell>
        </row>
        <row r="42">
          <cell r="D42">
            <v>29913301.493599992</v>
          </cell>
          <cell r="E42">
            <v>28204777.816400006</v>
          </cell>
          <cell r="F42">
            <v>28413138.603800002</v>
          </cell>
          <cell r="H42">
            <v>28204777.816400006</v>
          </cell>
          <cell r="I42">
            <v>28413138.603800002</v>
          </cell>
          <cell r="J42">
            <v>30030967.172499999</v>
          </cell>
          <cell r="L42">
            <v>33153373.831</v>
          </cell>
          <cell r="M42">
            <v>32753826.968600005</v>
          </cell>
          <cell r="N42">
            <v>32777992.282000002</v>
          </cell>
          <cell r="P42">
            <v>31388313.336239997</v>
          </cell>
          <cell r="Q42">
            <v>23713955.401920006</v>
          </cell>
          <cell r="R42">
            <v>23917735.350960001</v>
          </cell>
        </row>
      </sheetData>
      <sheetData sheetId="1">
        <row r="4">
          <cell r="D4">
            <v>44652</v>
          </cell>
          <cell r="E4">
            <v>44682</v>
          </cell>
          <cell r="F4">
            <v>44713</v>
          </cell>
          <cell r="G4" t="str">
            <v>Média</v>
          </cell>
          <cell r="H4">
            <v>44743</v>
          </cell>
          <cell r="I4">
            <v>44774</v>
          </cell>
          <cell r="J4">
            <v>44805</v>
          </cell>
          <cell r="K4" t="str">
            <v>Média</v>
          </cell>
          <cell r="L4">
            <v>44835</v>
          </cell>
          <cell r="M4">
            <v>44866</v>
          </cell>
          <cell r="N4">
            <v>44896</v>
          </cell>
          <cell r="O4" t="str">
            <v>Média</v>
          </cell>
          <cell r="P4">
            <v>44927</v>
          </cell>
          <cell r="Q4">
            <v>44958</v>
          </cell>
          <cell r="R4">
            <v>44986</v>
          </cell>
          <cell r="S4" t="str">
            <v>Média</v>
          </cell>
        </row>
        <row r="5">
          <cell r="D5"/>
          <cell r="E5"/>
          <cell r="F5"/>
          <cell r="G5" t="e">
            <v>#DIV/0!</v>
          </cell>
          <cell r="H5"/>
          <cell r="I5"/>
          <cell r="J5"/>
          <cell r="K5" t="e">
            <v>#DIV/0!</v>
          </cell>
          <cell r="L5"/>
          <cell r="M5"/>
          <cell r="N5"/>
          <cell r="O5" t="e">
            <v>#DIV/0!</v>
          </cell>
          <cell r="P5"/>
          <cell r="Q5"/>
          <cell r="R5"/>
          <cell r="S5" t="e">
            <v>#DIV/0!</v>
          </cell>
        </row>
        <row r="6">
          <cell r="D6">
            <v>315.97000000000003</v>
          </cell>
          <cell r="E6">
            <v>315.97000000000003</v>
          </cell>
          <cell r="F6">
            <v>315.97000000000003</v>
          </cell>
          <cell r="G6">
            <v>315.97000000000003</v>
          </cell>
          <cell r="H6">
            <v>315.97000000000003</v>
          </cell>
          <cell r="I6">
            <v>315.97000000000003</v>
          </cell>
          <cell r="J6">
            <v>315.97000000000003</v>
          </cell>
          <cell r="K6">
            <v>315.97000000000003</v>
          </cell>
          <cell r="L6">
            <v>315.97000000000003</v>
          </cell>
          <cell r="M6">
            <v>315.97000000000003</v>
          </cell>
          <cell r="N6">
            <v>315.97000000000003</v>
          </cell>
          <cell r="O6">
            <v>315.97000000000003</v>
          </cell>
          <cell r="P6">
            <v>315.97000000000003</v>
          </cell>
          <cell r="Q6">
            <v>315.97000000000003</v>
          </cell>
          <cell r="R6">
            <v>315.97000000000003</v>
          </cell>
          <cell r="S6">
            <v>315.97000000000003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</row>
        <row r="8">
          <cell r="D8"/>
          <cell r="E8"/>
          <cell r="F8"/>
          <cell r="G8" t="e">
            <v>#DIV/0!</v>
          </cell>
          <cell r="H8"/>
          <cell r="I8"/>
          <cell r="J8"/>
          <cell r="K8" t="e">
            <v>#DIV/0!</v>
          </cell>
          <cell r="L8"/>
          <cell r="M8"/>
          <cell r="N8"/>
          <cell r="O8" t="e">
            <v>#DIV/0!</v>
          </cell>
          <cell r="P8"/>
          <cell r="Q8"/>
          <cell r="R8"/>
          <cell r="S8" t="e">
            <v>#DIV/0!</v>
          </cell>
        </row>
        <row r="9">
          <cell r="D9">
            <v>315.97000000000003</v>
          </cell>
          <cell r="E9">
            <v>315.97000000000003</v>
          </cell>
          <cell r="F9">
            <v>315.97000000000003</v>
          </cell>
          <cell r="G9">
            <v>315.97000000000003</v>
          </cell>
          <cell r="H9">
            <v>315.97000000000003</v>
          </cell>
          <cell r="I9">
            <v>315.97000000000003</v>
          </cell>
          <cell r="J9">
            <v>315.97000000000003</v>
          </cell>
          <cell r="K9">
            <v>315.97000000000003</v>
          </cell>
          <cell r="L9">
            <v>315.97000000000003</v>
          </cell>
          <cell r="M9">
            <v>315.97000000000003</v>
          </cell>
          <cell r="N9">
            <v>315.97000000000003</v>
          </cell>
          <cell r="O9">
            <v>315.97000000000003</v>
          </cell>
          <cell r="P9">
            <v>315.97000000000003</v>
          </cell>
          <cell r="Q9">
            <v>315.97000000000003</v>
          </cell>
          <cell r="R9">
            <v>315.97000000000003</v>
          </cell>
          <cell r="S9">
            <v>315.97000000000003</v>
          </cell>
        </row>
        <row r="10"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</row>
        <row r="11">
          <cell r="D11"/>
          <cell r="E11"/>
          <cell r="F11"/>
          <cell r="G11" t="e">
            <v>#DIV/0!</v>
          </cell>
          <cell r="H11"/>
          <cell r="I11"/>
          <cell r="J11"/>
          <cell r="K11" t="e">
            <v>#DIV/0!</v>
          </cell>
          <cell r="L11"/>
          <cell r="M11"/>
          <cell r="N11"/>
          <cell r="O11" t="e">
            <v>#DIV/0!</v>
          </cell>
          <cell r="P11"/>
          <cell r="Q11"/>
          <cell r="R11"/>
          <cell r="S11" t="e">
            <v>#DIV/0!</v>
          </cell>
        </row>
        <row r="12">
          <cell r="D12">
            <v>315.97000000000003</v>
          </cell>
          <cell r="E12">
            <v>315.97000000000003</v>
          </cell>
          <cell r="F12">
            <v>315.97000000000003</v>
          </cell>
          <cell r="G12">
            <v>315.97000000000003</v>
          </cell>
          <cell r="H12">
            <v>315.97000000000003</v>
          </cell>
          <cell r="I12">
            <v>315.97000000000003</v>
          </cell>
          <cell r="J12">
            <v>315.97000000000003</v>
          </cell>
          <cell r="K12">
            <v>315.97000000000003</v>
          </cell>
          <cell r="L12">
            <v>315.97000000000003</v>
          </cell>
          <cell r="M12">
            <v>315.97000000000003</v>
          </cell>
          <cell r="N12">
            <v>315.97000000000003</v>
          </cell>
          <cell r="O12">
            <v>315.97000000000003</v>
          </cell>
          <cell r="P12">
            <v>315.97000000000003</v>
          </cell>
          <cell r="Q12">
            <v>315.97000000000003</v>
          </cell>
          <cell r="R12">
            <v>315.97000000000003</v>
          </cell>
          <cell r="S12">
            <v>315.97000000000003</v>
          </cell>
        </row>
        <row r="13"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D14"/>
          <cell r="E14"/>
          <cell r="F14"/>
          <cell r="G14" t="e">
            <v>#DIV/0!</v>
          </cell>
          <cell r="H14"/>
          <cell r="I14"/>
          <cell r="J14"/>
          <cell r="K14" t="e">
            <v>#DIV/0!</v>
          </cell>
          <cell r="L14"/>
          <cell r="M14"/>
          <cell r="N14"/>
          <cell r="O14" t="e">
            <v>#DIV/0!</v>
          </cell>
          <cell r="P14"/>
          <cell r="Q14"/>
          <cell r="R14"/>
          <cell r="S14" t="e">
            <v>#DIV/0!</v>
          </cell>
        </row>
        <row r="15">
          <cell r="D15">
            <v>315.97000000000003</v>
          </cell>
          <cell r="E15">
            <v>315.97000000000003</v>
          </cell>
          <cell r="F15">
            <v>315.97000000000003</v>
          </cell>
          <cell r="G15">
            <v>315.97000000000003</v>
          </cell>
          <cell r="H15">
            <v>315.97000000000003</v>
          </cell>
          <cell r="I15">
            <v>315.97000000000003</v>
          </cell>
          <cell r="J15">
            <v>315.97000000000003</v>
          </cell>
          <cell r="K15">
            <v>315.97000000000003</v>
          </cell>
          <cell r="L15">
            <v>315.97000000000003</v>
          </cell>
          <cell r="M15">
            <v>315.97000000000003</v>
          </cell>
          <cell r="N15">
            <v>315.97000000000003</v>
          </cell>
          <cell r="O15">
            <v>315.97000000000003</v>
          </cell>
          <cell r="P15">
            <v>510</v>
          </cell>
          <cell r="Q15">
            <v>510</v>
          </cell>
          <cell r="R15">
            <v>510</v>
          </cell>
          <cell r="S15">
            <v>510</v>
          </cell>
        </row>
        <row r="16"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</row>
        <row r="17">
          <cell r="D17"/>
          <cell r="E17"/>
          <cell r="F17"/>
          <cell r="G17" t="e">
            <v>#DIV/0!</v>
          </cell>
          <cell r="H17">
            <v>0</v>
          </cell>
          <cell r="I17"/>
          <cell r="J17"/>
          <cell r="K17">
            <v>0</v>
          </cell>
          <cell r="L17"/>
          <cell r="M17"/>
          <cell r="N17"/>
          <cell r="O17" t="e">
            <v>#DIV/0!</v>
          </cell>
          <cell r="P17"/>
          <cell r="Q17"/>
          <cell r="R17"/>
          <cell r="S17" t="e">
            <v>#DIV/0!</v>
          </cell>
        </row>
        <row r="18"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/>
          <cell r="O18">
            <v>0</v>
          </cell>
          <cell r="P18"/>
          <cell r="Q18"/>
          <cell r="R18"/>
          <cell r="S18" t="e">
            <v>#DIV/0!</v>
          </cell>
        </row>
        <row r="19">
          <cell r="D19">
            <v>0</v>
          </cell>
          <cell r="E19">
            <v>0</v>
          </cell>
          <cell r="F19">
            <v>0</v>
          </cell>
          <cell r="G19" t="e">
            <v>#DIV/0!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 t="e">
            <v>#DIV/0!</v>
          </cell>
          <cell r="P19">
            <v>0</v>
          </cell>
          <cell r="Q19">
            <v>0</v>
          </cell>
          <cell r="R19">
            <v>0</v>
          </cell>
          <cell r="S19" t="e">
            <v>#DIV/0!</v>
          </cell>
        </row>
        <row r="20">
          <cell r="D20"/>
          <cell r="E20"/>
          <cell r="F20"/>
          <cell r="G20" t="e">
            <v>#DIV/0!</v>
          </cell>
          <cell r="H20"/>
          <cell r="I20"/>
          <cell r="J20"/>
          <cell r="K20" t="e">
            <v>#DIV/0!</v>
          </cell>
          <cell r="L20"/>
          <cell r="M20"/>
          <cell r="N20"/>
          <cell r="O20" t="e">
            <v>#DIV/0!</v>
          </cell>
          <cell r="P20"/>
          <cell r="Q20"/>
          <cell r="R20"/>
          <cell r="S20" t="e">
            <v>#DIV/0!</v>
          </cell>
        </row>
        <row r="21">
          <cell r="D21">
            <v>15.36</v>
          </cell>
          <cell r="E21">
            <v>17.02</v>
          </cell>
          <cell r="F21">
            <v>16.670000000000002</v>
          </cell>
          <cell r="G21">
            <v>16.349999999999998</v>
          </cell>
          <cell r="H21">
            <v>16.48</v>
          </cell>
          <cell r="I21">
            <v>16.54</v>
          </cell>
          <cell r="J21">
            <v>16.82</v>
          </cell>
          <cell r="K21">
            <v>16.613333333333333</v>
          </cell>
          <cell r="L21">
            <v>18.635000000000002</v>
          </cell>
          <cell r="M21">
            <v>17.170000000000002</v>
          </cell>
          <cell r="N21"/>
          <cell r="O21">
            <v>17.902500000000003</v>
          </cell>
          <cell r="P21"/>
          <cell r="Q21"/>
          <cell r="R21"/>
          <cell r="S21" t="e">
            <v>#DIV/0!</v>
          </cell>
        </row>
        <row r="22"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/>
          <cell r="O22">
            <v>0</v>
          </cell>
          <cell r="P22"/>
          <cell r="Q22"/>
          <cell r="R22"/>
          <cell r="S22" t="e">
            <v>#DIV/0!</v>
          </cell>
        </row>
        <row r="23"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</row>
        <row r="24">
          <cell r="D24"/>
          <cell r="E24"/>
          <cell r="F24"/>
          <cell r="G24" t="e">
            <v>#DIV/0!</v>
          </cell>
          <cell r="H24"/>
          <cell r="I24"/>
          <cell r="J24"/>
          <cell r="K24" t="e">
            <v>#DIV/0!</v>
          </cell>
          <cell r="L24"/>
          <cell r="M24"/>
          <cell r="N24"/>
          <cell r="O24" t="e">
            <v>#DIV/0!</v>
          </cell>
          <cell r="P24"/>
          <cell r="Q24"/>
          <cell r="R24"/>
          <cell r="S24" t="e">
            <v>#DIV/0!</v>
          </cell>
        </row>
        <row r="25">
          <cell r="D25"/>
          <cell r="E25"/>
          <cell r="F25">
            <v>25.68</v>
          </cell>
          <cell r="G25">
            <v>25.68</v>
          </cell>
          <cell r="H25">
            <v>25.68</v>
          </cell>
          <cell r="I25">
            <v>25.49</v>
          </cell>
          <cell r="J25">
            <v>25.49</v>
          </cell>
          <cell r="K25">
            <v>25.553333333333331</v>
          </cell>
          <cell r="L25"/>
          <cell r="M25"/>
          <cell r="N25"/>
          <cell r="O25" t="e">
            <v>#DIV/0!</v>
          </cell>
          <cell r="P25"/>
          <cell r="Q25"/>
          <cell r="R25"/>
          <cell r="S25" t="e">
            <v>#DIV/0!</v>
          </cell>
        </row>
        <row r="26">
          <cell r="D26"/>
          <cell r="E26"/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/>
          <cell r="M26"/>
          <cell r="N26"/>
          <cell r="O26" t="e">
            <v>#DIV/0!</v>
          </cell>
          <cell r="P26"/>
          <cell r="Q26"/>
          <cell r="R26"/>
          <cell r="S26" t="e">
            <v>#DIV/0!</v>
          </cell>
        </row>
        <row r="27">
          <cell r="D27"/>
          <cell r="E27"/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/>
          <cell r="K27">
            <v>0</v>
          </cell>
          <cell r="L27">
            <v>0</v>
          </cell>
          <cell r="M27">
            <v>0</v>
          </cell>
          <cell r="N27"/>
          <cell r="O27">
            <v>0</v>
          </cell>
          <cell r="P27"/>
          <cell r="Q27"/>
          <cell r="R27"/>
          <cell r="S27" t="e">
            <v>#DIV/0!</v>
          </cell>
        </row>
        <row r="28">
          <cell r="D28"/>
          <cell r="E28"/>
          <cell r="F28"/>
          <cell r="G28" t="e">
            <v>#DIV/0!</v>
          </cell>
          <cell r="H28"/>
          <cell r="I28"/>
          <cell r="J28"/>
          <cell r="K28" t="e">
            <v>#DIV/0!</v>
          </cell>
          <cell r="L28"/>
          <cell r="M28"/>
          <cell r="N28"/>
          <cell r="O28" t="e">
            <v>#DIV/0!</v>
          </cell>
          <cell r="P28"/>
          <cell r="Q28"/>
          <cell r="R28"/>
          <cell r="S28" t="e">
            <v>#DIV/0!</v>
          </cell>
        </row>
        <row r="29">
          <cell r="D29">
            <v>-4.2</v>
          </cell>
          <cell r="E29">
            <v>-4.2</v>
          </cell>
          <cell r="F29">
            <v>-4.2</v>
          </cell>
          <cell r="G29">
            <v>-4.2</v>
          </cell>
          <cell r="H29">
            <v>-4.2</v>
          </cell>
          <cell r="I29">
            <v>-4.5</v>
          </cell>
          <cell r="J29">
            <v>-4.5</v>
          </cell>
          <cell r="K29">
            <v>-4.3999999999999995</v>
          </cell>
          <cell r="L29">
            <v>-4.5</v>
          </cell>
          <cell r="M29">
            <v>-4.5</v>
          </cell>
          <cell r="N29"/>
          <cell r="O29">
            <v>-4.5</v>
          </cell>
          <cell r="P29"/>
          <cell r="Q29"/>
          <cell r="R29"/>
          <cell r="S29" t="e">
            <v>#DIV/0!</v>
          </cell>
        </row>
        <row r="30">
          <cell r="D30">
            <v>0</v>
          </cell>
          <cell r="E30">
            <v>0</v>
          </cell>
          <cell r="F30">
            <v>0</v>
          </cell>
          <cell r="G30" t="e">
            <v>#DIV/0!</v>
          </cell>
          <cell r="H30">
            <v>0</v>
          </cell>
          <cell r="I30">
            <v>0</v>
          </cell>
          <cell r="J30">
            <v>0</v>
          </cell>
          <cell r="K30" t="e">
            <v>#DIV/0!</v>
          </cell>
          <cell r="L30">
            <v>0</v>
          </cell>
          <cell r="M30">
            <v>0</v>
          </cell>
          <cell r="N30"/>
          <cell r="O30" t="e">
            <v>#DIV/0!</v>
          </cell>
          <cell r="P30"/>
          <cell r="Q30"/>
          <cell r="R30"/>
          <cell r="S30" t="e">
            <v>#DIV/0!</v>
          </cell>
        </row>
        <row r="31">
          <cell r="D31"/>
          <cell r="E31"/>
          <cell r="F31"/>
          <cell r="G31" t="e">
            <v>#DIV/0!</v>
          </cell>
          <cell r="H31"/>
          <cell r="I31"/>
          <cell r="J31"/>
          <cell r="K31" t="e">
            <v>#DIV/0!</v>
          </cell>
          <cell r="L31"/>
          <cell r="M31"/>
          <cell r="N31"/>
          <cell r="O31" t="e">
            <v>#DIV/0!</v>
          </cell>
          <cell r="P31"/>
          <cell r="Q31"/>
          <cell r="R31"/>
          <cell r="S31" t="e">
            <v>#DIV/0!</v>
          </cell>
        </row>
        <row r="32">
          <cell r="D32">
            <v>-1.8</v>
          </cell>
          <cell r="E32">
            <v>-1.8</v>
          </cell>
          <cell r="F32">
            <v>-1.8</v>
          </cell>
          <cell r="G32">
            <v>-1.8</v>
          </cell>
          <cell r="H32">
            <v>-1.8</v>
          </cell>
          <cell r="I32">
            <v>-1.9</v>
          </cell>
          <cell r="J32">
            <v>-1.9</v>
          </cell>
          <cell r="K32">
            <v>-1.8666666666666665</v>
          </cell>
          <cell r="L32">
            <v>-1.9</v>
          </cell>
          <cell r="M32">
            <v>-1.9</v>
          </cell>
          <cell r="N32"/>
          <cell r="O32">
            <v>-1.9</v>
          </cell>
          <cell r="P32"/>
          <cell r="Q32"/>
          <cell r="R32"/>
          <cell r="S32">
            <v>0</v>
          </cell>
        </row>
        <row r="33">
          <cell r="D33">
            <v>0</v>
          </cell>
          <cell r="E33">
            <v>0</v>
          </cell>
          <cell r="F33">
            <v>0</v>
          </cell>
          <cell r="G33" t="e">
            <v>#DIV/0!</v>
          </cell>
          <cell r="H33">
            <v>0</v>
          </cell>
          <cell r="I33">
            <v>0</v>
          </cell>
          <cell r="J33">
            <v>0</v>
          </cell>
          <cell r="K33" t="e">
            <v>#DIV/0!</v>
          </cell>
          <cell r="L33">
            <v>0</v>
          </cell>
          <cell r="M33">
            <v>0</v>
          </cell>
          <cell r="N33"/>
          <cell r="O33" t="e">
            <v>#DIV/0!</v>
          </cell>
          <cell r="P33"/>
          <cell r="Q33"/>
          <cell r="R33"/>
          <cell r="S33" t="e">
            <v>#DIV/0!</v>
          </cell>
        </row>
        <row r="34">
          <cell r="D34"/>
          <cell r="E34"/>
          <cell r="F34"/>
          <cell r="G34" t="e">
            <v>#DIV/0!</v>
          </cell>
          <cell r="H34"/>
          <cell r="I34"/>
          <cell r="J34">
            <v>0</v>
          </cell>
          <cell r="K34">
            <v>0</v>
          </cell>
          <cell r="L34"/>
          <cell r="M34"/>
          <cell r="N34"/>
          <cell r="O34" t="e">
            <v>#DIV/0!</v>
          </cell>
          <cell r="P34"/>
          <cell r="Q34"/>
          <cell r="R34"/>
          <cell r="S34" t="e">
            <v>#DIV/0!</v>
          </cell>
        </row>
        <row r="35">
          <cell r="D35"/>
          <cell r="E35"/>
          <cell r="F35"/>
          <cell r="G35" t="e">
            <v>#DIV/0!</v>
          </cell>
          <cell r="H35"/>
          <cell r="I35"/>
          <cell r="J35"/>
          <cell r="K35" t="e">
            <v>#DIV/0!</v>
          </cell>
          <cell r="L35"/>
          <cell r="M35"/>
          <cell r="N35"/>
          <cell r="O35" t="e">
            <v>#DIV/0!</v>
          </cell>
          <cell r="P35"/>
          <cell r="Q35"/>
          <cell r="R35"/>
          <cell r="S35" t="e">
            <v>#DIV/0!</v>
          </cell>
        </row>
        <row r="36">
          <cell r="D36"/>
          <cell r="E36"/>
          <cell r="F36"/>
          <cell r="G36" t="e">
            <v>#DIV/0!</v>
          </cell>
          <cell r="H36"/>
          <cell r="I36"/>
          <cell r="J36"/>
          <cell r="K36" t="e">
            <v>#DIV/0!</v>
          </cell>
          <cell r="L36"/>
          <cell r="M36"/>
          <cell r="N36"/>
          <cell r="O36" t="e">
            <v>#DIV/0!</v>
          </cell>
          <cell r="P36"/>
          <cell r="Q36"/>
          <cell r="R36"/>
          <cell r="S36" t="e">
            <v>#DIV/0!</v>
          </cell>
        </row>
        <row r="40">
          <cell r="D40"/>
          <cell r="E40"/>
          <cell r="F40"/>
          <cell r="G40" t="e">
            <v>#DIV/0!</v>
          </cell>
          <cell r="H40"/>
          <cell r="I40"/>
          <cell r="J40"/>
          <cell r="K40" t="e">
            <v>#DIV/0!</v>
          </cell>
          <cell r="L40"/>
          <cell r="M40"/>
          <cell r="N40"/>
          <cell r="O40" t="e">
            <v>#DIV/0!</v>
          </cell>
          <cell r="P40"/>
          <cell r="Q40"/>
          <cell r="R40"/>
          <cell r="S40" t="e">
            <v>#DIV/0!</v>
          </cell>
        </row>
        <row r="41">
          <cell r="D41"/>
          <cell r="E41"/>
          <cell r="F41"/>
          <cell r="G41" t="e">
            <v>#DIV/0!</v>
          </cell>
          <cell r="H41"/>
          <cell r="I41"/>
          <cell r="J41"/>
          <cell r="K41" t="e">
            <v>#DIV/0!</v>
          </cell>
          <cell r="L41"/>
          <cell r="M41"/>
          <cell r="N41"/>
          <cell r="O41" t="e">
            <v>#DIV/0!</v>
          </cell>
          <cell r="P41"/>
          <cell r="Q41"/>
          <cell r="R41"/>
          <cell r="S41" t="e">
            <v>#DIV/0!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-R 17-203-00 (Forecast)"/>
      <sheetName val="SJCPIL-R 17-203-00"/>
    </sheetNames>
    <sheetDataSet>
      <sheetData sheetId="0">
        <row r="40">
          <cell r="G40">
            <v>22081574.333333332</v>
          </cell>
          <cell r="K40">
            <v>24078180.666666668</v>
          </cell>
          <cell r="O40">
            <v>27189252.666666668</v>
          </cell>
          <cell r="S40">
            <v>20729572</v>
          </cell>
        </row>
        <row r="41">
          <cell r="G41">
            <v>3209177.4340419169</v>
          </cell>
          <cell r="K41">
            <v>3523229.1452002637</v>
          </cell>
          <cell r="O41">
            <v>3943472.7640317283</v>
          </cell>
          <cell r="S41">
            <v>2998372.1900594248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SJCPIL-R 17-204-01 (Forecat)"/>
      <sheetName val="SJCPIL-R 17-204-01"/>
    </sheetNames>
    <sheetDataSet>
      <sheetData sheetId="0"/>
      <sheetData sheetId="1"/>
      <sheetData sheetId="2">
        <row r="5">
          <cell r="T5">
            <v>295.00322082506796</v>
          </cell>
        </row>
        <row r="6">
          <cell r="T6">
            <v>89.279999999999987</v>
          </cell>
        </row>
        <row r="7">
          <cell r="T7">
            <v>1110</v>
          </cell>
        </row>
        <row r="8">
          <cell r="T8">
            <v>2030.2121657181181</v>
          </cell>
        </row>
        <row r="9">
          <cell r="T9">
            <v>80.16</v>
          </cell>
        </row>
        <row r="10">
          <cell r="T10">
            <v>90</v>
          </cell>
        </row>
        <row r="11">
          <cell r="T11">
            <v>147.79661363335904</v>
          </cell>
        </row>
        <row r="12">
          <cell r="T12">
            <v>2178.0087793514772</v>
          </cell>
        </row>
        <row r="13">
          <cell r="T13">
            <v>752.92585817448958</v>
          </cell>
        </row>
        <row r="14">
          <cell r="T14">
            <v>0.28310000000000002</v>
          </cell>
        </row>
        <row r="15">
          <cell r="T15">
            <v>17.900964683134593</v>
          </cell>
        </row>
        <row r="16">
          <cell r="T16">
            <v>2195.9097440346122</v>
          </cell>
        </row>
        <row r="17">
          <cell r="T17">
            <v>4153.1582562957246</v>
          </cell>
        </row>
        <row r="18">
          <cell r="T18">
            <v>6120</v>
          </cell>
        </row>
        <row r="19">
          <cell r="T19">
            <v>2118.1107107108196</v>
          </cell>
        </row>
        <row r="20">
          <cell r="T20">
            <v>37568.400973072043</v>
          </cell>
        </row>
        <row r="21">
          <cell r="T21"/>
        </row>
        <row r="22">
          <cell r="T22">
            <v>424525.13548750913</v>
          </cell>
        </row>
        <row r="23">
          <cell r="T23">
            <v>69.771396922400001</v>
          </cell>
        </row>
        <row r="24">
          <cell r="T24">
            <v>218500.45727949502</v>
          </cell>
        </row>
        <row r="25">
          <cell r="T25">
            <v>201455.70726766399</v>
          </cell>
        </row>
        <row r="26">
          <cell r="T26">
            <v>1273.4569025982648</v>
          </cell>
        </row>
        <row r="27">
          <cell r="T27">
            <v>85.679999999999993</v>
          </cell>
        </row>
        <row r="28">
          <cell r="T28">
            <v>9092.4822845516082</v>
          </cell>
        </row>
        <row r="29">
          <cell r="T29">
            <v>-10.149999999999997</v>
          </cell>
        </row>
        <row r="30">
          <cell r="T30">
            <v>-1062.3779815871274</v>
          </cell>
        </row>
        <row r="31">
          <cell r="T31">
            <v>10154.860266138734</v>
          </cell>
        </row>
        <row r="32">
          <cell r="T32">
            <v>203573.81797837481</v>
          </cell>
        </row>
        <row r="33">
          <cell r="T33">
            <v>7365</v>
          </cell>
        </row>
        <row r="34">
          <cell r="T34">
            <v>6263.2646199999999</v>
          </cell>
        </row>
        <row r="35">
          <cell r="T35">
            <v>3824.0259522599995</v>
          </cell>
        </row>
        <row r="36">
          <cell r="T36">
            <v>8400</v>
          </cell>
        </row>
        <row r="37">
          <cell r="T37">
            <v>1635.6189000000004</v>
          </cell>
        </row>
        <row r="38">
          <cell r="T38">
            <v>1141.3161725000002</v>
          </cell>
        </row>
        <row r="39">
          <cell r="T39">
            <v>6310.7785999999996</v>
          </cell>
        </row>
        <row r="40">
          <cell r="T40">
            <v>2420.1789999999996</v>
          </cell>
        </row>
        <row r="41">
          <cell r="T41">
            <v>1237.5967998000001</v>
          </cell>
        </row>
        <row r="42">
          <cell r="T42">
            <v>8860</v>
          </cell>
        </row>
        <row r="43">
          <cell r="T43">
            <v>3830.2905543999996</v>
          </cell>
        </row>
        <row r="44">
          <cell r="T44">
            <v>2795.0589523759995</v>
          </cell>
        </row>
        <row r="45">
          <cell r="T45">
            <v>8997.9978769359986</v>
          </cell>
        </row>
        <row r="46">
          <cell r="T46">
            <v>209243.48772240945</v>
          </cell>
        </row>
        <row r="47">
          <cell r="T47"/>
        </row>
        <row r="48">
          <cell r="T48">
            <v>319009475</v>
          </cell>
        </row>
        <row r="49">
          <cell r="T49">
            <v>30831374</v>
          </cell>
        </row>
        <row r="50">
          <cell r="T50">
            <v>349840849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IDUO-2020"/>
    </sheetNames>
    <sheetDataSet>
      <sheetData sheetId="0">
        <row r="8">
          <cell r="A8">
            <v>44197</v>
          </cell>
          <cell r="B8">
            <v>3398983</v>
          </cell>
          <cell r="C8">
            <v>19</v>
          </cell>
          <cell r="D8">
            <v>28.4</v>
          </cell>
          <cell r="E8">
            <v>4.2</v>
          </cell>
          <cell r="F8">
            <v>32.6</v>
          </cell>
          <cell r="G8">
            <v>9.5911041626274685</v>
          </cell>
          <cell r="H8">
            <v>6.3</v>
          </cell>
          <cell r="I8">
            <v>1.8534955897102163</v>
          </cell>
          <cell r="J8">
            <v>36.200000000000003</v>
          </cell>
          <cell r="K8">
            <v>10.650244499604735</v>
          </cell>
          <cell r="L8">
            <v>10</v>
          </cell>
        </row>
        <row r="9">
          <cell r="A9">
            <v>44228</v>
          </cell>
          <cell r="B9">
            <v>2642588</v>
          </cell>
          <cell r="C9">
            <v>22</v>
          </cell>
          <cell r="D9">
            <v>21.5</v>
          </cell>
          <cell r="E9">
            <v>2.8</v>
          </cell>
          <cell r="F9">
            <v>24.3</v>
          </cell>
          <cell r="G9">
            <v>9.1955310475942529</v>
          </cell>
          <cell r="H9">
            <v>5.0999999999999996</v>
          </cell>
          <cell r="I9">
            <v>1.9299262692481762</v>
          </cell>
          <cell r="J9">
            <v>24</v>
          </cell>
          <cell r="K9">
            <v>9.0820059729325955</v>
          </cell>
          <cell r="L9">
            <v>10</v>
          </cell>
        </row>
        <row r="10">
          <cell r="A10">
            <v>44256</v>
          </cell>
          <cell r="B10">
            <v>872688</v>
          </cell>
          <cell r="C10">
            <v>16</v>
          </cell>
          <cell r="D10">
            <v>3.9</v>
          </cell>
          <cell r="E10">
            <v>2</v>
          </cell>
          <cell r="F10">
            <v>5.9</v>
          </cell>
          <cell r="G10">
            <v>6.7607208991071266</v>
          </cell>
          <cell r="H10">
            <v>1.6</v>
          </cell>
          <cell r="I10">
            <v>1.8334158370460005</v>
          </cell>
          <cell r="J10">
            <v>8</v>
          </cell>
          <cell r="K10">
            <v>9.1670791852300013</v>
          </cell>
          <cell r="L10">
            <v>5</v>
          </cell>
        </row>
        <row r="11">
          <cell r="A11">
            <v>44287</v>
          </cell>
          <cell r="B11">
            <v>2419920</v>
          </cell>
          <cell r="C11">
            <v>20.5</v>
          </cell>
          <cell r="D11">
            <v>19.8</v>
          </cell>
          <cell r="E11">
            <v>2.4</v>
          </cell>
          <cell r="F11">
            <v>22.2</v>
          </cell>
          <cell r="G11">
            <v>9.1738569870078361</v>
          </cell>
          <cell r="H11">
            <v>4.3</v>
          </cell>
          <cell r="I11">
            <v>1.7769182452312473</v>
          </cell>
          <cell r="J11">
            <v>18</v>
          </cell>
          <cell r="K11">
            <v>7.4382624218982452</v>
          </cell>
          <cell r="L11">
            <v>10</v>
          </cell>
        </row>
        <row r="12">
          <cell r="A12">
            <v>44317</v>
          </cell>
          <cell r="B12">
            <v>3282672</v>
          </cell>
          <cell r="C12">
            <v>23</v>
          </cell>
          <cell r="D12">
            <v>24.4</v>
          </cell>
          <cell r="E12">
            <v>3</v>
          </cell>
          <cell r="F12">
            <v>27.4</v>
          </cell>
          <cell r="G12">
            <v>8.3468589003104796</v>
          </cell>
          <cell r="H12">
            <v>5.9</v>
          </cell>
          <cell r="I12">
            <v>1.7973163325486068</v>
          </cell>
          <cell r="J12">
            <v>29.9</v>
          </cell>
          <cell r="K12">
            <v>9.108433617492091</v>
          </cell>
          <cell r="L12">
            <v>10</v>
          </cell>
        </row>
        <row r="13">
          <cell r="A13">
            <v>44348</v>
          </cell>
          <cell r="B13">
            <v>1637496</v>
          </cell>
          <cell r="C13">
            <v>29</v>
          </cell>
          <cell r="D13">
            <v>13.1</v>
          </cell>
          <cell r="E13">
            <v>3.2</v>
          </cell>
          <cell r="F13">
            <v>16.3</v>
          </cell>
          <cell r="G13">
            <v>9.9542227889411645</v>
          </cell>
          <cell r="H13">
            <v>3.6</v>
          </cell>
          <cell r="I13">
            <v>2.1984786527722817</v>
          </cell>
          <cell r="J13">
            <v>17</v>
          </cell>
          <cell r="K13">
            <v>10.381704749202441</v>
          </cell>
          <cell r="L13">
            <v>10</v>
          </cell>
        </row>
        <row r="14">
          <cell r="A14">
            <v>44378</v>
          </cell>
          <cell r="B14">
            <v>2696444</v>
          </cell>
          <cell r="C14">
            <v>30</v>
          </cell>
          <cell r="D14">
            <v>20.5</v>
          </cell>
          <cell r="E14">
            <v>4.9000000000000004</v>
          </cell>
          <cell r="F14">
            <v>25.4</v>
          </cell>
          <cell r="G14">
            <v>9.4198136508675869</v>
          </cell>
          <cell r="H14">
            <v>4.2</v>
          </cell>
          <cell r="I14">
            <v>1.5576069816395224</v>
          </cell>
          <cell r="J14">
            <v>23.2</v>
          </cell>
          <cell r="K14">
            <v>8.603924279532599</v>
          </cell>
          <cell r="L14">
            <v>10</v>
          </cell>
        </row>
        <row r="15">
          <cell r="A15">
            <v>44409</v>
          </cell>
          <cell r="B15">
            <v>3259272</v>
          </cell>
          <cell r="C15">
            <v>25</v>
          </cell>
          <cell r="D15">
            <v>25.9</v>
          </cell>
          <cell r="E15">
            <v>2.5</v>
          </cell>
          <cell r="F15">
            <v>28.4</v>
          </cell>
          <cell r="G15">
            <v>8.7136023013728217</v>
          </cell>
          <cell r="H15">
            <v>6.4</v>
          </cell>
          <cell r="I15">
            <v>1.9636286876333122</v>
          </cell>
          <cell r="J15">
            <v>31.3</v>
          </cell>
          <cell r="K15">
            <v>9.6033715504566679</v>
          </cell>
          <cell r="L15">
            <v>10</v>
          </cell>
        </row>
        <row r="16">
          <cell r="A16">
            <v>44440</v>
          </cell>
          <cell r="B16">
            <v>1735000</v>
          </cell>
          <cell r="C16">
            <v>21</v>
          </cell>
          <cell r="D16">
            <v>14.9</v>
          </cell>
          <cell r="E16">
            <v>1.8</v>
          </cell>
          <cell r="F16">
            <v>16.7</v>
          </cell>
          <cell r="G16">
            <v>9.6253602305475496</v>
          </cell>
          <cell r="H16">
            <v>3.9</v>
          </cell>
          <cell r="I16">
            <v>2.2478386167146973</v>
          </cell>
          <cell r="J16">
            <v>29.6</v>
          </cell>
          <cell r="K16">
            <v>17.060518731988473</v>
          </cell>
          <cell r="L16">
            <v>5</v>
          </cell>
        </row>
        <row r="17">
          <cell r="A17">
            <v>44470</v>
          </cell>
          <cell r="B17">
            <v>1978600</v>
          </cell>
          <cell r="C17">
            <v>19.8</v>
          </cell>
          <cell r="D17">
            <v>11.5</v>
          </cell>
          <cell r="E17">
            <v>2.2999999999999998</v>
          </cell>
          <cell r="F17">
            <v>13.8</v>
          </cell>
          <cell r="G17">
            <v>6.9746285252198525</v>
          </cell>
          <cell r="H17">
            <v>4.3</v>
          </cell>
          <cell r="I17">
            <v>2.1732538158293742</v>
          </cell>
          <cell r="J17">
            <v>23.4</v>
          </cell>
          <cell r="K17">
            <v>11.826544021024967</v>
          </cell>
          <cell r="L17">
            <v>5</v>
          </cell>
        </row>
        <row r="18">
          <cell r="A18">
            <v>44501</v>
          </cell>
          <cell r="B18">
            <v>3938200</v>
          </cell>
          <cell r="C18">
            <v>22</v>
          </cell>
          <cell r="D18">
            <v>26.05</v>
          </cell>
          <cell r="E18">
            <v>2.2999999999999998</v>
          </cell>
          <cell r="F18">
            <v>28.35</v>
          </cell>
          <cell r="G18">
            <v>7.1987202275151088</v>
          </cell>
          <cell r="H18">
            <v>5.0999999999999996</v>
          </cell>
          <cell r="I18">
            <v>1.2950078716164743</v>
          </cell>
          <cell r="J18">
            <v>33.1</v>
          </cell>
          <cell r="K18">
            <v>8.4048550099030006</v>
          </cell>
          <cell r="L18">
            <v>5</v>
          </cell>
        </row>
        <row r="19">
          <cell r="A19">
            <v>44531</v>
          </cell>
          <cell r="B19">
            <v>2594560</v>
          </cell>
          <cell r="C19">
            <v>19</v>
          </cell>
          <cell r="D19">
            <v>21.3</v>
          </cell>
          <cell r="E19">
            <v>3.8</v>
          </cell>
          <cell r="F19">
            <v>25.1</v>
          </cell>
          <cell r="G19">
            <v>9.6740873211642828</v>
          </cell>
          <cell r="H19">
            <v>4.8</v>
          </cell>
          <cell r="I19">
            <v>1.85002466699556</v>
          </cell>
          <cell r="J19">
            <v>26.5</v>
          </cell>
          <cell r="K19">
            <v>10.213677849037987</v>
          </cell>
          <cell r="L19">
            <v>5</v>
          </cell>
        </row>
        <row r="20">
          <cell r="A20">
            <v>44562</v>
          </cell>
          <cell r="B20"/>
          <cell r="C20"/>
          <cell r="D20"/>
          <cell r="E20"/>
          <cell r="F20">
            <v>0</v>
          </cell>
          <cell r="G20" t="e">
            <v>#DIV/0!</v>
          </cell>
          <cell r="H20"/>
          <cell r="I20" t="e">
            <v>#DIV/0!</v>
          </cell>
          <cell r="J20"/>
          <cell r="K20" t="e">
            <v>#DIV/0!</v>
          </cell>
          <cell r="L20"/>
        </row>
        <row r="21">
          <cell r="A21">
            <v>44593</v>
          </cell>
          <cell r="B21"/>
          <cell r="C21"/>
          <cell r="D21"/>
          <cell r="E21"/>
          <cell r="F21">
            <v>0</v>
          </cell>
          <cell r="G21" t="e">
            <v>#DIV/0!</v>
          </cell>
          <cell r="H21"/>
          <cell r="I21" t="e">
            <v>#DIV/0!</v>
          </cell>
          <cell r="J21"/>
          <cell r="K21" t="e">
            <v>#DIV/0!</v>
          </cell>
          <cell r="L21"/>
        </row>
        <row r="22">
          <cell r="A22">
            <v>44621</v>
          </cell>
          <cell r="B22"/>
          <cell r="C22"/>
          <cell r="D22"/>
          <cell r="E22"/>
          <cell r="F22">
            <v>0</v>
          </cell>
          <cell r="G22" t="e">
            <v>#DIV/0!</v>
          </cell>
          <cell r="H22"/>
          <cell r="I22" t="e">
            <v>#DIV/0!</v>
          </cell>
          <cell r="J22"/>
          <cell r="K22" t="e">
            <v>#DIV/0!</v>
          </cell>
          <cell r="L22"/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usto Falhas UM-1"/>
      <sheetName val="2103 - UM-1SHNASPA"/>
      <sheetName val="Base Custo Falhas UM-3"/>
      <sheetName val="2103 - UM-3SHPA"/>
      <sheetName val="Base Custo Falhas UM-4"/>
      <sheetName val="2103 - UM-4SHPA"/>
      <sheetName val="Base Custo Falhas LR6"/>
      <sheetName val="2103 - LR6-NACPA"/>
      <sheetName val="Cálculo Custo de Falhas - 2103"/>
    </sheetNames>
    <sheetDataSet>
      <sheetData sheetId="0">
        <row r="58">
          <cell r="L58">
            <v>739.72842999999989</v>
          </cell>
        </row>
      </sheetData>
      <sheetData sheetId="1"/>
      <sheetData sheetId="2">
        <row r="60">
          <cell r="I60">
            <v>180.10529999999997</v>
          </cell>
        </row>
      </sheetData>
      <sheetData sheetId="3"/>
      <sheetData sheetId="4">
        <row r="51">
          <cell r="I51">
            <v>137.21300000000002</v>
          </cell>
        </row>
      </sheetData>
      <sheetData sheetId="5"/>
      <sheetData sheetId="6">
        <row r="16">
          <cell r="H16">
            <v>7.16</v>
          </cell>
        </row>
        <row r="17">
          <cell r="H17">
            <v>10.52</v>
          </cell>
        </row>
        <row r="51">
          <cell r="I51">
            <v>29.9</v>
          </cell>
        </row>
        <row r="53">
          <cell r="I53">
            <v>449.7474636</v>
          </cell>
        </row>
      </sheetData>
      <sheetData sheetId="7"/>
      <sheetData sheetId="8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usto Falhas UM-1"/>
      <sheetName val="2104 - UM-1SHNASPA"/>
      <sheetName val="Base Custo Falhas UM-3"/>
      <sheetName val="2104 - UM-3SHPA"/>
      <sheetName val="Base Custo Falhas UM-4"/>
      <sheetName val="2104 - UM-4SHPA"/>
      <sheetName val="Base Custo Falhas LR6"/>
      <sheetName val="2104 - LR6-NACPA"/>
      <sheetName val="Cálculo Custo de Falhas - 2104"/>
    </sheetNames>
    <sheetDataSet>
      <sheetData sheetId="0">
        <row r="58">
          <cell r="L58">
            <v>762.66664999999966</v>
          </cell>
        </row>
      </sheetData>
      <sheetData sheetId="1"/>
      <sheetData sheetId="2">
        <row r="60">
          <cell r="I60">
            <v>184.09989999999999</v>
          </cell>
        </row>
      </sheetData>
      <sheetData sheetId="3"/>
      <sheetData sheetId="4">
        <row r="51">
          <cell r="I51">
            <v>140.2724</v>
          </cell>
        </row>
      </sheetData>
      <sheetData sheetId="5"/>
      <sheetData sheetId="6">
        <row r="16">
          <cell r="H16">
            <v>7.18</v>
          </cell>
        </row>
        <row r="17">
          <cell r="H17">
            <v>10.52</v>
          </cell>
        </row>
        <row r="51">
          <cell r="I51">
            <v>30.63</v>
          </cell>
        </row>
        <row r="53">
          <cell r="I53">
            <v>467.3454635999999</v>
          </cell>
        </row>
      </sheetData>
      <sheetData sheetId="7"/>
      <sheetData sheetId="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usto Falhas UM-1"/>
      <sheetName val="2105 - UM-1SHNASPA"/>
      <sheetName val="Base Custo Falhas UM-3"/>
      <sheetName val="2105 - UM-3SHPA"/>
      <sheetName val="Base Custo Falhas UM-4"/>
      <sheetName val="2105 - UM-4SHPA"/>
      <sheetName val="Base Custo Falhas LR6"/>
      <sheetName val="2105 - LR6-NACPA"/>
      <sheetName val="Cálculo Custo de Falhas - 2105"/>
    </sheetNames>
    <sheetDataSet>
      <sheetData sheetId="0">
        <row r="58">
          <cell r="L58">
            <v>748.22433000000001</v>
          </cell>
        </row>
      </sheetData>
      <sheetData sheetId="1"/>
      <sheetData sheetId="2">
        <row r="60">
          <cell r="I60">
            <v>183.345</v>
          </cell>
        </row>
      </sheetData>
      <sheetData sheetId="3"/>
      <sheetData sheetId="4">
        <row r="51">
          <cell r="I51">
            <v>139.98860000000002</v>
          </cell>
        </row>
      </sheetData>
      <sheetData sheetId="5"/>
      <sheetData sheetId="6">
        <row r="16">
          <cell r="H16">
            <v>7.2</v>
          </cell>
        </row>
        <row r="17">
          <cell r="H17">
            <v>10.28</v>
          </cell>
        </row>
        <row r="51">
          <cell r="I51">
            <v>30.38</v>
          </cell>
        </row>
        <row r="53">
          <cell r="I53">
            <v>462.04316360000001</v>
          </cell>
        </row>
      </sheetData>
      <sheetData sheetId="7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usto Falhas UM-1"/>
      <sheetName val="2106 - UM-1SHNASPA"/>
      <sheetName val="Base Custo Falhas UM-3"/>
      <sheetName val="2106 - UM-3SHPA"/>
      <sheetName val="Base Custo Falhas UM-4"/>
      <sheetName val="2106 - UM-4SHPA"/>
      <sheetName val="Base Custo Falhas LR6"/>
      <sheetName val="2106 - LR6-NACPA"/>
      <sheetName val="Cálculo Custo de Falhas - 2106"/>
    </sheetNames>
    <sheetDataSet>
      <sheetData sheetId="0">
        <row r="58">
          <cell r="L58">
            <v>766.75787000000003</v>
          </cell>
        </row>
      </sheetData>
      <sheetData sheetId="1"/>
      <sheetData sheetId="2">
        <row r="59">
          <cell r="I59">
            <v>191.89689999999999</v>
          </cell>
        </row>
      </sheetData>
      <sheetData sheetId="3"/>
      <sheetData sheetId="4">
        <row r="51">
          <cell r="I51">
            <v>141.4034</v>
          </cell>
        </row>
      </sheetData>
      <sheetData sheetId="5"/>
      <sheetData sheetId="6">
        <row r="16">
          <cell r="H16">
            <v>7.2</v>
          </cell>
        </row>
        <row r="17">
          <cell r="H17">
            <v>10.17</v>
          </cell>
        </row>
        <row r="51">
          <cell r="I51">
            <v>30.69</v>
          </cell>
        </row>
        <row r="53">
          <cell r="I53">
            <v>455.71586359999998</v>
          </cell>
        </row>
      </sheetData>
      <sheetData sheetId="7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usto Falhas UM-1"/>
      <sheetName val="2107 - UM-1SHNASPA"/>
      <sheetName val="Base Custo Falhas UM-3"/>
      <sheetName val="2107 - UM-3SHPA"/>
      <sheetName val="Base Custo Falhas UM-4"/>
      <sheetName val="2107 - UM-4SHPA"/>
      <sheetName val="Base Custo Falhas LR6"/>
      <sheetName val="2107 - LR6-NACPA"/>
      <sheetName val="Cálculo Custo de Falhas - 2107"/>
      <sheetName val="2106 - UM-1SHNASPA"/>
    </sheetNames>
    <sheetDataSet>
      <sheetData sheetId="0">
        <row r="58">
          <cell r="L58">
            <v>763.66377000000011</v>
          </cell>
        </row>
      </sheetData>
      <sheetData sheetId="1"/>
      <sheetData sheetId="2">
        <row r="59">
          <cell r="I59">
            <v>193.6139</v>
          </cell>
        </row>
      </sheetData>
      <sheetData sheetId="3"/>
      <sheetData sheetId="4">
        <row r="51">
          <cell r="I51">
            <v>140.79559999999998</v>
          </cell>
        </row>
      </sheetData>
      <sheetData sheetId="5"/>
      <sheetData sheetId="6">
        <row r="16">
          <cell r="H16">
            <v>7.22</v>
          </cell>
        </row>
        <row r="17">
          <cell r="H17">
            <v>9.89</v>
          </cell>
        </row>
        <row r="51">
          <cell r="I51">
            <v>31.23</v>
          </cell>
        </row>
        <row r="53">
          <cell r="I53">
            <v>453.01073339999999</v>
          </cell>
        </row>
      </sheetData>
      <sheetData sheetId="7"/>
      <sheetData sheetId="8" refreshError="1"/>
      <sheetData sheetId="9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usto Falhas UM-1"/>
      <sheetName val="2108 - UM-1SHNASPA"/>
      <sheetName val="Base Custo Falhas UM-3"/>
      <sheetName val="2108 - UM-3SHPA"/>
      <sheetName val="Base Custo Falhas UM-4"/>
      <sheetName val="2108 - UM-4SHPA"/>
      <sheetName val="Base Custo Falhas LR6"/>
      <sheetName val="2108 - LR6-NACPA"/>
      <sheetName val="2107 - UM-1SHNASPA"/>
      <sheetName val="Cálculo Custo de Falhas - 2108"/>
    </sheetNames>
    <sheetDataSet>
      <sheetData sheetId="0">
        <row r="58">
          <cell r="L58">
            <v>786.37666999999999</v>
          </cell>
        </row>
      </sheetData>
      <sheetData sheetId="1"/>
      <sheetData sheetId="2">
        <row r="59">
          <cell r="I59">
            <v>197.64779999999999</v>
          </cell>
        </row>
      </sheetData>
      <sheetData sheetId="3"/>
      <sheetData sheetId="4">
        <row r="51">
          <cell r="I51">
            <v>140.90809999999999</v>
          </cell>
        </row>
      </sheetData>
      <sheetData sheetId="5"/>
      <sheetData sheetId="6">
        <row r="16">
          <cell r="H16">
            <v>7.23</v>
          </cell>
        </row>
        <row r="17">
          <cell r="H17">
            <v>9.9499999999999993</v>
          </cell>
        </row>
        <row r="51">
          <cell r="I51">
            <v>31.23</v>
          </cell>
        </row>
        <row r="53">
          <cell r="I53">
            <v>456.55286739999997</v>
          </cell>
        </row>
      </sheetData>
      <sheetData sheetId="7"/>
      <sheetData sheetId="8" refreshError="1"/>
      <sheetData sheetId="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usto Falhas UM-1"/>
      <sheetName val="2109 - UM-1SHNASPA"/>
      <sheetName val="Base Custo Falhas UM-3"/>
      <sheetName val="2109 - UM-3SHPA"/>
      <sheetName val="Base Custo Falhas UM-4"/>
      <sheetName val="2109 - UM-4SHPA"/>
      <sheetName val="Base Custo Falhas LR6"/>
      <sheetName val="2109 - LR6-NACPA"/>
      <sheetName val="Cálculo Custo de Falhas - 2109"/>
    </sheetNames>
    <sheetDataSet>
      <sheetData sheetId="0"/>
      <sheetData sheetId="1"/>
      <sheetData sheetId="2"/>
      <sheetData sheetId="3"/>
      <sheetData sheetId="4"/>
      <sheetData sheetId="5"/>
      <sheetData sheetId="6">
        <row r="16">
          <cell r="H16">
            <v>7.24</v>
          </cell>
        </row>
        <row r="17">
          <cell r="H17">
            <v>9.9700000000000006</v>
          </cell>
        </row>
        <row r="51">
          <cell r="I51">
            <v>32.06</v>
          </cell>
        </row>
      </sheetData>
      <sheetData sheetId="7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usto Falhas UM-1"/>
      <sheetName val="2110 - UM-1SHNASPA"/>
      <sheetName val="Base Custo Falhas UM-3"/>
      <sheetName val="2110 - UM-3SHPA"/>
      <sheetName val="Base Custo Falhas UM-4"/>
      <sheetName val="2110 - UM-4SHPA"/>
      <sheetName val="Base Custo Falhas LR6"/>
      <sheetName val="2110 - LR6-NACPA"/>
    </sheetNames>
    <sheetDataSet>
      <sheetData sheetId="0">
        <row r="58">
          <cell r="L58">
            <v>831.27934999999991</v>
          </cell>
        </row>
      </sheetData>
      <sheetData sheetId="1"/>
      <sheetData sheetId="2">
        <row r="59">
          <cell r="I59">
            <v>196.52350000000004</v>
          </cell>
        </row>
      </sheetData>
      <sheetData sheetId="3"/>
      <sheetData sheetId="4">
        <row r="51">
          <cell r="I51">
            <v>143.8561</v>
          </cell>
        </row>
      </sheetData>
      <sheetData sheetId="5"/>
      <sheetData sheetId="6">
        <row r="16">
          <cell r="H16">
            <v>7.24</v>
          </cell>
        </row>
        <row r="17">
          <cell r="H17">
            <v>9.9700000000000006</v>
          </cell>
        </row>
        <row r="51">
          <cell r="I51">
            <v>32.06</v>
          </cell>
        </row>
        <row r="53">
          <cell r="I53">
            <v>460.26831779999998</v>
          </cell>
        </row>
      </sheetData>
      <sheetData sheetId="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4-9"/>
      <sheetName val="TOTAL10-3"/>
      <sheetName val="DefV4-9"/>
      <sheetName val="DefV10-3"/>
      <sheetName val="DefA4-9"/>
      <sheetName val="DefA10-3"/>
      <sheetName val="VazEletr4-9"/>
      <sheetName val="VazEletr10-3"/>
      <sheetName val="Acabamento4-9"/>
      <sheetName val="Acabamento10-3"/>
      <sheetName val="Rotulagem4-9 "/>
      <sheetName val="Rotulagem10-3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2">
          <cell r="D32">
            <v>0</v>
          </cell>
          <cell r="G3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2:E4"/>
  <sheetViews>
    <sheetView topLeftCell="A7" workbookViewId="0">
      <selection activeCell="K14" sqref="K14"/>
    </sheetView>
  </sheetViews>
  <sheetFormatPr defaultRowHeight="12.75"/>
  <cols>
    <col min="1" max="1" width="14.140625" bestFit="1" customWidth="1"/>
    <col min="2" max="2" width="13.5703125" customWidth="1"/>
    <col min="3" max="3" width="9.5703125" bestFit="1" customWidth="1"/>
  </cols>
  <sheetData>
    <row r="2" spans="1:5">
      <c r="A2" t="s">
        <v>42</v>
      </c>
      <c r="B2" s="1">
        <f>'SJCPIL-R 17-204-01 (Forecat)'!T25</f>
        <v>128338.90224386661</v>
      </c>
      <c r="C2" s="1">
        <f>B2</f>
        <v>128338.90224386661</v>
      </c>
      <c r="D2">
        <f>C2/C$4*100</f>
        <v>96.549476183728245</v>
      </c>
      <c r="E2" s="2">
        <f>D2/100</f>
        <v>0.96549476183728244</v>
      </c>
    </row>
    <row r="3" spans="1:5">
      <c r="A3" t="s">
        <v>41</v>
      </c>
      <c r="B3" s="1">
        <f>'SJCPIL-R 17-204-01 (Forecat)'!T12</f>
        <v>2450.6153706600417</v>
      </c>
      <c r="C3" s="1">
        <f>B3+C2</f>
        <v>130789.51761452666</v>
      </c>
      <c r="D3">
        <f>C3/C$4*100</f>
        <v>98.393076418950983</v>
      </c>
      <c r="E3" s="2">
        <f>(D3-D2)/100</f>
        <v>1.8436002352227376E-2</v>
      </c>
    </row>
    <row r="4" spans="1:5">
      <c r="A4" t="s">
        <v>43</v>
      </c>
      <c r="B4" s="1">
        <f>'SJCPIL-R 17-204-01'!D15+'SJCPIL-R 17-204-01'!D19</f>
        <v>2136.0116753939542</v>
      </c>
      <c r="C4" s="1">
        <f>B4+C3</f>
        <v>132925.52928992061</v>
      </c>
      <c r="D4">
        <f>C4/C$4*100</f>
        <v>100</v>
      </c>
      <c r="E4" s="2">
        <f>(D4-D3)/100</f>
        <v>1.6069235810490169E-2</v>
      </c>
    </row>
  </sheetData>
  <sheetProtection selectLockedCells="1"/>
  <phoneticPr fontId="11" type="noConversion"/>
  <pageMargins left="0.78740157499999996" right="0.78740157499999996" top="0.984251969" bottom="0.984251969" header="0.49212598499999999" footer="0.49212598499999999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4A558-BBF4-4CE7-8799-277ECDE49C9A}">
  <sheetPr codeName="Plan113"/>
  <dimension ref="A1:U61"/>
  <sheetViews>
    <sheetView showGridLines="0" tabSelected="1" zoomScaleNormal="100" zoomScaleSheetLayoutView="70" workbookViewId="0">
      <pane xSplit="3" ySplit="4" topLeftCell="E35" activePane="bottomRight" state="frozen"/>
      <selection pane="topRight" activeCell="D1" sqref="D1"/>
      <selection pane="bottomLeft" activeCell="A5" sqref="A5"/>
      <selection pane="bottomRight" activeCell="E5" sqref="E5:G5"/>
    </sheetView>
  </sheetViews>
  <sheetFormatPr defaultColWidth="11.42578125" defaultRowHeight="12.75"/>
  <cols>
    <col min="1" max="1" width="12.5703125" customWidth="1"/>
    <col min="2" max="2" width="22.7109375" bestFit="1" customWidth="1"/>
    <col min="3" max="3" width="4.5703125" bestFit="1" customWidth="1"/>
    <col min="4" max="4" width="12.7109375" bestFit="1" customWidth="1"/>
    <col min="5" max="19" width="12.7109375" customWidth="1"/>
    <col min="20" max="20" width="12.28515625" bestFit="1" customWidth="1"/>
    <col min="21" max="21" width="3.5703125" bestFit="1" customWidth="1"/>
  </cols>
  <sheetData>
    <row r="1" spans="1:21" ht="20.25" customHeight="1">
      <c r="A1" s="3"/>
      <c r="B1" s="3"/>
      <c r="C1" s="3"/>
      <c r="D1" s="3"/>
      <c r="E1" s="239" t="s">
        <v>29</v>
      </c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</row>
    <row r="2" spans="1:21" s="5" customFormat="1" ht="22.5" customHeight="1">
      <c r="A2" s="4"/>
      <c r="B2" s="4"/>
      <c r="C2" s="4"/>
      <c r="D2" s="4"/>
      <c r="E2" s="241" t="s">
        <v>0</v>
      </c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</row>
    <row r="3" spans="1:21" s="5" customFormat="1" ht="22.5" customHeight="1">
      <c r="A3" s="242" t="s">
        <v>1</v>
      </c>
      <c r="B3" s="243"/>
      <c r="C3" s="90"/>
      <c r="D3" s="244" t="s">
        <v>60</v>
      </c>
      <c r="E3" s="246">
        <v>2022</v>
      </c>
      <c r="F3" s="246"/>
      <c r="G3" s="246"/>
      <c r="H3" s="246"/>
      <c r="I3" s="246"/>
      <c r="J3" s="246"/>
      <c r="K3" s="246"/>
      <c r="L3" s="246"/>
      <c r="M3" s="246"/>
      <c r="N3" s="246"/>
      <c r="O3" s="243"/>
      <c r="P3" s="90"/>
      <c r="Q3" s="224">
        <f>E3+1</f>
        <v>2023</v>
      </c>
      <c r="R3" s="225"/>
      <c r="S3" s="225"/>
      <c r="T3" s="226" t="s">
        <v>2</v>
      </c>
    </row>
    <row r="4" spans="1:21" s="10" customFormat="1" ht="30">
      <c r="A4" s="6" t="s">
        <v>3</v>
      </c>
      <c r="B4" s="7" t="s">
        <v>4</v>
      </c>
      <c r="C4" s="8" t="s">
        <v>5</v>
      </c>
      <c r="D4" s="245"/>
      <c r="E4" s="200">
        <v>44652</v>
      </c>
      <c r="F4" s="200">
        <v>44682</v>
      </c>
      <c r="G4" s="200">
        <v>44713</v>
      </c>
      <c r="H4" s="9" t="s">
        <v>39</v>
      </c>
      <c r="I4" s="200">
        <v>44743</v>
      </c>
      <c r="J4" s="200">
        <v>44774</v>
      </c>
      <c r="K4" s="200">
        <v>44805</v>
      </c>
      <c r="L4" s="9" t="s">
        <v>40</v>
      </c>
      <c r="M4" s="200">
        <v>44835</v>
      </c>
      <c r="N4" s="200">
        <v>44866</v>
      </c>
      <c r="O4" s="200">
        <v>44896</v>
      </c>
      <c r="P4" s="9" t="s">
        <v>40</v>
      </c>
      <c r="Q4" s="200">
        <v>44927</v>
      </c>
      <c r="R4" s="200">
        <v>44958</v>
      </c>
      <c r="S4" s="200">
        <v>44986</v>
      </c>
      <c r="T4" s="227"/>
      <c r="U4" s="63" t="s">
        <v>51</v>
      </c>
    </row>
    <row r="5" spans="1:21" ht="21.95" customHeight="1">
      <c r="A5" s="228" t="s">
        <v>6</v>
      </c>
      <c r="B5" s="11" t="s">
        <v>7</v>
      </c>
      <c r="C5" s="12" t="s">
        <v>8</v>
      </c>
      <c r="D5" s="121">
        <f>'[1]SJCPIL-R 17-204-01'!T5</f>
        <v>232</v>
      </c>
      <c r="E5" s="79">
        <f>$D$5/$D$49*E49</f>
        <v>26.408447808582423</v>
      </c>
      <c r="F5" s="79">
        <f t="shared" ref="F5:G5" si="0">$D$5/$D$49*F49</f>
        <v>25.647822833076276</v>
      </c>
      <c r="G5" s="79">
        <f t="shared" si="0"/>
        <v>26.124087765695798</v>
      </c>
      <c r="H5" s="14">
        <f>AVERAGE(E5:G5)</f>
        <v>26.060119469118167</v>
      </c>
      <c r="I5" s="79">
        <f t="shared" ref="I5:K5" si="1">$D$5/$D$49*I49</f>
        <v>25.647822833076276</v>
      </c>
      <c r="J5" s="79">
        <f t="shared" si="1"/>
        <v>26.124087765695798</v>
      </c>
      <c r="K5" s="79">
        <f t="shared" si="1"/>
        <v>26.04471027692588</v>
      </c>
      <c r="L5" s="15">
        <f>AVERAGE(I5:K5)</f>
        <v>25.938873625232649</v>
      </c>
      <c r="M5" s="79">
        <f t="shared" ref="M5:O5" si="2">$D$5/$D$49*M49</f>
        <v>28.7638986563286</v>
      </c>
      <c r="N5" s="79">
        <f t="shared" si="2"/>
        <v>29.369454417514465</v>
      </c>
      <c r="O5" s="79">
        <f t="shared" si="2"/>
        <v>29.672232298107399</v>
      </c>
      <c r="P5" s="15">
        <f>AVERAGE(M5:O5)</f>
        <v>29.268528457316823</v>
      </c>
      <c r="Q5" s="79">
        <f t="shared" ref="Q5:S5" si="3">$D$5/$D$49*Q49</f>
        <v>27.517599039693071</v>
      </c>
      <c r="R5" s="79">
        <f t="shared" si="3"/>
        <v>17.780599244134581</v>
      </c>
      <c r="S5" s="79">
        <f t="shared" si="3"/>
        <v>20.232490954954862</v>
      </c>
      <c r="T5" s="34">
        <f t="array" ref="T5">SUM(IF(E$4:S$4&lt;&gt;"média",E5:S5))</f>
        <v>309.33325389378547</v>
      </c>
      <c r="U5" s="62">
        <f>ROW()</f>
        <v>5</v>
      </c>
    </row>
    <row r="6" spans="1:21" ht="21.95" customHeight="1">
      <c r="A6" s="229"/>
      <c r="B6" s="16" t="s">
        <v>9</v>
      </c>
      <c r="C6" s="17" t="s">
        <v>10</v>
      </c>
      <c r="D6" s="122">
        <f>'[1]SJCPIL-R 17-204-01'!T6</f>
        <v>121.14999999999999</v>
      </c>
      <c r="E6" s="80">
        <v>8.07</v>
      </c>
      <c r="F6" s="80">
        <f>E6</f>
        <v>8.07</v>
      </c>
      <c r="G6" s="80">
        <f>F6</f>
        <v>8.07</v>
      </c>
      <c r="H6" s="18">
        <f t="shared" ref="H6" si="4">AVERAGE(E6:G6)</f>
        <v>8.07</v>
      </c>
      <c r="I6" s="80">
        <f>G6</f>
        <v>8.07</v>
      </c>
      <c r="J6" s="80">
        <f>I6</f>
        <v>8.07</v>
      </c>
      <c r="K6" s="80">
        <f>J6</f>
        <v>8.07</v>
      </c>
      <c r="L6" s="18">
        <f t="shared" ref="L6" si="5">AVERAGE(I6:K6)</f>
        <v>8.07</v>
      </c>
      <c r="M6" s="80">
        <f>K6</f>
        <v>8.07</v>
      </c>
      <c r="N6" s="80">
        <f>M6</f>
        <v>8.07</v>
      </c>
      <c r="O6" s="80">
        <f>N6</f>
        <v>8.07</v>
      </c>
      <c r="P6" s="18">
        <f t="shared" ref="P6" si="6">AVERAGE(M6:O6)</f>
        <v>8.07</v>
      </c>
      <c r="Q6" s="80">
        <f>O6</f>
        <v>8.07</v>
      </c>
      <c r="R6" s="80">
        <f>Q6</f>
        <v>8.07</v>
      </c>
      <c r="S6" s="80">
        <f>R6</f>
        <v>8.07</v>
      </c>
      <c r="T6" s="77">
        <f t="array" ref="T6">SUM(IF(E$4:S$4&lt;&gt;"média",E6:S6))</f>
        <v>96.839999999999975</v>
      </c>
      <c r="U6" s="62">
        <f>ROW()</f>
        <v>6</v>
      </c>
    </row>
    <row r="7" spans="1:21" ht="21.95" customHeight="1">
      <c r="A7" s="229"/>
      <c r="B7" s="16" t="s">
        <v>11</v>
      </c>
      <c r="C7" s="17" t="s">
        <v>12</v>
      </c>
      <c r="D7" s="122">
        <f>'[1]SJCPIL-R 17-204-01'!T7</f>
        <v>1111</v>
      </c>
      <c r="E7" s="80">
        <v>92.5</v>
      </c>
      <c r="F7" s="80">
        <v>92.5</v>
      </c>
      <c r="G7" s="80">
        <v>92.5</v>
      </c>
      <c r="H7" s="18">
        <f t="shared" ref="H7" si="7">AVERAGE(E7:G7)</f>
        <v>92.5</v>
      </c>
      <c r="I7" s="80">
        <v>92.5</v>
      </c>
      <c r="J7" s="80">
        <v>92.5</v>
      </c>
      <c r="K7" s="80">
        <v>92.5</v>
      </c>
      <c r="L7" s="18">
        <f t="shared" ref="L7" si="8">AVERAGE(I7:K7)</f>
        <v>92.5</v>
      </c>
      <c r="M7" s="80">
        <v>92.5</v>
      </c>
      <c r="N7" s="80">
        <v>92.5</v>
      </c>
      <c r="O7" s="80">
        <v>92.5</v>
      </c>
      <c r="P7" s="18">
        <f t="shared" ref="P7:P19" si="9">AVERAGE(M7:O7)</f>
        <v>92.5</v>
      </c>
      <c r="Q7" s="80">
        <v>92.5</v>
      </c>
      <c r="R7" s="80">
        <v>92.5</v>
      </c>
      <c r="S7" s="80">
        <v>92.5</v>
      </c>
      <c r="T7" s="77">
        <f t="array" ref="T7">SUM(IF(E$4:S$4&lt;&gt;"média",E7:S7))</f>
        <v>1110</v>
      </c>
      <c r="U7" s="62">
        <f>ROW()</f>
        <v>7</v>
      </c>
    </row>
    <row r="8" spans="1:21" ht="21.95" customHeight="1">
      <c r="A8" s="229"/>
      <c r="B8" s="16" t="s">
        <v>13</v>
      </c>
      <c r="C8" s="17" t="s">
        <v>10</v>
      </c>
      <c r="D8" s="122">
        <f>'[1]SJCPIL-R 17-204-01'!T8</f>
        <v>2173.3795550000004</v>
      </c>
      <c r="E8" s="81">
        <f>E5*E7/100*E6</f>
        <v>197.13246077911566</v>
      </c>
      <c r="F8" s="81">
        <f>F5*F7/100*F6</f>
        <v>191.45458549320614</v>
      </c>
      <c r="G8" s="81">
        <f>G5*G7/100*G6</f>
        <v>195.00978414897773</v>
      </c>
      <c r="H8" s="19">
        <f t="shared" ref="H8:L8" si="10">H5*H7/100*H6</f>
        <v>194.53227680709983</v>
      </c>
      <c r="I8" s="81">
        <f>I5*I7/100*I6</f>
        <v>191.45458549320614</v>
      </c>
      <c r="J8" s="81">
        <f>J5*J7/100*J6</f>
        <v>195.00978414897773</v>
      </c>
      <c r="K8" s="81">
        <f>K5*K7/100*K6</f>
        <v>194.41725103968247</v>
      </c>
      <c r="L8" s="19">
        <f t="shared" si="10"/>
        <v>193.62720689395542</v>
      </c>
      <c r="M8" s="81">
        <f>M5*M7/100*M6</f>
        <v>214.71531249482894</v>
      </c>
      <c r="N8" s="81">
        <f>N5*N7/100*N6</f>
        <v>219.23563486314112</v>
      </c>
      <c r="O8" s="81">
        <f>O5*O7/100*O6</f>
        <v>221.49579604729723</v>
      </c>
      <c r="P8" s="19">
        <f t="shared" si="9"/>
        <v>218.48224780175576</v>
      </c>
      <c r="Q8" s="81">
        <f>Q5*Q7/100*Q6</f>
        <v>205.41199743154883</v>
      </c>
      <c r="R8" s="81">
        <f>R5*R7/100*R6</f>
        <v>132.72772820765366</v>
      </c>
      <c r="S8" s="81">
        <f>S5*S7/100*S6</f>
        <v>151.0304868559993</v>
      </c>
      <c r="T8" s="77">
        <f t="array" ref="T8">SUM(IF(E$4:S$4&lt;&gt;"média",E8:S8))</f>
        <v>2309.095407003635</v>
      </c>
      <c r="U8" s="62">
        <f>ROW()</f>
        <v>8</v>
      </c>
    </row>
    <row r="9" spans="1:21" ht="21.95" customHeight="1">
      <c r="A9" s="230"/>
      <c r="B9" s="20" t="s">
        <v>14</v>
      </c>
      <c r="C9" s="21" t="s">
        <v>10</v>
      </c>
      <c r="D9" s="123">
        <f>'[1]SJCPIL-R 17-204-01'!T9</f>
        <v>86.780000000000015</v>
      </c>
      <c r="E9" s="64">
        <v>6.1</v>
      </c>
      <c r="F9" s="64">
        <f>E9</f>
        <v>6.1</v>
      </c>
      <c r="G9" s="64">
        <f>F9</f>
        <v>6.1</v>
      </c>
      <c r="H9" s="23">
        <f t="shared" ref="H9:H11" si="11">AVERAGE(E9:G9)</f>
        <v>6.0999999999999988</v>
      </c>
      <c r="I9" s="64">
        <v>6.1</v>
      </c>
      <c r="J9" s="64">
        <f>I9</f>
        <v>6.1</v>
      </c>
      <c r="K9" s="64">
        <f>J9</f>
        <v>6.1</v>
      </c>
      <c r="L9" s="23">
        <f t="shared" ref="L9:L11" si="12">AVERAGE(I9:K9)</f>
        <v>6.0999999999999988</v>
      </c>
      <c r="M9" s="64">
        <v>6.1</v>
      </c>
      <c r="N9" s="64">
        <f>M9</f>
        <v>6.1</v>
      </c>
      <c r="O9" s="64">
        <f>N9</f>
        <v>6.1</v>
      </c>
      <c r="P9" s="23">
        <f t="shared" si="9"/>
        <v>6.0999999999999988</v>
      </c>
      <c r="Q9" s="64">
        <v>6.1</v>
      </c>
      <c r="R9" s="64">
        <f>Q9</f>
        <v>6.1</v>
      </c>
      <c r="S9" s="64">
        <f>R9</f>
        <v>6.1</v>
      </c>
      <c r="T9" s="37">
        <f t="array" ref="T9">SUM(IF(E$4:S$4&lt;&gt;"média",E9:S9))</f>
        <v>73.2</v>
      </c>
      <c r="U9" s="62">
        <f>ROW()</f>
        <v>9</v>
      </c>
    </row>
    <row r="10" spans="1:21" ht="21.95" customHeight="1">
      <c r="A10" s="231"/>
      <c r="B10" s="24" t="s">
        <v>15</v>
      </c>
      <c r="C10" s="25" t="s">
        <v>12</v>
      </c>
      <c r="D10" s="124">
        <f>'[1]SJCPIL-R 17-204-01'!T10</f>
        <v>91</v>
      </c>
      <c r="E10" s="82">
        <v>7.5</v>
      </c>
      <c r="F10" s="82">
        <v>7.5</v>
      </c>
      <c r="G10" s="82">
        <v>7.5</v>
      </c>
      <c r="H10" s="26">
        <f t="shared" si="11"/>
        <v>7.5</v>
      </c>
      <c r="I10" s="82">
        <v>7.5</v>
      </c>
      <c r="J10" s="82">
        <v>7.5</v>
      </c>
      <c r="K10" s="82">
        <v>7.5</v>
      </c>
      <c r="L10" s="26">
        <f t="shared" si="12"/>
        <v>7.5</v>
      </c>
      <c r="M10" s="82">
        <v>7.5</v>
      </c>
      <c r="N10" s="82">
        <v>7.5</v>
      </c>
      <c r="O10" s="82">
        <v>7.5</v>
      </c>
      <c r="P10" s="26">
        <f t="shared" si="9"/>
        <v>7.5</v>
      </c>
      <c r="Q10" s="82">
        <v>7.5</v>
      </c>
      <c r="R10" s="82">
        <v>7.5</v>
      </c>
      <c r="S10" s="82">
        <v>7.5</v>
      </c>
      <c r="T10" s="40">
        <f t="array" ref="T10">SUM(IF(E$4:S$4&lt;&gt;"média",E10:S10))</f>
        <v>90</v>
      </c>
      <c r="U10" s="62">
        <f>ROW()</f>
        <v>10</v>
      </c>
    </row>
    <row r="11" spans="1:21" ht="21.95" customHeight="1">
      <c r="A11" s="231"/>
      <c r="B11" s="24" t="s">
        <v>16</v>
      </c>
      <c r="C11" s="25" t="s">
        <v>10</v>
      </c>
      <c r="D11" s="124">
        <f>'[1]SJCPIL-R 17-204-01'!T11</f>
        <v>127.69051999999999</v>
      </c>
      <c r="E11" s="65">
        <f>E5*E10/100*E9</f>
        <v>12.081864872426458</v>
      </c>
      <c r="F11" s="65">
        <f>F5*F10/100*F9</f>
        <v>11.733878946132396</v>
      </c>
      <c r="G11" s="65">
        <f>G5*G10/100*G9</f>
        <v>11.951770152805826</v>
      </c>
      <c r="H11" s="27">
        <f t="shared" si="11"/>
        <v>11.922504657121559</v>
      </c>
      <c r="I11" s="65">
        <f>I5*I10/100*I9</f>
        <v>11.733878946132396</v>
      </c>
      <c r="J11" s="65">
        <f>J5*J10/100*J9</f>
        <v>11.951770152805826</v>
      </c>
      <c r="K11" s="65">
        <f>K5*K10/100*K9</f>
        <v>11.91545495169359</v>
      </c>
      <c r="L11" s="27">
        <f t="shared" si="12"/>
        <v>11.867034683543936</v>
      </c>
      <c r="M11" s="65">
        <f>M5*M10/100*M9</f>
        <v>13.159483635270332</v>
      </c>
      <c r="N11" s="65">
        <f>N5*N10/100*N9</f>
        <v>13.436525396012867</v>
      </c>
      <c r="O11" s="65">
        <f>O5*O10/100*O9</f>
        <v>13.575046276384134</v>
      </c>
      <c r="P11" s="27">
        <f t="shared" si="9"/>
        <v>13.390351769222443</v>
      </c>
      <c r="Q11" s="65">
        <f>Q5*Q10/100*Q9</f>
        <v>12.589301560659578</v>
      </c>
      <c r="R11" s="65">
        <f>R5*R10/100*R9</f>
        <v>8.1346241541915703</v>
      </c>
      <c r="S11" s="65">
        <f>S5*S10/100*S9</f>
        <v>9.2563646118918488</v>
      </c>
      <c r="T11" s="40">
        <f t="array" ref="T11">SUM(IF(E$4:S$4&lt;&gt;"média",E11:S11))</f>
        <v>141.51996365640684</v>
      </c>
      <c r="U11" s="62">
        <f>ROW()</f>
        <v>11</v>
      </c>
    </row>
    <row r="12" spans="1:21" ht="21.95" customHeight="1">
      <c r="A12" s="232"/>
      <c r="B12" s="28" t="s">
        <v>17</v>
      </c>
      <c r="C12" s="29" t="s">
        <v>10</v>
      </c>
      <c r="D12" s="125">
        <f>'[1]SJCPIL-R 17-204-01'!T12</f>
        <v>2301.0700750000001</v>
      </c>
      <c r="E12" s="66">
        <f t="shared" ref="E12:O12" si="13">E11+E8</f>
        <v>209.21432565154211</v>
      </c>
      <c r="F12" s="66">
        <f t="shared" si="13"/>
        <v>203.18846443933853</v>
      </c>
      <c r="G12" s="66">
        <f t="shared" si="13"/>
        <v>206.96155430178356</v>
      </c>
      <c r="H12" s="30">
        <f t="shared" si="13"/>
        <v>206.45478146422138</v>
      </c>
      <c r="I12" s="66">
        <f t="shared" si="13"/>
        <v>203.18846443933853</v>
      </c>
      <c r="J12" s="66">
        <f t="shared" si="13"/>
        <v>206.96155430178356</v>
      </c>
      <c r="K12" s="66">
        <f t="shared" si="13"/>
        <v>206.33270599137606</v>
      </c>
      <c r="L12" s="30">
        <f t="shared" si="13"/>
        <v>205.49424157749937</v>
      </c>
      <c r="M12" s="66">
        <f t="shared" si="13"/>
        <v>227.87479613009927</v>
      </c>
      <c r="N12" s="66">
        <f t="shared" si="13"/>
        <v>232.67216025915397</v>
      </c>
      <c r="O12" s="66">
        <f t="shared" si="13"/>
        <v>235.07084232368138</v>
      </c>
      <c r="P12" s="30">
        <f t="shared" si="9"/>
        <v>231.8725995709782</v>
      </c>
      <c r="Q12" s="66">
        <f t="shared" ref="Q12:S12" si="14">Q11+Q8</f>
        <v>218.0012989922084</v>
      </c>
      <c r="R12" s="66">
        <f t="shared" si="14"/>
        <v>140.86235236184524</v>
      </c>
      <c r="S12" s="66">
        <f t="shared" si="14"/>
        <v>160.28685146789115</v>
      </c>
      <c r="T12" s="41">
        <f t="array" ref="T12">SUM(IF(E$4:S$4&lt;&gt;"média",E12:S12))</f>
        <v>2450.6153706600417</v>
      </c>
      <c r="U12" s="62">
        <f>ROW()</f>
        <v>12</v>
      </c>
    </row>
    <row r="13" spans="1:21" ht="21.95" customHeight="1">
      <c r="A13" s="89" t="s">
        <v>30</v>
      </c>
      <c r="B13" s="11" t="s">
        <v>7</v>
      </c>
      <c r="C13" s="12" t="s">
        <v>32</v>
      </c>
      <c r="D13" s="121">
        <f>'[1]SJCPIL-R 17-204-01'!T13</f>
        <v>368</v>
      </c>
      <c r="E13" s="79">
        <f>$D$13/$D$49*E49</f>
        <v>41.8892620411997</v>
      </c>
      <c r="F13" s="79">
        <f t="shared" ref="F13:G13" si="15">$D$13/$D$49*F49</f>
        <v>40.682753459362367</v>
      </c>
      <c r="G13" s="79">
        <f t="shared" si="15"/>
        <v>41.438208180069196</v>
      </c>
      <c r="H13" s="14">
        <v>146.22731505023185</v>
      </c>
      <c r="I13" s="79">
        <f t="shared" ref="I13:K13" si="16">$D$13/$D$49*I49</f>
        <v>40.682753459362367</v>
      </c>
      <c r="J13" s="79">
        <f t="shared" si="16"/>
        <v>41.438208180069196</v>
      </c>
      <c r="K13" s="79">
        <f t="shared" si="16"/>
        <v>41.312299059951393</v>
      </c>
      <c r="L13" s="14">
        <f t="shared" ref="L13:L19" si="17">AVERAGE(I13:K13)</f>
        <v>41.144420233127647</v>
      </c>
      <c r="M13" s="79">
        <f t="shared" ref="M13:O13" si="18">$D$13/$D$49*M49</f>
        <v>45.625494420383298</v>
      </c>
      <c r="N13" s="79">
        <f t="shared" si="18"/>
        <v>46.586031145022943</v>
      </c>
      <c r="O13" s="79">
        <f t="shared" si="18"/>
        <v>47.066299507342769</v>
      </c>
      <c r="P13" s="14">
        <f t="shared" si="9"/>
        <v>46.425941690916339</v>
      </c>
      <c r="Q13" s="79">
        <f t="shared" ref="Q13:S13" si="19">$D$13/$D$49*Q49</f>
        <v>43.648605373306246</v>
      </c>
      <c r="R13" s="79">
        <f t="shared" si="19"/>
        <v>28.203709145868643</v>
      </c>
      <c r="S13" s="79">
        <f t="shared" si="19"/>
        <v>32.092916687169776</v>
      </c>
      <c r="T13" s="37">
        <f t="array" ref="T13">SUM(IF(E$4:S$4&lt;&gt;"média",E13:S13))</f>
        <v>490.6665406591078</v>
      </c>
      <c r="U13" s="62">
        <f>ROW()</f>
        <v>13</v>
      </c>
    </row>
    <row r="14" spans="1:21" ht="21.95" customHeight="1">
      <c r="A14" s="89" t="s">
        <v>36</v>
      </c>
      <c r="B14" s="20" t="s">
        <v>31</v>
      </c>
      <c r="C14" s="21" t="s">
        <v>10</v>
      </c>
      <c r="D14" s="123">
        <f>'[1]SJCPIL-R 17-204-01'!T14</f>
        <v>0.38086000000000009</v>
      </c>
      <c r="E14" s="83">
        <f>23.81/1000</f>
        <v>2.3809999999999998E-2</v>
      </c>
      <c r="F14" s="83">
        <f>E14</f>
        <v>2.3809999999999998E-2</v>
      </c>
      <c r="G14" s="83">
        <f>F14</f>
        <v>2.3809999999999998E-2</v>
      </c>
      <c r="H14" s="31">
        <f t="shared" ref="H14" si="20">AVERAGE(E14:G14)</f>
        <v>2.3809999999999998E-2</v>
      </c>
      <c r="I14" s="83">
        <f>G14</f>
        <v>2.3809999999999998E-2</v>
      </c>
      <c r="J14" s="83">
        <f>I14</f>
        <v>2.3809999999999998E-2</v>
      </c>
      <c r="K14" s="83">
        <f>J14</f>
        <v>2.3809999999999998E-2</v>
      </c>
      <c r="L14" s="31">
        <f t="shared" si="17"/>
        <v>2.3809999999999998E-2</v>
      </c>
      <c r="M14" s="83">
        <f>K14</f>
        <v>2.3809999999999998E-2</v>
      </c>
      <c r="N14" s="83">
        <f>M14</f>
        <v>2.3809999999999998E-2</v>
      </c>
      <c r="O14" s="83">
        <f>N14</f>
        <v>2.3809999999999998E-2</v>
      </c>
      <c r="P14" s="31">
        <f t="shared" si="9"/>
        <v>2.3809999999999998E-2</v>
      </c>
      <c r="Q14" s="83">
        <f>O14</f>
        <v>2.3809999999999998E-2</v>
      </c>
      <c r="R14" s="83">
        <f>Q14</f>
        <v>2.3809999999999998E-2</v>
      </c>
      <c r="S14" s="83">
        <f>R14</f>
        <v>2.3809999999999998E-2</v>
      </c>
      <c r="T14" s="37">
        <f t="array" ref="T14">SUM(IF(E$4:S$4&lt;&gt;"média",E14:S14))</f>
        <v>0.28571999999999997</v>
      </c>
      <c r="U14" s="62">
        <f>ROW()</f>
        <v>14</v>
      </c>
    </row>
    <row r="15" spans="1:21" ht="21.95" customHeight="1">
      <c r="A15" s="89"/>
      <c r="B15" s="20" t="s">
        <v>17</v>
      </c>
      <c r="C15" s="21" t="s">
        <v>10</v>
      </c>
      <c r="D15" s="123">
        <f>'[1]SJCPIL-R 17-204-01'!T15</f>
        <v>11.150499999999999</v>
      </c>
      <c r="E15" s="64">
        <f>E13*E14</f>
        <v>0.99738332920096473</v>
      </c>
      <c r="F15" s="64">
        <f>F13*F14</f>
        <v>0.96865635986741783</v>
      </c>
      <c r="G15" s="64">
        <f>G13*G14</f>
        <v>0.98664373676744743</v>
      </c>
      <c r="H15" s="32">
        <f t="shared" ref="H15:H19" si="21">AVERAGE(E15:G15)</f>
        <v>0.98422780861194337</v>
      </c>
      <c r="I15" s="64">
        <f>I13*I14</f>
        <v>0.96865635986741783</v>
      </c>
      <c r="J15" s="64">
        <f>J13*J14</f>
        <v>0.98664373676744743</v>
      </c>
      <c r="K15" s="64">
        <f>K13*K14</f>
        <v>0.98364584061744254</v>
      </c>
      <c r="L15" s="32">
        <f t="shared" si="17"/>
        <v>0.97964864575076926</v>
      </c>
      <c r="M15" s="64">
        <f>M13*M14</f>
        <v>1.0863430221493262</v>
      </c>
      <c r="N15" s="64">
        <f>N13*N14</f>
        <v>1.1092134015629962</v>
      </c>
      <c r="O15" s="64">
        <f>O13*O14</f>
        <v>1.1206485912698312</v>
      </c>
      <c r="P15" s="32">
        <f t="shared" si="9"/>
        <v>1.1054016716607178</v>
      </c>
      <c r="Q15" s="64">
        <f>Q13*Q14</f>
        <v>1.0392732939384217</v>
      </c>
      <c r="R15" s="64">
        <f>R13*R14</f>
        <v>0.6715303147631323</v>
      </c>
      <c r="S15" s="64">
        <f>S13*S14</f>
        <v>0.76413234632151228</v>
      </c>
      <c r="T15" s="37">
        <f t="array" ref="T15">SUM(IF(E$4:S$4&lt;&gt;"média",E15:S15))</f>
        <v>11.682770333093357</v>
      </c>
      <c r="U15" s="62">
        <f>ROW()</f>
        <v>15</v>
      </c>
    </row>
    <row r="16" spans="1:21" ht="21.95" customHeight="1">
      <c r="A16" s="74" t="s">
        <v>33</v>
      </c>
      <c r="B16" s="75" t="s">
        <v>27</v>
      </c>
      <c r="C16" s="76" t="s">
        <v>10</v>
      </c>
      <c r="D16" s="126">
        <f>'[1]SJCPIL-R 17-204-01'!T16</f>
        <v>2312.2205750000003</v>
      </c>
      <c r="E16" s="69">
        <f>E15+E12</f>
        <v>210.21170898074308</v>
      </c>
      <c r="F16" s="69">
        <f>F15+F12</f>
        <v>204.15712079920596</v>
      </c>
      <c r="G16" s="69">
        <f>G15+G12</f>
        <v>207.948198038551</v>
      </c>
      <c r="H16" s="69">
        <f t="shared" si="21"/>
        <v>207.43900927283335</v>
      </c>
      <c r="I16" s="69">
        <f>I15+I12</f>
        <v>204.15712079920596</v>
      </c>
      <c r="J16" s="69">
        <f>J15+J12</f>
        <v>207.948198038551</v>
      </c>
      <c r="K16" s="69">
        <f>K15+K12</f>
        <v>207.3163518319935</v>
      </c>
      <c r="L16" s="69">
        <f t="shared" si="17"/>
        <v>206.47389022325015</v>
      </c>
      <c r="M16" s="69">
        <f>M15+M12</f>
        <v>228.96113915224859</v>
      </c>
      <c r="N16" s="69">
        <f>N15+N12</f>
        <v>233.78137366071695</v>
      </c>
      <c r="O16" s="69">
        <f>O15+O12</f>
        <v>236.1914909149512</v>
      </c>
      <c r="P16" s="69">
        <f t="shared" si="9"/>
        <v>232.9780012426389</v>
      </c>
      <c r="Q16" s="69">
        <f>Q15+Q12</f>
        <v>219.04057228614681</v>
      </c>
      <c r="R16" s="69">
        <f>R15+R12</f>
        <v>141.53388267660839</v>
      </c>
      <c r="S16" s="69">
        <f>S15+S12</f>
        <v>161.05098381421266</v>
      </c>
      <c r="T16" s="78">
        <f t="array" ref="T16">SUM(IF(E$4:S$4&lt;&gt;"média",E16:S16))</f>
        <v>2462.2981409931344</v>
      </c>
      <c r="U16" s="62">
        <f>ROW()</f>
        <v>16</v>
      </c>
    </row>
    <row r="17" spans="1:21" ht="21.95" customHeight="1">
      <c r="A17" s="228" t="s">
        <v>18</v>
      </c>
      <c r="B17" s="11" t="s">
        <v>19</v>
      </c>
      <c r="C17" s="12" t="s">
        <v>8</v>
      </c>
      <c r="D17" s="121">
        <f>'[1]SJCPIL-R 17-204-01'!T17</f>
        <v>5851</v>
      </c>
      <c r="E17" s="79">
        <f>$D17/$D$48*E$48</f>
        <v>548.47336333726901</v>
      </c>
      <c r="F17" s="79">
        <f t="shared" ref="F17:G17" si="22">$D17/$D$48*F$48</f>
        <v>515.29611707809772</v>
      </c>
      <c r="G17" s="79">
        <f t="shared" si="22"/>
        <v>518.39296822547055</v>
      </c>
      <c r="H17" s="14">
        <f t="shared" si="21"/>
        <v>527.38748288027909</v>
      </c>
      <c r="I17" s="79">
        <f t="shared" ref="I17:K17" si="23">$D17/$D$48*I$48</f>
        <v>515.29611707809772</v>
      </c>
      <c r="J17" s="79">
        <f t="shared" si="23"/>
        <v>518.39296822547055</v>
      </c>
      <c r="K17" s="79">
        <f t="shared" si="23"/>
        <v>551.78824476588329</v>
      </c>
      <c r="L17" s="14">
        <f t="shared" si="17"/>
        <v>528.49244335648393</v>
      </c>
      <c r="M17" s="79">
        <f t="shared" ref="M17:O17" si="24">$D17/$D$48*M$48</f>
        <v>609.13143535496692</v>
      </c>
      <c r="N17" s="79">
        <f t="shared" si="24"/>
        <v>599.43364357585233</v>
      </c>
      <c r="O17" s="79">
        <f t="shared" si="24"/>
        <v>599.18010383423859</v>
      </c>
      <c r="P17" s="14">
        <f t="shared" si="9"/>
        <v>602.58172758835269</v>
      </c>
      <c r="Q17" s="79">
        <f t="shared" ref="Q17:S17" si="25">$D17/$D$48*Q$48</f>
        <v>575.99614666949208</v>
      </c>
      <c r="R17" s="79">
        <f t="shared" si="25"/>
        <v>442.61447746592688</v>
      </c>
      <c r="S17" s="79">
        <f t="shared" si="25"/>
        <v>440.72731750148949</v>
      </c>
      <c r="T17" s="34">
        <f t="array" ref="T17">SUM(IF(E$4:S$4&lt;&gt;"média",E17:S17))</f>
        <v>6434.7229031122552</v>
      </c>
      <c r="U17" s="62">
        <f>ROW()</f>
        <v>17</v>
      </c>
    </row>
    <row r="18" spans="1:21" ht="21.95" customHeight="1">
      <c r="A18" s="230"/>
      <c r="B18" s="20" t="s">
        <v>20</v>
      </c>
      <c r="C18" s="21" t="s">
        <v>10</v>
      </c>
      <c r="D18" s="123">
        <f>'[1]SJCPIL-R 17-204-01'!T18</f>
        <v>3791.6400000000012</v>
      </c>
      <c r="E18" s="84">
        <f>'[2]SJCPIL-R 17-203-00'!D$6</f>
        <v>510</v>
      </c>
      <c r="F18" s="84">
        <f>'[2]SJCPIL-R 17-203-00'!E$6</f>
        <v>510</v>
      </c>
      <c r="G18" s="84">
        <f>'[2]SJCPIL-R 17-203-00'!$D$6</f>
        <v>510</v>
      </c>
      <c r="H18" s="33">
        <f t="shared" si="21"/>
        <v>510</v>
      </c>
      <c r="I18" s="84">
        <f>'[2]SJCPIL-R 17-203-00'!$D$6</f>
        <v>510</v>
      </c>
      <c r="J18" s="84">
        <f>'[2]SJCPIL-R 17-203-00'!$D$6</f>
        <v>510</v>
      </c>
      <c r="K18" s="84">
        <f>'[2]SJCPIL-R 17-203-00'!$D$6</f>
        <v>510</v>
      </c>
      <c r="L18" s="33">
        <f t="shared" si="17"/>
        <v>510</v>
      </c>
      <c r="M18" s="84">
        <f>'[2]SJCPIL-R 17-203-00'!$D$6</f>
        <v>510</v>
      </c>
      <c r="N18" s="84">
        <f>'[2]SJCPIL-R 17-203-00'!$D$6</f>
        <v>510</v>
      </c>
      <c r="O18" s="84">
        <f>'[2]SJCPIL-R 17-203-00'!$D$6</f>
        <v>510</v>
      </c>
      <c r="P18" s="32">
        <f t="shared" si="9"/>
        <v>510</v>
      </c>
      <c r="Q18" s="84">
        <f>'[2]SJCPIL-R 17-203-00'!$D$6</f>
        <v>510</v>
      </c>
      <c r="R18" s="84">
        <f>'[2]SJCPIL-R 17-203-00'!$D$6</f>
        <v>510</v>
      </c>
      <c r="S18" s="84">
        <f>'[2]SJCPIL-R 17-203-00'!$D$6</f>
        <v>510</v>
      </c>
      <c r="T18" s="37">
        <f t="array" ref="T18">SUM(IF(E$4:S$4&lt;&gt;"média",E18:S18))</f>
        <v>6120</v>
      </c>
      <c r="U18" s="62">
        <f>ROW()</f>
        <v>18</v>
      </c>
    </row>
    <row r="19" spans="1:21" ht="21.95" customHeight="1">
      <c r="A19" s="231"/>
      <c r="B19" s="24" t="s">
        <v>17</v>
      </c>
      <c r="C19" s="25" t="s">
        <v>10</v>
      </c>
      <c r="D19" s="124">
        <f>'[1]SJCPIL-R 17-204-01'!T19</f>
        <v>1682.4818425995218</v>
      </c>
      <c r="E19" s="65">
        <f>E17*E18/1000</f>
        <v>279.72141530200719</v>
      </c>
      <c r="F19" s="65">
        <f>F17*F18/1000</f>
        <v>262.8010197098298</v>
      </c>
      <c r="G19" s="65">
        <f>G17*G18/1000</f>
        <v>264.38041379498998</v>
      </c>
      <c r="H19" s="27">
        <f t="shared" si="21"/>
        <v>268.96761626894232</v>
      </c>
      <c r="I19" s="65">
        <f>I17*I18/1000</f>
        <v>262.8010197098298</v>
      </c>
      <c r="J19" s="65">
        <f>J17*J18/1000</f>
        <v>264.38041379498998</v>
      </c>
      <c r="K19" s="65">
        <f>K17*K18/1000</f>
        <v>281.41200483060044</v>
      </c>
      <c r="L19" s="27">
        <f t="shared" si="17"/>
        <v>269.53114611180672</v>
      </c>
      <c r="M19" s="65">
        <f>M17*M18/1000</f>
        <v>310.65703203103311</v>
      </c>
      <c r="N19" s="65">
        <f>N17*N18/1000</f>
        <v>305.71115822368472</v>
      </c>
      <c r="O19" s="65">
        <f>O17*O18/1000</f>
        <v>305.58185295546167</v>
      </c>
      <c r="P19" s="27">
        <f t="shared" si="9"/>
        <v>307.31668107005981</v>
      </c>
      <c r="Q19" s="65">
        <f>Q17*Q18/1000</f>
        <v>293.75803480144094</v>
      </c>
      <c r="R19" s="65">
        <f>R17*R18/1000</f>
        <v>225.7333835076227</v>
      </c>
      <c r="S19" s="65">
        <f>S17*S18/1000</f>
        <v>224.77093192575964</v>
      </c>
      <c r="T19" s="41">
        <f t="array" ref="T19">SUM(IF(E$4:S$4&lt;&gt;"média",E19:S19))</f>
        <v>3281.70868058725</v>
      </c>
      <c r="U19" s="62">
        <f>ROW()</f>
        <v>19</v>
      </c>
    </row>
    <row r="20" spans="1:21" ht="21.95" customHeight="1">
      <c r="A20" s="228" t="s">
        <v>21</v>
      </c>
      <c r="B20" s="11" t="s">
        <v>19</v>
      </c>
      <c r="C20" s="12" t="s">
        <v>22</v>
      </c>
      <c r="D20" s="121">
        <f>'[1]SJCPIL-R 17-204-01'!T20</f>
        <v>12120</v>
      </c>
      <c r="E20" s="79">
        <f>$D20/$D$48*E$48</f>
        <v>1136.1300912062384</v>
      </c>
      <c r="F20" s="79">
        <f t="shared" ref="F20:G20" si="26">$D20/$D$48*F$48</f>
        <v>1067.4053903583224</v>
      </c>
      <c r="G20" s="79">
        <f t="shared" si="26"/>
        <v>1073.8203341125793</v>
      </c>
      <c r="H20" s="14">
        <f t="shared" ref="H20:H21" si="27">AVERAGE(E20:G20)</f>
        <v>1092.4519385590465</v>
      </c>
      <c r="I20" s="79">
        <f t="shared" ref="I20:K20" si="28">$D20/$D$48*I$48</f>
        <v>1067.4053903583224</v>
      </c>
      <c r="J20" s="79">
        <f t="shared" si="28"/>
        <v>1073.8203341125793</v>
      </c>
      <c r="K20" s="79">
        <f t="shared" si="28"/>
        <v>1142.9966717761929</v>
      </c>
      <c r="L20" s="14">
        <f t="shared" ref="L20:L21" si="29">AVERAGE(I20:K20)</f>
        <v>1094.7407987490315</v>
      </c>
      <c r="M20" s="79">
        <f t="shared" ref="M20:O20" si="30">$D20/$D$48*M$48</f>
        <v>1261.7796951806868</v>
      </c>
      <c r="N20" s="79">
        <f t="shared" si="30"/>
        <v>1241.6912938197452</v>
      </c>
      <c r="O20" s="79">
        <f t="shared" si="30"/>
        <v>1241.1661012597797</v>
      </c>
      <c r="P20" s="14">
        <f t="shared" ref="P20:P21" si="31">AVERAGE(M20:O20)</f>
        <v>1248.2123634200705</v>
      </c>
      <c r="Q20" s="79">
        <f t="shared" ref="Q20:S20" si="32">$D20/$D$48*Q$48</f>
        <v>1193.1419069619285</v>
      </c>
      <c r="R20" s="79">
        <f t="shared" si="32"/>
        <v>916.84967815536379</v>
      </c>
      <c r="S20" s="79">
        <f t="shared" si="32"/>
        <v>912.94053804786392</v>
      </c>
      <c r="T20" s="34">
        <f t="array" ref="T20">SUM(IF(E$4:S$4&lt;&gt;"média",E20:S20))</f>
        <v>13329.147425349602</v>
      </c>
      <c r="U20" s="62">
        <f>ROW()</f>
        <v>20</v>
      </c>
    </row>
    <row r="21" spans="1:21" ht="30">
      <c r="A21" s="230"/>
      <c r="B21" s="35" t="s">
        <v>23</v>
      </c>
      <c r="C21" s="36" t="s">
        <v>10</v>
      </c>
      <c r="D21" s="127">
        <f>'[1]SJCPIL-R 17-204-01'!T21</f>
        <v>0</v>
      </c>
      <c r="E21" s="64">
        <v>12.12</v>
      </c>
      <c r="F21" s="83">
        <f>E21</f>
        <v>12.12</v>
      </c>
      <c r="G21" s="83">
        <f>F21</f>
        <v>12.12</v>
      </c>
      <c r="H21" s="31">
        <f t="shared" si="27"/>
        <v>12.12</v>
      </c>
      <c r="I21" s="83">
        <f>G21</f>
        <v>12.12</v>
      </c>
      <c r="J21" s="83">
        <f>I21</f>
        <v>12.12</v>
      </c>
      <c r="K21" s="83">
        <f>J21</f>
        <v>12.12</v>
      </c>
      <c r="L21" s="31">
        <f t="shared" si="29"/>
        <v>12.12</v>
      </c>
      <c r="M21" s="83">
        <f>K21</f>
        <v>12.12</v>
      </c>
      <c r="N21" s="83">
        <f>M21</f>
        <v>12.12</v>
      </c>
      <c r="O21" s="83">
        <f>N21</f>
        <v>12.12</v>
      </c>
      <c r="P21" s="31">
        <f t="shared" si="31"/>
        <v>12.12</v>
      </c>
      <c r="Q21" s="83">
        <f>O21</f>
        <v>12.12</v>
      </c>
      <c r="R21" s="83">
        <f>Q21</f>
        <v>12.12</v>
      </c>
      <c r="S21" s="83">
        <f>R21</f>
        <v>12.12</v>
      </c>
      <c r="T21" s="37"/>
      <c r="U21" s="62">
        <f>ROW()</f>
        <v>21</v>
      </c>
    </row>
    <row r="22" spans="1:21" ht="15">
      <c r="A22" s="230"/>
      <c r="B22" s="35" t="s">
        <v>24</v>
      </c>
      <c r="C22" s="36" t="s">
        <v>10</v>
      </c>
      <c r="D22" s="127">
        <f>'[1]SJCPIL-R 17-204-01'!T22</f>
        <v>209610.73327641111</v>
      </c>
      <c r="E22" s="64">
        <f>E21*E20</f>
        <v>13769.896705419609</v>
      </c>
      <c r="F22" s="64">
        <f>F21*F20</f>
        <v>12936.953331142866</v>
      </c>
      <c r="G22" s="64">
        <f>G21*G20</f>
        <v>13014.702449444459</v>
      </c>
      <c r="H22" s="32">
        <f t="shared" ref="H22" si="33">AVERAGE(E22:G22)</f>
        <v>13240.517495335645</v>
      </c>
      <c r="I22" s="64">
        <f>I21*I20</f>
        <v>12936.953331142866</v>
      </c>
      <c r="J22" s="64">
        <f>J21*J20</f>
        <v>13014.702449444459</v>
      </c>
      <c r="K22" s="64">
        <f>K21*K20</f>
        <v>13853.119661927458</v>
      </c>
      <c r="L22" s="32">
        <f t="shared" ref="L22" si="34">AVERAGE(I22:K22)</f>
        <v>13268.25848083826</v>
      </c>
      <c r="M22" s="64">
        <f>M21*M20</f>
        <v>15292.769905589923</v>
      </c>
      <c r="N22" s="64">
        <f>N21*N20</f>
        <v>15049.298481095311</v>
      </c>
      <c r="O22" s="64">
        <f>O21*O20</f>
        <v>15042.933147268528</v>
      </c>
      <c r="P22" s="32">
        <f t="shared" ref="P22" si="35">AVERAGE(M22:O22)</f>
        <v>15128.333844651255</v>
      </c>
      <c r="Q22" s="64">
        <f>Q21*Q20</f>
        <v>14460.879912378572</v>
      </c>
      <c r="R22" s="64">
        <f>R21*R20</f>
        <v>11112.218099243008</v>
      </c>
      <c r="S22" s="64">
        <f>S21*S20</f>
        <v>11064.839321140111</v>
      </c>
      <c r="T22" s="37">
        <f t="array" ref="T22">SUM(IF(E$4:S$4&lt;&gt;"média",E22:S22))</f>
        <v>161549.26679523717</v>
      </c>
      <c r="U22" s="62">
        <f>ROW()</f>
        <v>22</v>
      </c>
    </row>
    <row r="23" spans="1:21" ht="30">
      <c r="A23" s="230"/>
      <c r="B23" s="35" t="s">
        <v>25</v>
      </c>
      <c r="C23" s="36" t="s">
        <v>10</v>
      </c>
      <c r="D23" s="127">
        <f>'[1]SJCPIL-R 17-204-01'!T23</f>
        <v>83.531705108553922</v>
      </c>
      <c r="E23" s="64">
        <f>'[2]SJCPIL-R 17-203-00'!D$22</f>
        <v>6.4083300000000003</v>
      </c>
      <c r="F23" s="64">
        <f>'[2]SJCPIL-R 17-203-00'!E$22</f>
        <v>6.1650521856000005</v>
      </c>
      <c r="G23" s="64">
        <f>'[2]SJCPIL-R 17-203-00'!F$22</f>
        <v>6.1650521856000005</v>
      </c>
      <c r="H23" s="32"/>
      <c r="I23" s="64">
        <f>'[2]SJCPIL-R 17-203-00'!H$22</f>
        <v>5.1667576352000006</v>
      </c>
      <c r="J23" s="64">
        <f>'[2]SJCPIL-R 17-203-00'!I$22</f>
        <v>5.1176573280000008</v>
      </c>
      <c r="K23" s="64">
        <f>'[2]SJCPIL-R 17-203-00'!J$22</f>
        <v>5.12</v>
      </c>
      <c r="L23" s="32"/>
      <c r="M23" s="64">
        <v>4.74</v>
      </c>
      <c r="N23" s="64">
        <f>'[2]SJCPIL-R 17-203-00'!M$22</f>
        <v>6.0969555900000003</v>
      </c>
      <c r="O23" s="64">
        <f>'[2]SJCPIL-R 17-203-00'!N$22</f>
        <v>6.0969555900000003</v>
      </c>
      <c r="P23" s="32"/>
      <c r="Q23" s="64">
        <f>'[2]SJCPIL-R 17-203-00'!P$22</f>
        <v>5.8130278200000012</v>
      </c>
      <c r="R23" s="64">
        <f>'[2]SJCPIL-R 17-203-00'!Q$22</f>
        <v>6.0274090440000005</v>
      </c>
      <c r="S23" s="64">
        <f>'[2]SJCPIL-R 17-203-00'!R$22</f>
        <v>6.0274090440000005</v>
      </c>
      <c r="T23" s="37">
        <f t="array" ref="T23">SUM(IF(E$4:S$4&lt;&gt;"média",E23:S23))</f>
        <v>68.9446064224</v>
      </c>
      <c r="U23" s="62">
        <f>ROW()</f>
        <v>23</v>
      </c>
    </row>
    <row r="24" spans="1:21" ht="30">
      <c r="A24" s="231"/>
      <c r="B24" s="38" t="s">
        <v>26</v>
      </c>
      <c r="C24" s="39" t="s">
        <v>10</v>
      </c>
      <c r="D24" s="128">
        <f>'[1]SJCPIL-R 17-204-01'!T24</f>
        <v>102019.54000392221</v>
      </c>
      <c r="E24" s="65">
        <f>E23*E20</f>
        <v>7280.6965473796736</v>
      </c>
      <c r="F24" s="65">
        <f>F23*F20</f>
        <v>6580.6099347497975</v>
      </c>
      <c r="G24" s="65">
        <f>G23*G20</f>
        <v>6620.1583977624796</v>
      </c>
      <c r="H24" s="27">
        <f t="shared" ref="H24:H30" si="36">AVERAGE(E24:G24)</f>
        <v>6827.1549599639839</v>
      </c>
      <c r="I24" s="65">
        <f>I23*I20</f>
        <v>5515.0249504874992</v>
      </c>
      <c r="J24" s="65">
        <f>J23*J20</f>
        <v>5495.4445018266506</v>
      </c>
      <c r="K24" s="65">
        <f>K23*K20</f>
        <v>5852.1429594941073</v>
      </c>
      <c r="L24" s="27">
        <f t="shared" ref="L24:L30" si="37">AVERAGE(I24:K24)</f>
        <v>5620.8708039360863</v>
      </c>
      <c r="M24" s="65">
        <f>M23*M20</f>
        <v>5980.8357551564559</v>
      </c>
      <c r="N24" s="65">
        <f>'[2]SJCPIL-R 17-203-00'!M$23</f>
        <v>20883.611402768202</v>
      </c>
      <c r="O24" s="65">
        <f>O23*O20</f>
        <v>7567.3345991943197</v>
      </c>
      <c r="P24" s="27">
        <f t="shared" ref="P24:P30" si="38">AVERAGE(M24:O24)</f>
        <v>11477.260585706324</v>
      </c>
      <c r="Q24" s="65">
        <f>Q23*Q20</f>
        <v>6935.7670983775433</v>
      </c>
      <c r="R24" s="65">
        <f>R23*R20</f>
        <v>5526.2280421021296</v>
      </c>
      <c r="S24" s="64">
        <f>S23*S20</f>
        <v>5502.6660556639217</v>
      </c>
      <c r="T24" s="40">
        <f t="array" ref="T24">SUM(IF(E$4:S$4&lt;&gt;"média",E24:S24))</f>
        <v>89740.520244962783</v>
      </c>
      <c r="U24" s="62">
        <f>ROW()</f>
        <v>24</v>
      </c>
    </row>
    <row r="25" spans="1:21" ht="21.95" customHeight="1">
      <c r="A25" s="232"/>
      <c r="B25" s="28" t="s">
        <v>17</v>
      </c>
      <c r="C25" s="29" t="s">
        <v>10</v>
      </c>
      <c r="D25" s="125">
        <f>'[1]SJCPIL-R 17-204-01'!T25</f>
        <v>107591.19327248889</v>
      </c>
      <c r="E25" s="66">
        <f>E22-E24</f>
        <v>6489.2001580399356</v>
      </c>
      <c r="F25" s="66">
        <f>F22-F24+1150.52</f>
        <v>7506.8633963930679</v>
      </c>
      <c r="G25" s="66">
        <f>G22-G24</f>
        <v>6394.5440516819799</v>
      </c>
      <c r="H25" s="30">
        <f t="shared" si="36"/>
        <v>6796.8692020383278</v>
      </c>
      <c r="I25" s="66">
        <f>I22-I24</f>
        <v>7421.9283806553667</v>
      </c>
      <c r="J25" s="66">
        <f>J22-J24</f>
        <v>7519.2579476178089</v>
      </c>
      <c r="K25" s="66">
        <f>K22-K24</f>
        <v>8000.9767024333505</v>
      </c>
      <c r="L25" s="30">
        <f t="shared" si="37"/>
        <v>7647.3876769021763</v>
      </c>
      <c r="M25" s="66">
        <f>M22-M24</f>
        <v>9311.9341504334661</v>
      </c>
      <c r="N25" s="66">
        <f>'[2]SJCPIL-R 17-203-00'!M$23</f>
        <v>20883.611402768202</v>
      </c>
      <c r="O25" s="66">
        <f>'[2]SJCPIL-R 17-203-00'!N$23</f>
        <v>13727.090102128144</v>
      </c>
      <c r="P25" s="30">
        <f t="shared" si="38"/>
        <v>14640.878551776603</v>
      </c>
      <c r="Q25" s="66">
        <f>'[2]SJCPIL-R 17-203-00'!P$23</f>
        <v>7995.7852421799989</v>
      </c>
      <c r="R25" s="66">
        <f>'[2]SJCPIL-R 17-203-00'!Q$23</f>
        <v>11723.283102167999</v>
      </c>
      <c r="S25" s="66">
        <f>'[2]SJCPIL-R 17-203-00'!R$23</f>
        <v>21364.427607367288</v>
      </c>
      <c r="T25" s="41">
        <f t="array" ref="T25">SUM(IF(E$4:S$4&lt;&gt;"média",E25:S25))</f>
        <v>128338.90224386661</v>
      </c>
      <c r="U25" s="62">
        <f>ROW()</f>
        <v>25</v>
      </c>
    </row>
    <row r="26" spans="1:21" ht="21.95" customHeight="1">
      <c r="A26" s="233" t="s">
        <v>46</v>
      </c>
      <c r="B26" s="11" t="s">
        <v>19</v>
      </c>
      <c r="C26" s="42" t="s">
        <v>8</v>
      </c>
      <c r="D26" s="121">
        <f>'[1]SJCPIL-R 17-204-01'!T26</f>
        <v>2807</v>
      </c>
      <c r="E26" s="79">
        <f>$D26/$D$48*E$48</f>
        <v>263.12847904421704</v>
      </c>
      <c r="F26" s="79">
        <f t="shared" ref="F26:G26" si="39">$D26/$D$48*F$48</f>
        <v>247.21179296500088</v>
      </c>
      <c r="G26" s="79">
        <f t="shared" si="39"/>
        <v>248.69749817277312</v>
      </c>
      <c r="H26" s="14">
        <f t="shared" si="36"/>
        <v>253.01259006066368</v>
      </c>
      <c r="I26" s="79">
        <f t="shared" ref="I26:K26" si="40">$D26/$D$48*I$48</f>
        <v>247.21179296500088</v>
      </c>
      <c r="J26" s="79">
        <f t="shared" si="40"/>
        <v>248.69749817277312</v>
      </c>
      <c r="K26" s="79">
        <f t="shared" si="40"/>
        <v>264.718783636615</v>
      </c>
      <c r="L26" s="14">
        <f t="shared" si="37"/>
        <v>253.54269159146301</v>
      </c>
      <c r="M26" s="79">
        <f t="shared" ref="M26:O26" si="41">$D26/$D$48*M$48</f>
        <v>292.22901026173162</v>
      </c>
      <c r="N26" s="79">
        <f t="shared" si="41"/>
        <v>287.57652324686671</v>
      </c>
      <c r="O26" s="79">
        <f t="shared" si="41"/>
        <v>287.45488830331698</v>
      </c>
      <c r="P26" s="14">
        <f t="shared" si="38"/>
        <v>289.08680727063842</v>
      </c>
      <c r="Q26" s="79">
        <f t="shared" ref="Q26:S26" si="42">$D26/$D$48*Q$48</f>
        <v>276.33245320479648</v>
      </c>
      <c r="R26" s="79">
        <f t="shared" si="42"/>
        <v>212.34299064208795</v>
      </c>
      <c r="S26" s="79">
        <f t="shared" si="42"/>
        <v>211.4376312129005</v>
      </c>
      <c r="T26" s="34">
        <f t="array" ref="T26">SUM(IF(E$4:S$4&lt;&gt;"média",E26:S26))</f>
        <v>3087.0393418280805</v>
      </c>
      <c r="U26" s="62">
        <f>ROW()</f>
        <v>26</v>
      </c>
    </row>
    <row r="27" spans="1:21" ht="30" customHeight="1">
      <c r="A27" s="234"/>
      <c r="B27" s="35" t="s">
        <v>47</v>
      </c>
      <c r="C27" s="43" t="s">
        <v>10</v>
      </c>
      <c r="D27" s="123">
        <f>'[1]SJCPIL-R 17-204-01'!T27</f>
        <v>112.91490000000002</v>
      </c>
      <c r="E27" s="64">
        <v>7.14</v>
      </c>
      <c r="F27" s="64">
        <f>E27</f>
        <v>7.14</v>
      </c>
      <c r="G27" s="64">
        <f>F27</f>
        <v>7.14</v>
      </c>
      <c r="H27" s="32">
        <f t="shared" si="36"/>
        <v>7.14</v>
      </c>
      <c r="I27" s="64">
        <f>G27</f>
        <v>7.14</v>
      </c>
      <c r="J27" s="64">
        <f>I27</f>
        <v>7.14</v>
      </c>
      <c r="K27" s="64">
        <f>J27</f>
        <v>7.14</v>
      </c>
      <c r="L27" s="32">
        <f t="shared" si="37"/>
        <v>7.14</v>
      </c>
      <c r="M27" s="64">
        <f>K27</f>
        <v>7.14</v>
      </c>
      <c r="N27" s="64">
        <f>M27</f>
        <v>7.14</v>
      </c>
      <c r="O27" s="64">
        <f>N27</f>
        <v>7.14</v>
      </c>
      <c r="P27" s="32">
        <f t="shared" si="38"/>
        <v>7.14</v>
      </c>
      <c r="Q27" s="64">
        <f>O27</f>
        <v>7.14</v>
      </c>
      <c r="R27" s="64">
        <f>Q27</f>
        <v>7.14</v>
      </c>
      <c r="S27" s="64">
        <f>R27</f>
        <v>7.14</v>
      </c>
      <c r="T27" s="37">
        <f t="array" ref="T27">SUM(IF(E$4:S$4&lt;&gt;"média",E27:S27))</f>
        <v>85.679999999999993</v>
      </c>
      <c r="U27" s="62">
        <f>ROW()</f>
        <v>27</v>
      </c>
    </row>
    <row r="28" spans="1:21" ht="30" customHeight="1">
      <c r="A28" s="234"/>
      <c r="B28" s="35" t="s">
        <v>49</v>
      </c>
      <c r="C28" s="43" t="s">
        <v>10</v>
      </c>
      <c r="D28" s="123">
        <f>'[1]SJCPIL-R 17-204-01'!T28</f>
        <v>31801.13463183256</v>
      </c>
      <c r="E28" s="64">
        <f>E26*E27</f>
        <v>1878.7373403757097</v>
      </c>
      <c r="F28" s="64">
        <f>F26*F27</f>
        <v>1765.0922017701062</v>
      </c>
      <c r="G28" s="64">
        <f>G26*G27</f>
        <v>1775.7001369536001</v>
      </c>
      <c r="H28" s="32">
        <f t="shared" si="36"/>
        <v>1806.5098930331387</v>
      </c>
      <c r="I28" s="64">
        <f>I26*I27</f>
        <v>1765.0922017701062</v>
      </c>
      <c r="J28" s="64">
        <f>J26*J27</f>
        <v>1775.7001369536001</v>
      </c>
      <c r="K28" s="64">
        <f>K26*K27</f>
        <v>1890.0921151654311</v>
      </c>
      <c r="L28" s="32">
        <f t="shared" si="37"/>
        <v>1810.2948179630457</v>
      </c>
      <c r="M28" s="64">
        <f>M26*M27</f>
        <v>2086.5151332687637</v>
      </c>
      <c r="N28" s="64">
        <f>N26*N27</f>
        <v>2053.2963759826284</v>
      </c>
      <c r="O28" s="64">
        <f>O26*O27</f>
        <v>2052.4279024856833</v>
      </c>
      <c r="P28" s="32">
        <f t="shared" si="38"/>
        <v>2064.0798039123588</v>
      </c>
      <c r="Q28" s="64">
        <f>Q26*Q27</f>
        <v>1973.0137158822467</v>
      </c>
      <c r="R28" s="64">
        <f>R26*R27</f>
        <v>1516.128953184508</v>
      </c>
      <c r="S28" s="64">
        <f>S26*S27</f>
        <v>1509.6646868601094</v>
      </c>
      <c r="T28" s="37">
        <f t="array" ref="T28">SUM(IF(E$4:S$4&lt;&gt;"média",E28:S28))</f>
        <v>22041.460900652492</v>
      </c>
      <c r="U28" s="62">
        <f>ROW()</f>
        <v>28</v>
      </c>
    </row>
    <row r="29" spans="1:21" ht="30" customHeight="1">
      <c r="A29" s="234"/>
      <c r="B29" s="35" t="s">
        <v>48</v>
      </c>
      <c r="C29" s="43" t="s">
        <v>10</v>
      </c>
      <c r="D29" s="123">
        <f>'[1]SJCPIL-R 17-204-01'!T29</f>
        <v>-18.599999999999998</v>
      </c>
      <c r="E29" s="79">
        <v>2.1</v>
      </c>
      <c r="F29" s="79">
        <v>2.1</v>
      </c>
      <c r="G29" s="79">
        <v>2.1</v>
      </c>
      <c r="H29" s="32">
        <f t="shared" si="36"/>
        <v>2.1</v>
      </c>
      <c r="I29" s="79">
        <v>2.2000000000000002</v>
      </c>
      <c r="J29" s="79">
        <f>I29</f>
        <v>2.2000000000000002</v>
      </c>
      <c r="K29" s="79">
        <v>2.5</v>
      </c>
      <c r="L29" s="32">
        <f t="shared" si="37"/>
        <v>2.3000000000000003</v>
      </c>
      <c r="M29" s="79">
        <f>K29</f>
        <v>2.5</v>
      </c>
      <c r="N29" s="79">
        <f>M29</f>
        <v>2.5</v>
      </c>
      <c r="O29" s="79">
        <f>N29</f>
        <v>2.5</v>
      </c>
      <c r="P29" s="32">
        <f t="shared" si="38"/>
        <v>2.5</v>
      </c>
      <c r="Q29" s="79">
        <f>O29</f>
        <v>2.5</v>
      </c>
      <c r="R29" s="79">
        <f>Q29</f>
        <v>2.5</v>
      </c>
      <c r="S29" s="79">
        <f>R29</f>
        <v>2.5</v>
      </c>
      <c r="T29" s="37">
        <f t="array" ref="T29">SUM(IF(E$4:S$4&lt;&gt;"média",E29:S29))</f>
        <v>28.2</v>
      </c>
      <c r="U29" s="62">
        <f>ROW()</f>
        <v>29</v>
      </c>
    </row>
    <row r="30" spans="1:21" ht="30" customHeight="1">
      <c r="A30" s="234"/>
      <c r="B30" s="35" t="s">
        <v>50</v>
      </c>
      <c r="C30" s="44" t="s">
        <v>10</v>
      </c>
      <c r="D30" s="123">
        <f>'[1]SJCPIL-R 17-204-01'!T30</f>
        <v>-5240.9999999999991</v>
      </c>
      <c r="E30" s="64">
        <f>E26*E29</f>
        <v>552.56980599285578</v>
      </c>
      <c r="F30" s="64">
        <f>F26*F29</f>
        <v>519.14476522650182</v>
      </c>
      <c r="G30" s="64">
        <f>G26*G29</f>
        <v>522.2647461628236</v>
      </c>
      <c r="H30" s="32">
        <f t="shared" si="36"/>
        <v>531.32643912739377</v>
      </c>
      <c r="I30" s="64">
        <f>I26*I29</f>
        <v>543.86594452300199</v>
      </c>
      <c r="J30" s="64">
        <f>J26*J29</f>
        <v>547.13449598010095</v>
      </c>
      <c r="K30" s="64">
        <f>K26*K29+513.3</f>
        <v>1175.0969590915374</v>
      </c>
      <c r="L30" s="32">
        <f t="shared" si="37"/>
        <v>755.36579986488016</v>
      </c>
      <c r="M30" s="64">
        <f>M26*M29</f>
        <v>730.57252565432907</v>
      </c>
      <c r="N30" s="64">
        <f>N26*N29</f>
        <v>718.94130811716673</v>
      </c>
      <c r="O30" s="64">
        <f>O26*O29</f>
        <v>718.63722075829241</v>
      </c>
      <c r="P30" s="32">
        <f t="shared" si="38"/>
        <v>722.71701817659596</v>
      </c>
      <c r="Q30" s="64">
        <f>Q26*Q29</f>
        <v>690.83113301199114</v>
      </c>
      <c r="R30" s="64">
        <f>R26*R29</f>
        <v>530.85747660521986</v>
      </c>
      <c r="S30" s="64">
        <f>S26*S29</f>
        <v>528.59407803225122</v>
      </c>
      <c r="T30" s="37">
        <f t="array" ref="T30">SUM(IF(E$4:S$4&lt;&gt;"média",E30:S30))</f>
        <v>7778.5104591560721</v>
      </c>
      <c r="U30" s="62">
        <f>ROW()</f>
        <v>30</v>
      </c>
    </row>
    <row r="31" spans="1:21" ht="21.95" customHeight="1">
      <c r="A31" s="235"/>
      <c r="B31" s="45" t="s">
        <v>17</v>
      </c>
      <c r="C31" s="46" t="s">
        <v>10</v>
      </c>
      <c r="D31" s="125">
        <f>'[1]SJCPIL-R 17-204-01'!T31</f>
        <v>26560.13463183256</v>
      </c>
      <c r="E31" s="66">
        <f>E28-E30</f>
        <v>1326.1675343828538</v>
      </c>
      <c r="F31" s="66">
        <f>F28-F30</f>
        <v>1245.9474365436045</v>
      </c>
      <c r="G31" s="66">
        <f>G28-G30</f>
        <v>1253.4353907907766</v>
      </c>
      <c r="H31" s="30"/>
      <c r="I31" s="66">
        <f>I28-I30</f>
        <v>1221.2262572471041</v>
      </c>
      <c r="J31" s="66">
        <f>J28-J30</f>
        <v>1228.5656409734993</v>
      </c>
      <c r="K31" s="66">
        <f>K28-K30</f>
        <v>714.99515607389367</v>
      </c>
      <c r="L31" s="30"/>
      <c r="M31" s="66">
        <f>M28-M30</f>
        <v>1355.9426076144346</v>
      </c>
      <c r="N31" s="66">
        <f>N28-N30</f>
        <v>1334.3550678654617</v>
      </c>
      <c r="O31" s="66">
        <f>O28-O30</f>
        <v>1333.7906817273908</v>
      </c>
      <c r="P31" s="30"/>
      <c r="Q31" s="66">
        <f>Q28-Q30</f>
        <v>1282.1825828702556</v>
      </c>
      <c r="R31" s="66">
        <f>R28-R30</f>
        <v>985.27147657928811</v>
      </c>
      <c r="S31" s="66">
        <f>S28-S30</f>
        <v>981.07060882785822</v>
      </c>
      <c r="T31" s="41">
        <f t="array" ref="T31">SUM(IF(E$4:S$4&lt;&gt;"média",E31:S31))</f>
        <v>14262.950441496419</v>
      </c>
      <c r="U31" s="62">
        <f>ROW()</f>
        <v>31</v>
      </c>
    </row>
    <row r="32" spans="1:21" ht="21.95" customHeight="1">
      <c r="A32" s="70" t="s">
        <v>34</v>
      </c>
      <c r="B32" s="71" t="s">
        <v>27</v>
      </c>
      <c r="C32" s="72" t="s">
        <v>10</v>
      </c>
      <c r="D32" s="129">
        <f>'[1]SJCPIL-R 17-204-01'!T32</f>
        <v>109273.67511508841</v>
      </c>
      <c r="E32" s="73">
        <f>E25+E19</f>
        <v>6768.9215733419423</v>
      </c>
      <c r="F32" s="73">
        <f>F25+F19</f>
        <v>7769.664416102898</v>
      </c>
      <c r="G32" s="73">
        <f>G25+G19+1901.64</f>
        <v>8560.5644654769694</v>
      </c>
      <c r="H32" s="73">
        <f t="shared" ref="H32" si="43">AVERAGE(E32:G32)</f>
        <v>7699.716818307269</v>
      </c>
      <c r="I32" s="73">
        <f t="shared" ref="I32:K32" si="44">I25+I19</f>
        <v>7684.7294003651969</v>
      </c>
      <c r="J32" s="73">
        <f t="shared" si="44"/>
        <v>7783.638361412799</v>
      </c>
      <c r="K32" s="73">
        <f t="shared" si="44"/>
        <v>8282.3887072639518</v>
      </c>
      <c r="L32" s="73">
        <f t="shared" ref="L32" si="45">AVERAGE(I32:K32)</f>
        <v>7916.9188230139816</v>
      </c>
      <c r="M32" s="73">
        <f>M25+M19</f>
        <v>9622.5911824644991</v>
      </c>
      <c r="N32" s="73">
        <f t="shared" ref="N32:O32" si="46">N25+N19</f>
        <v>21189.322560991885</v>
      </c>
      <c r="O32" s="73">
        <f t="shared" si="46"/>
        <v>14032.671955083606</v>
      </c>
      <c r="P32" s="73">
        <f t="shared" ref="P32" si="47">AVERAGE(M32:O32)</f>
        <v>14948.195232846663</v>
      </c>
      <c r="Q32" s="73">
        <f t="shared" ref="Q32:S32" si="48">Q25+Q19</f>
        <v>8289.5432769814397</v>
      </c>
      <c r="R32" s="73">
        <f t="shared" si="48"/>
        <v>11949.016485675622</v>
      </c>
      <c r="S32" s="73">
        <f t="shared" si="48"/>
        <v>21589.198539293047</v>
      </c>
      <c r="T32" s="48">
        <f>T25+T19</f>
        <v>131620.61092445385</v>
      </c>
      <c r="U32" s="62">
        <f>ROW()</f>
        <v>32</v>
      </c>
    </row>
    <row r="33" spans="1:21" ht="21.95" customHeight="1">
      <c r="A33" s="236" t="s">
        <v>52</v>
      </c>
      <c r="B33" s="98" t="s">
        <v>53</v>
      </c>
      <c r="C33" s="99" t="s">
        <v>55</v>
      </c>
      <c r="D33" s="13">
        <f>'[1]SJCPIL-R 17-204-01'!T33</f>
        <v>4589</v>
      </c>
      <c r="E33" s="100">
        <f>INT($D$33/$D$48*E48)</f>
        <v>430</v>
      </c>
      <c r="F33" s="100">
        <f t="shared" ref="F33:G33" si="49">INT($D$33/$D$48*F48)</f>
        <v>404</v>
      </c>
      <c r="G33" s="100">
        <f t="shared" si="49"/>
        <v>406</v>
      </c>
      <c r="H33" s="101">
        <f>SUM(E33:G33)</f>
        <v>1240</v>
      </c>
      <c r="I33" s="100">
        <f>INT($D$33/$D$48*I48)</f>
        <v>404</v>
      </c>
      <c r="J33" s="100">
        <f t="shared" ref="J33:K33" si="50">INT($D$33/$D$48*J48)</f>
        <v>406</v>
      </c>
      <c r="K33" s="100">
        <f t="shared" si="50"/>
        <v>432</v>
      </c>
      <c r="L33" s="101">
        <f>SUM(I33:K33)</f>
        <v>1242</v>
      </c>
      <c r="M33" s="100">
        <f t="shared" ref="M33:O33" si="51">INT($D$33/$D$48*M48)</f>
        <v>477</v>
      </c>
      <c r="N33" s="100">
        <f t="shared" si="51"/>
        <v>470</v>
      </c>
      <c r="O33" s="100">
        <f t="shared" si="51"/>
        <v>469</v>
      </c>
      <c r="P33" s="101">
        <f>SUM(M33:O33)</f>
        <v>1416</v>
      </c>
      <c r="Q33" s="100">
        <f>INT($D$33/$D$48*Q48)</f>
        <v>451</v>
      </c>
      <c r="R33" s="100">
        <f t="shared" ref="R33:S33" si="52">INT($D$33/$D$48*R48)</f>
        <v>347</v>
      </c>
      <c r="S33" s="100">
        <f t="shared" si="52"/>
        <v>345</v>
      </c>
      <c r="T33" s="102">
        <f t="array" ref="T33">SUM(IF(E$4:S$4&lt;&gt;"média",E33:S33))</f>
        <v>5041</v>
      </c>
      <c r="U33" s="62">
        <f>ROW()</f>
        <v>33</v>
      </c>
    </row>
    <row r="34" spans="1:21" ht="21.95" customHeight="1">
      <c r="A34" s="237"/>
      <c r="B34" s="103" t="s">
        <v>54</v>
      </c>
      <c r="C34" s="104" t="s">
        <v>10</v>
      </c>
      <c r="D34" s="22">
        <f>'[1]SJCPIL-R 17-204-01'!T34</f>
        <v>7887.9131999999991</v>
      </c>
      <c r="E34" s="105">
        <v>523.27729999999997</v>
      </c>
      <c r="F34" s="105">
        <f>E34</f>
        <v>523.27729999999997</v>
      </c>
      <c r="G34" s="105">
        <f>F34</f>
        <v>523.27729999999997</v>
      </c>
      <c r="H34" s="106">
        <f>AVERAGE(E34:G34)</f>
        <v>523.27729999999997</v>
      </c>
      <c r="I34" s="105">
        <f>H34</f>
        <v>523.27729999999997</v>
      </c>
      <c r="J34" s="105">
        <f>I34</f>
        <v>523.27729999999997</v>
      </c>
      <c r="K34" s="105">
        <f>J34</f>
        <v>523.27729999999997</v>
      </c>
      <c r="L34" s="106">
        <f>AVERAGE(I34:K34)</f>
        <v>523.27729999999997</v>
      </c>
      <c r="M34" s="105">
        <f>L34</f>
        <v>523.27729999999997</v>
      </c>
      <c r="N34" s="105">
        <f>M34</f>
        <v>523.27729999999997</v>
      </c>
      <c r="O34" s="105">
        <f>N34</f>
        <v>523.27729999999997</v>
      </c>
      <c r="P34" s="106">
        <f>AVERAGE(M34:O34)</f>
        <v>523.27729999999997</v>
      </c>
      <c r="Q34" s="105">
        <f>P34</f>
        <v>523.27729999999997</v>
      </c>
      <c r="R34" s="105">
        <f>Q34</f>
        <v>523.27729999999997</v>
      </c>
      <c r="S34" s="105">
        <f>R34</f>
        <v>523.27729999999997</v>
      </c>
      <c r="T34" s="107">
        <f t="array" ref="T34">SUM(IF(E$4:S$4&lt;&gt;"média",E34:S34))</f>
        <v>6279.3275999999978</v>
      </c>
      <c r="U34" s="62">
        <f>ROW()</f>
        <v>34</v>
      </c>
    </row>
    <row r="35" spans="1:21" ht="21.95" customHeight="1">
      <c r="A35" s="237"/>
      <c r="B35" s="114" t="s">
        <v>17</v>
      </c>
      <c r="C35" s="115" t="s">
        <v>10</v>
      </c>
      <c r="D35" s="116">
        <f>'[1]SJCPIL-R 17-204-01'!T35</f>
        <v>3591.9288980699998</v>
      </c>
      <c r="E35" s="117">
        <f>E34/1000*E33</f>
        <v>225.00923899999998</v>
      </c>
      <c r="F35" s="117">
        <f t="shared" ref="F35:K35" si="53">F34/1000*F33</f>
        <v>211.40402919999997</v>
      </c>
      <c r="G35" s="117">
        <f t="shared" si="53"/>
        <v>212.45058379999998</v>
      </c>
      <c r="H35" s="118">
        <f>SUM(E35:G35)</f>
        <v>648.86385199999995</v>
      </c>
      <c r="I35" s="117">
        <f t="shared" si="53"/>
        <v>211.40402919999997</v>
      </c>
      <c r="J35" s="117">
        <f t="shared" si="53"/>
        <v>212.45058379999998</v>
      </c>
      <c r="K35" s="117">
        <f t="shared" si="53"/>
        <v>226.05579359999999</v>
      </c>
      <c r="L35" s="118">
        <f>SUM(I35:K35)</f>
        <v>649.91040659999999</v>
      </c>
      <c r="M35" s="117">
        <f t="shared" ref="M35:O35" si="54">M34/1000*M33</f>
        <v>249.60327209999997</v>
      </c>
      <c r="N35" s="117">
        <f t="shared" si="54"/>
        <v>245.94033099999999</v>
      </c>
      <c r="O35" s="117">
        <f t="shared" si="54"/>
        <v>245.41705369999997</v>
      </c>
      <c r="P35" s="118">
        <f>SUM(M35:O35)</f>
        <v>740.96065679999992</v>
      </c>
      <c r="Q35" s="117">
        <f t="shared" ref="Q35:S35" si="55">Q34/1000*Q33</f>
        <v>235.99806229999999</v>
      </c>
      <c r="R35" s="117">
        <f t="shared" si="55"/>
        <v>181.57722309999997</v>
      </c>
      <c r="S35" s="117">
        <f t="shared" si="55"/>
        <v>180.53066849999999</v>
      </c>
      <c r="T35" s="119">
        <f t="array" ref="T35">SUM(IF(E$4:S$4&lt;&gt;"média",E35:S35))</f>
        <v>2637.8408693000001</v>
      </c>
      <c r="U35" s="62">
        <f>ROW()</f>
        <v>35</v>
      </c>
    </row>
    <row r="36" spans="1:21" ht="21.95" customHeight="1">
      <c r="A36" s="237"/>
      <c r="B36" s="93" t="s">
        <v>56</v>
      </c>
      <c r="C36" s="94" t="s">
        <v>55</v>
      </c>
      <c r="D36" s="91">
        <f>'[1]SJCPIL-R 17-204-01'!T36</f>
        <v>7191</v>
      </c>
      <c r="E36" s="197">
        <f>INT($D$36/$D$48*E48)</f>
        <v>674</v>
      </c>
      <c r="F36" s="197">
        <f t="shared" ref="F36:G36" si="56">INT($D$36/$D$48*F48)</f>
        <v>633</v>
      </c>
      <c r="G36" s="197">
        <f t="shared" si="56"/>
        <v>637</v>
      </c>
      <c r="H36" s="198">
        <f>SUM(E36:G36)</f>
        <v>1944</v>
      </c>
      <c r="I36" s="197">
        <f>INT($D$36/$D$48*I48)</f>
        <v>633</v>
      </c>
      <c r="J36" s="197">
        <f t="shared" ref="J36:K36" si="57">INT($D$36/$D$48*J48)</f>
        <v>637</v>
      </c>
      <c r="K36" s="197">
        <f t="shared" si="57"/>
        <v>678</v>
      </c>
      <c r="L36" s="198">
        <f>SUM(I36:K36)</f>
        <v>1948</v>
      </c>
      <c r="M36" s="197">
        <f>INT($D$36/$D$48*M48)</f>
        <v>748</v>
      </c>
      <c r="N36" s="197">
        <f t="shared" ref="N36:O36" si="58">INT($D$36/$D$48*N48)</f>
        <v>736</v>
      </c>
      <c r="O36" s="197">
        <f t="shared" si="58"/>
        <v>736</v>
      </c>
      <c r="P36" s="198">
        <f>SUM(M36:O36)</f>
        <v>2220</v>
      </c>
      <c r="Q36" s="197">
        <f>INT($D$36/$D$48*Q48)</f>
        <v>707</v>
      </c>
      <c r="R36" s="197">
        <f t="shared" ref="R36:S36" si="59">INT($D$36/$D$48*R48)</f>
        <v>543</v>
      </c>
      <c r="S36" s="197">
        <f t="shared" si="59"/>
        <v>541</v>
      </c>
      <c r="T36" s="92">
        <f t="array" ref="T36">SUM(IF(E$4:S$4&lt;&gt;"média",E36:S36))</f>
        <v>7903</v>
      </c>
      <c r="U36" s="62">
        <f>ROW()</f>
        <v>36</v>
      </c>
    </row>
    <row r="37" spans="1:21" ht="21.95" customHeight="1">
      <c r="A37" s="237"/>
      <c r="B37" s="93" t="s">
        <v>54</v>
      </c>
      <c r="C37" s="94" t="s">
        <v>10</v>
      </c>
      <c r="D37" s="91">
        <f>'[1]SJCPIL-R 17-204-01'!T37</f>
        <v>1952.0354</v>
      </c>
      <c r="E37" s="95">
        <v>135.3484</v>
      </c>
      <c r="F37" s="105">
        <f>E37</f>
        <v>135.3484</v>
      </c>
      <c r="G37" s="105">
        <f>F37</f>
        <v>135.3484</v>
      </c>
      <c r="H37" s="97">
        <f>AVERAGE(E37:G37)</f>
        <v>135.3484</v>
      </c>
      <c r="I37" s="105">
        <f>H37</f>
        <v>135.3484</v>
      </c>
      <c r="J37" s="105">
        <f>I37</f>
        <v>135.3484</v>
      </c>
      <c r="K37" s="105">
        <f>J37</f>
        <v>135.3484</v>
      </c>
      <c r="L37" s="106">
        <f>AVERAGE(I37:K37)</f>
        <v>135.3484</v>
      </c>
      <c r="M37" s="105">
        <f>L37</f>
        <v>135.3484</v>
      </c>
      <c r="N37" s="105">
        <f>M37</f>
        <v>135.3484</v>
      </c>
      <c r="O37" s="105">
        <f>N37</f>
        <v>135.3484</v>
      </c>
      <c r="P37" s="106">
        <f>AVERAGE(M37:O37)</f>
        <v>135.3484</v>
      </c>
      <c r="Q37" s="105">
        <f>P37</f>
        <v>135.3484</v>
      </c>
      <c r="R37" s="105">
        <f>Q37</f>
        <v>135.3484</v>
      </c>
      <c r="S37" s="105">
        <f>R37</f>
        <v>135.3484</v>
      </c>
      <c r="T37" s="92">
        <f t="array" ref="T37">SUM(IF(E$4:S$4&lt;&gt;"média",E37:S37))</f>
        <v>1624.1808000000003</v>
      </c>
      <c r="U37" s="62">
        <f>ROW()</f>
        <v>37</v>
      </c>
    </row>
    <row r="38" spans="1:21" ht="21.95" customHeight="1">
      <c r="A38" s="237"/>
      <c r="B38" s="108" t="s">
        <v>17</v>
      </c>
      <c r="C38" s="109" t="s">
        <v>10</v>
      </c>
      <c r="D38" s="110">
        <f>'[1]SJCPIL-R 17-204-01'!T38</f>
        <v>1384.1782934999999</v>
      </c>
      <c r="E38" s="111">
        <f>E37/1000*E36</f>
        <v>91.224821599999999</v>
      </c>
      <c r="F38" s="111">
        <f t="shared" ref="F38:G38" si="60">F37/1000*F36</f>
        <v>85.675537200000008</v>
      </c>
      <c r="G38" s="111">
        <f t="shared" si="60"/>
        <v>86.2169308</v>
      </c>
      <c r="H38" s="112">
        <f>SUM(E38:G38)</f>
        <v>263.11728959999999</v>
      </c>
      <c r="I38" s="111">
        <f t="shared" ref="I38:K38" si="61">I37/1000*I36</f>
        <v>85.675537200000008</v>
      </c>
      <c r="J38" s="111">
        <f t="shared" si="61"/>
        <v>86.2169308</v>
      </c>
      <c r="K38" s="111">
        <f t="shared" si="61"/>
        <v>91.766215200000005</v>
      </c>
      <c r="L38" s="112">
        <f>SUM(I38:K38)</f>
        <v>263.65868320000004</v>
      </c>
      <c r="M38" s="111">
        <f t="shared" ref="M38:S38" si="62">M37/1000*M36</f>
        <v>101.24060320000001</v>
      </c>
      <c r="N38" s="111">
        <f t="shared" si="62"/>
        <v>99.616422400000005</v>
      </c>
      <c r="O38" s="111">
        <f t="shared" si="62"/>
        <v>99.616422400000005</v>
      </c>
      <c r="P38" s="112">
        <f>SUM(M38:O38)</f>
        <v>300.47344800000002</v>
      </c>
      <c r="Q38" s="111">
        <f t="shared" si="62"/>
        <v>95.691318800000005</v>
      </c>
      <c r="R38" s="111">
        <f t="shared" si="62"/>
        <v>73.4941812</v>
      </c>
      <c r="S38" s="111">
        <f t="shared" si="62"/>
        <v>73.223484400000004</v>
      </c>
      <c r="T38" s="113">
        <f t="array" ref="T38">SUM(IF(E$4:S$4&lt;&gt;"média",E38:S38))</f>
        <v>1069.6584052000001</v>
      </c>
      <c r="U38" s="62">
        <f>ROW()</f>
        <v>38</v>
      </c>
    </row>
    <row r="39" spans="1:21" ht="21.95" customHeight="1">
      <c r="A39" s="237"/>
      <c r="B39" s="93" t="s">
        <v>57</v>
      </c>
      <c r="C39" s="94" t="s">
        <v>55</v>
      </c>
      <c r="D39" s="91">
        <f>'[1]SJCPIL-R 17-204-01'!T39</f>
        <v>4935</v>
      </c>
      <c r="E39" s="96">
        <f>INT($D$39/$D$48*E48)</f>
        <v>462</v>
      </c>
      <c r="F39" s="96">
        <f t="shared" ref="F39:G39" si="63">INT($D$39/$D$48*F48)</f>
        <v>434</v>
      </c>
      <c r="G39" s="96">
        <f t="shared" si="63"/>
        <v>437</v>
      </c>
      <c r="H39" s="97">
        <f>SUM(E39:G39)</f>
        <v>1333</v>
      </c>
      <c r="I39" s="96">
        <f>INT($D$39/$D$48*I48)</f>
        <v>434</v>
      </c>
      <c r="J39" s="96">
        <f t="shared" ref="J39:K39" si="64">INT($D$39/$D$48*J48)</f>
        <v>437</v>
      </c>
      <c r="K39" s="96">
        <f t="shared" si="64"/>
        <v>465</v>
      </c>
      <c r="L39" s="97">
        <f>SUM(I39:K39)</f>
        <v>1336</v>
      </c>
      <c r="M39" s="96">
        <f>INT($D$39/$D$48*M48)</f>
        <v>513</v>
      </c>
      <c r="N39" s="96">
        <f t="shared" ref="N39:O39" si="65">INT($D$39/$D$48*N48)</f>
        <v>505</v>
      </c>
      <c r="O39" s="96">
        <f t="shared" si="65"/>
        <v>505</v>
      </c>
      <c r="P39" s="97">
        <f>SUM(M39:O39)</f>
        <v>1523</v>
      </c>
      <c r="Q39" s="96">
        <f>INT($D$39/$D$48*Q48)</f>
        <v>485</v>
      </c>
      <c r="R39" s="96">
        <f t="shared" ref="R39:S39" si="66">INT($D$39/$D$48*R48)</f>
        <v>373</v>
      </c>
      <c r="S39" s="96">
        <f t="shared" si="66"/>
        <v>371</v>
      </c>
      <c r="T39" s="92">
        <f t="array" ref="T39">SUM(IF(E$4:S$4&lt;&gt;"média",E39:S39))</f>
        <v>5421</v>
      </c>
      <c r="U39" s="62">
        <f>ROW()</f>
        <v>39</v>
      </c>
    </row>
    <row r="40" spans="1:21" ht="21.95" customHeight="1">
      <c r="A40" s="237"/>
      <c r="B40" s="93" t="s">
        <v>54</v>
      </c>
      <c r="C40" s="94" t="s">
        <v>10</v>
      </c>
      <c r="D40" s="91">
        <f>'[1]SJCPIL-R 17-204-01'!T40</f>
        <v>1441.4452999999999</v>
      </c>
      <c r="E40" s="95">
        <v>105.6474</v>
      </c>
      <c r="F40" s="105">
        <f>E40</f>
        <v>105.6474</v>
      </c>
      <c r="G40" s="105">
        <f>F40</f>
        <v>105.6474</v>
      </c>
      <c r="H40" s="97">
        <f>AVERAGE(E40:G40)</f>
        <v>105.6474</v>
      </c>
      <c r="I40" s="105">
        <f>H40</f>
        <v>105.6474</v>
      </c>
      <c r="J40" s="105">
        <f>I40</f>
        <v>105.6474</v>
      </c>
      <c r="K40" s="105">
        <f>J40</f>
        <v>105.6474</v>
      </c>
      <c r="L40" s="106">
        <f>AVERAGE(I40:K40)</f>
        <v>105.6474</v>
      </c>
      <c r="M40" s="105">
        <f>L40</f>
        <v>105.6474</v>
      </c>
      <c r="N40" s="105">
        <f>M40</f>
        <v>105.6474</v>
      </c>
      <c r="O40" s="105">
        <f>N40</f>
        <v>105.6474</v>
      </c>
      <c r="P40" s="106">
        <f>AVERAGE(M40:O40)</f>
        <v>105.6474</v>
      </c>
      <c r="Q40" s="105">
        <f>P40</f>
        <v>105.6474</v>
      </c>
      <c r="R40" s="105">
        <f>Q40</f>
        <v>105.6474</v>
      </c>
      <c r="S40" s="105">
        <f>R40</f>
        <v>105.6474</v>
      </c>
      <c r="T40" s="92">
        <f t="array" ref="T40">SUM(IF(E$4:S$4&lt;&gt;"média",E40:S40))</f>
        <v>1267.7688000000005</v>
      </c>
      <c r="U40" s="62">
        <f>ROW()</f>
        <v>40</v>
      </c>
    </row>
    <row r="41" spans="1:21" ht="21.95" customHeight="1">
      <c r="A41" s="237"/>
      <c r="B41" s="108" t="s">
        <v>17</v>
      </c>
      <c r="C41" s="109" t="s">
        <v>10</v>
      </c>
      <c r="D41" s="110">
        <f>'[1]SJCPIL-R 17-204-01'!T41</f>
        <v>697.6671887</v>
      </c>
      <c r="E41" s="111">
        <f>E40/1000*E39</f>
        <v>48.809098800000001</v>
      </c>
      <c r="F41" s="111">
        <f t="shared" ref="F41:G41" si="67">F40/1000*F39</f>
        <v>45.850971600000001</v>
      </c>
      <c r="G41" s="111">
        <f t="shared" si="67"/>
        <v>46.167913800000001</v>
      </c>
      <c r="H41" s="112">
        <f>SUM(E41:G41)</f>
        <v>140.8279842</v>
      </c>
      <c r="I41" s="111">
        <f t="shared" ref="I41:K41" si="68">I40/1000*I39</f>
        <v>45.850971600000001</v>
      </c>
      <c r="J41" s="111">
        <f t="shared" si="68"/>
        <v>46.167913800000001</v>
      </c>
      <c r="K41" s="111">
        <f t="shared" si="68"/>
        <v>49.126041000000001</v>
      </c>
      <c r="L41" s="112">
        <f>SUM(I41:K41)</f>
        <v>141.1449264</v>
      </c>
      <c r="M41" s="111">
        <f t="shared" ref="M41:S41" si="69">M40/1000*M39</f>
        <v>54.197116200000004</v>
      </c>
      <c r="N41" s="111">
        <f t="shared" si="69"/>
        <v>53.351937</v>
      </c>
      <c r="O41" s="111">
        <f t="shared" si="69"/>
        <v>53.351937</v>
      </c>
      <c r="P41" s="112">
        <f>SUM(M41:O41)</f>
        <v>160.9009902</v>
      </c>
      <c r="Q41" s="111">
        <f t="shared" si="69"/>
        <v>51.238989000000004</v>
      </c>
      <c r="R41" s="111">
        <f t="shared" si="69"/>
        <v>39.406480200000004</v>
      </c>
      <c r="S41" s="111">
        <f t="shared" si="69"/>
        <v>39.1951854</v>
      </c>
      <c r="T41" s="113">
        <f t="array" ref="T41">SUM(IF(E$4:S$4&lt;&gt;"média",E41:S41))</f>
        <v>572.71455540000011</v>
      </c>
      <c r="U41" s="62">
        <f>ROW()</f>
        <v>41</v>
      </c>
    </row>
    <row r="42" spans="1:21" ht="21.95" customHeight="1">
      <c r="A42" s="237"/>
      <c r="B42" s="93" t="s">
        <v>58</v>
      </c>
      <c r="C42" s="94" t="s">
        <v>55</v>
      </c>
      <c r="D42" s="91">
        <f>'[1]SJCPIL-R 17-204-01'!T42</f>
        <v>12921</v>
      </c>
      <c r="E42" s="199">
        <v>540</v>
      </c>
      <c r="F42" s="199">
        <v>540</v>
      </c>
      <c r="G42" s="199">
        <v>540</v>
      </c>
      <c r="H42" s="97">
        <f>SUM(E42:G42)</f>
        <v>1620</v>
      </c>
      <c r="I42" s="199">
        <v>540</v>
      </c>
      <c r="J42" s="199">
        <v>540</v>
      </c>
      <c r="K42" s="199">
        <v>540</v>
      </c>
      <c r="L42" s="97">
        <f>SUM(I42:K42)</f>
        <v>1620</v>
      </c>
      <c r="M42" s="199">
        <v>540</v>
      </c>
      <c r="N42" s="199">
        <v>540</v>
      </c>
      <c r="O42" s="199">
        <v>540</v>
      </c>
      <c r="P42" s="97">
        <f>SUM(M42:O42)</f>
        <v>1620</v>
      </c>
      <c r="Q42" s="199">
        <v>540</v>
      </c>
      <c r="R42" s="199">
        <v>540</v>
      </c>
      <c r="S42" s="199">
        <v>540</v>
      </c>
      <c r="T42" s="92">
        <f t="array" ref="T42">SUM(IF(E$4:S$4&lt;&gt;"média",E42:S42))</f>
        <v>6480</v>
      </c>
      <c r="U42" s="62">
        <f>ROW()</f>
        <v>42</v>
      </c>
    </row>
    <row r="43" spans="1:21" ht="21.95" customHeight="1">
      <c r="A43" s="237"/>
      <c r="B43" s="93" t="s">
        <v>54</v>
      </c>
      <c r="C43" s="94" t="s">
        <v>10</v>
      </c>
      <c r="D43" s="91">
        <f>'[1]SJCPIL-R 17-204-01'!T43</f>
        <v>4598.4012777999997</v>
      </c>
      <c r="E43" s="95">
        <v>331.99009559999996</v>
      </c>
      <c r="F43" s="105">
        <f>E43</f>
        <v>331.99009559999996</v>
      </c>
      <c r="G43" s="105">
        <f>F43</f>
        <v>331.99009559999996</v>
      </c>
      <c r="H43" s="97">
        <f>AVERAGE(E43:G43)</f>
        <v>331.99009559999996</v>
      </c>
      <c r="I43" s="105">
        <f>H43</f>
        <v>331.99009559999996</v>
      </c>
      <c r="J43" s="105">
        <f>I43</f>
        <v>331.99009559999996</v>
      </c>
      <c r="K43" s="105">
        <f>J43</f>
        <v>331.99009559999996</v>
      </c>
      <c r="L43" s="106">
        <f>AVERAGE(I43:K43)</f>
        <v>331.99009559999996</v>
      </c>
      <c r="M43" s="105">
        <f>L43</f>
        <v>331.99009559999996</v>
      </c>
      <c r="N43" s="105">
        <f>M43</f>
        <v>331.99009559999996</v>
      </c>
      <c r="O43" s="105">
        <f>N43</f>
        <v>331.99009559999996</v>
      </c>
      <c r="P43" s="106">
        <f>AVERAGE(M43:O43)</f>
        <v>331.99009559999996</v>
      </c>
      <c r="Q43" s="105">
        <f>P43</f>
        <v>331.99009559999996</v>
      </c>
      <c r="R43" s="105">
        <f>Q43</f>
        <v>331.99009559999996</v>
      </c>
      <c r="S43" s="105">
        <f>R43</f>
        <v>331.99009559999996</v>
      </c>
      <c r="T43" s="92">
        <f t="array" ref="T43">SUM(IF(E$4:S$4&lt;&gt;"média",E43:S43))</f>
        <v>3983.8811472000002</v>
      </c>
      <c r="U43" s="62">
        <f>ROW()</f>
        <v>43</v>
      </c>
    </row>
    <row r="44" spans="1:21" ht="21.95" customHeight="1">
      <c r="A44" s="237"/>
      <c r="B44" s="108" t="s">
        <v>17</v>
      </c>
      <c r="C44" s="109" t="s">
        <v>10</v>
      </c>
      <c r="D44" s="110">
        <f>'[1]SJCPIL-R 17-204-01'!T44</f>
        <v>5928.5483007258008</v>
      </c>
      <c r="E44" s="111">
        <f>E43/1000*E42</f>
        <v>179.274651624</v>
      </c>
      <c r="F44" s="111">
        <f t="shared" ref="F44:G44" si="70">F43/1000*F42</f>
        <v>179.274651624</v>
      </c>
      <c r="G44" s="111">
        <f t="shared" si="70"/>
        <v>179.274651624</v>
      </c>
      <c r="H44" s="112">
        <f>SUM(E44:G44)</f>
        <v>537.82395487200006</v>
      </c>
      <c r="I44" s="111">
        <f t="shared" ref="I44:K44" si="71">I43/1000*I42</f>
        <v>179.274651624</v>
      </c>
      <c r="J44" s="111">
        <f t="shared" si="71"/>
        <v>179.274651624</v>
      </c>
      <c r="K44" s="111">
        <f t="shared" si="71"/>
        <v>179.274651624</v>
      </c>
      <c r="L44" s="112">
        <f>SUM(I44:K44)</f>
        <v>537.82395487200006</v>
      </c>
      <c r="M44" s="111">
        <f t="shared" ref="M44:S44" si="72">M43/1000*M42</f>
        <v>179.274651624</v>
      </c>
      <c r="N44" s="111">
        <f t="shared" si="72"/>
        <v>179.274651624</v>
      </c>
      <c r="O44" s="111">
        <f t="shared" si="72"/>
        <v>179.274651624</v>
      </c>
      <c r="P44" s="112">
        <f>SUM(M44:O44)</f>
        <v>537.82395487200006</v>
      </c>
      <c r="Q44" s="111">
        <f t="shared" si="72"/>
        <v>179.274651624</v>
      </c>
      <c r="R44" s="111">
        <f t="shared" si="72"/>
        <v>179.274651624</v>
      </c>
      <c r="S44" s="111">
        <f t="shared" si="72"/>
        <v>179.274651624</v>
      </c>
      <c r="T44" s="113">
        <f t="array" ref="T44">SUM(IF(E$4:S$4&lt;&gt;"média",E44:S44))</f>
        <v>2151.2958194879998</v>
      </c>
      <c r="U44" s="62">
        <f>ROW()</f>
        <v>44</v>
      </c>
    </row>
    <row r="45" spans="1:21" ht="21.95" customHeight="1">
      <c r="A45" s="238"/>
      <c r="B45" s="108" t="s">
        <v>27</v>
      </c>
      <c r="C45" s="109"/>
      <c r="D45" s="110">
        <f>'[1]SJCPIL-R 17-204-01'!T45</f>
        <v>11633.522680995799</v>
      </c>
      <c r="E45" s="111">
        <f t="array" ref="E45">SUM(IF($B$33:$B$44="Sub-Total",E33:E44))</f>
        <v>544.31781102399998</v>
      </c>
      <c r="F45" s="111">
        <f t="array" ref="F45">SUM(IF($B$33:$B$44="Sub-Total",F33:F44))</f>
        <v>522.20518962400001</v>
      </c>
      <c r="G45" s="111">
        <f t="array" ref="G45">SUM(IF($B$33:$B$44="Sub-Total",G33:G44))</f>
        <v>524.11008002400001</v>
      </c>
      <c r="H45" s="112">
        <f>SUM(E45:G45)</f>
        <v>1590.6330806720002</v>
      </c>
      <c r="I45" s="111">
        <f t="array" ref="I45">SUM(IF($B$33:$B$44="Sub-Total",I33:I44))</f>
        <v>522.20518962400001</v>
      </c>
      <c r="J45" s="111">
        <f t="array" ref="J45">SUM(IF($B$33:$B$44="Sub-Total",J33:J44))</f>
        <v>524.11008002400001</v>
      </c>
      <c r="K45" s="111">
        <f t="array" ref="K45">SUM(IF($B$33:$B$44="Sub-Total",K33:K44))</f>
        <v>546.22270142399998</v>
      </c>
      <c r="L45" s="112">
        <f>SUM(I45:K45)</f>
        <v>1592.5379710720001</v>
      </c>
      <c r="M45" s="111">
        <f t="array" ref="M45">SUM(IF($B$33:$B$44="Sub-Total",M33:M44))</f>
        <v>584.31564312399996</v>
      </c>
      <c r="N45" s="111">
        <f t="array" ref="N45">SUM(IF($B$33:$B$44="Sub-Total",N33:N44))</f>
        <v>578.18334202400001</v>
      </c>
      <c r="O45" s="111">
        <f t="array" ref="O45">SUM(IF($B$33:$B$44="Sub-Total",O33:O44))</f>
        <v>577.66006472399999</v>
      </c>
      <c r="P45" s="112">
        <f>SUM(M45:O45)</f>
        <v>1740.159049872</v>
      </c>
      <c r="Q45" s="111">
        <f t="array" ref="Q45">SUM(IF($B$33:$B$44="Sub-Total",Q33:Q44))</f>
        <v>562.203021724</v>
      </c>
      <c r="R45" s="111">
        <f t="array" ref="R45">SUM(IF($B$33:$B$44="Sub-Total",R33:R44))</f>
        <v>473.75253612399996</v>
      </c>
      <c r="S45" s="111">
        <f t="array" ref="S45">SUM(IF($B$33:$B$44="Sub-Total",S33:S44))</f>
        <v>472.22398992400002</v>
      </c>
      <c r="T45" s="113">
        <f t="array" ref="T45">SUM(IF(E$4:S$4&lt;&gt;"média",E45:S45))</f>
        <v>6431.509649388001</v>
      </c>
      <c r="U45" s="62">
        <f>ROW()</f>
        <v>45</v>
      </c>
    </row>
    <row r="46" spans="1:21" ht="21.95" customHeight="1">
      <c r="A46" s="222" t="s">
        <v>35</v>
      </c>
      <c r="B46" s="223"/>
      <c r="C46" s="49" t="s">
        <v>10</v>
      </c>
      <c r="D46" s="50">
        <f>'[1]SJCPIL-R 17-204-01'!T46</f>
        <v>113717.62769008844</v>
      </c>
      <c r="E46" s="67">
        <f t="array" ref="E46">SUM(IF($B5:$B25="Sub-Total",E5:E25))</f>
        <v>6979.1332823226858</v>
      </c>
      <c r="F46" s="67">
        <f t="array" ref="F46">SUM(IF($B5:$B25="Sub-Total",F5:F25))</f>
        <v>7973.8215369021036</v>
      </c>
      <c r="G46" s="67">
        <f t="array" ref="G46">SUM(IF($B5:$B25="Sub-Total",G5:G25))+1901.64</f>
        <v>8768.5126635155211</v>
      </c>
      <c r="H46" s="47">
        <f t="shared" ref="H46" si="73">AVERAGE(E46:G46)</f>
        <v>7907.1558275801035</v>
      </c>
      <c r="I46" s="67">
        <f t="array" ref="I46">SUM(IF($B5:$B25="Sub-Total",I5:I25))</f>
        <v>7888.8865211644024</v>
      </c>
      <c r="J46" s="67">
        <f t="array" ref="J46">SUM(IF($B5:$B25="Sub-Total",J5:J25))</f>
        <v>7991.5865594513498</v>
      </c>
      <c r="K46" s="67">
        <f t="array" ref="K46">SUM(IF($B5:$B25="Sub-Total",K5:K25))</f>
        <v>8489.7050590959443</v>
      </c>
      <c r="L46" s="47">
        <f t="shared" ref="L46" si="74">AVERAGE(I46:K46)</f>
        <v>8123.3927132372328</v>
      </c>
      <c r="M46" s="67">
        <f t="array" ref="M46">SUM(IF($B5:$B25="Sub-Total",M5:M25))</f>
        <v>9851.5523216167476</v>
      </c>
      <c r="N46" s="67">
        <f t="array" ref="N46">SUM(IF($B5:$B25="Sub-Total",N5:N25))</f>
        <v>21423.103934652601</v>
      </c>
      <c r="O46" s="67">
        <f t="array" ref="O46">SUM(IF($B5:$B25="Sub-Total",O5:O25))</f>
        <v>14268.863445998557</v>
      </c>
      <c r="P46" s="47">
        <f t="shared" ref="P46" si="75">AVERAGE(M46:O46)</f>
        <v>15181.173234089301</v>
      </c>
      <c r="Q46" s="67">
        <f t="array" ref="Q46">SUM(IF($B5:$B25="Sub-Total",Q5:Q25))</f>
        <v>8508.5838492675866</v>
      </c>
      <c r="R46" s="67">
        <f t="array" ref="R46">SUM(IF($B5:$B25="Sub-Total",R5:R25))</f>
        <v>12090.550368352231</v>
      </c>
      <c r="S46" s="67">
        <f t="array" ref="S46">SUM(IF($B5:$B25="Sub-Total",S5:S25))</f>
        <v>21750.249523107261</v>
      </c>
      <c r="T46" s="51">
        <f t="array" ref="T46">SUM(IF(E$4:S$4&lt;&gt;"média",E46:S46))</f>
        <v>135984.549065447</v>
      </c>
      <c r="U46" s="62">
        <f>ROW()</f>
        <v>46</v>
      </c>
    </row>
    <row r="47" spans="1:21" ht="37.5" customHeight="1">
      <c r="A47" s="224" t="s">
        <v>28</v>
      </c>
      <c r="B47" s="225"/>
      <c r="C47" s="225"/>
      <c r="D47" s="52">
        <f>'[1]SJCPIL-R 17-204-01'!T47</f>
        <v>0</v>
      </c>
      <c r="E47" s="85"/>
      <c r="F47" s="85"/>
      <c r="G47" s="85"/>
      <c r="H47" s="53"/>
      <c r="I47" s="85"/>
      <c r="J47" s="85"/>
      <c r="K47" s="85"/>
      <c r="L47" s="53"/>
      <c r="M47" s="85"/>
      <c r="N47" s="85"/>
      <c r="O47" s="85"/>
      <c r="P47" s="53"/>
      <c r="Q47" s="85"/>
      <c r="R47" s="120"/>
      <c r="S47" s="85"/>
      <c r="T47" s="54"/>
      <c r="U47" s="62">
        <f>ROW()</f>
        <v>47</v>
      </c>
    </row>
    <row r="48" spans="1:21" ht="14.25">
      <c r="A48" s="55"/>
      <c r="B48" s="56" t="s">
        <v>37</v>
      </c>
      <c r="C48" s="57"/>
      <c r="D48" s="88">
        <f>'[1]SJCPIL-R 17-204-01'!T48</f>
        <v>285128193</v>
      </c>
      <c r="E48" s="68">
        <f>'[3]SJCPIL-R 17-203-00 (Forecast)'!D40</f>
        <v>26727947.187999994</v>
      </c>
      <c r="F48" s="68">
        <f>'[3]SJCPIL-R 17-203-00 (Forecast)'!E40</f>
        <v>25111169.154400006</v>
      </c>
      <c r="G48" s="68">
        <f>'[3]SJCPIL-R 17-203-00 (Forecast)'!F40</f>
        <v>25262083.454800002</v>
      </c>
      <c r="H48" s="58">
        <f>'[4]SJCPIL-R 17-203-00 (Forecast)'!G40</f>
        <v>22081574.333333332</v>
      </c>
      <c r="I48" s="68">
        <f>'[3]SJCPIL-R 17-203-00 (Forecast)'!H40</f>
        <v>25111169.154400006</v>
      </c>
      <c r="J48" s="68">
        <f>'[3]SJCPIL-R 17-203-00 (Forecast)'!I40</f>
        <v>25262083.454800002</v>
      </c>
      <c r="K48" s="68">
        <f>'[3]SJCPIL-R 17-203-00 (Forecast)'!J40</f>
        <v>26889486.438000001</v>
      </c>
      <c r="L48" s="58">
        <f>'[4]SJCPIL-R 17-203-00 (Forecast)'!K40</f>
        <v>24078180.666666668</v>
      </c>
      <c r="M48" s="68">
        <f>'[3]SJCPIL-R 17-203-00 (Forecast)'!L40</f>
        <v>29683907.958000001</v>
      </c>
      <c r="N48" s="68">
        <f>'[3]SJCPIL-R 17-203-00 (Forecast)'!M40</f>
        <v>29211319.708800003</v>
      </c>
      <c r="O48" s="68">
        <f>'[3]SJCPIL-R 17-203-00 (Forecast)'!N40</f>
        <v>29198964.3288</v>
      </c>
      <c r="P48" s="58">
        <f>'[4]SJCPIL-R 17-203-00 (Forecast)'!O40</f>
        <v>27189252.666666668</v>
      </c>
      <c r="Q48" s="68">
        <f>'[3]SJCPIL-R 17-203-00 (Forecast)'!P40</f>
        <v>28069174.581239998</v>
      </c>
      <c r="R48" s="68">
        <f>'[3]SJCPIL-R 17-203-00 (Forecast)'!Q40</f>
        <v>21569281.516920004</v>
      </c>
      <c r="S48" s="68">
        <f>'[3]SJCPIL-R 17-203-00 (Forecast)'!R40</f>
        <v>21477317.32096</v>
      </c>
      <c r="T48" s="59">
        <f>'[4]SJCPIL-R 17-203-00 (Forecast)'!S40</f>
        <v>20729572</v>
      </c>
      <c r="U48" s="62">
        <f>ROW()</f>
        <v>48</v>
      </c>
    </row>
    <row r="49" spans="2:21" ht="14.25">
      <c r="B49" s="60" t="s">
        <v>38</v>
      </c>
      <c r="C49" s="61"/>
      <c r="D49" s="88">
        <f>'[1]SJCPIL-R 17-204-01'!T49</f>
        <v>27983553</v>
      </c>
      <c r="E49" s="68">
        <f>'[3]SJCPIL-R 17-203-00 (Forecast)'!D41</f>
        <v>3185354.3056000001</v>
      </c>
      <c r="F49" s="68">
        <f>'[3]SJCPIL-R 17-203-00 (Forecast)'!E41</f>
        <v>3093608.6620000005</v>
      </c>
      <c r="G49" s="68">
        <f>'[3]SJCPIL-R 17-203-00 (Forecast)'!F41</f>
        <v>3151055.1489999997</v>
      </c>
      <c r="H49" s="58">
        <f>'[4]SJCPIL-R 17-203-00 (Forecast)'!G41</f>
        <v>3209177.4340419169</v>
      </c>
      <c r="I49" s="68">
        <f>'[3]SJCPIL-R 17-203-00 (Forecast)'!H41</f>
        <v>3093608.6620000005</v>
      </c>
      <c r="J49" s="68">
        <f>'[3]SJCPIL-R 17-203-00 (Forecast)'!I41</f>
        <v>3151055.1489999997</v>
      </c>
      <c r="K49" s="68">
        <f>'[3]SJCPIL-R 17-203-00 (Forecast)'!J41</f>
        <v>3141480.7345000003</v>
      </c>
      <c r="L49" s="58">
        <f>'[4]SJCPIL-R 17-203-00 (Forecast)'!K41</f>
        <v>3523229.1452002637</v>
      </c>
      <c r="M49" s="68">
        <f>'[3]SJCPIL-R 17-203-00 (Forecast)'!L41</f>
        <v>3469465.8730000006</v>
      </c>
      <c r="N49" s="68">
        <f>'[3]SJCPIL-R 17-203-00 (Forecast)'!M41</f>
        <v>3542507.2598000006</v>
      </c>
      <c r="O49" s="68">
        <f>'[3]SJCPIL-R 17-203-00 (Forecast)'!N41</f>
        <v>3579027.9532000008</v>
      </c>
      <c r="P49" s="58">
        <f>'[4]SJCPIL-R 17-203-00 (Forecast)'!O41</f>
        <v>3943472.7640317283</v>
      </c>
      <c r="Q49" s="68">
        <f>'[3]SJCPIL-R 17-203-00 (Forecast)'!P41</f>
        <v>3319138.7550000004</v>
      </c>
      <c r="R49" s="68">
        <f>'[3]SJCPIL-R 17-203-00 (Forecast)'!Q41</f>
        <v>2144673.8849999998</v>
      </c>
      <c r="S49" s="68">
        <f>'[3]SJCPIL-R 17-203-00 (Forecast)'!R41</f>
        <v>2440418.0299999998</v>
      </c>
      <c r="T49" s="59">
        <f>'[4]SJCPIL-R 17-203-00 (Forecast)'!S41</f>
        <v>2998372.1900594248</v>
      </c>
      <c r="U49" s="62">
        <f>ROW()</f>
        <v>49</v>
      </c>
    </row>
    <row r="50" spans="2:21" ht="14.25">
      <c r="B50" s="60" t="s">
        <v>27</v>
      </c>
      <c r="C50" s="61"/>
      <c r="D50" s="88">
        <f>'[1]SJCPIL-R 17-204-01'!T50</f>
        <v>313111746</v>
      </c>
      <c r="E50" s="68">
        <f>'[3]SJCPIL-R 17-203-00 (Forecast)'!D42</f>
        <v>29913301.493599992</v>
      </c>
      <c r="F50" s="68">
        <f>'[3]SJCPIL-R 17-203-00 (Forecast)'!E42</f>
        <v>28204777.816400006</v>
      </c>
      <c r="G50" s="68">
        <f>'[3]SJCPIL-R 17-203-00 (Forecast)'!F42</f>
        <v>28413138.603800002</v>
      </c>
      <c r="H50" s="58">
        <f>'[2]SJCPIL-R 17-203-00 (Forecast)'!G42</f>
        <v>86853442</v>
      </c>
      <c r="I50" s="68">
        <f>'[3]SJCPIL-R 17-203-00 (Forecast)'!H42</f>
        <v>28204777.816400006</v>
      </c>
      <c r="J50" s="68">
        <f>'[3]SJCPIL-R 17-203-00 (Forecast)'!I42</f>
        <v>28413138.603800002</v>
      </c>
      <c r="K50" s="68">
        <f>'[3]SJCPIL-R 17-203-00 (Forecast)'!J42</f>
        <v>30030967.172499999</v>
      </c>
      <c r="L50" s="58">
        <f>'[2]SJCPIL-R 17-203-00 (Forecast)'!K42</f>
        <v>30668253.666666668</v>
      </c>
      <c r="M50" s="68">
        <f>'[3]SJCPIL-R 17-203-00 (Forecast)'!L42</f>
        <v>33153373.831</v>
      </c>
      <c r="N50" s="68">
        <f>'[3]SJCPIL-R 17-203-00 (Forecast)'!M42</f>
        <v>32753826.968600005</v>
      </c>
      <c r="O50" s="68">
        <f>'[3]SJCPIL-R 17-203-00 (Forecast)'!N42</f>
        <v>32777992.282000002</v>
      </c>
      <c r="P50" s="58">
        <f>'[2]SJCPIL-R 17-203-00 (Forecast)'!O42</f>
        <v>34079941.699999996</v>
      </c>
      <c r="Q50" s="68">
        <f>'[3]SJCPIL-R 17-203-00 (Forecast)'!P42</f>
        <v>31388313.336239997</v>
      </c>
      <c r="R50" s="68">
        <f>'[3]SJCPIL-R 17-203-00 (Forecast)'!Q42</f>
        <v>23713955.401920006</v>
      </c>
      <c r="S50" s="68">
        <f>'[3]SJCPIL-R 17-203-00 (Forecast)'!R42</f>
        <v>23917735.350960001</v>
      </c>
      <c r="T50" s="59">
        <f>'[2]SJCPIL-R 17-203-00 (Forecast)'!S42</f>
        <v>27637599.666666668</v>
      </c>
      <c r="U50" s="62">
        <f>ROW()</f>
        <v>50</v>
      </c>
    </row>
    <row r="52" spans="2:21">
      <c r="E52" s="86" t="s">
        <v>44</v>
      </c>
      <c r="G52" s="87" t="s">
        <v>45</v>
      </c>
    </row>
    <row r="54" spans="2:21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2:21">
      <c r="J55" s="1"/>
      <c r="K55" s="1"/>
      <c r="L55" s="1"/>
    </row>
    <row r="56" spans="2:21">
      <c r="K56" s="1"/>
    </row>
    <row r="57" spans="2:21">
      <c r="J57" s="1"/>
      <c r="K57" s="1"/>
    </row>
    <row r="58" spans="2:21">
      <c r="E58" s="1"/>
      <c r="F58" s="1"/>
      <c r="G58" s="1"/>
      <c r="H58" s="1"/>
      <c r="I58" s="1"/>
      <c r="J58" s="1"/>
    </row>
    <row r="60" spans="2:21">
      <c r="E60" s="1"/>
      <c r="F60" s="1"/>
      <c r="G60" s="1"/>
      <c r="H60" s="1"/>
      <c r="I60" s="1"/>
    </row>
    <row r="61" spans="2:21">
      <c r="E61" s="1"/>
      <c r="F61" s="1"/>
      <c r="G61" s="1"/>
      <c r="H61" s="1"/>
      <c r="I61" s="1"/>
    </row>
  </sheetData>
  <mergeCells count="14">
    <mergeCell ref="E1:S1"/>
    <mergeCell ref="E2:S2"/>
    <mergeCell ref="A3:B3"/>
    <mergeCell ref="D3:D4"/>
    <mergeCell ref="E3:O3"/>
    <mergeCell ref="Q3:S3"/>
    <mergeCell ref="A46:B46"/>
    <mergeCell ref="A47:C47"/>
    <mergeCell ref="T3:T4"/>
    <mergeCell ref="A5:A12"/>
    <mergeCell ref="A17:A19"/>
    <mergeCell ref="A20:A25"/>
    <mergeCell ref="A26:A31"/>
    <mergeCell ref="A33:A45"/>
  </mergeCells>
  <conditionalFormatting sqref="E33:G33 I33 E36:G36 E39:G39">
    <cfRule type="cellIs" dxfId="20" priority="20" stopIfTrue="1" operator="equal">
      <formula>0</formula>
    </cfRule>
  </conditionalFormatting>
  <conditionalFormatting sqref="J33:K33">
    <cfRule type="cellIs" dxfId="19" priority="10" stopIfTrue="1" operator="equal">
      <formula>0</formula>
    </cfRule>
  </conditionalFormatting>
  <conditionalFormatting sqref="M33:O33">
    <cfRule type="cellIs" dxfId="18" priority="9" stopIfTrue="1" operator="equal">
      <formula>0</formula>
    </cfRule>
  </conditionalFormatting>
  <conditionalFormatting sqref="Q33">
    <cfRule type="cellIs" dxfId="17" priority="8" stopIfTrue="1" operator="equal">
      <formula>0</formula>
    </cfRule>
  </conditionalFormatting>
  <conditionalFormatting sqref="R33:S33">
    <cfRule type="cellIs" dxfId="16" priority="7" stopIfTrue="1" operator="equal">
      <formula>0</formula>
    </cfRule>
  </conditionalFormatting>
  <conditionalFormatting sqref="I36:K36">
    <cfRule type="cellIs" dxfId="15" priority="6" stopIfTrue="1" operator="equal">
      <formula>0</formula>
    </cfRule>
  </conditionalFormatting>
  <conditionalFormatting sqref="M36:O36">
    <cfRule type="cellIs" dxfId="14" priority="5" stopIfTrue="1" operator="equal">
      <formula>0</formula>
    </cfRule>
  </conditionalFormatting>
  <conditionalFormatting sqref="Q36:S36">
    <cfRule type="cellIs" dxfId="13" priority="4" stopIfTrue="1" operator="equal">
      <formula>0</formula>
    </cfRule>
  </conditionalFormatting>
  <conditionalFormatting sqref="I39:K39">
    <cfRule type="cellIs" dxfId="12" priority="3" stopIfTrue="1" operator="equal">
      <formula>0</formula>
    </cfRule>
  </conditionalFormatting>
  <conditionalFormatting sqref="M39:O39">
    <cfRule type="cellIs" dxfId="11" priority="2" stopIfTrue="1" operator="equal">
      <formula>0</formula>
    </cfRule>
  </conditionalFormatting>
  <conditionalFormatting sqref="Q39:S39">
    <cfRule type="cellIs" dxfId="10" priority="1" stopIfTrue="1" operator="equal">
      <formula>0</formula>
    </cfRule>
  </conditionalFormatting>
  <printOptions horizontalCentered="1" verticalCentered="1" gridLinesSet="0"/>
  <pageMargins left="0.39370078740157483" right="0.39370078740157483" top="0.59055118110236227" bottom="0.59055118110236227" header="0.51181102362204722" footer="0.31496062992125984"/>
  <pageSetup paperSize="9" scale="54" fitToHeight="2" orientation="landscape" r:id="rId1"/>
  <headerFooter alignWithMargins="0">
    <oddFooter>&amp;L&amp;A (PGQ-7.03)&amp;R&amp;F</oddFooter>
  </headerFooter>
  <rowBreaks count="1" manualBreakCount="1">
    <brk id="32" max="16383" man="1"/>
  </row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2"/>
  <dimension ref="A1:U60"/>
  <sheetViews>
    <sheetView showGridLines="0" showZeros="0" zoomScaleNormal="100" zoomScaleSheetLayoutView="70" workbookViewId="0">
      <pane xSplit="3" ySplit="4" topLeftCell="I11" activePane="bottomRight" state="frozen"/>
      <selection pane="topRight" activeCell="D1" sqref="D1"/>
      <selection pane="bottomLeft" activeCell="A5" sqref="A5"/>
      <selection pane="bottomRight" activeCell="M54" sqref="M54"/>
    </sheetView>
  </sheetViews>
  <sheetFormatPr defaultColWidth="11.42578125" defaultRowHeight="12.75"/>
  <cols>
    <col min="1" max="1" width="12.5703125" customWidth="1"/>
    <col min="2" max="2" width="22.7109375" bestFit="1" customWidth="1"/>
    <col min="3" max="3" width="4.5703125" bestFit="1" customWidth="1"/>
    <col min="4" max="4" width="12.7109375" bestFit="1" customWidth="1"/>
    <col min="5" max="19" width="12.7109375" customWidth="1"/>
    <col min="20" max="20" width="12.28515625" bestFit="1" customWidth="1"/>
    <col min="21" max="21" width="3.5703125" bestFit="1" customWidth="1"/>
  </cols>
  <sheetData>
    <row r="1" spans="1:21" ht="20.25" customHeight="1">
      <c r="A1" s="3"/>
      <c r="B1" s="3"/>
      <c r="C1" s="3"/>
      <c r="D1" s="3"/>
      <c r="E1" s="239" t="s">
        <v>29</v>
      </c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</row>
    <row r="2" spans="1:21" s="5" customFormat="1" ht="22.5" customHeight="1">
      <c r="A2" s="4"/>
      <c r="B2" s="4"/>
      <c r="C2" s="4"/>
      <c r="D2" s="4"/>
      <c r="E2" s="241" t="s">
        <v>0</v>
      </c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</row>
    <row r="3" spans="1:21" s="5" customFormat="1" ht="22.5" customHeight="1">
      <c r="A3" s="242" t="s">
        <v>1</v>
      </c>
      <c r="B3" s="243"/>
      <c r="C3" s="90"/>
      <c r="D3" s="244" t="s">
        <v>59</v>
      </c>
      <c r="E3" s="242">
        <v>2022</v>
      </c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3"/>
      <c r="Q3" s="224">
        <f>E3+1</f>
        <v>2023</v>
      </c>
      <c r="R3" s="225"/>
      <c r="S3" s="225"/>
      <c r="T3" s="226" t="s">
        <v>2</v>
      </c>
    </row>
    <row r="4" spans="1:21" s="10" customFormat="1" ht="30">
      <c r="A4" s="6" t="s">
        <v>3</v>
      </c>
      <c r="B4" s="7" t="s">
        <v>4</v>
      </c>
      <c r="C4" s="8" t="s">
        <v>5</v>
      </c>
      <c r="D4" s="245"/>
      <c r="E4" s="200">
        <f>'SJCPIL-R 17-204-01 (Forecat)'!E4</f>
        <v>44652</v>
      </c>
      <c r="F4" s="200">
        <f>'SJCPIL-R 17-204-01 (Forecat)'!F4</f>
        <v>44682</v>
      </c>
      <c r="G4" s="218">
        <f>'SJCPIL-R 17-204-01 (Forecat)'!G4</f>
        <v>44713</v>
      </c>
      <c r="H4" s="219" t="str">
        <f>'SJCPIL-R 17-204-01 (Forecat)'!H4</f>
        <v>média</v>
      </c>
      <c r="I4" s="200">
        <f>'SJCPIL-R 17-204-01 (Forecat)'!I4</f>
        <v>44743</v>
      </c>
      <c r="J4" s="200">
        <f>'SJCPIL-R 17-204-01 (Forecat)'!J4</f>
        <v>44774</v>
      </c>
      <c r="K4" s="200">
        <f>'SJCPIL-R 17-204-01 (Forecat)'!K4</f>
        <v>44805</v>
      </c>
      <c r="L4" s="219" t="str">
        <f>'SJCPIL-R 17-204-01 (Forecat)'!L4</f>
        <v>Média</v>
      </c>
      <c r="M4" s="200">
        <f>'SJCPIL-R 17-204-01 (Forecat)'!M4</f>
        <v>44835</v>
      </c>
      <c r="N4" s="200">
        <f>'SJCPIL-R 17-204-01 (Forecat)'!N4</f>
        <v>44866</v>
      </c>
      <c r="O4" s="200">
        <f>'SJCPIL-R 17-204-01 (Forecat)'!O4</f>
        <v>44896</v>
      </c>
      <c r="P4" s="219" t="str">
        <f>'SJCPIL-R 17-204-01 (Forecat)'!P4</f>
        <v>Média</v>
      </c>
      <c r="Q4" s="200">
        <f>'SJCPIL-R 17-204-01 (Forecat)'!Q4</f>
        <v>44927</v>
      </c>
      <c r="R4" s="200">
        <f>'SJCPIL-R 17-204-01 (Forecat)'!R4</f>
        <v>44958</v>
      </c>
      <c r="S4" s="200">
        <f>'SJCPIL-R 17-204-01 (Forecat)'!S4</f>
        <v>44986</v>
      </c>
      <c r="T4" s="227"/>
      <c r="U4" s="63"/>
    </row>
    <row r="5" spans="1:21" ht="21.95" customHeight="1">
      <c r="A5" s="228" t="s">
        <v>6</v>
      </c>
      <c r="B5" s="11" t="s">
        <v>7</v>
      </c>
      <c r="C5" s="12" t="s">
        <v>8</v>
      </c>
      <c r="D5" s="121">
        <f>'[5]SJCPIL-R 17-204-01'!T5</f>
        <v>295.00322082506796</v>
      </c>
      <c r="E5" s="79"/>
      <c r="F5" s="79"/>
      <c r="G5" s="79"/>
      <c r="H5" s="140" t="e">
        <f>AVERAGE(E5:G5)</f>
        <v>#DIV/0!</v>
      </c>
      <c r="I5" s="79"/>
      <c r="J5" s="79"/>
      <c r="K5" s="79"/>
      <c r="L5" s="140" t="e">
        <f>AVERAGE(I5:K5)</f>
        <v>#DIV/0!</v>
      </c>
      <c r="M5" s="79"/>
      <c r="N5" s="79"/>
      <c r="O5" s="79">
        <f>INDEX('[6]RESIDUO-2020'!$A$8:$L$22,MATCH(O52,'[6]RESIDUO-2020'!$A$8:$A$22,0),10)</f>
        <v>26.5</v>
      </c>
      <c r="P5" s="156">
        <f>AVERAGE(M5:O5)</f>
        <v>26.5</v>
      </c>
      <c r="Q5" s="79">
        <f>INDEX('[6]RESIDUO-2020'!$A$8:$L$22,MATCH(Q52,'[6]RESIDUO-2020'!$A$8:$A$22,0),10)</f>
        <v>0</v>
      </c>
      <c r="R5" s="79">
        <f>INDEX('[6]RESIDUO-2020'!$A$8:$L$22,MATCH(R52,'[6]RESIDUO-2020'!$A$8:$A$22,0),10)</f>
        <v>0</v>
      </c>
      <c r="S5" s="79">
        <f>INDEX('[6]RESIDUO-2020'!$A$8:$L$22,MATCH(S52,'[6]RESIDUO-2020'!$A$8:$A$22,0),10)</f>
        <v>0</v>
      </c>
      <c r="T5" s="34">
        <f t="array" ref="T5">SUM(IF(E$4:S$4&lt;&gt;"média",E5:S5))</f>
        <v>26.5</v>
      </c>
      <c r="U5" s="62"/>
    </row>
    <row r="6" spans="1:21" ht="21.95" customHeight="1">
      <c r="A6" s="229"/>
      <c r="B6" s="16" t="s">
        <v>9</v>
      </c>
      <c r="C6" s="17" t="s">
        <v>10</v>
      </c>
      <c r="D6" s="122">
        <f>'[5]SJCPIL-R 17-204-01'!T6</f>
        <v>89.279999999999987</v>
      </c>
      <c r="E6" s="80">
        <f>'[7]Base Custo Falhas LR6'!$H$17</f>
        <v>10.52</v>
      </c>
      <c r="F6" s="80">
        <f>'[8]Base Custo Falhas LR6'!$H$17</f>
        <v>10.52</v>
      </c>
      <c r="G6" s="80">
        <f>'[9]Base Custo Falhas LR6'!$H$17</f>
        <v>10.28</v>
      </c>
      <c r="H6" s="142">
        <f t="shared" ref="H6:H7" si="0">AVERAGE(E6:G6)</f>
        <v>10.44</v>
      </c>
      <c r="I6" s="80">
        <f>'[10]Base Custo Falhas LR6'!$H$17</f>
        <v>10.17</v>
      </c>
      <c r="J6" s="80">
        <f>'[11]Base Custo Falhas LR6'!$H$17</f>
        <v>9.89</v>
      </c>
      <c r="K6" s="80">
        <f>'[12]Base Custo Falhas LR6'!$H$17</f>
        <v>9.9499999999999993</v>
      </c>
      <c r="L6" s="142">
        <f t="shared" ref="L6:L7" si="1">AVERAGE(I6:K6)</f>
        <v>10.003333333333334</v>
      </c>
      <c r="M6" s="80">
        <f>'[13]Base Custo Falhas LR6'!$H$17</f>
        <v>9.9700000000000006</v>
      </c>
      <c r="N6" s="80">
        <f>'[14]Base Custo Falhas LR6'!$H$17</f>
        <v>9.9700000000000006</v>
      </c>
      <c r="O6" s="203"/>
      <c r="P6" s="141">
        <f t="shared" ref="P6:P20" si="2">AVERAGE(M6:O6)</f>
        <v>9.9700000000000006</v>
      </c>
      <c r="Q6" s="80">
        <f>O6</f>
        <v>0</v>
      </c>
      <c r="R6" s="80">
        <f>Q6</f>
        <v>0</v>
      </c>
      <c r="S6" s="131">
        <f>R6</f>
        <v>0</v>
      </c>
      <c r="T6" s="77">
        <f t="array" ref="T6">SUM(IF(E$4:S$4&lt;&gt;"média",E6:S6))</f>
        <v>81.27</v>
      </c>
      <c r="U6" s="62"/>
    </row>
    <row r="7" spans="1:21" ht="21.95" customHeight="1">
      <c r="A7" s="229"/>
      <c r="B7" s="16" t="s">
        <v>11</v>
      </c>
      <c r="C7" s="17" t="s">
        <v>12</v>
      </c>
      <c r="D7" s="122">
        <f>'[5]SJCPIL-R 17-204-01'!T7</f>
        <v>1110</v>
      </c>
      <c r="E7" s="80">
        <v>92.5</v>
      </c>
      <c r="F7" s="80">
        <v>93.5</v>
      </c>
      <c r="G7" s="172">
        <f>$E$7</f>
        <v>92.5</v>
      </c>
      <c r="H7" s="142">
        <f t="shared" si="0"/>
        <v>92.833333333333329</v>
      </c>
      <c r="I7" s="172">
        <f>$E$7</f>
        <v>92.5</v>
      </c>
      <c r="J7" s="172">
        <f t="shared" ref="J7:K7" si="3">$E$7</f>
        <v>92.5</v>
      </c>
      <c r="K7" s="172">
        <f t="shared" si="3"/>
        <v>92.5</v>
      </c>
      <c r="L7" s="142">
        <f t="shared" si="1"/>
        <v>92.5</v>
      </c>
      <c r="M7" s="172">
        <f t="shared" ref="M7:O7" si="4">$E$7</f>
        <v>92.5</v>
      </c>
      <c r="N7" s="172">
        <f t="shared" si="4"/>
        <v>92.5</v>
      </c>
      <c r="O7" s="172">
        <f t="shared" si="4"/>
        <v>92.5</v>
      </c>
      <c r="P7" s="141">
        <f t="shared" si="2"/>
        <v>92.5</v>
      </c>
      <c r="Q7" s="172">
        <f t="shared" ref="Q7:S7" si="5">$E$7</f>
        <v>92.5</v>
      </c>
      <c r="R7" s="172">
        <f t="shared" si="5"/>
        <v>92.5</v>
      </c>
      <c r="S7" s="172">
        <f t="shared" si="5"/>
        <v>92.5</v>
      </c>
      <c r="T7" s="77">
        <f t="array" ref="T7">SUM(IF(E$4:S$4&lt;&gt;"média",E7:S7))</f>
        <v>1111</v>
      </c>
      <c r="U7" s="62"/>
    </row>
    <row r="8" spans="1:21" ht="21.95" customHeight="1">
      <c r="A8" s="229"/>
      <c r="B8" s="16" t="s">
        <v>13</v>
      </c>
      <c r="C8" s="17" t="s">
        <v>10</v>
      </c>
      <c r="D8" s="122">
        <f>'[5]SJCPIL-R 17-204-01'!T8</f>
        <v>2030.2121657181181</v>
      </c>
      <c r="E8" s="81">
        <f>E5*E7%*E6</f>
        <v>0</v>
      </c>
      <c r="F8" s="81">
        <f>F5*F7%*F6</f>
        <v>0</v>
      </c>
      <c r="G8" s="81">
        <f>G5*G7%*G6</f>
        <v>0</v>
      </c>
      <c r="H8" s="142" t="e">
        <f t="shared" ref="H8:L8" si="6">H5*H7/100*H6</f>
        <v>#DIV/0!</v>
      </c>
      <c r="I8" s="81">
        <f>I5*I7%*I6</f>
        <v>0</v>
      </c>
      <c r="J8" s="81">
        <f>J5*J7%*J6</f>
        <v>0</v>
      </c>
      <c r="K8" s="81">
        <f t="shared" ref="K8" si="7">K5*K7%*K6</f>
        <v>0</v>
      </c>
      <c r="L8" s="142" t="e">
        <f t="shared" si="6"/>
        <v>#DIV/0!</v>
      </c>
      <c r="M8" s="81">
        <f>M5*M7%*M6</f>
        <v>0</v>
      </c>
      <c r="N8" s="81">
        <f t="shared" ref="N8" si="8">N5*N7%*N6</f>
        <v>0</v>
      </c>
      <c r="O8" s="81">
        <f t="shared" ref="O8" si="9">O5*O7%*O6</f>
        <v>0</v>
      </c>
      <c r="P8" s="142">
        <f t="shared" si="2"/>
        <v>0</v>
      </c>
      <c r="Q8" s="81">
        <f>Q5*Q7%*Q6</f>
        <v>0</v>
      </c>
      <c r="R8" s="81">
        <f t="shared" ref="R8" si="10">R5*R7%*R6</f>
        <v>0</v>
      </c>
      <c r="S8" s="81">
        <f t="shared" ref="S8" si="11">S5*S7%*S6</f>
        <v>0</v>
      </c>
      <c r="T8" s="77">
        <f t="array" ref="T8">SUM(IF(E$4:S$4&lt;&gt;"média",E8:S8))</f>
        <v>0</v>
      </c>
      <c r="U8" s="62"/>
    </row>
    <row r="9" spans="1:21" ht="21.95" customHeight="1">
      <c r="A9" s="230"/>
      <c r="B9" s="20" t="s">
        <v>14</v>
      </c>
      <c r="C9" s="21" t="s">
        <v>10</v>
      </c>
      <c r="D9" s="123">
        <f>'[5]SJCPIL-R 17-204-01'!T9</f>
        <v>80.16</v>
      </c>
      <c r="E9" s="64">
        <f>'[7]Base Custo Falhas LR6'!$H$16</f>
        <v>7.16</v>
      </c>
      <c r="F9" s="64">
        <f>'[8]Base Custo Falhas LR6'!$H$16</f>
        <v>7.18</v>
      </c>
      <c r="G9" s="64">
        <f>'[9]Base Custo Falhas LR6'!$H$16</f>
        <v>7.2</v>
      </c>
      <c r="H9" s="143">
        <f t="shared" ref="H9:H11" si="12">AVERAGE(E9:G9)</f>
        <v>7.18</v>
      </c>
      <c r="I9" s="64">
        <f>'[10]Base Custo Falhas LR6'!$H$16</f>
        <v>7.2</v>
      </c>
      <c r="J9" s="64">
        <f>'[11]Base Custo Falhas LR6'!$H$16</f>
        <v>7.22</v>
      </c>
      <c r="K9" s="64">
        <f>'[12]Base Custo Falhas LR6'!$H$16</f>
        <v>7.23</v>
      </c>
      <c r="L9" s="143">
        <f t="shared" ref="L9:L11" si="13">AVERAGE(I9:K9)</f>
        <v>7.2166666666666659</v>
      </c>
      <c r="M9" s="64">
        <f>'[13]Base Custo Falhas LR6'!$H$16</f>
        <v>7.24</v>
      </c>
      <c r="N9" s="64">
        <f>'[14]Base Custo Falhas LR6'!$H$16</f>
        <v>7.24</v>
      </c>
      <c r="O9" s="203"/>
      <c r="P9" s="143">
        <f t="shared" si="2"/>
        <v>7.24</v>
      </c>
      <c r="Q9" s="80">
        <f>O9</f>
        <v>0</v>
      </c>
      <c r="R9" s="80">
        <f>Q9</f>
        <v>0</v>
      </c>
      <c r="S9" s="131">
        <f>R9</f>
        <v>0</v>
      </c>
      <c r="T9" s="37">
        <f t="array" ref="T9">SUM(IF(E$4:S$4&lt;&gt;"média",E9:S9))</f>
        <v>57.67</v>
      </c>
      <c r="U9" s="62"/>
    </row>
    <row r="10" spans="1:21" ht="21.95" customHeight="1">
      <c r="A10" s="231"/>
      <c r="B10" s="24" t="s">
        <v>15</v>
      </c>
      <c r="C10" s="25" t="s">
        <v>12</v>
      </c>
      <c r="D10" s="124">
        <f>'[5]SJCPIL-R 17-204-01'!T10</f>
        <v>90</v>
      </c>
      <c r="E10" s="82">
        <v>7.5</v>
      </c>
      <c r="F10" s="82">
        <v>8.5</v>
      </c>
      <c r="G10" s="173">
        <f>$E$10</f>
        <v>7.5</v>
      </c>
      <c r="H10" s="145">
        <f>AVERAGE(E10:G10)</f>
        <v>7.833333333333333</v>
      </c>
      <c r="I10" s="173">
        <f>$E$10</f>
        <v>7.5</v>
      </c>
      <c r="J10" s="173">
        <f t="shared" ref="J10:K10" si="14">$E$10</f>
        <v>7.5</v>
      </c>
      <c r="K10" s="173">
        <f t="shared" si="14"/>
        <v>7.5</v>
      </c>
      <c r="L10" s="145">
        <f t="shared" si="13"/>
        <v>7.5</v>
      </c>
      <c r="M10" s="173">
        <f t="shared" ref="M10:O10" si="15">$E$10</f>
        <v>7.5</v>
      </c>
      <c r="N10" s="173">
        <f t="shared" si="15"/>
        <v>7.5</v>
      </c>
      <c r="O10" s="173">
        <f t="shared" si="15"/>
        <v>7.5</v>
      </c>
      <c r="P10" s="144">
        <f t="shared" si="2"/>
        <v>7.5</v>
      </c>
      <c r="Q10" s="173">
        <f t="shared" ref="Q10:S10" si="16">$E$10</f>
        <v>7.5</v>
      </c>
      <c r="R10" s="173">
        <f t="shared" si="16"/>
        <v>7.5</v>
      </c>
      <c r="S10" s="173">
        <f t="shared" si="16"/>
        <v>7.5</v>
      </c>
      <c r="T10" s="40">
        <f t="array" ref="T10">SUM(IF(E$4:S$4&lt;&gt;"média",E10:S10))</f>
        <v>91</v>
      </c>
      <c r="U10" s="62"/>
    </row>
    <row r="11" spans="1:21" ht="21.95" customHeight="1">
      <c r="A11" s="231"/>
      <c r="B11" s="24" t="s">
        <v>16</v>
      </c>
      <c r="C11" s="25" t="s">
        <v>10</v>
      </c>
      <c r="D11" s="124">
        <f>'[5]SJCPIL-R 17-204-01'!T11</f>
        <v>147.79661363335904</v>
      </c>
      <c r="E11" s="65">
        <f>E5*E10%*E9</f>
        <v>0</v>
      </c>
      <c r="F11" s="65">
        <f>F5*F10%*F9</f>
        <v>0</v>
      </c>
      <c r="G11" s="65">
        <f t="shared" ref="G11:I11" si="17">G5*G10%*G9</f>
        <v>0</v>
      </c>
      <c r="H11" s="145">
        <f t="shared" si="12"/>
        <v>0</v>
      </c>
      <c r="I11" s="65">
        <f t="shared" si="17"/>
        <v>0</v>
      </c>
      <c r="J11" s="65">
        <f t="shared" ref="J11" si="18">J5*J10%*J9</f>
        <v>0</v>
      </c>
      <c r="K11" s="65">
        <f t="shared" ref="K11" si="19">K5*K10%*K9</f>
        <v>0</v>
      </c>
      <c r="L11" s="145">
        <f t="shared" si="13"/>
        <v>0</v>
      </c>
      <c r="M11" s="65">
        <f>M5*M10%*M9</f>
        <v>0</v>
      </c>
      <c r="N11" s="65">
        <f t="shared" ref="N11" si="20">N5*N10%*N9</f>
        <v>0</v>
      </c>
      <c r="O11" s="65">
        <f t="shared" ref="O11" si="21">O5*O10%*O9</f>
        <v>0</v>
      </c>
      <c r="P11" s="145">
        <f t="shared" si="2"/>
        <v>0</v>
      </c>
      <c r="Q11" s="65">
        <f>Q5*Q10%*Q9</f>
        <v>0</v>
      </c>
      <c r="R11" s="65">
        <f t="shared" ref="R11" si="22">R5*R10%*R9</f>
        <v>0</v>
      </c>
      <c r="S11" s="65">
        <f t="shared" ref="S11" si="23">S5*S10%*S9</f>
        <v>0</v>
      </c>
      <c r="T11" s="40">
        <f t="array" ref="T11">SUM(IF(E$4:S$4&lt;&gt;"média",E11:S11))</f>
        <v>0</v>
      </c>
      <c r="U11" s="62"/>
    </row>
    <row r="12" spans="1:21" ht="21.95" customHeight="1">
      <c r="A12" s="232"/>
      <c r="B12" s="28" t="s">
        <v>17</v>
      </c>
      <c r="C12" s="29" t="s">
        <v>10</v>
      </c>
      <c r="D12" s="125">
        <f>'[5]SJCPIL-R 17-204-01'!T12</f>
        <v>2178.0087793514772</v>
      </c>
      <c r="E12" s="66">
        <f>E11+E8</f>
        <v>0</v>
      </c>
      <c r="F12" s="66">
        <f>F11+F8</f>
        <v>0</v>
      </c>
      <c r="G12" s="66">
        <f t="shared" ref="G12:I12" si="24">G11+G8</f>
        <v>0</v>
      </c>
      <c r="H12" s="146" t="e">
        <f t="shared" ref="H12:L12" si="25">H11+H8</f>
        <v>#DIV/0!</v>
      </c>
      <c r="I12" s="66">
        <f t="shared" si="24"/>
        <v>0</v>
      </c>
      <c r="J12" s="66">
        <f t="shared" ref="J12" si="26">J11+J8</f>
        <v>0</v>
      </c>
      <c r="K12" s="66">
        <f t="shared" ref="K12" si="27">K11+K8</f>
        <v>0</v>
      </c>
      <c r="L12" s="146" t="e">
        <f t="shared" si="25"/>
        <v>#DIV/0!</v>
      </c>
      <c r="M12" s="66">
        <f>M11+M8</f>
        <v>0</v>
      </c>
      <c r="N12" s="66">
        <f t="shared" ref="N12" si="28">N11+N8</f>
        <v>0</v>
      </c>
      <c r="O12" s="66">
        <f t="shared" ref="O12" si="29">O11+O8</f>
        <v>0</v>
      </c>
      <c r="P12" s="146">
        <f t="shared" si="2"/>
        <v>0</v>
      </c>
      <c r="Q12" s="66">
        <f>Q11+Q8</f>
        <v>0</v>
      </c>
      <c r="R12" s="66">
        <f t="shared" ref="R12" si="30">R11+R8</f>
        <v>0</v>
      </c>
      <c r="S12" s="66">
        <f t="shared" ref="S12" si="31">S11+S8</f>
        <v>0</v>
      </c>
      <c r="T12" s="41">
        <f t="array" ref="T12">SUM(IF(E$4:S$4&lt;&gt;"média",E12:S12))</f>
        <v>0</v>
      </c>
      <c r="U12" s="62"/>
    </row>
    <row r="13" spans="1:21" ht="21.95" customHeight="1">
      <c r="A13" s="89" t="s">
        <v>30</v>
      </c>
      <c r="B13" s="11" t="s">
        <v>7</v>
      </c>
      <c r="C13" s="12" t="s">
        <v>32</v>
      </c>
      <c r="D13" s="121">
        <f>'[5]SJCPIL-R 17-204-01'!T13</f>
        <v>752.92585817448958</v>
      </c>
      <c r="E13" s="79"/>
      <c r="F13" s="79"/>
      <c r="G13" s="79"/>
      <c r="H13" s="140" t="e">
        <f>AVERAGE(E13:G13)</f>
        <v>#DIV/0!</v>
      </c>
      <c r="I13" s="79"/>
      <c r="J13" s="79"/>
      <c r="K13" s="79"/>
      <c r="L13" s="140" t="e">
        <f t="shared" ref="L13:L20" si="32">AVERAGE(I13:K13)</f>
        <v>#DIV/0!</v>
      </c>
      <c r="M13" s="176">
        <f>'[15]Rotulagem10-3 '!$D$32</f>
        <v>0</v>
      </c>
      <c r="N13" s="176">
        <f>'[15]Rotulagem10-3 '!$G$32</f>
        <v>0</v>
      </c>
      <c r="O13" s="185"/>
      <c r="P13" s="140">
        <f t="shared" si="2"/>
        <v>0</v>
      </c>
      <c r="Q13" s="79"/>
      <c r="R13" s="79"/>
      <c r="S13" s="130"/>
      <c r="T13" s="37">
        <f t="array" ref="T13">SUM(IF(E$4:S$4&lt;&gt;"média",E13:S13))</f>
        <v>0</v>
      </c>
      <c r="U13" s="62"/>
    </row>
    <row r="14" spans="1:21" ht="21.95" customHeight="1">
      <c r="A14" s="89" t="s">
        <v>36</v>
      </c>
      <c r="B14" s="20" t="s">
        <v>31</v>
      </c>
      <c r="C14" s="21" t="s">
        <v>10</v>
      </c>
      <c r="D14" s="123">
        <f>'[5]SJCPIL-R 17-204-01'!T14</f>
        <v>0.28310000000000002</v>
      </c>
      <c r="E14" s="83">
        <f>'[7]Base Custo Falhas LR6'!$I$51/1000</f>
        <v>2.9899999999999999E-2</v>
      </c>
      <c r="F14" s="83">
        <f>'[8]Base Custo Falhas LR6'!$I$51/1000</f>
        <v>3.0629999999999998E-2</v>
      </c>
      <c r="G14" s="83">
        <f>'[9]Base Custo Falhas LR6'!$I$51/1000</f>
        <v>3.0379999999999997E-2</v>
      </c>
      <c r="H14" s="143">
        <f t="shared" ref="H14:H20" si="33">AVERAGE(E14:G14)</f>
        <v>3.0303333333333331E-2</v>
      </c>
      <c r="I14" s="83">
        <f>'[10]Base Custo Falhas LR6'!$I$51/1000</f>
        <v>3.0690000000000002E-2</v>
      </c>
      <c r="J14" s="83">
        <f>'[11]Base Custo Falhas LR6'!$I$51/1000</f>
        <v>3.1230000000000001E-2</v>
      </c>
      <c r="K14" s="83">
        <f>'[12]Base Custo Falhas LR6'!$I$51/1000</f>
        <v>3.1230000000000001E-2</v>
      </c>
      <c r="L14" s="143">
        <f t="shared" si="32"/>
        <v>3.1050000000000005E-2</v>
      </c>
      <c r="M14" s="83">
        <f>'[13]Base Custo Falhas LR6'!$I$51/1000</f>
        <v>3.2060000000000005E-2</v>
      </c>
      <c r="N14" s="83">
        <f>'[14]Base Custo Falhas LR6'!$I$51/1000</f>
        <v>3.2060000000000005E-2</v>
      </c>
      <c r="O14" s="206"/>
      <c r="P14" s="147">
        <f t="shared" si="2"/>
        <v>3.2060000000000005E-2</v>
      </c>
      <c r="Q14" s="83">
        <f>O14</f>
        <v>0</v>
      </c>
      <c r="R14" s="83">
        <f>Q14</f>
        <v>0</v>
      </c>
      <c r="S14" s="133">
        <f>R14</f>
        <v>0</v>
      </c>
      <c r="T14" s="37">
        <f t="array" ref="T14">SUM(IF(E$4:S$4&lt;&gt;"média",E14:S14))</f>
        <v>0.24818000000000001</v>
      </c>
      <c r="U14" s="62"/>
    </row>
    <row r="15" spans="1:21" ht="21.95" customHeight="1">
      <c r="A15" s="89"/>
      <c r="B15" s="24" t="s">
        <v>17</v>
      </c>
      <c r="C15" s="25" t="s">
        <v>10</v>
      </c>
      <c r="D15" s="124">
        <f>'[5]SJCPIL-R 17-204-01'!T15</f>
        <v>17.900964683134593</v>
      </c>
      <c r="E15" s="177">
        <f>E13*E14</f>
        <v>0</v>
      </c>
      <c r="F15" s="174">
        <f>F13*F14</f>
        <v>0</v>
      </c>
      <c r="G15" s="174">
        <f>G13*G14</f>
        <v>0</v>
      </c>
      <c r="H15" s="145">
        <f t="shared" si="33"/>
        <v>0</v>
      </c>
      <c r="I15" s="174">
        <f>I13*I14</f>
        <v>0</v>
      </c>
      <c r="J15" s="174">
        <f>J13*J14</f>
        <v>0</v>
      </c>
      <c r="K15" s="186"/>
      <c r="L15" s="145">
        <f t="shared" si="32"/>
        <v>0</v>
      </c>
      <c r="M15" s="201">
        <f>M13*M14</f>
        <v>0</v>
      </c>
      <c r="N15" s="207">
        <f>N13*N14</f>
        <v>0</v>
      </c>
      <c r="O15" s="186"/>
      <c r="P15" s="145">
        <f t="shared" si="2"/>
        <v>0</v>
      </c>
      <c r="Q15" s="65">
        <f>Q13*Q14</f>
        <v>0</v>
      </c>
      <c r="R15" s="65">
        <f>R13*R14</f>
        <v>0</v>
      </c>
      <c r="S15" s="132">
        <f>S13*S14</f>
        <v>0</v>
      </c>
      <c r="T15" s="40">
        <f t="array" ref="T15">SUM(IF(E$4:S$4&lt;&gt;"média",E15:S15))</f>
        <v>0</v>
      </c>
      <c r="U15" s="62"/>
    </row>
    <row r="16" spans="1:21" ht="21.95" customHeight="1">
      <c r="A16" s="163" t="s">
        <v>33</v>
      </c>
      <c r="B16" s="164" t="s">
        <v>27</v>
      </c>
      <c r="C16" s="165" t="s">
        <v>10</v>
      </c>
      <c r="D16" s="166">
        <f>'[5]SJCPIL-R 17-204-01'!T16</f>
        <v>2195.9097440346122</v>
      </c>
      <c r="E16" s="73">
        <f>E15+E12</f>
        <v>0</v>
      </c>
      <c r="F16" s="175">
        <f>F15+F12</f>
        <v>0</v>
      </c>
      <c r="G16" s="168">
        <f>G15+G12</f>
        <v>0</v>
      </c>
      <c r="H16" s="169">
        <f t="shared" si="33"/>
        <v>0</v>
      </c>
      <c r="I16" s="168">
        <f>I15+I12</f>
        <v>0</v>
      </c>
      <c r="J16" s="168">
        <f>J15+J12</f>
        <v>0</v>
      </c>
      <c r="K16" s="168">
        <f>K15+K12</f>
        <v>0</v>
      </c>
      <c r="L16" s="169">
        <f t="shared" si="32"/>
        <v>0</v>
      </c>
      <c r="M16" s="202">
        <f>M15+M12</f>
        <v>0</v>
      </c>
      <c r="N16" s="208">
        <f>N15+N12</f>
        <v>0</v>
      </c>
      <c r="O16" s="209"/>
      <c r="P16" s="169">
        <f t="shared" si="2"/>
        <v>0</v>
      </c>
      <c r="Q16" s="167">
        <f>Q15+Q12</f>
        <v>0</v>
      </c>
      <c r="R16" s="167">
        <f>R15+R12</f>
        <v>0</v>
      </c>
      <c r="S16" s="168">
        <f>S15+S12</f>
        <v>0</v>
      </c>
      <c r="T16" s="170">
        <f t="array" ref="T16">SUM(IF(E$4:S$4&lt;&gt;"média",E16:S16))</f>
        <v>0</v>
      </c>
      <c r="U16" s="62"/>
    </row>
    <row r="17" spans="1:21" ht="21.95" customHeight="1">
      <c r="A17" s="228" t="s">
        <v>18</v>
      </c>
      <c r="B17" s="11" t="s">
        <v>19</v>
      </c>
      <c r="C17" s="12" t="s">
        <v>8</v>
      </c>
      <c r="D17" s="121">
        <f>'[5]SJCPIL-R 17-204-01'!T17</f>
        <v>4153.1582562957246</v>
      </c>
      <c r="E17" s="84">
        <f>INDEX('[3]SJCPIL-R 17-203-00'!$D$4:$S$36,2,MATCH(E4,'[3]SJCPIL-R 17-203-00'!$D$4:$S$4,0))</f>
        <v>0</v>
      </c>
      <c r="F17" s="84">
        <f>INDEX('[3]SJCPIL-R 17-203-00'!$D$4:$S$36,2,MATCH(F4,'[3]SJCPIL-R 17-203-00'!$D$4:$S$4,0))</f>
        <v>0</v>
      </c>
      <c r="G17" s="84">
        <f>INDEX('[3]SJCPIL-R 17-203-00'!$D$4:$S$36,2,MATCH(G4,'[3]SJCPIL-R 17-203-00'!$D$4:$S$4,0))</f>
        <v>0</v>
      </c>
      <c r="H17" s="140">
        <f t="shared" si="33"/>
        <v>0</v>
      </c>
      <c r="I17" s="84">
        <f>INDEX('[3]SJCPIL-R 17-203-00'!$D$4:$S$36,2,MATCH(I4,'[3]SJCPIL-R 17-203-00'!$D$4:$S$4,0))</f>
        <v>0</v>
      </c>
      <c r="J17" s="84">
        <f>INDEX('[3]SJCPIL-R 17-203-00'!$D$4:$S$36,2,MATCH(J4,'[3]SJCPIL-R 17-203-00'!$D$4:$S$4,0))</f>
        <v>0</v>
      </c>
      <c r="K17" s="84">
        <f>INDEX('[3]SJCPIL-R 17-203-00'!$D$4:$S$36,2,MATCH(K4,'[3]SJCPIL-R 17-203-00'!$D$4:$S$4,0))</f>
        <v>0</v>
      </c>
      <c r="L17" s="140">
        <f t="shared" si="32"/>
        <v>0</v>
      </c>
      <c r="M17" s="84">
        <f>INDEX('[3]SJCPIL-R 17-203-00'!$D$4:$S$36,2,MATCH(M4,'[3]SJCPIL-R 17-203-00'!$D$4:$S$4,0))</f>
        <v>0</v>
      </c>
      <c r="N17" s="84">
        <f>INDEX('[3]SJCPIL-R 17-203-00'!$D$4:$S$36,2,MATCH(N4,'[3]SJCPIL-R 17-203-00'!$D$4:$S$4,0))</f>
        <v>0</v>
      </c>
      <c r="O17" s="84">
        <f>INDEX('[3]SJCPIL-R 17-203-00'!$D$4:$S$36,2,MATCH(O4,'[3]SJCPIL-R 17-203-00'!$D$4:$S$4,0))</f>
        <v>0</v>
      </c>
      <c r="P17" s="140">
        <f t="shared" si="2"/>
        <v>0</v>
      </c>
      <c r="Q17" s="84">
        <f>INDEX('[3]SJCPIL-R 17-203-00'!$D$4:$S$36,2,MATCH(Q4,'[3]SJCPIL-R 17-203-00'!$D$4:$S$4,0))</f>
        <v>0</v>
      </c>
      <c r="R17" s="84">
        <f>INDEX('[3]SJCPIL-R 17-203-00'!$D$4:$S$36,2,MATCH(R4,'[3]SJCPIL-R 17-203-00'!$D$4:$S$4,0))</f>
        <v>0</v>
      </c>
      <c r="S17" s="84">
        <f>INDEX('[3]SJCPIL-R 17-203-00'!$D$4:$S$36,2,MATCH(S4,'[3]SJCPIL-R 17-203-00'!$D$4:$S$4,0))</f>
        <v>0</v>
      </c>
      <c r="T17" s="34">
        <f t="array" ref="T17">SUM(IF(E$4:S$4&lt;&gt;"média",E17:S17))</f>
        <v>0</v>
      </c>
      <c r="U17" s="62"/>
    </row>
    <row r="18" spans="1:21" ht="21.95" customHeight="1">
      <c r="A18" s="230"/>
      <c r="B18" s="20" t="s">
        <v>20</v>
      </c>
      <c r="C18" s="21" t="s">
        <v>10</v>
      </c>
      <c r="D18" s="123">
        <f>'[5]SJCPIL-R 17-204-01'!T18</f>
        <v>6120</v>
      </c>
      <c r="E18" s="84">
        <f>INDEX('[3]SJCPIL-R 17-203-00'!$D$4:$S$36,3,MATCH(E4,'[3]SJCPIL-R 17-203-00'!$D$4:$S$4,0))</f>
        <v>315.97000000000003</v>
      </c>
      <c r="F18" s="84">
        <f>INDEX('[3]SJCPIL-R 17-203-00'!$D$4:$S$36,3,MATCH(F4,'[3]SJCPIL-R 17-203-00'!$D$4:$S$4,0))</f>
        <v>315.97000000000003</v>
      </c>
      <c r="G18" s="84">
        <f>INDEX('[3]SJCPIL-R 17-203-00'!$D$4:$S$36,3,MATCH(G4,'[3]SJCPIL-R 17-203-00'!$D$4:$S$4,0))</f>
        <v>315.97000000000003</v>
      </c>
      <c r="H18" s="148">
        <f t="shared" si="33"/>
        <v>315.97000000000003</v>
      </c>
      <c r="I18" s="84">
        <f>INDEX('[3]SJCPIL-R 17-203-00'!$D$4:$S$36,3,MATCH(I4,'[3]SJCPIL-R 17-203-00'!$D$4:$S$4,0))</f>
        <v>315.97000000000003</v>
      </c>
      <c r="J18" s="84">
        <f>INDEX('[3]SJCPIL-R 17-203-00'!$D$4:$S$36,3,MATCH(J4,'[3]SJCPIL-R 17-203-00'!$D$4:$S$4,0))</f>
        <v>315.97000000000003</v>
      </c>
      <c r="K18" s="84">
        <f>INDEX('[3]SJCPIL-R 17-203-00'!$D$4:$S$36,3,MATCH(K4,'[3]SJCPIL-R 17-203-00'!$D$4:$S$4,0))</f>
        <v>315.97000000000003</v>
      </c>
      <c r="L18" s="148">
        <f t="shared" si="32"/>
        <v>315.97000000000003</v>
      </c>
      <c r="M18" s="84">
        <f>INDEX('[3]SJCPIL-R 17-203-00'!$D$4:$S$36,3,MATCH(M4,'[3]SJCPIL-R 17-203-00'!$D$4:$S$4,0))</f>
        <v>315.97000000000003</v>
      </c>
      <c r="N18" s="84">
        <f>INDEX('[3]SJCPIL-R 17-203-00'!$D$4:$S$36,3,MATCH(N4,'[3]SJCPIL-R 17-203-00'!$D$4:$S$4,0))</f>
        <v>315.97000000000003</v>
      </c>
      <c r="O18" s="84">
        <f>INDEX('[3]SJCPIL-R 17-203-00'!$D$4:$S$36,3,MATCH(O4,'[3]SJCPIL-R 17-203-00'!$D$4:$S$4,0))</f>
        <v>315.97000000000003</v>
      </c>
      <c r="P18" s="143">
        <f t="shared" si="2"/>
        <v>315.97000000000003</v>
      </c>
      <c r="Q18" s="84">
        <f>INDEX('[3]SJCPIL-R 17-203-00'!$D$4:$S$36,3,MATCH(Q4,'[3]SJCPIL-R 17-203-00'!$D$4:$S$4,0))</f>
        <v>315.97000000000003</v>
      </c>
      <c r="R18" s="84">
        <f>INDEX('[3]SJCPIL-R 17-203-00'!$D$4:$S$36,3,MATCH(R4,'[3]SJCPIL-R 17-203-00'!$D$4:$S$4,0))</f>
        <v>315.97000000000003</v>
      </c>
      <c r="S18" s="84">
        <f>INDEX('[3]SJCPIL-R 17-203-00'!$D$4:$S$36,3,MATCH(S4,'[3]SJCPIL-R 17-203-00'!$D$4:$S$4,0))</f>
        <v>315.97000000000003</v>
      </c>
      <c r="T18" s="37">
        <f t="array" ref="T18">SUM(IF(E$4:S$4&lt;&gt;"média",E18:S18))</f>
        <v>3791.6400000000012</v>
      </c>
      <c r="U18" s="62"/>
    </row>
    <row r="19" spans="1:21" ht="21.95" customHeight="1">
      <c r="A19" s="231"/>
      <c r="B19" s="24" t="s">
        <v>17</v>
      </c>
      <c r="C19" s="25" t="s">
        <v>10</v>
      </c>
      <c r="D19" s="124">
        <f>'[5]SJCPIL-R 17-204-01'!T19</f>
        <v>2118.1107107108196</v>
      </c>
      <c r="E19" s="177">
        <f>E17*E18/1000</f>
        <v>0</v>
      </c>
      <c r="F19" s="204">
        <f>F17*F18/1000</f>
        <v>0</v>
      </c>
      <c r="G19" s="216">
        <f>G17*G18/1000</f>
        <v>0</v>
      </c>
      <c r="H19" s="145">
        <f t="shared" si="33"/>
        <v>0</v>
      </c>
      <c r="I19" s="177">
        <f>I17*I18/1000</f>
        <v>0</v>
      </c>
      <c r="J19" s="66">
        <f>J17*J18/1000</f>
        <v>0</v>
      </c>
      <c r="K19" s="66">
        <f>K17*K18/1000</f>
        <v>0</v>
      </c>
      <c r="L19" s="146">
        <f t="shared" si="32"/>
        <v>0</v>
      </c>
      <c r="M19" s="177">
        <f>M17*M18/1000</f>
        <v>0</v>
      </c>
      <c r="N19" s="204">
        <f>N17*N18/1000</f>
        <v>0</v>
      </c>
      <c r="O19" s="205"/>
      <c r="P19" s="146">
        <f t="shared" si="2"/>
        <v>0</v>
      </c>
      <c r="Q19" s="66">
        <f>Q17*Q18/1000</f>
        <v>0</v>
      </c>
      <c r="R19" s="66">
        <f>R17*R18/1000</f>
        <v>0</v>
      </c>
      <c r="S19" s="216">
        <f>S17*S18/1000</f>
        <v>0</v>
      </c>
      <c r="T19" s="41">
        <f t="array" ref="T19">SUM(IF(E$4:S$4&lt;&gt;"média",E19:S19))</f>
        <v>0</v>
      </c>
      <c r="U19" s="62"/>
    </row>
    <row r="20" spans="1:21" ht="21.95" customHeight="1">
      <c r="A20" s="228" t="s">
        <v>21</v>
      </c>
      <c r="B20" s="11" t="s">
        <v>19</v>
      </c>
      <c r="C20" s="12" t="s">
        <v>22</v>
      </c>
      <c r="D20" s="121">
        <f>'[5]SJCPIL-R 17-204-01'!T20</f>
        <v>37568.400973072043</v>
      </c>
      <c r="E20" s="215">
        <f>INDEX('[3]SJCPIL-R 17-203-00'!$D$4:$S$36,17,MATCH(E$4,'[3]SJCPIL-R 17-203-00'!$D$4:$S$4,0))</f>
        <v>0</v>
      </c>
      <c r="F20" s="215">
        <f>INDEX('[3]SJCPIL-R 17-203-00'!$D$4:$S$36,17,MATCH(F$4,'[3]SJCPIL-R 17-203-00'!$D$4:$S$4,0))</f>
        <v>0</v>
      </c>
      <c r="G20" s="215">
        <f>INDEX('[3]SJCPIL-R 17-203-00'!$D$4:$S$36,17,MATCH(G$4,'[3]SJCPIL-R 17-203-00'!$D$4:$S$4,0))</f>
        <v>0</v>
      </c>
      <c r="H20" s="140">
        <f t="shared" si="33"/>
        <v>0</v>
      </c>
      <c r="I20" s="215">
        <f>INDEX('[3]SJCPIL-R 17-203-00'!$D$4:$S$36,17,MATCH(I$4,'[3]SJCPIL-R 17-203-00'!$D$4:$S$4,0))</f>
        <v>0</v>
      </c>
      <c r="J20" s="215">
        <f>INDEX('[3]SJCPIL-R 17-203-00'!$D$4:$S$36,17,MATCH(J$4,'[3]SJCPIL-R 17-203-00'!$D$4:$S$4,0))</f>
        <v>0</v>
      </c>
      <c r="K20" s="215">
        <f>INDEX('[3]SJCPIL-R 17-203-00'!$D$4:$S$36,17,MATCH(K$4,'[3]SJCPIL-R 17-203-00'!$D$4:$S$4,0))</f>
        <v>0</v>
      </c>
      <c r="L20" s="142">
        <f t="shared" si="32"/>
        <v>0</v>
      </c>
      <c r="M20" s="215">
        <f>INDEX('[3]SJCPIL-R 17-203-00'!$D$4:$S$36,17,MATCH(M$4,'[3]SJCPIL-R 17-203-00'!$D$4:$S$4,0))</f>
        <v>0</v>
      </c>
      <c r="N20" s="215">
        <f>INDEX('[3]SJCPIL-R 17-203-00'!$D$4:$S$36,17,MATCH(N$4,'[3]SJCPIL-R 17-203-00'!$D$4:$S$4,0))</f>
        <v>0</v>
      </c>
      <c r="O20" s="215">
        <f>INDEX('[3]SJCPIL-R 17-203-00'!$D$4:$S$36,17,MATCH(O$4,'[3]SJCPIL-R 17-203-00'!$D$4:$S$4,0))</f>
        <v>0</v>
      </c>
      <c r="P20" s="142">
        <f t="shared" si="2"/>
        <v>0</v>
      </c>
      <c r="Q20" s="215">
        <f>INDEX('[3]SJCPIL-R 17-203-00'!$D$4:$S$36,17,MATCH(Q$4,'[3]SJCPIL-R 17-203-00'!$D$4:$S$4,0))</f>
        <v>0</v>
      </c>
      <c r="R20" s="215">
        <f>INDEX('[3]SJCPIL-R 17-203-00'!$D$4:$S$36,17,MATCH(R$4,'[3]SJCPIL-R 17-203-00'!$D$4:$S$4,0))</f>
        <v>0</v>
      </c>
      <c r="S20" s="215">
        <f>INDEX('[3]SJCPIL-R 17-203-00'!$D$4:$S$36,17,MATCH(S$4,'[3]SJCPIL-R 17-203-00'!$D$4:$S$4,0))</f>
        <v>0</v>
      </c>
      <c r="T20" s="34">
        <f t="array" ref="T20">SUM(IF(E$4:S$4&lt;&gt;"média",E20:S20))</f>
        <v>0</v>
      </c>
      <c r="U20" s="62"/>
    </row>
    <row r="21" spans="1:21" ht="30">
      <c r="A21" s="230"/>
      <c r="B21" s="35" t="s">
        <v>23</v>
      </c>
      <c r="C21" s="36" t="s">
        <v>10</v>
      </c>
      <c r="D21" s="127">
        <f>'[5]SJCPIL-R 17-204-01'!T21</f>
        <v>0</v>
      </c>
      <c r="E21" s="84">
        <f>INDEX('[3]SJCPIL-R 17-203-00'!$D$4:$S$36,18,MATCH(E$4,'[3]SJCPIL-R 17-203-00'!$D$4:$S$4,0))</f>
        <v>15.36</v>
      </c>
      <c r="F21" s="84">
        <f>INDEX('[3]SJCPIL-R 17-203-00'!$D$4:$S$36,18,MATCH(F$4,'[3]SJCPIL-R 17-203-00'!$D$4:$S$4,0))</f>
        <v>17.02</v>
      </c>
      <c r="G21" s="84">
        <f>INDEX('[3]SJCPIL-R 17-203-00'!$D$4:$S$36,18,MATCH(G$4,'[3]SJCPIL-R 17-203-00'!$D$4:$S$4,0))</f>
        <v>16.670000000000002</v>
      </c>
      <c r="H21" s="147">
        <f t="shared" ref="H21" si="34">AVERAGE(E21:G21)</f>
        <v>16.349999999999998</v>
      </c>
      <c r="I21" s="84">
        <f>INDEX('[3]SJCPIL-R 17-203-00'!$D$4:$S$36,18,MATCH(I$4,'[3]SJCPIL-R 17-203-00'!$D$4:$S$4,0))</f>
        <v>16.48</v>
      </c>
      <c r="J21" s="84">
        <f>INDEX('[3]SJCPIL-R 17-203-00'!$D$4:$S$36,18,MATCH(J$4,'[3]SJCPIL-R 17-203-00'!$D$4:$S$4,0))</f>
        <v>16.54</v>
      </c>
      <c r="K21" s="84">
        <f>INDEX('[3]SJCPIL-R 17-203-00'!$D$4:$S$36,18,MATCH(K$4,'[3]SJCPIL-R 17-203-00'!$D$4:$S$4,0))</f>
        <v>16.82</v>
      </c>
      <c r="L21" s="147">
        <f t="shared" ref="L21" si="35">AVERAGE(I21:K21)</f>
        <v>16.613333333333333</v>
      </c>
      <c r="M21" s="84">
        <f>INDEX('[3]SJCPIL-R 17-203-00'!$D$4:$S$36,18,MATCH(M$4,'[3]SJCPIL-R 17-203-00'!$D$4:$S$4,0))</f>
        <v>18.635000000000002</v>
      </c>
      <c r="N21" s="84">
        <f>INDEX('[3]SJCPIL-R 17-203-00'!$D$4:$S$36,18,MATCH(N$4,'[3]SJCPIL-R 17-203-00'!$D$4:$S$4,0))</f>
        <v>17.170000000000002</v>
      </c>
      <c r="O21" s="84">
        <f>INDEX('[3]SJCPIL-R 17-203-00'!$D$4:$S$36,18,MATCH(O$4,'[3]SJCPIL-R 17-203-00'!$D$4:$S$4,0))</f>
        <v>0</v>
      </c>
      <c r="P21" s="147">
        <f t="shared" ref="P21" si="36">AVERAGE(M21:O21)</f>
        <v>11.935000000000002</v>
      </c>
      <c r="Q21" s="84">
        <f>INDEX('[3]SJCPIL-R 17-203-00'!$D$4:$S$36,18,MATCH(Q$4,'[3]SJCPIL-R 17-203-00'!$D$4:$S$4,0))</f>
        <v>0</v>
      </c>
      <c r="R21" s="84">
        <f>INDEX('[3]SJCPIL-R 17-203-00'!$D$4:$S$36,18,MATCH(R$4,'[3]SJCPIL-R 17-203-00'!$D$4:$S$4,0))</f>
        <v>0</v>
      </c>
      <c r="S21" s="84">
        <f>INDEX('[3]SJCPIL-R 17-203-00'!$D$4:$S$36,18,MATCH(S$4,'[3]SJCPIL-R 17-203-00'!$D$4:$S$4,0))</f>
        <v>0</v>
      </c>
      <c r="T21" s="37"/>
      <c r="U21" s="62"/>
    </row>
    <row r="22" spans="1:21" ht="15">
      <c r="A22" s="230"/>
      <c r="B22" s="35" t="s">
        <v>24</v>
      </c>
      <c r="C22" s="36" t="s">
        <v>10</v>
      </c>
      <c r="D22" s="127">
        <f>'[5]SJCPIL-R 17-204-01'!T22</f>
        <v>424525.13548750913</v>
      </c>
      <c r="E22" s="84">
        <f>E20*E21</f>
        <v>0</v>
      </c>
      <c r="F22" s="84">
        <f t="shared" ref="F22:G22" si="37">F20*F21</f>
        <v>0</v>
      </c>
      <c r="G22" s="84">
        <f t="shared" si="37"/>
        <v>0</v>
      </c>
      <c r="H22" s="143">
        <f t="shared" ref="H22" si="38">AVERAGE(E22:G22)</f>
        <v>0</v>
      </c>
      <c r="I22" s="84">
        <f>I20*I21</f>
        <v>0</v>
      </c>
      <c r="J22" s="84">
        <f t="shared" ref="J22" si="39">J20*J21</f>
        <v>0</v>
      </c>
      <c r="K22" s="84">
        <f t="shared" ref="K22" si="40">K20*K21</f>
        <v>0</v>
      </c>
      <c r="L22" s="143">
        <f t="shared" ref="L22" si="41">AVERAGE(I22:K22)</f>
        <v>0</v>
      </c>
      <c r="M22" s="84">
        <f>M20*M21</f>
        <v>0</v>
      </c>
      <c r="N22" s="84">
        <f t="shared" ref="N22" si="42">N20*N21</f>
        <v>0</v>
      </c>
      <c r="O22" s="84">
        <f t="shared" ref="O22" si="43">O20*O21</f>
        <v>0</v>
      </c>
      <c r="P22" s="143">
        <f t="shared" ref="P22" si="44">AVERAGE(M22:O22)</f>
        <v>0</v>
      </c>
      <c r="Q22" s="84">
        <f>Q20*Q21</f>
        <v>0</v>
      </c>
      <c r="R22" s="84">
        <f t="shared" ref="R22" si="45">R20*R21</f>
        <v>0</v>
      </c>
      <c r="S22" s="84">
        <f t="shared" ref="S22" si="46">S20*S21</f>
        <v>0</v>
      </c>
      <c r="T22" s="37">
        <f t="array" ref="T22">SUM(IF(E$4:S$4&lt;&gt;"média",E22:S22))</f>
        <v>0</v>
      </c>
      <c r="U22" s="62"/>
    </row>
    <row r="23" spans="1:21" ht="30">
      <c r="A23" s="230"/>
      <c r="B23" s="35" t="s">
        <v>25</v>
      </c>
      <c r="C23" s="36" t="s">
        <v>10</v>
      </c>
      <c r="D23" s="127">
        <f>'[5]SJCPIL-R 17-204-01'!T23</f>
        <v>69.771396922400001</v>
      </c>
      <c r="E23" s="84">
        <f>INDEX('[3]SJCPIL-R 17-203-00'!$D$4:$S$36,19,MATCH(E$4,'[3]SJCPIL-R 17-203-00'!$D$4:$S$4,0))</f>
        <v>0</v>
      </c>
      <c r="F23" s="84">
        <f>INDEX('[3]SJCPIL-R 17-203-00'!$D$4:$S$36,19,MATCH(F$4,'[3]SJCPIL-R 17-203-00'!$D$4:$S$4,0))</f>
        <v>0</v>
      </c>
      <c r="G23" s="84">
        <f>INDEX('[3]SJCPIL-R 17-203-00'!$D$4:$S$36,19,MATCH(G$4,'[3]SJCPIL-R 17-203-00'!$D$4:$S$4,0))</f>
        <v>0</v>
      </c>
      <c r="H23" s="143"/>
      <c r="I23" s="84">
        <f>INDEX('[3]SJCPIL-R 17-203-00'!$D$4:$S$36,19,MATCH(I$4,'[3]SJCPIL-R 17-203-00'!$D$4:$S$4,0))</f>
        <v>0</v>
      </c>
      <c r="J23" s="84">
        <f>INDEX('[3]SJCPIL-R 17-203-00'!$D$4:$S$36,19,MATCH(J$4,'[3]SJCPIL-R 17-203-00'!$D$4:$S$4,0))</f>
        <v>0</v>
      </c>
      <c r="K23" s="84">
        <f>INDEX('[3]SJCPIL-R 17-203-00'!$D$4:$S$36,19,MATCH(K$4,'[3]SJCPIL-R 17-203-00'!$D$4:$S$4,0))</f>
        <v>0</v>
      </c>
      <c r="L23" s="143"/>
      <c r="M23" s="84">
        <f>INDEX('[3]SJCPIL-R 17-203-00'!$D$4:$S$36,19,MATCH(M$4,'[3]SJCPIL-R 17-203-00'!$D$4:$S$4,0))</f>
        <v>0</v>
      </c>
      <c r="N23" s="84">
        <f>INDEX('[3]SJCPIL-R 17-203-00'!$D$4:$S$36,19,MATCH(N$4,'[3]SJCPIL-R 17-203-00'!$D$4:$S$4,0))</f>
        <v>0</v>
      </c>
      <c r="O23" s="84">
        <f>INDEX('[3]SJCPIL-R 17-203-00'!$D$4:$S$36,19,MATCH(O$4,'[3]SJCPIL-R 17-203-00'!$D$4:$S$4,0))</f>
        <v>0</v>
      </c>
      <c r="P23" s="143"/>
      <c r="Q23" s="84">
        <f>INDEX('[3]SJCPIL-R 17-203-00'!$D$4:$S$36,19,MATCH(Q$4,'[3]SJCPIL-R 17-203-00'!$D$4:$S$4,0))</f>
        <v>0</v>
      </c>
      <c r="R23" s="84">
        <f>INDEX('[3]SJCPIL-R 17-203-00'!$D$4:$S$36,19,MATCH(R$4,'[3]SJCPIL-R 17-203-00'!$D$4:$S$4,0))</f>
        <v>0</v>
      </c>
      <c r="S23" s="84">
        <f>INDEX('[3]SJCPIL-R 17-203-00'!$D$4:$S$36,19,MATCH(S$4,'[3]SJCPIL-R 17-203-00'!$D$4:$S$4,0))</f>
        <v>0</v>
      </c>
      <c r="T23" s="37">
        <f t="array" ref="T23">SUM(IF(E$4:S$4&lt;&gt;"média",E23:S23))</f>
        <v>0</v>
      </c>
      <c r="U23" s="62"/>
    </row>
    <row r="24" spans="1:21" ht="30">
      <c r="A24" s="231"/>
      <c r="B24" s="38" t="s">
        <v>26</v>
      </c>
      <c r="C24" s="39" t="s">
        <v>10</v>
      </c>
      <c r="D24" s="128">
        <f>'[5]SJCPIL-R 17-204-01'!T24</f>
        <v>218500.45727949502</v>
      </c>
      <c r="E24" s="64">
        <f>E20*E23</f>
        <v>0</v>
      </c>
      <c r="F24" s="64">
        <f t="shared" ref="F24:G24" si="47">F20*F23</f>
        <v>0</v>
      </c>
      <c r="G24" s="64">
        <f t="shared" si="47"/>
        <v>0</v>
      </c>
      <c r="H24" s="145">
        <f t="shared" ref="H24:H30" si="48">AVERAGE(E24:G24)</f>
        <v>0</v>
      </c>
      <c r="I24" s="64">
        <f>I20*I23</f>
        <v>0</v>
      </c>
      <c r="J24" s="64">
        <f t="shared" ref="J24" si="49">J20*J23</f>
        <v>0</v>
      </c>
      <c r="K24" s="64">
        <f t="shared" ref="K24" si="50">K20*K23</f>
        <v>0</v>
      </c>
      <c r="L24" s="145">
        <f t="shared" ref="L24:L30" si="51">AVERAGE(I24:K24)</f>
        <v>0</v>
      </c>
      <c r="M24" s="64">
        <f>M20*M23</f>
        <v>0</v>
      </c>
      <c r="N24" s="64">
        <f t="shared" ref="N24" si="52">N20*N23</f>
        <v>0</v>
      </c>
      <c r="O24" s="64">
        <f t="shared" ref="O24" si="53">O20*O23</f>
        <v>0</v>
      </c>
      <c r="P24" s="145">
        <f t="shared" ref="P24:P30" si="54">AVERAGE(M24:O24)</f>
        <v>0</v>
      </c>
      <c r="Q24" s="64">
        <f>Q20*Q23</f>
        <v>0</v>
      </c>
      <c r="R24" s="64">
        <f t="shared" ref="R24" si="55">R20*R23</f>
        <v>0</v>
      </c>
      <c r="S24" s="64">
        <f t="shared" ref="S24" si="56">S20*S23</f>
        <v>0</v>
      </c>
      <c r="T24" s="40">
        <f t="array" ref="T24">SUM(IF(E$4:S$4&lt;&gt;"média",E24:S24))</f>
        <v>0</v>
      </c>
      <c r="U24" s="62"/>
    </row>
    <row r="25" spans="1:21" ht="21.95" customHeight="1">
      <c r="A25" s="232"/>
      <c r="B25" s="28" t="s">
        <v>17</v>
      </c>
      <c r="C25" s="29" t="s">
        <v>10</v>
      </c>
      <c r="D25" s="125">
        <f>'[5]SJCPIL-R 17-204-01'!T25</f>
        <v>201455.70726766399</v>
      </c>
      <c r="E25" s="66">
        <f>E22-E24</f>
        <v>0</v>
      </c>
      <c r="F25" s="66">
        <f t="shared" ref="F25:G25" si="57">F22-F24</f>
        <v>0</v>
      </c>
      <c r="G25" s="66">
        <f t="shared" si="57"/>
        <v>0</v>
      </c>
      <c r="H25" s="146">
        <f t="shared" si="48"/>
        <v>0</v>
      </c>
      <c r="I25" s="66">
        <f>I22-I24</f>
        <v>0</v>
      </c>
      <c r="J25" s="66">
        <f t="shared" ref="J25" si="58">J22-J24</f>
        <v>0</v>
      </c>
      <c r="K25" s="66">
        <f t="shared" ref="K25" si="59">K22-K24</f>
        <v>0</v>
      </c>
      <c r="L25" s="146">
        <f t="shared" si="51"/>
        <v>0</v>
      </c>
      <c r="M25" s="66">
        <f>M22-M24</f>
        <v>0</v>
      </c>
      <c r="N25" s="66">
        <f t="shared" ref="N25" si="60">N22-N24</f>
        <v>0</v>
      </c>
      <c r="O25" s="66">
        <f t="shared" ref="O25" si="61">O22-O24</f>
        <v>0</v>
      </c>
      <c r="P25" s="146">
        <f t="shared" si="54"/>
        <v>0</v>
      </c>
      <c r="Q25" s="66">
        <f>Q22-Q24</f>
        <v>0</v>
      </c>
      <c r="R25" s="66">
        <f t="shared" ref="R25" si="62">R22-R24</f>
        <v>0</v>
      </c>
      <c r="S25" s="66">
        <f t="shared" ref="S25" si="63">S22-S24</f>
        <v>0</v>
      </c>
      <c r="T25" s="41">
        <f t="array" ref="T25">SUM(IF(E$4:S$4&lt;&gt;"média",E25:S25))</f>
        <v>0</v>
      </c>
      <c r="U25" s="62"/>
    </row>
    <row r="26" spans="1:21" ht="21.95" customHeight="1">
      <c r="A26" s="233" t="s">
        <v>46</v>
      </c>
      <c r="B26" s="11" t="s">
        <v>19</v>
      </c>
      <c r="C26" s="42" t="s">
        <v>8</v>
      </c>
      <c r="D26" s="121">
        <f>'[5]SJCPIL-R 17-204-01'!T26</f>
        <v>1273.4569025982648</v>
      </c>
      <c r="E26" s="84">
        <f>INDEX('[3]SJCPIL-R 17-203-00'!$D$4:$S$36,28,MATCH(E$4,'[3]SJCPIL-R 17-203-00'!$D$4:$S$4,0))</f>
        <v>0</v>
      </c>
      <c r="F26" s="84">
        <f>INDEX('[3]SJCPIL-R 17-203-00'!$D$4:$S$36,28,MATCH(F$4,'[3]SJCPIL-R 17-203-00'!$D$4:$S$4,0))</f>
        <v>0</v>
      </c>
      <c r="G26" s="84">
        <f>INDEX('[3]SJCPIL-R 17-203-00'!$D$4:$S$36,28,MATCH(G$4,'[3]SJCPIL-R 17-203-00'!$D$4:$S$4,0))</f>
        <v>0</v>
      </c>
      <c r="H26" s="140">
        <f t="shared" si="48"/>
        <v>0</v>
      </c>
      <c r="I26" s="84">
        <f>INDEX('[3]SJCPIL-R 17-203-00'!$D$4:$S$36,28,MATCH(I$4,'[3]SJCPIL-R 17-203-00'!$D$4:$S$4,0))</f>
        <v>0</v>
      </c>
      <c r="J26" s="84">
        <f>INDEX('[3]SJCPIL-R 17-203-00'!$D$4:$S$36,28,MATCH(J$4,'[3]SJCPIL-R 17-203-00'!$D$4:$S$4,0))</f>
        <v>0</v>
      </c>
      <c r="K26" s="84">
        <f>INDEX('[3]SJCPIL-R 17-203-00'!$D$4:$S$36,28,MATCH(K$4,'[3]SJCPIL-R 17-203-00'!$D$4:$S$4,0))</f>
        <v>0</v>
      </c>
      <c r="L26" s="140">
        <f t="shared" si="51"/>
        <v>0</v>
      </c>
      <c r="M26" s="84">
        <f>INDEX('[3]SJCPIL-R 17-203-00'!$D$4:$S$36,28,MATCH(M$4,'[3]SJCPIL-R 17-203-00'!$D$4:$S$4,0))</f>
        <v>0</v>
      </c>
      <c r="N26" s="84">
        <f>INDEX('[3]SJCPIL-R 17-203-00'!$D$4:$S$36,28,MATCH(N$4,'[3]SJCPIL-R 17-203-00'!$D$4:$S$4,0))</f>
        <v>0</v>
      </c>
      <c r="O26" s="84">
        <f>INDEX('[3]SJCPIL-R 17-203-00'!$D$4:$S$36,28,MATCH(O$4,'[3]SJCPIL-R 17-203-00'!$D$4:$S$4,0))</f>
        <v>0</v>
      </c>
      <c r="P26" s="140">
        <f t="shared" si="54"/>
        <v>0</v>
      </c>
      <c r="Q26" s="84">
        <f>INDEX('[3]SJCPIL-R 17-203-00'!$D$4:$S$36,28,MATCH(Q$4,'[3]SJCPIL-R 17-203-00'!$D$4:$S$4,0))</f>
        <v>0</v>
      </c>
      <c r="R26" s="84">
        <f>INDEX('[3]SJCPIL-R 17-203-00'!$D$4:$S$36,28,MATCH(R$4,'[3]SJCPIL-R 17-203-00'!$D$4:$S$4,0))</f>
        <v>0</v>
      </c>
      <c r="S26" s="84">
        <f>INDEX('[3]SJCPIL-R 17-203-00'!$D$4:$S$36,28,MATCH(S$4,'[3]SJCPIL-R 17-203-00'!$D$4:$S$4,0))</f>
        <v>0</v>
      </c>
      <c r="T26" s="34">
        <f t="array" ref="T26">SUM(IF(E$4:S$4&lt;&gt;"média",E26:S26))</f>
        <v>0</v>
      </c>
      <c r="U26" s="62"/>
    </row>
    <row r="27" spans="1:21" ht="30" customHeight="1">
      <c r="A27" s="234"/>
      <c r="B27" s="35" t="s">
        <v>47</v>
      </c>
      <c r="C27" s="43" t="s">
        <v>10</v>
      </c>
      <c r="D27" s="123">
        <f>'[5]SJCPIL-R 17-204-01'!T27</f>
        <v>85.679999999999993</v>
      </c>
      <c r="E27" s="84"/>
      <c r="F27" s="84"/>
      <c r="G27" s="84"/>
      <c r="H27" s="143" t="e">
        <f t="shared" si="48"/>
        <v>#DIV/0!</v>
      </c>
      <c r="I27" s="84"/>
      <c r="J27" s="84"/>
      <c r="K27" s="84"/>
      <c r="L27" s="143" t="e">
        <f t="shared" si="51"/>
        <v>#DIV/0!</v>
      </c>
      <c r="M27" s="84"/>
      <c r="N27" s="84"/>
      <c r="O27" s="84"/>
      <c r="P27" s="143" t="e">
        <f t="shared" si="54"/>
        <v>#DIV/0!</v>
      </c>
      <c r="Q27" s="84"/>
      <c r="R27" s="84"/>
      <c r="S27" s="84"/>
      <c r="T27" s="37">
        <f t="array" ref="T27">SUM(IF(E$4:S$4&lt;&gt;"média",E27:S27))</f>
        <v>0</v>
      </c>
      <c r="U27" s="62"/>
    </row>
    <row r="28" spans="1:21" ht="30" customHeight="1">
      <c r="A28" s="234"/>
      <c r="B28" s="35" t="s">
        <v>49</v>
      </c>
      <c r="C28" s="43" t="s">
        <v>10</v>
      </c>
      <c r="D28" s="123">
        <f>'[5]SJCPIL-R 17-204-01'!T28</f>
        <v>9092.4822845516082</v>
      </c>
      <c r="E28" s="64">
        <f>E26*E27</f>
        <v>0</v>
      </c>
      <c r="F28" s="64">
        <f t="shared" ref="F28:G28" si="64">F26*F27</f>
        <v>0</v>
      </c>
      <c r="G28" s="64">
        <f t="shared" si="64"/>
        <v>0</v>
      </c>
      <c r="H28" s="143">
        <f t="shared" si="48"/>
        <v>0</v>
      </c>
      <c r="I28" s="64">
        <f>I26*I27</f>
        <v>0</v>
      </c>
      <c r="J28" s="64">
        <f t="shared" ref="J28" si="65">J26*J27</f>
        <v>0</v>
      </c>
      <c r="K28" s="64">
        <f t="shared" ref="K28" si="66">K26*K27</f>
        <v>0</v>
      </c>
      <c r="L28" s="143">
        <f t="shared" si="51"/>
        <v>0</v>
      </c>
      <c r="M28" s="64">
        <f>M26*M27</f>
        <v>0</v>
      </c>
      <c r="N28" s="64">
        <f t="shared" ref="N28" si="67">N26*N27</f>
        <v>0</v>
      </c>
      <c r="O28" s="64">
        <f t="shared" ref="O28" si="68">O26*O27</f>
        <v>0</v>
      </c>
      <c r="P28" s="143">
        <f t="shared" si="54"/>
        <v>0</v>
      </c>
      <c r="Q28" s="64">
        <f>Q26*Q27</f>
        <v>0</v>
      </c>
      <c r="R28" s="64">
        <f t="shared" ref="R28" si="69">R26*R27</f>
        <v>0</v>
      </c>
      <c r="S28" s="64">
        <f t="shared" ref="S28" si="70">S26*S27</f>
        <v>0</v>
      </c>
      <c r="T28" s="37">
        <f t="array" ref="T28">SUM(IF(E$4:S$4&lt;&gt;"média",E28:S28))</f>
        <v>0</v>
      </c>
      <c r="U28" s="62"/>
    </row>
    <row r="29" spans="1:21" ht="30" customHeight="1">
      <c r="A29" s="234"/>
      <c r="B29" s="35" t="s">
        <v>48</v>
      </c>
      <c r="C29" s="43" t="s">
        <v>10</v>
      </c>
      <c r="D29" s="123">
        <f>'[5]SJCPIL-R 17-204-01'!T29</f>
        <v>-10.149999999999997</v>
      </c>
      <c r="E29" s="84">
        <f>INDEX('[3]SJCPIL-R 17-203-00'!$D$4:$S$36,29,MATCH(E$4,'[3]SJCPIL-R 17-203-00'!$D$4:$S$4,0))</f>
        <v>-1.8</v>
      </c>
      <c r="F29" s="84">
        <f>INDEX('[3]SJCPIL-R 17-203-00'!$D$4:$S$36,29,MATCH(F$4,'[3]SJCPIL-R 17-203-00'!$D$4:$S$4,0))</f>
        <v>-1.8</v>
      </c>
      <c r="G29" s="84">
        <f>INDEX('[3]SJCPIL-R 17-203-00'!$D$4:$S$36,29,MATCH(G$4,'[3]SJCPIL-R 17-203-00'!$D$4:$S$4,0))</f>
        <v>-1.8</v>
      </c>
      <c r="H29" s="143">
        <f t="shared" si="48"/>
        <v>-1.8</v>
      </c>
      <c r="I29" s="84">
        <f>INDEX('[3]SJCPIL-R 17-203-00'!$D$4:$S$36,29,MATCH(I$4,'[3]SJCPIL-R 17-203-00'!$D$4:$S$4,0))</f>
        <v>-1.8</v>
      </c>
      <c r="J29" s="84">
        <f>INDEX('[3]SJCPIL-R 17-203-00'!$D$4:$S$36,29,MATCH(J$4,'[3]SJCPIL-R 17-203-00'!$D$4:$S$4,0))</f>
        <v>-1.9</v>
      </c>
      <c r="K29" s="84">
        <v>-1.9</v>
      </c>
      <c r="L29" s="143">
        <f t="shared" si="51"/>
        <v>-1.8666666666666665</v>
      </c>
      <c r="M29" s="84">
        <f>INDEX('[3]SJCPIL-R 17-203-00'!$D$4:$S$36,29,MATCH(M$4,'[3]SJCPIL-R 17-203-00'!$D$4:$S$4,0))</f>
        <v>-1.9</v>
      </c>
      <c r="N29" s="84">
        <f>INDEX('[3]SJCPIL-R 17-203-00'!$D$4:$S$36,29,MATCH(N$4,'[3]SJCPIL-R 17-203-00'!$D$4:$S$4,0))</f>
        <v>-1.9</v>
      </c>
      <c r="O29" s="84">
        <f>INDEX('[3]SJCPIL-R 17-203-00'!$D$4:$S$36,31,MATCH(O$4,'[3]SJCPIL-R 17-203-00'!$D$4:$S$4,0))</f>
        <v>0</v>
      </c>
      <c r="P29" s="143">
        <f t="shared" si="54"/>
        <v>-1.2666666666666666</v>
      </c>
      <c r="Q29" s="84">
        <f>INDEX('[3]SJCPIL-R 17-203-00'!$D$4:$S$36,31,MATCH(Q$4,'[3]SJCPIL-R 17-203-00'!$D$4:$S$4,0))</f>
        <v>0</v>
      </c>
      <c r="R29" s="84">
        <f>INDEX('[3]SJCPIL-R 17-203-00'!$D$4:$S$36,31,MATCH(R$4,'[3]SJCPIL-R 17-203-00'!$D$4:$S$4,0))</f>
        <v>0</v>
      </c>
      <c r="S29" s="84">
        <f>INDEX('[3]SJCPIL-R 17-203-00'!$D$4:$S$36,31,MATCH(S$4,'[3]SJCPIL-R 17-203-00'!$D$4:$S$4,0))</f>
        <v>0</v>
      </c>
      <c r="T29" s="37">
        <f t="array" ref="T29">SUM(IF(E$4:S$4&lt;&gt;"média",E29:S29))</f>
        <v>-14.8</v>
      </c>
      <c r="U29" s="62"/>
    </row>
    <row r="30" spans="1:21" ht="30" customHeight="1">
      <c r="A30" s="234"/>
      <c r="B30" s="35" t="s">
        <v>50</v>
      </c>
      <c r="C30" s="44" t="s">
        <v>10</v>
      </c>
      <c r="D30" s="123">
        <f>'[5]SJCPIL-R 17-204-01'!T30</f>
        <v>-1062.3779815871274</v>
      </c>
      <c r="E30" s="64">
        <f>E29*E26</f>
        <v>0</v>
      </c>
      <c r="F30" s="64">
        <f t="shared" ref="F30:G30" si="71">F29*F26</f>
        <v>0</v>
      </c>
      <c r="G30" s="64">
        <f t="shared" si="71"/>
        <v>0</v>
      </c>
      <c r="H30" s="143">
        <f t="shared" si="48"/>
        <v>0</v>
      </c>
      <c r="I30" s="64">
        <f>I29*I26</f>
        <v>0</v>
      </c>
      <c r="J30" s="64">
        <f t="shared" ref="J30" si="72">J29*J26</f>
        <v>0</v>
      </c>
      <c r="K30" s="64">
        <f t="shared" ref="K30" si="73">K29*K26</f>
        <v>0</v>
      </c>
      <c r="L30" s="143">
        <f t="shared" si="51"/>
        <v>0</v>
      </c>
      <c r="M30" s="64">
        <f>M29*M26</f>
        <v>0</v>
      </c>
      <c r="N30" s="64">
        <f t="shared" ref="N30" si="74">N29*N26</f>
        <v>0</v>
      </c>
      <c r="O30" s="64">
        <f t="shared" ref="O30" si="75">O29*O26</f>
        <v>0</v>
      </c>
      <c r="P30" s="143">
        <f t="shared" si="54"/>
        <v>0</v>
      </c>
      <c r="Q30" s="64">
        <f>Q29*Q26</f>
        <v>0</v>
      </c>
      <c r="R30" s="64">
        <f t="shared" ref="R30" si="76">R29*R26</f>
        <v>0</v>
      </c>
      <c r="S30" s="64">
        <f t="shared" ref="S30" si="77">S29*S26</f>
        <v>0</v>
      </c>
      <c r="T30" s="37">
        <f t="array" ref="T30">SUM(IF(E$4:S$4&lt;&gt;"média",E30:S30))</f>
        <v>0</v>
      </c>
      <c r="U30" s="62"/>
    </row>
    <row r="31" spans="1:21" ht="21.95" customHeight="1">
      <c r="A31" s="235"/>
      <c r="B31" s="45" t="s">
        <v>17</v>
      </c>
      <c r="C31" s="46" t="s">
        <v>10</v>
      </c>
      <c r="D31" s="125">
        <f>'[5]SJCPIL-R 17-204-01'!T31</f>
        <v>10154.860266138734</v>
      </c>
      <c r="E31" s="66">
        <f>E28+E30</f>
        <v>0</v>
      </c>
      <c r="F31" s="66">
        <f t="shared" ref="F31:G31" si="78">F28+F30</f>
        <v>0</v>
      </c>
      <c r="G31" s="66">
        <f t="shared" si="78"/>
        <v>0</v>
      </c>
      <c r="H31" s="146"/>
      <c r="I31" s="66">
        <f>I28+I30</f>
        <v>0</v>
      </c>
      <c r="J31" s="66">
        <f t="shared" ref="J31" si="79">J28+J30</f>
        <v>0</v>
      </c>
      <c r="K31" s="66">
        <f t="shared" ref="K31" si="80">K28+K30</f>
        <v>0</v>
      </c>
      <c r="L31" s="146"/>
      <c r="M31" s="66">
        <f>M28+M30</f>
        <v>0</v>
      </c>
      <c r="N31" s="66">
        <f t="shared" ref="N31" si="81">N28+N30</f>
        <v>0</v>
      </c>
      <c r="O31" s="66">
        <f t="shared" ref="O31" si="82">O28+O30</f>
        <v>0</v>
      </c>
      <c r="P31" s="146"/>
      <c r="Q31" s="66">
        <f>Q28+Q30</f>
        <v>0</v>
      </c>
      <c r="R31" s="66">
        <f t="shared" ref="R31" si="83">R28+R30</f>
        <v>0</v>
      </c>
      <c r="S31" s="66">
        <f t="shared" ref="S31" si="84">S28+S30</f>
        <v>0</v>
      </c>
      <c r="T31" s="41">
        <f t="array" ref="T31">SUM(IF(E$4:S$4&lt;&gt;"média",E31:S31))</f>
        <v>0</v>
      </c>
      <c r="U31" s="62"/>
    </row>
    <row r="32" spans="1:21" ht="21.95" customHeight="1">
      <c r="A32" s="163" t="s">
        <v>34</v>
      </c>
      <c r="B32" s="164" t="s">
        <v>27</v>
      </c>
      <c r="C32" s="165" t="s">
        <v>10</v>
      </c>
      <c r="D32" s="166">
        <f>'[5]SJCPIL-R 17-204-01'!T32</f>
        <v>203573.81797837481</v>
      </c>
      <c r="E32" s="167">
        <f>E25+E19+E31</f>
        <v>0</v>
      </c>
      <c r="F32" s="167">
        <f>F25+F19</f>
        <v>0</v>
      </c>
      <c r="G32" s="167">
        <f>G25+G19</f>
        <v>0</v>
      </c>
      <c r="H32" s="169">
        <f t="shared" ref="H32:H46" si="85">AVERAGE(E32:G32)</f>
        <v>0</v>
      </c>
      <c r="I32" s="167">
        <f t="shared" ref="I32:K32" si="86">I25+I19</f>
        <v>0</v>
      </c>
      <c r="J32" s="167">
        <f t="shared" si="86"/>
        <v>0</v>
      </c>
      <c r="K32" s="167">
        <f t="shared" si="86"/>
        <v>0</v>
      </c>
      <c r="L32" s="169">
        <f t="shared" ref="L32:L46" si="87">AVERAGE(I32:K32)</f>
        <v>0</v>
      </c>
      <c r="M32" s="202">
        <f>M25+M19+M31</f>
        <v>0</v>
      </c>
      <c r="N32" s="208">
        <f>N25+N19+N31</f>
        <v>0</v>
      </c>
      <c r="O32" s="209"/>
      <c r="P32" s="169">
        <f t="shared" ref="P32:P46" si="88">AVERAGE(M32:O32)</f>
        <v>0</v>
      </c>
      <c r="Q32" s="167">
        <f t="shared" ref="Q32:S32" si="89">Q25+Q19</f>
        <v>0</v>
      </c>
      <c r="R32" s="167">
        <f t="shared" si="89"/>
        <v>0</v>
      </c>
      <c r="S32" s="168">
        <f t="shared" si="89"/>
        <v>0</v>
      </c>
      <c r="T32" s="169">
        <f>T25+T19</f>
        <v>0</v>
      </c>
      <c r="U32" s="62"/>
    </row>
    <row r="33" spans="1:21" ht="21.95" customHeight="1">
      <c r="A33" s="236" t="s">
        <v>52</v>
      </c>
      <c r="B33" s="98" t="s">
        <v>53</v>
      </c>
      <c r="C33" s="99" t="s">
        <v>55</v>
      </c>
      <c r="D33" s="13">
        <f>'[5]SJCPIL-R 17-204-01'!T33</f>
        <v>7365</v>
      </c>
      <c r="E33" s="100"/>
      <c r="F33" s="100"/>
      <c r="G33" s="135"/>
      <c r="H33" s="149">
        <f>SUM(E33:G33)</f>
        <v>0</v>
      </c>
      <c r="I33" s="180"/>
      <c r="J33" s="180"/>
      <c r="K33" s="190"/>
      <c r="L33" s="149">
        <f>SUM(I33:K33)</f>
        <v>0</v>
      </c>
      <c r="M33" s="180"/>
      <c r="N33" s="100"/>
      <c r="O33" s="190"/>
      <c r="P33" s="149">
        <f>SUM(M33:O33)</f>
        <v>0</v>
      </c>
      <c r="Q33" s="100"/>
      <c r="R33" s="100"/>
      <c r="S33" s="130"/>
      <c r="T33" s="157">
        <f t="array" ref="T33">SUM(IF(E$4:S$4&lt;&gt;"média",E33:S33))</f>
        <v>0</v>
      </c>
      <c r="U33" s="62"/>
    </row>
    <row r="34" spans="1:21" ht="21.95" customHeight="1">
      <c r="A34" s="237"/>
      <c r="B34" s="103" t="s">
        <v>54</v>
      </c>
      <c r="C34" s="104" t="s">
        <v>10</v>
      </c>
      <c r="D34" s="22">
        <f>'[5]SJCPIL-R 17-204-01'!T34</f>
        <v>6263.2646199999999</v>
      </c>
      <c r="E34" s="105">
        <f>'[7]Base Custo Falhas UM-1'!$L$58</f>
        <v>739.72842999999989</v>
      </c>
      <c r="F34" s="105">
        <f>'[8]Base Custo Falhas UM-1'!$L$58</f>
        <v>762.66664999999966</v>
      </c>
      <c r="G34" s="105">
        <f>'[9]Base Custo Falhas UM-1'!$L$58</f>
        <v>748.22433000000001</v>
      </c>
      <c r="H34" s="150">
        <f>AVERAGE(E34:G34)</f>
        <v>750.20646999999974</v>
      </c>
      <c r="I34" s="105">
        <f>'[10]Base Custo Falhas UM-1'!$L$58</f>
        <v>766.75787000000003</v>
      </c>
      <c r="J34" s="105">
        <f>'[11]Base Custo Falhas UM-1'!$L$58</f>
        <v>763.66377000000011</v>
      </c>
      <c r="K34" s="105">
        <f>'[12]Base Custo Falhas UM-1'!$L$58</f>
        <v>786.37666999999999</v>
      </c>
      <c r="L34" s="150">
        <f>AVERAGE(I34:K34)</f>
        <v>772.26610333333338</v>
      </c>
      <c r="M34" s="179">
        <f>'[12]Base Custo Falhas UM-1'!$L$58</f>
        <v>786.37666999999999</v>
      </c>
      <c r="N34" s="179">
        <f>'[14]Base Custo Falhas UM-1'!$L$58</f>
        <v>831.27934999999991</v>
      </c>
      <c r="O34" s="210"/>
      <c r="P34" s="150">
        <f>AVERAGE(M34:O34)</f>
        <v>808.82800999999995</v>
      </c>
      <c r="Q34" s="105"/>
      <c r="R34" s="105"/>
      <c r="S34" s="134"/>
      <c r="T34" s="158">
        <f t="array" ref="T34">SUM(IF(E$4:S$4&lt;&gt;"média",E34:S34))</f>
        <v>6185.0737399999989</v>
      </c>
      <c r="U34" s="62"/>
    </row>
    <row r="35" spans="1:21" ht="21.95" customHeight="1">
      <c r="A35" s="237"/>
      <c r="B35" s="114" t="s">
        <v>17</v>
      </c>
      <c r="C35" s="115" t="s">
        <v>10</v>
      </c>
      <c r="D35" s="116">
        <f>'[5]SJCPIL-R 17-204-01'!T35</f>
        <v>3824.0259522599995</v>
      </c>
      <c r="E35" s="117">
        <f>E33*E34/1000</f>
        <v>0</v>
      </c>
      <c r="F35" s="117">
        <f>F33*F34/1000</f>
        <v>0</v>
      </c>
      <c r="G35" s="117">
        <f>G33*G34/1000</f>
        <v>0</v>
      </c>
      <c r="H35" s="151">
        <f>SUM(E35:G35)</f>
        <v>0</v>
      </c>
      <c r="I35" s="117">
        <f>I33*I34/1000</f>
        <v>0</v>
      </c>
      <c r="J35" s="117">
        <f>J33*J34/1000</f>
        <v>0</v>
      </c>
      <c r="K35" s="117">
        <f>K33*K34/1000</f>
        <v>0</v>
      </c>
      <c r="L35" s="151">
        <f>SUM(I35:K35)</f>
        <v>0</v>
      </c>
      <c r="M35" s="181">
        <f>M33*M34/1000</f>
        <v>0</v>
      </c>
      <c r="N35" s="181">
        <f>N33*N34/1000</f>
        <v>0</v>
      </c>
      <c r="O35" s="211"/>
      <c r="P35" s="151">
        <f>SUM(M35:O35)</f>
        <v>0</v>
      </c>
      <c r="Q35" s="117">
        <f t="shared" ref="Q35:R35" si="90">Q34/1000*Q33</f>
        <v>0</v>
      </c>
      <c r="R35" s="117">
        <f t="shared" si="90"/>
        <v>0</v>
      </c>
      <c r="S35" s="136"/>
      <c r="T35" s="159">
        <f t="array" ref="T35">SUM(IF(E$4:S$4&lt;&gt;"média",E35:S35))</f>
        <v>0</v>
      </c>
      <c r="U35" s="62"/>
    </row>
    <row r="36" spans="1:21" ht="21.95" customHeight="1">
      <c r="A36" s="237"/>
      <c r="B36" s="98" t="s">
        <v>56</v>
      </c>
      <c r="C36" s="99" t="s">
        <v>55</v>
      </c>
      <c r="D36" s="13">
        <f>'[5]SJCPIL-R 17-204-01'!T36</f>
        <v>8400</v>
      </c>
      <c r="E36" s="191"/>
      <c r="F36" s="191"/>
      <c r="G36" s="192"/>
      <c r="H36" s="149">
        <f>SUM(E36:G36)</f>
        <v>0</v>
      </c>
      <c r="I36" s="193"/>
      <c r="J36" s="194"/>
      <c r="K36" s="195"/>
      <c r="L36" s="149">
        <f>SUM(I36:K36)</f>
        <v>0</v>
      </c>
      <c r="M36" s="193"/>
      <c r="N36" s="193"/>
      <c r="O36" s="195"/>
      <c r="P36" s="149">
        <f>SUM(M36:O36)</f>
        <v>0</v>
      </c>
      <c r="Q36" s="191"/>
      <c r="R36" s="191"/>
      <c r="S36" s="130"/>
      <c r="T36" s="157">
        <f t="array" ref="T36">SUM(IF(E$4:S$4&lt;&gt;"média",E36:S36))</f>
        <v>0</v>
      </c>
      <c r="U36" s="62"/>
    </row>
    <row r="37" spans="1:21" ht="21.95" customHeight="1">
      <c r="A37" s="237"/>
      <c r="B37" s="103" t="s">
        <v>54</v>
      </c>
      <c r="C37" s="104" t="s">
        <v>10</v>
      </c>
      <c r="D37" s="22">
        <f>'[5]SJCPIL-R 17-204-01'!T37</f>
        <v>1635.6189000000004</v>
      </c>
      <c r="E37" s="105">
        <f>'[7]Base Custo Falhas UM-3'!$I$60</f>
        <v>180.10529999999997</v>
      </c>
      <c r="F37" s="105">
        <f>'[8]Base Custo Falhas UM-3'!$I$60</f>
        <v>184.09989999999999</v>
      </c>
      <c r="G37" s="105">
        <f>'[9]Base Custo Falhas UM-3'!$I$60</f>
        <v>183.345</v>
      </c>
      <c r="H37" s="150">
        <f>AVERAGE(E37:G37)</f>
        <v>182.51673333333335</v>
      </c>
      <c r="I37" s="105">
        <f>'[10]Base Custo Falhas UM-3'!$I$59</f>
        <v>191.89689999999999</v>
      </c>
      <c r="J37" s="105">
        <f>'[11]Base Custo Falhas UM-3'!$I$59</f>
        <v>193.6139</v>
      </c>
      <c r="K37" s="105">
        <f>'[12]Base Custo Falhas UM-3'!$I$59</f>
        <v>197.64779999999999</v>
      </c>
      <c r="L37" s="150">
        <f>AVERAGE(I37:K37)</f>
        <v>194.3862</v>
      </c>
      <c r="M37" s="179">
        <f>'[12]Base Custo Falhas UM-3'!$I$59</f>
        <v>197.64779999999999</v>
      </c>
      <c r="N37" s="179">
        <f>'[14]Base Custo Falhas UM-3'!$I$59</f>
        <v>196.52350000000004</v>
      </c>
      <c r="O37" s="210"/>
      <c r="P37" s="150">
        <f>AVERAGE(M37:O37)</f>
        <v>197.08565000000002</v>
      </c>
      <c r="Q37" s="105"/>
      <c r="R37" s="105"/>
      <c r="S37" s="134"/>
      <c r="T37" s="158">
        <f t="array" ref="T37">SUM(IF(E$4:S$4&lt;&gt;"média",E37:S37))</f>
        <v>1524.8800999999999</v>
      </c>
      <c r="U37" s="62"/>
    </row>
    <row r="38" spans="1:21" ht="21.95" customHeight="1">
      <c r="A38" s="237"/>
      <c r="B38" s="114" t="s">
        <v>17</v>
      </c>
      <c r="C38" s="115" t="s">
        <v>10</v>
      </c>
      <c r="D38" s="116">
        <f>'[5]SJCPIL-R 17-204-01'!T38</f>
        <v>1141.3161725000002</v>
      </c>
      <c r="E38" s="117">
        <f>E36*E37/1000</f>
        <v>0</v>
      </c>
      <c r="F38" s="117">
        <f>F36*F37/1000</f>
        <v>0</v>
      </c>
      <c r="G38" s="117">
        <f>G36*G37/1000</f>
        <v>0</v>
      </c>
      <c r="H38" s="151">
        <f>SUM(E38:G38)</f>
        <v>0</v>
      </c>
      <c r="I38" s="117">
        <f>I36*I37/1000</f>
        <v>0</v>
      </c>
      <c r="J38" s="117">
        <f>J36*J37/1000</f>
        <v>0</v>
      </c>
      <c r="K38" s="117">
        <f>K36*K37/1000</f>
        <v>0</v>
      </c>
      <c r="L38" s="151">
        <f>SUM(I38:K38)</f>
        <v>0</v>
      </c>
      <c r="M38" s="181">
        <f>M36*M37/1000</f>
        <v>0</v>
      </c>
      <c r="N38" s="181">
        <f>N36*N37/1000</f>
        <v>0</v>
      </c>
      <c r="O38" s="211"/>
      <c r="P38" s="151">
        <f>SUM(M38:O38)</f>
        <v>0</v>
      </c>
      <c r="Q38" s="117">
        <f t="shared" ref="Q38:R38" si="91">Q37/1000*Q36</f>
        <v>0</v>
      </c>
      <c r="R38" s="117">
        <f t="shared" si="91"/>
        <v>0</v>
      </c>
      <c r="S38" s="136"/>
      <c r="T38" s="159">
        <f t="array" ref="T38">SUM(IF(E$4:S$4&lt;&gt;"média",E38:S38))</f>
        <v>0</v>
      </c>
      <c r="U38" s="62"/>
    </row>
    <row r="39" spans="1:21" ht="21.95" customHeight="1">
      <c r="A39" s="237"/>
      <c r="B39" s="98" t="s">
        <v>57</v>
      </c>
      <c r="C39" s="99" t="s">
        <v>55</v>
      </c>
      <c r="D39" s="13">
        <f>'[5]SJCPIL-R 17-204-01'!T39</f>
        <v>6310.7785999999996</v>
      </c>
      <c r="E39" s="100"/>
      <c r="F39" s="100"/>
      <c r="G39" s="135"/>
      <c r="H39" s="149">
        <f>SUM(E39:G39)</f>
        <v>0</v>
      </c>
      <c r="I39" s="180"/>
      <c r="J39" s="189"/>
      <c r="K39" s="190"/>
      <c r="L39" s="149">
        <f>SUM(I39:K39)</f>
        <v>0</v>
      </c>
      <c r="M39" s="180"/>
      <c r="N39" s="180"/>
      <c r="O39" s="190"/>
      <c r="P39" s="149">
        <f>SUM(M39:O39)</f>
        <v>0</v>
      </c>
      <c r="Q39" s="100"/>
      <c r="R39" s="100"/>
      <c r="S39" s="130"/>
      <c r="T39" s="157">
        <f t="array" ref="T39">SUM(IF(E$4:S$4&lt;&gt;"média",E39:S39))</f>
        <v>0</v>
      </c>
      <c r="U39" s="62"/>
    </row>
    <row r="40" spans="1:21" ht="21.95" customHeight="1">
      <c r="A40" s="237"/>
      <c r="B40" s="103" t="s">
        <v>54</v>
      </c>
      <c r="C40" s="104" t="s">
        <v>10</v>
      </c>
      <c r="D40" s="22">
        <f>'[5]SJCPIL-R 17-204-01'!T40</f>
        <v>2420.1789999999996</v>
      </c>
      <c r="E40" s="105">
        <f>'[7]Base Custo Falhas UM-4'!$I$51</f>
        <v>137.21300000000002</v>
      </c>
      <c r="F40" s="105">
        <f>'[8]Base Custo Falhas UM-4'!$I$51</f>
        <v>140.2724</v>
      </c>
      <c r="G40" s="105">
        <f>'[9]Base Custo Falhas UM-4'!$I$51</f>
        <v>139.98860000000002</v>
      </c>
      <c r="H40" s="150">
        <f>AVERAGE(E40:G40)</f>
        <v>139.15800000000002</v>
      </c>
      <c r="I40" s="105">
        <f>'[10]Base Custo Falhas UM-4'!$I$51</f>
        <v>141.4034</v>
      </c>
      <c r="J40" s="105">
        <f>'[11]Base Custo Falhas UM-4'!$I$51</f>
        <v>140.79559999999998</v>
      </c>
      <c r="K40" s="105">
        <f>'[12]Base Custo Falhas UM-4'!$I$51</f>
        <v>140.90809999999999</v>
      </c>
      <c r="L40" s="150">
        <f>AVERAGE(I40:K40)</f>
        <v>141.03569999999999</v>
      </c>
      <c r="M40" s="179">
        <f>'[12]Base Custo Falhas UM-4'!$I$51</f>
        <v>140.90809999999999</v>
      </c>
      <c r="N40" s="179">
        <f>'[14]Base Custo Falhas UM-4'!$I$51</f>
        <v>143.8561</v>
      </c>
      <c r="O40" s="210"/>
      <c r="P40" s="150">
        <f>AVERAGE(M40:O40)</f>
        <v>142.38209999999998</v>
      </c>
      <c r="Q40" s="105"/>
      <c r="R40" s="105"/>
      <c r="S40" s="134"/>
      <c r="T40" s="158">
        <f t="array" ref="T40">SUM(IF(E$4:S$4&lt;&gt;"média",E40:S40))</f>
        <v>1125.3453</v>
      </c>
      <c r="U40" s="62"/>
    </row>
    <row r="41" spans="1:21" ht="21.95" customHeight="1">
      <c r="A41" s="237"/>
      <c r="B41" s="114" t="s">
        <v>17</v>
      </c>
      <c r="C41" s="115" t="s">
        <v>10</v>
      </c>
      <c r="D41" s="116">
        <f>'[5]SJCPIL-R 17-204-01'!T41</f>
        <v>1237.5967998000001</v>
      </c>
      <c r="E41" s="117">
        <f>E39*E40/1000</f>
        <v>0</v>
      </c>
      <c r="F41" s="117">
        <f>F39*F40/1000</f>
        <v>0</v>
      </c>
      <c r="G41" s="117">
        <f>G39*G40/1000</f>
        <v>0</v>
      </c>
      <c r="H41" s="151">
        <f>SUM(E41:G41)</f>
        <v>0</v>
      </c>
      <c r="I41" s="117">
        <f>I39*I40/1000</f>
        <v>0</v>
      </c>
      <c r="J41" s="117">
        <f>J39*J40/1000</f>
        <v>0</v>
      </c>
      <c r="K41" s="117">
        <f>K39*K40/1000</f>
        <v>0</v>
      </c>
      <c r="L41" s="151">
        <f>SUM(I41:K41)</f>
        <v>0</v>
      </c>
      <c r="M41" s="181">
        <f>M39*M40/1000</f>
        <v>0</v>
      </c>
      <c r="N41" s="181">
        <f>N39*N40/1000</f>
        <v>0</v>
      </c>
      <c r="O41" s="211"/>
      <c r="P41" s="151">
        <f>SUM(M41:O41)</f>
        <v>0</v>
      </c>
      <c r="Q41" s="117">
        <f t="shared" ref="Q41:R41" si="92">Q40/1000*Q39</f>
        <v>0</v>
      </c>
      <c r="R41" s="117">
        <f t="shared" si="92"/>
        <v>0</v>
      </c>
      <c r="S41" s="136"/>
      <c r="T41" s="159">
        <f t="array" ref="T41">SUM(IF(E$4:S$4&lt;&gt;"média",E41:S41))</f>
        <v>0</v>
      </c>
      <c r="U41" s="62"/>
    </row>
    <row r="42" spans="1:21" ht="21.95" customHeight="1">
      <c r="A42" s="237"/>
      <c r="B42" s="98" t="s">
        <v>58</v>
      </c>
      <c r="C42" s="99" t="s">
        <v>55</v>
      </c>
      <c r="D42" s="13">
        <f>'[5]SJCPIL-R 17-204-01'!T42</f>
        <v>8860</v>
      </c>
      <c r="E42" s="220"/>
      <c r="F42" s="220"/>
      <c r="G42" s="196"/>
      <c r="H42" s="149">
        <f>SUM(E42:G42)</f>
        <v>0</v>
      </c>
      <c r="I42" s="178"/>
      <c r="J42" s="187"/>
      <c r="K42" s="188"/>
      <c r="L42" s="149">
        <f>SUM(I42:K42)</f>
        <v>0</v>
      </c>
      <c r="M42" s="178"/>
      <c r="N42" s="178"/>
      <c r="O42" s="188"/>
      <c r="P42" s="149">
        <f>SUM(M42:O42)</f>
        <v>0</v>
      </c>
      <c r="Q42" s="171"/>
      <c r="R42" s="171"/>
      <c r="S42" s="130"/>
      <c r="T42" s="157">
        <f t="array" ref="T42">SUM(IF(E$4:S$4&lt;&gt;"média",E42:S42))</f>
        <v>0</v>
      </c>
      <c r="U42" s="62"/>
    </row>
    <row r="43" spans="1:21" ht="21.95" customHeight="1">
      <c r="A43" s="237"/>
      <c r="B43" s="103" t="s">
        <v>54</v>
      </c>
      <c r="C43" s="104" t="s">
        <v>10</v>
      </c>
      <c r="D43" s="22">
        <f>'[5]SJCPIL-R 17-204-01'!T43</f>
        <v>3830.2905543999996</v>
      </c>
      <c r="E43" s="105">
        <f>'[7]Base Custo Falhas LR6'!$I$53</f>
        <v>449.7474636</v>
      </c>
      <c r="F43" s="105">
        <f>'[8]Base Custo Falhas LR6'!$I$53</f>
        <v>467.3454635999999</v>
      </c>
      <c r="G43" s="105">
        <f>'[9]Base Custo Falhas LR6'!$I$53</f>
        <v>462.04316360000001</v>
      </c>
      <c r="H43" s="150">
        <f>AVERAGE(E43:G43)</f>
        <v>459.71203026666666</v>
      </c>
      <c r="I43" s="105">
        <f>'[10]Base Custo Falhas LR6'!$I$53</f>
        <v>455.71586359999998</v>
      </c>
      <c r="J43" s="105">
        <f>'[11]Base Custo Falhas LR6'!$I$53</f>
        <v>453.01073339999999</v>
      </c>
      <c r="K43" s="105">
        <f>'[12]Base Custo Falhas LR6'!$I$53</f>
        <v>456.55286739999997</v>
      </c>
      <c r="L43" s="150">
        <f>AVERAGE(I43:K43)</f>
        <v>455.09315480000004</v>
      </c>
      <c r="M43" s="179">
        <f>'[12]Base Custo Falhas LR6'!$I$53</f>
        <v>456.55286739999997</v>
      </c>
      <c r="N43" s="179">
        <f>'[14]Base Custo Falhas LR6'!$I$53</f>
        <v>460.26831779999998</v>
      </c>
      <c r="O43" s="210"/>
      <c r="P43" s="150">
        <f>AVERAGE(M43:O43)</f>
        <v>458.41059259999997</v>
      </c>
      <c r="Q43" s="105"/>
      <c r="R43" s="105"/>
      <c r="S43" s="134"/>
      <c r="T43" s="158">
        <f t="array" ref="T43">SUM(IF(E$4:S$4&lt;&gt;"média",E43:S43))</f>
        <v>3661.2367403999997</v>
      </c>
      <c r="U43" s="62"/>
    </row>
    <row r="44" spans="1:21" ht="21.95" customHeight="1">
      <c r="A44" s="237"/>
      <c r="B44" s="114" t="s">
        <v>17</v>
      </c>
      <c r="C44" s="115" t="s">
        <v>10</v>
      </c>
      <c r="D44" s="116">
        <f>'[5]SJCPIL-R 17-204-01'!T44</f>
        <v>2795.0589523759995</v>
      </c>
      <c r="E44" s="117">
        <f>E42*E43/1000</f>
        <v>0</v>
      </c>
      <c r="F44" s="117">
        <f>F42*F43/1000</f>
        <v>0</v>
      </c>
      <c r="G44" s="117">
        <f>G42*G43/1000</f>
        <v>0</v>
      </c>
      <c r="H44" s="151">
        <f>SUM(E44:G44)</f>
        <v>0</v>
      </c>
      <c r="I44" s="117">
        <f>I42*I43/1000</f>
        <v>0</v>
      </c>
      <c r="J44" s="117">
        <f>J42*J43/1000</f>
        <v>0</v>
      </c>
      <c r="K44" s="117">
        <f>K42*K43/1000</f>
        <v>0</v>
      </c>
      <c r="L44" s="151">
        <f>SUM(I44:K44)</f>
        <v>0</v>
      </c>
      <c r="M44" s="181">
        <f>M42*M43/1000</f>
        <v>0</v>
      </c>
      <c r="N44" s="181">
        <f>N42*N43/1000</f>
        <v>0</v>
      </c>
      <c r="O44" s="211"/>
      <c r="P44" s="151">
        <f>SUM(M44:O44)</f>
        <v>0</v>
      </c>
      <c r="Q44" s="117">
        <f t="shared" ref="Q44" si="93">Q43/1000*Q42</f>
        <v>0</v>
      </c>
      <c r="R44" s="117">
        <f t="shared" ref="R44" si="94">R43/1000*R42</f>
        <v>0</v>
      </c>
      <c r="S44" s="136"/>
      <c r="T44" s="159">
        <f t="array" ref="T44">SUM(IF(E$4:S$4&lt;&gt;"média",E44:S44))</f>
        <v>0</v>
      </c>
      <c r="U44" s="62"/>
    </row>
    <row r="45" spans="1:21" ht="21.95" customHeight="1">
      <c r="A45" s="238"/>
      <c r="B45" s="108" t="s">
        <v>27</v>
      </c>
      <c r="C45" s="109"/>
      <c r="D45" s="110">
        <f>'[5]SJCPIL-R 17-204-01'!T45</f>
        <v>8997.9978769359986</v>
      </c>
      <c r="E45" s="111">
        <f t="array" ref="E45">SUM(IF($B$33:$B$44="Sub-Total",E33:E44))</f>
        <v>0</v>
      </c>
      <c r="F45" s="111">
        <f t="array" ref="F45">SUM(IF($B$33:$B$44="Sub-Total",F33:F44))</f>
        <v>0</v>
      </c>
      <c r="G45" s="111">
        <f t="array" ref="G45">SUM(IF($B$33:$B$44="Sub-Total",G33:G44))</f>
        <v>0</v>
      </c>
      <c r="H45" s="152">
        <f>SUM(E45:G45)</f>
        <v>0</v>
      </c>
      <c r="I45" s="111">
        <f t="array" ref="I45">SUM(IF($B$33:$B$44="Sub-Total",I33:I44))</f>
        <v>0</v>
      </c>
      <c r="J45" s="111">
        <f t="array" ref="J45">SUM(IF($B$33:$B$44="Sub-Total",J33:J44))</f>
        <v>0</v>
      </c>
      <c r="K45" s="111">
        <f t="array" ref="K45">SUM(IF($B$33:$B$44="Sub-Total",K33:K44))</f>
        <v>0</v>
      </c>
      <c r="L45" s="152">
        <f>SUM(I45:K45)</f>
        <v>0</v>
      </c>
      <c r="M45" s="182">
        <f t="array" ref="M45">SUM(IF($B$33:$B$44="Sub-Total",M33:M44))</f>
        <v>0</v>
      </c>
      <c r="N45" s="182" cm="1">
        <f t="array" ref="N45">SUM(IF($B$33:$B$44="Sub-Total",N33:N44))</f>
        <v>0</v>
      </c>
      <c r="O45" s="212"/>
      <c r="P45" s="152">
        <f>SUM(M45:O45)</f>
        <v>0</v>
      </c>
      <c r="Q45" s="111">
        <f t="array" ref="Q45">SUM(IF($B$33:$B$44="Sub-Total",Q33:Q44))</f>
        <v>0</v>
      </c>
      <c r="R45" s="111">
        <f t="array" ref="R45">SUM(IF($B$33:$B$44="Sub-Total",R33:R44))</f>
        <v>0</v>
      </c>
      <c r="S45" s="137"/>
      <c r="T45" s="160">
        <f t="array" ref="T45">SUM(IF(E$4:S$4&lt;&gt;"média",E45:S45))</f>
        <v>0</v>
      </c>
      <c r="U45" s="62"/>
    </row>
    <row r="46" spans="1:21" ht="21.95" customHeight="1">
      <c r="A46" s="222" t="s">
        <v>35</v>
      </c>
      <c r="B46" s="223"/>
      <c r="C46" s="49" t="s">
        <v>10</v>
      </c>
      <c r="D46" s="50">
        <f>'[5]SJCPIL-R 17-204-01'!T46</f>
        <v>209243.48772240945</v>
      </c>
      <c r="E46" s="67" cm="1">
        <f t="array" ref="E46">SUM(IF($B5:$B31="Sub-Total",E5:E31))</f>
        <v>0</v>
      </c>
      <c r="F46" s="67">
        <f t="array" ref="F46">SUM(IF($B5:$B25="Sub-Total",F5:F25))</f>
        <v>0</v>
      </c>
      <c r="G46" s="67">
        <f t="array" ref="G46">SUM(IF($B5:$B25="Sub-Total",G5:G25))</f>
        <v>0</v>
      </c>
      <c r="H46" s="153">
        <f t="shared" si="85"/>
        <v>0</v>
      </c>
      <c r="I46" s="67">
        <f t="array" ref="I46">SUM(IF($B5:$B25="Sub-Total",I5:I25))</f>
        <v>0</v>
      </c>
      <c r="J46" s="67">
        <f t="array" ref="J46">SUM(IF($B5:$B25="Sub-Total",J5:J25))</f>
        <v>0</v>
      </c>
      <c r="K46" s="67">
        <f t="array" ref="K46">SUM(IF($B5:$B25="Sub-Total",K5:K25))</f>
        <v>0</v>
      </c>
      <c r="L46" s="153">
        <f t="shared" si="87"/>
        <v>0</v>
      </c>
      <c r="M46" s="183">
        <f t="array" ref="M46">SUM(IF($B5:$B25="Sub-Total",M5:M25))</f>
        <v>0</v>
      </c>
      <c r="N46" s="183">
        <f t="array" ref="N46">SUM(IF($B5:$B25="Sub-Total",N5:N25))</f>
        <v>0</v>
      </c>
      <c r="O46" s="213"/>
      <c r="P46" s="153">
        <f t="shared" si="88"/>
        <v>0</v>
      </c>
      <c r="Q46" s="67">
        <f t="array" ref="Q46">SUM(IF($B5:$B25="Sub-Total",Q5:Q25))</f>
        <v>0</v>
      </c>
      <c r="R46" s="67">
        <f t="array" ref="R46">SUM(IF($B5:$B25="Sub-Total",R5:R25))</f>
        <v>0</v>
      </c>
      <c r="S46" s="138">
        <f t="array" ref="S46">SUM(IF($B5:$B25="Sub-Total",S5:S25))</f>
        <v>0</v>
      </c>
      <c r="T46" s="161">
        <f t="array" ref="T46">SUM(IF(E$4:S$4&lt;&gt;"média",E46:S46))</f>
        <v>0</v>
      </c>
      <c r="U46" s="62"/>
    </row>
    <row r="47" spans="1:21" ht="37.5" customHeight="1">
      <c r="A47" s="224" t="s">
        <v>28</v>
      </c>
      <c r="B47" s="225"/>
      <c r="C47" s="225"/>
      <c r="D47" s="52">
        <f>'[5]SJCPIL-R 17-204-01'!T47</f>
        <v>0</v>
      </c>
      <c r="E47" s="85"/>
      <c r="F47" s="85"/>
      <c r="G47" s="85"/>
      <c r="H47" s="154"/>
      <c r="I47" s="85"/>
      <c r="J47" s="85"/>
      <c r="K47" s="85"/>
      <c r="L47" s="154"/>
      <c r="M47" s="221"/>
      <c r="N47" s="221"/>
      <c r="O47" s="85"/>
      <c r="P47" s="154"/>
      <c r="Q47" s="85"/>
      <c r="R47" s="85"/>
      <c r="S47" s="85"/>
      <c r="T47" s="162"/>
      <c r="U47" s="62"/>
    </row>
    <row r="48" spans="1:21" ht="14.25">
      <c r="A48" s="55"/>
      <c r="B48" s="56" t="s">
        <v>37</v>
      </c>
      <c r="C48" s="57"/>
      <c r="D48" s="88">
        <f>'[5]SJCPIL-R 17-204-01'!T48</f>
        <v>319009475</v>
      </c>
      <c r="E48" s="68">
        <f>INDEX('[3]SJCPIL-R 17-203-00'!$D$40:$S$41,1,MATCH(E$4,'[3]SJCPIL-R 17-203-00'!$D$4:$S$4,0))</f>
        <v>0</v>
      </c>
      <c r="F48" s="68">
        <f>INDEX('[3]SJCPIL-R 17-203-00'!$D$40:$S$41,1,MATCH(F$4,'[3]SJCPIL-R 17-203-00'!$D$4:$S$4,0))</f>
        <v>0</v>
      </c>
      <c r="G48" s="68">
        <f>INDEX('[3]SJCPIL-R 17-203-00'!$D$40:$S$41,1,MATCH(G$4,'[3]SJCPIL-R 17-203-00'!$D$4:$S$4,0))</f>
        <v>0</v>
      </c>
      <c r="H48" s="155">
        <f>AVERAGE(E48:G48)</f>
        <v>0</v>
      </c>
      <c r="I48" s="68">
        <f>INDEX('[3]SJCPIL-R 17-203-00'!$D$40:$S$41,1,MATCH(I$4,'[3]SJCPIL-R 17-203-00'!$D$4:$S$4,0))</f>
        <v>0</v>
      </c>
      <c r="J48" s="68">
        <f>INDEX('[3]SJCPIL-R 17-203-00'!$D$40:$S$41,1,MATCH(J$4,'[3]SJCPIL-R 17-203-00'!$D$4:$S$4,0))</f>
        <v>0</v>
      </c>
      <c r="K48" s="68">
        <f>INDEX('[3]SJCPIL-R 17-203-00'!$D$40:$S$41,1,MATCH(K$4,'[3]SJCPIL-R 17-203-00'!$D$4:$S$4,0))</f>
        <v>0</v>
      </c>
      <c r="L48" s="155">
        <f>AVERAGE(I48:K48)</f>
        <v>0</v>
      </c>
      <c r="M48" s="184">
        <f>INDEX('[3]SJCPIL-R 17-203-00'!$D$40:$S$41,1,MATCH(M$4,'[3]SJCPIL-R 17-203-00'!$D$4:$S$4,0))</f>
        <v>0</v>
      </c>
      <c r="N48" s="68">
        <f>INDEX('[3]SJCPIL-R 17-203-00'!$D$40:$S$41,1,MATCH(N$4,'[3]SJCPIL-R 17-203-00'!$D$4:$S$4,0))</f>
        <v>0</v>
      </c>
      <c r="O48" s="68">
        <f>INDEX('[3]SJCPIL-R 17-203-00'!$D$40:$S$41,1,MATCH(O$4,'[3]SJCPIL-R 17-203-00'!$D$4:$S$4,0))</f>
        <v>0</v>
      </c>
      <c r="P48" s="155">
        <f>AVERAGE(M48:O48)</f>
        <v>0</v>
      </c>
      <c r="Q48" s="68">
        <f>INDEX('[3]SJCPIL-R 17-203-00'!$D$40:$S$41,1,MATCH(Q$4,'[3]SJCPIL-R 17-203-00'!$D$4:$S$4,0))</f>
        <v>0</v>
      </c>
      <c r="R48" s="68">
        <f>INDEX('[3]SJCPIL-R 17-203-00'!$D$40:$S$41,1,MATCH(R$4,'[3]SJCPIL-R 17-203-00'!$D$4:$S$4,0))</f>
        <v>0</v>
      </c>
      <c r="S48" s="68">
        <f>INDEX('[3]SJCPIL-R 17-203-00'!$D$40:$S$41,1,MATCH(S$4,'[3]SJCPIL-R 17-203-00'!$D$4:$S$4,0))</f>
        <v>0</v>
      </c>
      <c r="T48" s="59">
        <f>SUM(E48:G48,I48:K48,M48:O48,Q48:S48)</f>
        <v>0</v>
      </c>
      <c r="U48" s="62"/>
    </row>
    <row r="49" spans="2:21" ht="14.25">
      <c r="B49" s="60" t="s">
        <v>38</v>
      </c>
      <c r="C49" s="61"/>
      <c r="D49" s="88">
        <f>'[5]SJCPIL-R 17-204-01'!T49</f>
        <v>30831374</v>
      </c>
      <c r="E49" s="68">
        <f>INDEX('[3]SJCPIL-R 17-203-00'!$D$40:$S$41,2,MATCH(E$4,'[3]SJCPIL-R 17-203-00'!$D$4:$S$4,0))</f>
        <v>0</v>
      </c>
      <c r="F49" s="68">
        <f>INDEX('[3]SJCPIL-R 17-203-00'!$D$40:$S$41,2,MATCH(F$4,'[3]SJCPIL-R 17-203-00'!$D$4:$S$4,0))</f>
        <v>0</v>
      </c>
      <c r="G49" s="68">
        <f>INDEX('[3]SJCPIL-R 17-203-00'!$D$40:$S$41,2,MATCH(G$4,'[3]SJCPIL-R 17-203-00'!$D$4:$S$4,0))</f>
        <v>0</v>
      </c>
      <c r="H49" s="155">
        <f>AVERAGE(E49:G49)</f>
        <v>0</v>
      </c>
      <c r="I49" s="68">
        <f>INDEX('[3]SJCPIL-R 17-203-00'!$D$40:$S$41,2,MATCH(I$4,'[3]SJCPIL-R 17-203-00'!$D$4:$S$4,0))</f>
        <v>0</v>
      </c>
      <c r="J49" s="68">
        <f>INDEX('[3]SJCPIL-R 17-203-00'!$D$40:$S$41,2,MATCH(J$4,'[3]SJCPIL-R 17-203-00'!$D$4:$S$4,0))</f>
        <v>0</v>
      </c>
      <c r="K49" s="68">
        <f>INDEX('[3]SJCPIL-R 17-203-00'!$D$40:$S$41,2,MATCH(K$4,'[3]SJCPIL-R 17-203-00'!$D$4:$S$4,0))</f>
        <v>0</v>
      </c>
      <c r="L49" s="155">
        <f>AVERAGE(I49:K49)</f>
        <v>0</v>
      </c>
      <c r="M49" s="184">
        <f>INDEX('[3]SJCPIL-R 17-203-00'!$D$40:$S$41,2,MATCH(M$4,'[3]SJCPIL-R 17-203-00'!$D$4:$S$4,0))</f>
        <v>0</v>
      </c>
      <c r="N49" s="68">
        <f>INDEX('[3]SJCPIL-R 17-203-00'!$D$40:$S$41,2,MATCH(N$4,'[3]SJCPIL-R 17-203-00'!$D$4:$S$4,0))</f>
        <v>0</v>
      </c>
      <c r="O49" s="68">
        <f>INDEX('[3]SJCPIL-R 17-203-00'!$D$40:$S$41,2,MATCH(O$4,'[3]SJCPIL-R 17-203-00'!$D$4:$S$4,0))</f>
        <v>0</v>
      </c>
      <c r="P49" s="155">
        <f>AVERAGE(M49:O49)</f>
        <v>0</v>
      </c>
      <c r="Q49" s="68">
        <f>INDEX('[3]SJCPIL-R 17-203-00'!$D$40:$S$41,2,MATCH(Q$4,'[3]SJCPIL-R 17-203-00'!$D$4:$S$4,0))</f>
        <v>0</v>
      </c>
      <c r="R49" s="68">
        <f>INDEX('[3]SJCPIL-R 17-203-00'!$D$40:$S$41,2,MATCH(R$4,'[3]SJCPIL-R 17-203-00'!$D$4:$S$4,0))</f>
        <v>0</v>
      </c>
      <c r="S49" s="68">
        <f>INDEX('[3]SJCPIL-R 17-203-00'!$D$40:$S$41,2,MATCH(S$4,'[3]SJCPIL-R 17-203-00'!$D$4:$S$4,0))</f>
        <v>0</v>
      </c>
      <c r="T49" s="59">
        <f>SUM(E49:G49,I49:K49,M49:O49,Q49:S49)</f>
        <v>0</v>
      </c>
      <c r="U49" s="62"/>
    </row>
    <row r="50" spans="2:21" ht="14.25">
      <c r="B50" s="60" t="s">
        <v>27</v>
      </c>
      <c r="C50" s="61"/>
      <c r="D50" s="88">
        <f>'[5]SJCPIL-R 17-204-01'!T50</f>
        <v>349840849</v>
      </c>
      <c r="E50" s="68">
        <f>SUM(E48:E49)</f>
        <v>0</v>
      </c>
      <c r="F50" s="68">
        <f>SUM(F48:F49)</f>
        <v>0</v>
      </c>
      <c r="G50" s="68">
        <f>SUM(G48:G49)</f>
        <v>0</v>
      </c>
      <c r="H50" s="155">
        <f t="shared" ref="H50" si="95">H48+H49</f>
        <v>0</v>
      </c>
      <c r="I50" s="68">
        <f>SUM(I48:I49)</f>
        <v>0</v>
      </c>
      <c r="J50" s="68">
        <f>SUM(J48:J49)</f>
        <v>0</v>
      </c>
      <c r="K50" s="68">
        <f>SUM(K48:K49)</f>
        <v>0</v>
      </c>
      <c r="L50" s="155">
        <f>AVERAGE(I50:K50)</f>
        <v>0</v>
      </c>
      <c r="M50" s="184">
        <f>SUM(M48:M49)</f>
        <v>0</v>
      </c>
      <c r="N50" s="68">
        <f>SUM(N48:N49)</f>
        <v>0</v>
      </c>
      <c r="O50" s="214"/>
      <c r="P50" s="155">
        <f>AVERAGE(M50:O50)</f>
        <v>0</v>
      </c>
      <c r="Q50" s="68">
        <f t="shared" ref="Q50:S50" si="96">Q48+Q49</f>
        <v>0</v>
      </c>
      <c r="R50" s="68">
        <f t="shared" si="96"/>
        <v>0</v>
      </c>
      <c r="S50" s="139">
        <f t="shared" si="96"/>
        <v>0</v>
      </c>
      <c r="T50" s="59">
        <f>SUM(E50:G50,I50:K50,M50:O50,Q50:S50)</f>
        <v>0</v>
      </c>
      <c r="U50" s="62"/>
    </row>
    <row r="52" spans="2:21">
      <c r="E52" s="217">
        <v>44287</v>
      </c>
      <c r="F52" s="217">
        <v>44317</v>
      </c>
      <c r="G52" s="217">
        <v>44348</v>
      </c>
      <c r="H52" s="217"/>
      <c r="I52" s="217">
        <v>44378</v>
      </c>
      <c r="J52" s="217">
        <v>44409</v>
      </c>
      <c r="K52" s="217">
        <v>44440</v>
      </c>
      <c r="L52" s="217"/>
      <c r="M52" s="217">
        <v>44470</v>
      </c>
      <c r="N52" s="217">
        <v>44501</v>
      </c>
      <c r="O52" s="217">
        <v>44531</v>
      </c>
      <c r="P52" s="217"/>
      <c r="Q52" s="217">
        <v>44562</v>
      </c>
      <c r="R52" s="217">
        <v>44593</v>
      </c>
      <c r="S52" s="217">
        <v>44621</v>
      </c>
      <c r="T52" s="217"/>
      <c r="U52" s="217"/>
    </row>
    <row r="53" spans="2:21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2:21">
      <c r="E54" s="1"/>
      <c r="F54" s="1"/>
      <c r="G54" s="1"/>
      <c r="J54" s="1"/>
      <c r="K54" s="1"/>
      <c r="L54" s="1"/>
      <c r="M54" s="1"/>
    </row>
    <row r="55" spans="2:21">
      <c r="K55" s="1"/>
    </row>
    <row r="56" spans="2:21">
      <c r="J56" s="1"/>
      <c r="K56" s="1"/>
    </row>
    <row r="57" spans="2:21">
      <c r="E57" s="1"/>
      <c r="F57" s="1"/>
      <c r="G57" s="1"/>
      <c r="H57" s="1"/>
      <c r="I57" s="1"/>
      <c r="J57" s="1"/>
    </row>
    <row r="59" spans="2:21">
      <c r="E59" s="1"/>
      <c r="F59" s="1"/>
      <c r="G59" s="1"/>
      <c r="H59" s="1"/>
      <c r="I59" s="1"/>
    </row>
    <row r="60" spans="2:21">
      <c r="E60" s="1"/>
      <c r="F60" s="1"/>
      <c r="G60" s="1"/>
      <c r="H60" s="1"/>
      <c r="I60" s="1"/>
    </row>
  </sheetData>
  <mergeCells count="14">
    <mergeCell ref="E1:S1"/>
    <mergeCell ref="E2:S2"/>
    <mergeCell ref="A3:B3"/>
    <mergeCell ref="D3:D4"/>
    <mergeCell ref="Q3:S3"/>
    <mergeCell ref="A47:C47"/>
    <mergeCell ref="A33:A45"/>
    <mergeCell ref="T3:T4"/>
    <mergeCell ref="A5:A12"/>
    <mergeCell ref="A17:A19"/>
    <mergeCell ref="A20:A25"/>
    <mergeCell ref="A26:A31"/>
    <mergeCell ref="A46:B46"/>
    <mergeCell ref="E3:P3"/>
  </mergeCells>
  <phoneticPr fontId="1" type="noConversion"/>
  <conditionalFormatting sqref="E33 E36 J36 E39 J39 G39 G36 G33">
    <cfRule type="cellIs" dxfId="9" priority="19" stopIfTrue="1" operator="equal">
      <formula>0</formula>
    </cfRule>
  </conditionalFormatting>
  <conditionalFormatting sqref="K33 K36 K39">
    <cfRule type="cellIs" dxfId="8" priority="16" stopIfTrue="1" operator="equal">
      <formula>0</formula>
    </cfRule>
  </conditionalFormatting>
  <conditionalFormatting sqref="M33:O33 M36:N36 M39:N39">
    <cfRule type="cellIs" dxfId="7" priority="14" stopIfTrue="1" operator="equal">
      <formula>0</formula>
    </cfRule>
  </conditionalFormatting>
  <conditionalFormatting sqref="O36 O39">
    <cfRule type="cellIs" dxfId="6" priority="10" stopIfTrue="1" operator="equal">
      <formula>0</formula>
    </cfRule>
  </conditionalFormatting>
  <conditionalFormatting sqref="Q36 Q39">
    <cfRule type="cellIs" dxfId="5" priority="6" stopIfTrue="1" operator="equal">
      <formula>0</formula>
    </cfRule>
  </conditionalFormatting>
  <conditionalFormatting sqref="Q33">
    <cfRule type="cellIs" dxfId="4" priority="5" stopIfTrue="1" operator="equal">
      <formula>0</formula>
    </cfRule>
  </conditionalFormatting>
  <conditionalFormatting sqref="R36 R39">
    <cfRule type="cellIs" dxfId="3" priority="4" stopIfTrue="1" operator="equal">
      <formula>0</formula>
    </cfRule>
  </conditionalFormatting>
  <conditionalFormatting sqref="R33">
    <cfRule type="cellIs" dxfId="2" priority="3" stopIfTrue="1" operator="equal">
      <formula>0</formula>
    </cfRule>
  </conditionalFormatting>
  <conditionalFormatting sqref="F33 F36 F39">
    <cfRule type="cellIs" dxfId="1" priority="2" stopIfTrue="1" operator="equal">
      <formula>0</formula>
    </cfRule>
  </conditionalFormatting>
  <conditionalFormatting sqref="I39 I36 I33:J33">
    <cfRule type="cellIs" dxfId="0" priority="1" stopIfTrue="1" operator="equal">
      <formula>0</formula>
    </cfRule>
  </conditionalFormatting>
  <printOptions horizontalCentered="1" headings="1" gridLinesSet="0"/>
  <pageMargins left="0.39370078740157483" right="0.39370078740157483" top="0.59055118110236227" bottom="0.59055118110236227" header="0.51181102362204722" footer="0.31496062992125984"/>
  <pageSetup paperSize="9" scale="54" fitToHeight="2" orientation="landscape" r:id="rId1"/>
  <headerFooter alignWithMargins="0">
    <oddFooter>&amp;L&amp;A (PGQ-7.03)&amp;R&amp;F</oddFooter>
  </headerFooter>
  <rowBreaks count="1" manualBreakCount="1">
    <brk id="32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Plan1</vt:lpstr>
      <vt:lpstr>SJCPIL-R 17-204-01 (Forecat)</vt:lpstr>
      <vt:lpstr>SJCPIL-R 17-204-01</vt:lpstr>
      <vt:lpstr>'SJCPIL-R 17-204-01'!Titulos_de_impressao</vt:lpstr>
      <vt:lpstr>'SJCPIL-R 17-204-01 (Forecat)'!Titulos_de_impressao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Limitada</dc:creator>
  <cp:lastModifiedBy>Osvaldo Martins Torquati</cp:lastModifiedBy>
  <cp:lastPrinted>2021-12-07T13:42:01Z</cp:lastPrinted>
  <dcterms:created xsi:type="dcterms:W3CDTF">2011-05-10T14:10:21Z</dcterms:created>
  <dcterms:modified xsi:type="dcterms:W3CDTF">2022-02-03T18:38:26Z</dcterms:modified>
</cp:coreProperties>
</file>