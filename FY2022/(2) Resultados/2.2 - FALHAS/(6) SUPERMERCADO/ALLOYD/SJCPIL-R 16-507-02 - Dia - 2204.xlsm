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updateLinks="always" codeName="EstaPasta_de_trabalho"/>
  <mc:AlternateContent xmlns:mc="http://schemas.openxmlformats.org/markup-compatibility/2006">
    <mc:Choice Requires="x15">
      <x15ac:absPath xmlns:x15ac="http://schemas.microsoft.com/office/spreadsheetml/2010/11/ac" url="C:\DADOS\PIL\PUB\QUALIDADE\FY2021\(2) Resultados\2.2 - FALHAS\(6) SUPERMERCADO\ALLOYD\"/>
    </mc:Choice>
  </mc:AlternateContent>
  <xr:revisionPtr revIDLastSave="0" documentId="13_ncr:1_{9673C75B-BB2F-4587-86D1-A48CB52F3EEC}" xr6:coauthVersionLast="47" xr6:coauthVersionMax="47" xr10:uidLastSave="{00000000-0000-0000-0000-000000000000}"/>
  <bookViews>
    <workbookView xWindow="-120" yWindow="-120" windowWidth="29040" windowHeight="16440" tabRatio="601" activeTab="5" xr2:uid="{00000000-000D-0000-FFFF-FFFF00000000}"/>
  </bookViews>
  <sheets>
    <sheet name="Alloyd 1" sheetId="1" r:id="rId1"/>
    <sheet name="Alloyd 2" sheetId="14" r:id="rId2"/>
    <sheet name="Alloyd 3" sheetId="17" r:id="rId3"/>
    <sheet name="Resumo Produção" sheetId="10" r:id="rId4"/>
    <sheet name="Resumo Falhas D+N" sheetId="16" r:id="rId5"/>
    <sheet name="Plan1" sheetId="15" r:id="rId6"/>
  </sheets>
  <externalReferences>
    <externalReference r:id="rId7"/>
    <externalReference r:id="rId8"/>
    <externalReference r:id="rId9"/>
  </externalReferences>
  <definedNames>
    <definedName name="_xlnm.Print_Area" localSheetId="0">'Alloyd 1'!$A$1:$AU$25</definedName>
    <definedName name="_xlnm.Print_Area" localSheetId="1">'Alloyd 2'!$A$1:$AU$25</definedName>
    <definedName name="_xlnm.Print_Area" localSheetId="2">'Alloyd 3'!$A$1:$AU$25</definedName>
    <definedName name="_xlnm.Print_Area" localSheetId="4">'Resumo Falhas D+N'!$A$1:$AF$62</definedName>
    <definedName name="_xlnm.Print_Area" localSheetId="3">'Resumo Produção'!$A$1:$S$53</definedName>
    <definedName name="FB_ALK" localSheetId="2">#REF!</definedName>
    <definedName name="FB_ALK">#REF!</definedName>
    <definedName name="FB_LR14" localSheetId="2">#REF!</definedName>
    <definedName name="FB_LR14">#REF!</definedName>
    <definedName name="FB_LR20" localSheetId="2">#REF!</definedName>
    <definedName name="FB_LR20">#REF!</definedName>
    <definedName name="FB_OUTROS" localSheetId="2">#REF!</definedName>
    <definedName name="FB_OUTROS">#REF!</definedName>
    <definedName name="FB_UM1" localSheetId="2">#REF!</definedName>
    <definedName name="FB_UM1">#REF!</definedName>
    <definedName name="FB_UM2" localSheetId="2">#REF!</definedName>
    <definedName name="FB_UM2">#REF!</definedName>
    <definedName name="FB_UM3" localSheetId="2">#REF!</definedName>
    <definedName name="FB_UM3">#REF!</definedName>
    <definedName name="FC_ALK" localSheetId="2">#REF!</definedName>
    <definedName name="FC_ALK">#REF!</definedName>
    <definedName name="FC_LR14" localSheetId="2">#REF!</definedName>
    <definedName name="FC_LR14">#REF!</definedName>
    <definedName name="FC_LR20" localSheetId="2">#REF!</definedName>
    <definedName name="FC_LR20">#REF!</definedName>
    <definedName name="FC_outros" localSheetId="2">#REF!</definedName>
    <definedName name="FC_outros">#REF!</definedName>
    <definedName name="FC_UM1" localSheetId="2">#REF!</definedName>
    <definedName name="FC_UM1">#REF!</definedName>
    <definedName name="FC_UM2" localSheetId="2">#REF!</definedName>
    <definedName name="FC_UM2">#REF!</definedName>
    <definedName name="FC_UM3" localSheetId="2">#REF!</definedName>
    <definedName name="FC_UM3">#REF!</definedName>
    <definedName name="FPA_ALK" localSheetId="2">#REF!</definedName>
    <definedName name="FPA_ALK">#REF!</definedName>
    <definedName name="FPA_LR14" localSheetId="2">#REF!</definedName>
    <definedName name="FPA_LR14">#REF!</definedName>
    <definedName name="FPA_LR20" localSheetId="2">#REF!</definedName>
    <definedName name="FPA_LR20">#REF!</definedName>
    <definedName name="FPA_OUTROS" localSheetId="2">#REF!</definedName>
    <definedName name="FPA_OUTROS">#REF!</definedName>
    <definedName name="FPA_UM1" localSheetId="2">#REF!</definedName>
    <definedName name="FPA_UM1">#REF!</definedName>
    <definedName name="FPA_UM2" localSheetId="2">#REF!</definedName>
    <definedName name="FPA_UM2">#REF!</definedName>
    <definedName name="FPA_UM3" localSheetId="2">#REF!</definedName>
    <definedName name="FPA_UM3">#REF!</definedName>
    <definedName name="LANT" localSheetId="1">#REF!</definedName>
    <definedName name="LANT" localSheetId="2">#REF!</definedName>
    <definedName name="LANT" localSheetId="4">#REF!</definedName>
    <definedName name="LANT">#REF!</definedName>
    <definedName name="MnValor" localSheetId="1">#REF!</definedName>
    <definedName name="MnValor" localSheetId="2">#REF!</definedName>
    <definedName name="MnValor" localSheetId="4">#REF!</definedName>
    <definedName name="MnValor">#REF!</definedName>
    <definedName name="OUTROS" localSheetId="1">#REF!</definedName>
    <definedName name="OUTROS" localSheetId="2">#REF!</definedName>
    <definedName name="OUTROS" localSheetId="4">#REF!</definedName>
    <definedName name="OUTROS">#REF!</definedName>
    <definedName name="prod_alk" localSheetId="2">#REF!</definedName>
    <definedName name="prod_alk">#REF!</definedName>
    <definedName name="prod_LR14" localSheetId="2">#REF!</definedName>
    <definedName name="prod_LR14">#REF!</definedName>
    <definedName name="prod_LR20" localSheetId="2">#REF!</definedName>
    <definedName name="prod_LR20">#REF!</definedName>
    <definedName name="prod_outros" localSheetId="2">#REF!</definedName>
    <definedName name="prod_outros">#REF!</definedName>
    <definedName name="prod_um1" localSheetId="2">#REF!</definedName>
    <definedName name="prod_um1">#REF!</definedName>
    <definedName name="prod_um2" localSheetId="2">#REF!</definedName>
    <definedName name="prod_um2">#REF!</definedName>
    <definedName name="prod_um3" localSheetId="2">#REF!</definedName>
    <definedName name="prod_um3">#REF!</definedName>
    <definedName name="PRODUTOS">'Resumo Produção'!$A$3:$A$53</definedName>
    <definedName name="_xlnm.Print_Titles" localSheetId="4">'Resumo Falhas D+N'!$A:$A,'Resumo Falhas D+N'!$1:$2</definedName>
    <definedName name="_xlnm.Print_Titles" localSheetId="3">'Resumo Produção'!$1:$2</definedName>
    <definedName name="TT_BLISTER_LR14">'Resumo Falhas D+N'!$AD$29</definedName>
    <definedName name="TT_BLISTER_LR20">'Resumo Falhas D+N'!$AD$26</definedName>
    <definedName name="TT_BLISTER_LR6">'Resumo Falhas D+N'!$AD$23</definedName>
    <definedName name="TT_BLISTER_OUTROS">'Resumo Falhas D+N'!$AD$61</definedName>
    <definedName name="TT_BLISTER_UM1">'Resumo Falhas D+N'!$AD$6</definedName>
    <definedName name="TT_BLISTER_UM2">'Resumo Falhas D+N'!$AD$8</definedName>
    <definedName name="TT_BLISTER_UM3">'Resumo Falhas D+N'!$AD$13</definedName>
    <definedName name="TT_CARTELA_LR14">'Resumo Falhas D+N'!$AE$29</definedName>
    <definedName name="TT_CARTELA_LR20">'Resumo Falhas D+N'!$AE$26</definedName>
    <definedName name="TT_CARTELA_LR6">'Resumo Falhas D+N'!$AE$23</definedName>
    <definedName name="TT_CARTELA_OUTROS">'Resumo Falhas D+N'!$AE$61</definedName>
    <definedName name="TT_CARTELA_UM1">'Resumo Falhas D+N'!$AE$6</definedName>
    <definedName name="TT_CARTELA_UM2">'Resumo Falhas D+N'!$AE$8</definedName>
    <definedName name="TT_CARTELA_UM3">'Resumo Falhas D+N'!$AE$13</definedName>
    <definedName name="TT_PA_LR14">'Resumo Falhas D+N'!$AF$29</definedName>
    <definedName name="TT_PA_LR20">'Resumo Falhas D+N'!$AF$26</definedName>
    <definedName name="TT_PA_LR6">'Resumo Falhas D+N'!$AF$23</definedName>
    <definedName name="TT_PA_OUTROS">'Resumo Falhas D+N'!$AF$61</definedName>
    <definedName name="TT_PA_UM1">'Resumo Falhas D+N'!$AF$6</definedName>
    <definedName name="TT_PA_UM2">'Resumo Falhas D+N'!$AF$8</definedName>
    <definedName name="TT_PA_UM3">'Resumo Falhas D+N'!$AF$13</definedName>
    <definedName name="TT_PROD_LR14">'Resumo Falhas D+N'!$AC$29</definedName>
    <definedName name="TT_PROD_LR20">'Resumo Falhas D+N'!$AC$26</definedName>
    <definedName name="TT_PROD_LR6">'Resumo Falhas D+N'!$AC$23</definedName>
    <definedName name="TT_PROD_OUTROS">'Resumo Falhas D+N'!$AC$61</definedName>
    <definedName name="TT_PROD_UM1">'Resumo Falhas D+N'!$AC$6</definedName>
    <definedName name="TT_PROD_UM2">'Resumo Falhas D+N'!$AC$8</definedName>
    <definedName name="TT_PROD_UM3">'Resumo Falhas D+N'!$AC$13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7" i="17" l="1"/>
  <c r="B27" i="14"/>
  <c r="B27" i="1"/>
  <c r="G63" i="16" l="1"/>
  <c r="Y65" i="16"/>
  <c r="AS1" i="1" l="1"/>
  <c r="M19" i="14" l="1"/>
  <c r="N19" i="14"/>
  <c r="O19" i="14"/>
  <c r="D13" i="10" l="1" a="1"/>
  <c r="D13" i="10" s="1"/>
  <c r="E13" i="10" a="1"/>
  <c r="E13" i="10" s="1"/>
  <c r="F13" i="10" a="1"/>
  <c r="F13" i="10" s="1"/>
  <c r="G13" i="10" a="1"/>
  <c r="G13" i="10" s="1"/>
  <c r="H13" i="10" a="1"/>
  <c r="H13" i="10" s="1"/>
  <c r="I13" i="10" a="1"/>
  <c r="I13" i="10" s="1"/>
  <c r="L13" i="10" a="1"/>
  <c r="L13" i="10" s="1"/>
  <c r="M13" i="10" a="1"/>
  <c r="M13" i="10" s="1"/>
  <c r="N13" i="10" a="1"/>
  <c r="N13" i="10" s="1"/>
  <c r="O13" i="10" a="1"/>
  <c r="O13" i="10" s="1"/>
  <c r="P13" i="10" a="1"/>
  <c r="P13" i="10" s="1"/>
  <c r="Q13" i="10" a="1"/>
  <c r="Q13" i="10" s="1"/>
  <c r="U13" i="10" a="1"/>
  <c r="U13" i="10" s="1"/>
  <c r="V13" i="10" a="1"/>
  <c r="V13" i="10" s="1"/>
  <c r="W13" i="10" a="1"/>
  <c r="W13" i="10" s="1"/>
  <c r="X13" i="10" a="1"/>
  <c r="X13" i="10" s="1"/>
  <c r="Y13" i="10" a="1"/>
  <c r="Y13" i="10" s="1"/>
  <c r="D14" i="10" a="1"/>
  <c r="D14" i="10" s="1"/>
  <c r="E14" i="10" a="1"/>
  <c r="E14" i="10" s="1"/>
  <c r="F14" i="10" a="1"/>
  <c r="F14" i="10" s="1"/>
  <c r="G14" i="10" a="1"/>
  <c r="G14" i="10" s="1"/>
  <c r="H14" i="10" a="1"/>
  <c r="H14" i="10" s="1"/>
  <c r="I14" i="10" a="1"/>
  <c r="I14" i="10" s="1"/>
  <c r="L14" i="10" a="1"/>
  <c r="L14" i="10" s="1"/>
  <c r="M14" i="10" a="1"/>
  <c r="M14" i="10" s="1"/>
  <c r="N14" i="10" a="1"/>
  <c r="N14" i="10" s="1"/>
  <c r="O14" i="10" a="1"/>
  <c r="O14" i="10" s="1"/>
  <c r="P14" i="10" a="1"/>
  <c r="P14" i="10" s="1"/>
  <c r="Q14" i="10" a="1"/>
  <c r="Q14" i="10" s="1"/>
  <c r="U14" i="10" a="1"/>
  <c r="U14" i="10" s="1"/>
  <c r="V14" i="10" a="1"/>
  <c r="V14" i="10" s="1"/>
  <c r="W14" i="10" a="1"/>
  <c r="W14" i="10" s="1"/>
  <c r="X14" i="10" a="1"/>
  <c r="X14" i="10" s="1"/>
  <c r="Y14" i="10" a="1"/>
  <c r="Y14" i="10" s="1"/>
  <c r="T14" i="10" l="1" a="1"/>
  <c r="T14" i="10" s="1"/>
  <c r="T13" i="10" a="1"/>
  <c r="T13" i="10" s="1"/>
  <c r="J13" i="10"/>
  <c r="K13" i="10" s="1"/>
  <c r="Z14" i="10"/>
  <c r="J14" i="10"/>
  <c r="K14" i="10" s="1"/>
  <c r="Z13" i="10"/>
  <c r="R14" i="10"/>
  <c r="S14" i="10" s="1"/>
  <c r="R13" i="10"/>
  <c r="S13" i="10" s="1"/>
  <c r="L19" i="1"/>
  <c r="AA14" i="10" l="1"/>
  <c r="AA13" i="10"/>
  <c r="C19" i="14"/>
  <c r="D19" i="14"/>
  <c r="E19" i="14"/>
  <c r="F19" i="14"/>
  <c r="G19" i="14"/>
  <c r="H19" i="14"/>
  <c r="I19" i="14"/>
  <c r="J19" i="14"/>
  <c r="K19" i="14"/>
  <c r="L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B19" i="14"/>
  <c r="B20" i="14" s="1"/>
  <c r="AS1" i="17" l="1"/>
  <c r="AS1" i="14"/>
  <c r="Y64" i="16"/>
  <c r="I64" i="16"/>
  <c r="G64" i="16"/>
  <c r="Y63" i="16" l="1"/>
  <c r="D40" i="10" l="1" a="1"/>
  <c r="D40" i="10" s="1"/>
  <c r="E40" i="10" a="1"/>
  <c r="E40" i="10" s="1"/>
  <c r="F40" i="10" a="1"/>
  <c r="F40" i="10" s="1"/>
  <c r="G40" i="10" a="1"/>
  <c r="G40" i="10" s="1"/>
  <c r="H40" i="10" a="1"/>
  <c r="H40" i="10" s="1"/>
  <c r="I40" i="10" a="1"/>
  <c r="I40" i="10" s="1"/>
  <c r="L40" i="10" a="1"/>
  <c r="L40" i="10" s="1"/>
  <c r="M40" i="10" a="1"/>
  <c r="M40" i="10" s="1"/>
  <c r="N40" i="10" a="1"/>
  <c r="N40" i="10" s="1"/>
  <c r="O40" i="10" a="1"/>
  <c r="O40" i="10" s="1"/>
  <c r="P40" i="10" a="1"/>
  <c r="P40" i="10" s="1"/>
  <c r="Q40" i="10" a="1"/>
  <c r="Q40" i="10" s="1"/>
  <c r="U40" i="10" a="1"/>
  <c r="U40" i="10" s="1"/>
  <c r="V40" i="10" a="1"/>
  <c r="V40" i="10" s="1"/>
  <c r="W40" i="10" a="1"/>
  <c r="W40" i="10" s="1"/>
  <c r="X40" i="10" a="1"/>
  <c r="X40" i="10" s="1"/>
  <c r="Y40" i="10" a="1"/>
  <c r="Y40" i="10" s="1"/>
  <c r="D41" i="10" a="1"/>
  <c r="D41" i="10" s="1"/>
  <c r="E41" i="10" a="1"/>
  <c r="E41" i="10" s="1"/>
  <c r="F41" i="10" a="1"/>
  <c r="F41" i="10" s="1"/>
  <c r="G41" i="10" a="1"/>
  <c r="G41" i="10" s="1"/>
  <c r="H41" i="10" a="1"/>
  <c r="H41" i="10" s="1"/>
  <c r="I41" i="10" a="1"/>
  <c r="I41" i="10" s="1"/>
  <c r="L41" i="10" a="1"/>
  <c r="L41" i="10" s="1"/>
  <c r="M41" i="10" a="1"/>
  <c r="M41" i="10" s="1"/>
  <c r="N41" i="10" a="1"/>
  <c r="N41" i="10" s="1"/>
  <c r="O41" i="10" a="1"/>
  <c r="O41" i="10" s="1"/>
  <c r="P41" i="10" a="1"/>
  <c r="P41" i="10" s="1"/>
  <c r="Q41" i="10" a="1"/>
  <c r="Q41" i="10" s="1"/>
  <c r="U41" i="10" a="1"/>
  <c r="U41" i="10" s="1"/>
  <c r="V41" i="10" a="1"/>
  <c r="V41" i="10" s="1"/>
  <c r="W41" i="10" a="1"/>
  <c r="W41" i="10" s="1"/>
  <c r="X41" i="10" a="1"/>
  <c r="X41" i="10" s="1"/>
  <c r="Y41" i="10" a="1"/>
  <c r="Y41" i="10" s="1"/>
  <c r="D42" i="10" a="1"/>
  <c r="D42" i="10" s="1"/>
  <c r="E42" i="10" a="1"/>
  <c r="E42" i="10" s="1"/>
  <c r="F42" i="10" a="1"/>
  <c r="F42" i="10" s="1"/>
  <c r="G42" i="10" a="1"/>
  <c r="G42" i="10" s="1"/>
  <c r="H42" i="10" a="1"/>
  <c r="H42" i="10" s="1"/>
  <c r="I42" i="10" a="1"/>
  <c r="I42" i="10" s="1"/>
  <c r="L42" i="10" a="1"/>
  <c r="L42" i="10" s="1"/>
  <c r="M42" i="10" a="1"/>
  <c r="M42" i="10" s="1"/>
  <c r="N42" i="10" a="1"/>
  <c r="N42" i="10" s="1"/>
  <c r="O42" i="10" a="1"/>
  <c r="O42" i="10" s="1"/>
  <c r="P42" i="10" a="1"/>
  <c r="P42" i="10" s="1"/>
  <c r="Q42" i="10" a="1"/>
  <c r="Q42" i="10" s="1"/>
  <c r="U42" i="10" a="1"/>
  <c r="U42" i="10" s="1"/>
  <c r="V42" i="10" a="1"/>
  <c r="V42" i="10" s="1"/>
  <c r="W42" i="10" a="1"/>
  <c r="W42" i="10" s="1"/>
  <c r="X42" i="10" a="1"/>
  <c r="X42" i="10" s="1"/>
  <c r="Y42" i="10" a="1"/>
  <c r="Y42" i="10" s="1"/>
  <c r="D23" i="10" a="1"/>
  <c r="D23" i="10" s="1"/>
  <c r="E23" i="10" a="1"/>
  <c r="E23" i="10" s="1"/>
  <c r="F23" i="10" a="1"/>
  <c r="F23" i="10" s="1"/>
  <c r="G23" i="10" a="1"/>
  <c r="G23" i="10" s="1"/>
  <c r="H23" i="10" a="1"/>
  <c r="H23" i="10" s="1"/>
  <c r="I23" i="10" a="1"/>
  <c r="I23" i="10" s="1"/>
  <c r="L23" i="10" a="1"/>
  <c r="L23" i="10" s="1"/>
  <c r="M23" i="10" a="1"/>
  <c r="M23" i="10" s="1"/>
  <c r="N23" i="10" a="1"/>
  <c r="N23" i="10" s="1"/>
  <c r="O23" i="10" a="1"/>
  <c r="O23" i="10" s="1"/>
  <c r="P23" i="10" a="1"/>
  <c r="P23" i="10" s="1"/>
  <c r="Q23" i="10" a="1"/>
  <c r="Q23" i="10" s="1"/>
  <c r="U23" i="10" a="1"/>
  <c r="U23" i="10" s="1"/>
  <c r="V23" i="10" a="1"/>
  <c r="V23" i="10" s="1"/>
  <c r="W23" i="10" a="1"/>
  <c r="W23" i="10" s="1"/>
  <c r="X23" i="10" a="1"/>
  <c r="X23" i="10" s="1"/>
  <c r="Y23" i="10" a="1"/>
  <c r="Y23" i="10" s="1"/>
  <c r="D24" i="10" a="1"/>
  <c r="D24" i="10" s="1"/>
  <c r="E24" i="10" a="1"/>
  <c r="E24" i="10" s="1"/>
  <c r="F24" i="10" a="1"/>
  <c r="F24" i="10" s="1"/>
  <c r="G24" i="10" a="1"/>
  <c r="G24" i="10" s="1"/>
  <c r="H24" i="10" a="1"/>
  <c r="H24" i="10" s="1"/>
  <c r="I24" i="10" a="1"/>
  <c r="I24" i="10" s="1"/>
  <c r="L24" i="10" a="1"/>
  <c r="L24" i="10" s="1"/>
  <c r="M24" i="10" a="1"/>
  <c r="M24" i="10" s="1"/>
  <c r="N24" i="10" a="1"/>
  <c r="N24" i="10" s="1"/>
  <c r="O24" i="10" a="1"/>
  <c r="O24" i="10" s="1"/>
  <c r="P24" i="10" a="1"/>
  <c r="P24" i="10" s="1"/>
  <c r="Q24" i="10" a="1"/>
  <c r="Q24" i="10" s="1"/>
  <c r="U24" i="10" a="1"/>
  <c r="U24" i="10" s="1"/>
  <c r="V24" i="10" a="1"/>
  <c r="V24" i="10" s="1"/>
  <c r="W24" i="10" a="1"/>
  <c r="W24" i="10" s="1"/>
  <c r="X24" i="10" a="1"/>
  <c r="X24" i="10" s="1"/>
  <c r="Y24" i="10" a="1"/>
  <c r="Y24" i="10" s="1"/>
  <c r="D25" i="10" a="1"/>
  <c r="D25" i="10" s="1"/>
  <c r="E25" i="10" a="1"/>
  <c r="E25" i="10" s="1"/>
  <c r="F25" i="10" a="1"/>
  <c r="F25" i="10" s="1"/>
  <c r="G25" i="10" a="1"/>
  <c r="G25" i="10" s="1"/>
  <c r="H25" i="10" a="1"/>
  <c r="H25" i="10" s="1"/>
  <c r="I25" i="10" a="1"/>
  <c r="I25" i="10" s="1"/>
  <c r="L25" i="10" a="1"/>
  <c r="L25" i="10" s="1"/>
  <c r="M25" i="10" a="1"/>
  <c r="M25" i="10" s="1"/>
  <c r="N25" i="10" a="1"/>
  <c r="N25" i="10" s="1"/>
  <c r="O25" i="10" a="1"/>
  <c r="O25" i="10" s="1"/>
  <c r="P25" i="10" a="1"/>
  <c r="P25" i="10" s="1"/>
  <c r="Q25" i="10" a="1"/>
  <c r="Q25" i="10" s="1"/>
  <c r="U25" i="10" a="1"/>
  <c r="U25" i="10" s="1"/>
  <c r="V25" i="10" a="1"/>
  <c r="V25" i="10" s="1"/>
  <c r="W25" i="10" a="1"/>
  <c r="W25" i="10" s="1"/>
  <c r="X25" i="10" a="1"/>
  <c r="X25" i="10" s="1"/>
  <c r="Y25" i="10" a="1"/>
  <c r="Y25" i="10" s="1"/>
  <c r="T24" i="10" l="1" a="1"/>
  <c r="T24" i="10" s="1"/>
  <c r="T23" i="10" a="1"/>
  <c r="T23" i="10" s="1"/>
  <c r="T41" i="10" a="1"/>
  <c r="T41" i="10" s="1"/>
  <c r="T40" i="10" a="1"/>
  <c r="T40" i="10" s="1"/>
  <c r="R40" i="10"/>
  <c r="S40" i="10" s="1"/>
  <c r="T42" i="10" a="1"/>
  <c r="T42" i="10" s="1"/>
  <c r="T25" i="10" a="1"/>
  <c r="T25" i="10" s="1"/>
  <c r="J40" i="10"/>
  <c r="K40" i="10" s="1"/>
  <c r="Z41" i="10"/>
  <c r="J42" i="10"/>
  <c r="K42" i="10" s="1"/>
  <c r="J41" i="10"/>
  <c r="K41" i="10" s="1"/>
  <c r="Z40" i="10"/>
  <c r="R42" i="10"/>
  <c r="S42" i="10" s="1"/>
  <c r="R41" i="10"/>
  <c r="S41" i="10" s="1"/>
  <c r="Z42" i="10"/>
  <c r="R23" i="10"/>
  <c r="S23" i="10" s="1"/>
  <c r="Z24" i="10"/>
  <c r="J23" i="10"/>
  <c r="K23" i="10" s="1"/>
  <c r="Z23" i="10"/>
  <c r="J25" i="10"/>
  <c r="K25" i="10" s="1"/>
  <c r="Z25" i="10"/>
  <c r="J24" i="10"/>
  <c r="K24" i="10" s="1"/>
  <c r="R25" i="10"/>
  <c r="S25" i="10" s="1"/>
  <c r="R24" i="10"/>
  <c r="S24" i="10" s="1"/>
  <c r="AA23" i="10" l="1"/>
  <c r="AA24" i="10"/>
  <c r="AA41" i="10"/>
  <c r="AA40" i="10"/>
  <c r="AA25" i="10"/>
  <c r="AA42" i="10"/>
  <c r="AF19" i="1"/>
  <c r="AF20" i="1" s="1"/>
  <c r="AG19" i="1"/>
  <c r="AG20" i="1" s="1"/>
  <c r="AH19" i="1"/>
  <c r="AH20" i="1" s="1"/>
  <c r="AI19" i="1"/>
  <c r="AI20" i="1" s="1"/>
  <c r="AJ19" i="1"/>
  <c r="AJ20" i="1" s="1"/>
  <c r="AK19" i="1"/>
  <c r="AK20" i="1" s="1"/>
  <c r="C19" i="1"/>
  <c r="C20" i="1" s="1"/>
  <c r="D19" i="1"/>
  <c r="D20" i="1" s="1"/>
  <c r="E19" i="1"/>
  <c r="E20" i="1" s="1"/>
  <c r="F19" i="1"/>
  <c r="F20" i="1" s="1"/>
  <c r="G19" i="1"/>
  <c r="G20" i="1" s="1"/>
  <c r="H19" i="1"/>
  <c r="H20" i="1" s="1"/>
  <c r="AL20" i="1" l="1"/>
  <c r="AM20" i="1"/>
  <c r="AN20" i="1"/>
  <c r="AO20" i="1"/>
  <c r="AP20" i="1"/>
  <c r="AQ20" i="1"/>
  <c r="AR20" i="1"/>
  <c r="AS20" i="1"/>
  <c r="AT19" i="1" l="1"/>
  <c r="AT20" i="1" s="1"/>
  <c r="Y55" i="10" l="1"/>
  <c r="X64" i="16" s="1"/>
  <c r="X55" i="10"/>
  <c r="W64" i="16" s="1"/>
  <c r="W55" i="10"/>
  <c r="V64" i="16" s="1"/>
  <c r="V55" i="10"/>
  <c r="U64" i="16" s="1"/>
  <c r="U55" i="10"/>
  <c r="T64" i="16" s="1"/>
  <c r="Y53" i="10" l="1" a="1"/>
  <c r="Y53" i="10" s="1"/>
  <c r="X53" i="10" a="1"/>
  <c r="X53" i="10" s="1"/>
  <c r="W53" i="10" a="1"/>
  <c r="W53" i="10" s="1"/>
  <c r="V53" i="10" a="1"/>
  <c r="V53" i="10" s="1"/>
  <c r="U53" i="10" a="1"/>
  <c r="U53" i="10" s="1"/>
  <c r="Y52" i="10" a="1"/>
  <c r="Y52" i="10" s="1"/>
  <c r="X52" i="10" a="1"/>
  <c r="X52" i="10" s="1"/>
  <c r="W52" i="10" a="1"/>
  <c r="W52" i="10" s="1"/>
  <c r="V52" i="10" a="1"/>
  <c r="V52" i="10" s="1"/>
  <c r="U52" i="10" a="1"/>
  <c r="U52" i="10" s="1"/>
  <c r="Y51" i="10" a="1"/>
  <c r="Y51" i="10" s="1"/>
  <c r="X51" i="10" a="1"/>
  <c r="X51" i="10" s="1"/>
  <c r="W51" i="10" a="1"/>
  <c r="W51" i="10" s="1"/>
  <c r="V51" i="10" a="1"/>
  <c r="V51" i="10" s="1"/>
  <c r="U51" i="10" a="1"/>
  <c r="U51" i="10" s="1"/>
  <c r="Y50" i="10" a="1"/>
  <c r="Y50" i="10" s="1"/>
  <c r="X50" i="10" a="1"/>
  <c r="X50" i="10" s="1"/>
  <c r="W50" i="10" a="1"/>
  <c r="W50" i="10" s="1"/>
  <c r="V50" i="10" a="1"/>
  <c r="V50" i="10" s="1"/>
  <c r="U50" i="10" a="1"/>
  <c r="U50" i="10" s="1"/>
  <c r="Y49" i="10" a="1"/>
  <c r="Y49" i="10" s="1"/>
  <c r="X49" i="10" a="1"/>
  <c r="X49" i="10" s="1"/>
  <c r="W49" i="10" a="1"/>
  <c r="W49" i="10" s="1"/>
  <c r="V49" i="10" a="1"/>
  <c r="V49" i="10" s="1"/>
  <c r="U49" i="10" a="1"/>
  <c r="U49" i="10" s="1"/>
  <c r="Y48" i="10" a="1"/>
  <c r="Y48" i="10" s="1"/>
  <c r="X48" i="10" a="1"/>
  <c r="X48" i="10" s="1"/>
  <c r="W48" i="10" a="1"/>
  <c r="W48" i="10" s="1"/>
  <c r="V48" i="10" a="1"/>
  <c r="V48" i="10" s="1"/>
  <c r="U48" i="10" a="1"/>
  <c r="U48" i="10" s="1"/>
  <c r="Y47" i="10" a="1"/>
  <c r="Y47" i="10" s="1"/>
  <c r="X47" i="10" a="1"/>
  <c r="X47" i="10" s="1"/>
  <c r="W47" i="10" a="1"/>
  <c r="W47" i="10" s="1"/>
  <c r="V47" i="10" a="1"/>
  <c r="V47" i="10" s="1"/>
  <c r="U47" i="10" a="1"/>
  <c r="U47" i="10" s="1"/>
  <c r="Y46" i="10" a="1"/>
  <c r="Y46" i="10" s="1"/>
  <c r="X46" i="10" a="1"/>
  <c r="X46" i="10" s="1"/>
  <c r="W46" i="10" a="1"/>
  <c r="W46" i="10" s="1"/>
  <c r="V46" i="10" a="1"/>
  <c r="V46" i="10" s="1"/>
  <c r="U46" i="10" a="1"/>
  <c r="U46" i="10" s="1"/>
  <c r="Y45" i="10" a="1"/>
  <c r="Y45" i="10" s="1"/>
  <c r="X45" i="10" a="1"/>
  <c r="X45" i="10" s="1"/>
  <c r="W45" i="10" a="1"/>
  <c r="W45" i="10" s="1"/>
  <c r="V45" i="10" a="1"/>
  <c r="V45" i="10" s="1"/>
  <c r="U45" i="10" a="1"/>
  <c r="U45" i="10" s="1"/>
  <c r="Y44" i="10" a="1"/>
  <c r="Y44" i="10" s="1"/>
  <c r="X44" i="10" a="1"/>
  <c r="X44" i="10" s="1"/>
  <c r="W44" i="10" a="1"/>
  <c r="W44" i="10" s="1"/>
  <c r="V44" i="10" a="1"/>
  <c r="V44" i="10" s="1"/>
  <c r="U44" i="10" a="1"/>
  <c r="U44" i="10" s="1"/>
  <c r="Y43" i="10" a="1"/>
  <c r="Y43" i="10" s="1"/>
  <c r="X43" i="10" a="1"/>
  <c r="X43" i="10" s="1"/>
  <c r="W43" i="10" a="1"/>
  <c r="W43" i="10" s="1"/>
  <c r="V43" i="10" a="1"/>
  <c r="V43" i="10" s="1"/>
  <c r="U43" i="10" a="1"/>
  <c r="U43" i="10" s="1"/>
  <c r="Y39" i="10" a="1"/>
  <c r="Y39" i="10" s="1"/>
  <c r="X39" i="10" a="1"/>
  <c r="X39" i="10" s="1"/>
  <c r="W39" i="10" a="1"/>
  <c r="W39" i="10" s="1"/>
  <c r="V39" i="10" a="1"/>
  <c r="V39" i="10" s="1"/>
  <c r="U39" i="10" a="1"/>
  <c r="U39" i="10" s="1"/>
  <c r="Y38" i="10" a="1"/>
  <c r="Y38" i="10" s="1"/>
  <c r="X38" i="10" a="1"/>
  <c r="X38" i="10" s="1"/>
  <c r="W38" i="10" a="1"/>
  <c r="W38" i="10" s="1"/>
  <c r="V38" i="10" a="1"/>
  <c r="V38" i="10" s="1"/>
  <c r="U38" i="10" a="1"/>
  <c r="U38" i="10" s="1"/>
  <c r="Y37" i="10" a="1"/>
  <c r="Y37" i="10" s="1"/>
  <c r="X37" i="10" a="1"/>
  <c r="X37" i="10" s="1"/>
  <c r="W37" i="10" a="1"/>
  <c r="W37" i="10" s="1"/>
  <c r="V37" i="10" a="1"/>
  <c r="V37" i="10" s="1"/>
  <c r="U37" i="10" a="1"/>
  <c r="U37" i="10" s="1"/>
  <c r="Y36" i="10" a="1"/>
  <c r="Y36" i="10" s="1"/>
  <c r="X36" i="10" a="1"/>
  <c r="X36" i="10" s="1"/>
  <c r="W36" i="10" a="1"/>
  <c r="W36" i="10" s="1"/>
  <c r="V36" i="10" a="1"/>
  <c r="V36" i="10" s="1"/>
  <c r="U36" i="10" a="1"/>
  <c r="U36" i="10" s="1"/>
  <c r="Y35" i="10" a="1"/>
  <c r="Y35" i="10" s="1"/>
  <c r="X35" i="10" a="1"/>
  <c r="X35" i="10" s="1"/>
  <c r="W35" i="10" a="1"/>
  <c r="W35" i="10" s="1"/>
  <c r="V35" i="10" a="1"/>
  <c r="V35" i="10" s="1"/>
  <c r="U35" i="10" a="1"/>
  <c r="U35" i="10" s="1"/>
  <c r="Y34" i="10" a="1"/>
  <c r="Y34" i="10" s="1"/>
  <c r="X34" i="10" a="1"/>
  <c r="X34" i="10" s="1"/>
  <c r="W34" i="10" a="1"/>
  <c r="W34" i="10" s="1"/>
  <c r="V34" i="10" a="1"/>
  <c r="V34" i="10" s="1"/>
  <c r="U34" i="10" a="1"/>
  <c r="U34" i="10" s="1"/>
  <c r="Y33" i="10" a="1"/>
  <c r="Y33" i="10" s="1"/>
  <c r="X33" i="10" a="1"/>
  <c r="X33" i="10" s="1"/>
  <c r="W33" i="10" a="1"/>
  <c r="W33" i="10" s="1"/>
  <c r="V33" i="10" a="1"/>
  <c r="V33" i="10" s="1"/>
  <c r="U33" i="10" a="1"/>
  <c r="U33" i="10" s="1"/>
  <c r="Y32" i="10" a="1"/>
  <c r="Y32" i="10" s="1"/>
  <c r="X32" i="10" a="1"/>
  <c r="X32" i="10" s="1"/>
  <c r="W32" i="10" a="1"/>
  <c r="W32" i="10" s="1"/>
  <c r="V32" i="10" a="1"/>
  <c r="V32" i="10" s="1"/>
  <c r="U32" i="10" a="1"/>
  <c r="U32" i="10" s="1"/>
  <c r="Y31" i="10" a="1"/>
  <c r="Y31" i="10" s="1"/>
  <c r="X31" i="10" a="1"/>
  <c r="X31" i="10" s="1"/>
  <c r="W31" i="10" a="1"/>
  <c r="W31" i="10" s="1"/>
  <c r="V31" i="10" a="1"/>
  <c r="V31" i="10" s="1"/>
  <c r="U31" i="10" a="1"/>
  <c r="U31" i="10" s="1"/>
  <c r="Y30" i="10" a="1"/>
  <c r="Y30" i="10" s="1"/>
  <c r="X30" i="10" a="1"/>
  <c r="X30" i="10" s="1"/>
  <c r="W30" i="10" a="1"/>
  <c r="W30" i="10" s="1"/>
  <c r="V30" i="10" a="1"/>
  <c r="V30" i="10" s="1"/>
  <c r="U30" i="10" a="1"/>
  <c r="U30" i="10" s="1"/>
  <c r="Y29" i="10" a="1"/>
  <c r="Y29" i="10" s="1"/>
  <c r="X29" i="10" a="1"/>
  <c r="X29" i="10" s="1"/>
  <c r="W29" i="10" a="1"/>
  <c r="W29" i="10" s="1"/>
  <c r="V29" i="10" a="1"/>
  <c r="V29" i="10" s="1"/>
  <c r="U29" i="10" a="1"/>
  <c r="U29" i="10" s="1"/>
  <c r="Y28" i="10" a="1"/>
  <c r="Y28" i="10" s="1"/>
  <c r="X28" i="10" a="1"/>
  <c r="X28" i="10" s="1"/>
  <c r="W28" i="10" a="1"/>
  <c r="W28" i="10" s="1"/>
  <c r="V28" i="10" a="1"/>
  <c r="V28" i="10" s="1"/>
  <c r="U28" i="10" a="1"/>
  <c r="U28" i="10" s="1"/>
  <c r="Y27" i="10" a="1"/>
  <c r="Y27" i="10" s="1"/>
  <c r="X27" i="10" a="1"/>
  <c r="X27" i="10" s="1"/>
  <c r="W27" i="10" a="1"/>
  <c r="W27" i="10" s="1"/>
  <c r="V27" i="10" a="1"/>
  <c r="V27" i="10" s="1"/>
  <c r="U27" i="10" a="1"/>
  <c r="U27" i="10" s="1"/>
  <c r="Y26" i="10" a="1"/>
  <c r="Y26" i="10" s="1"/>
  <c r="X26" i="10" a="1"/>
  <c r="X26" i="10" s="1"/>
  <c r="W26" i="10" a="1"/>
  <c r="W26" i="10" s="1"/>
  <c r="V26" i="10" a="1"/>
  <c r="V26" i="10" s="1"/>
  <c r="U26" i="10" a="1"/>
  <c r="U26" i="10" s="1"/>
  <c r="Y22" i="10" a="1"/>
  <c r="Y22" i="10" s="1"/>
  <c r="X22" i="10" a="1"/>
  <c r="X22" i="10" s="1"/>
  <c r="W22" i="10" a="1"/>
  <c r="W22" i="10" s="1"/>
  <c r="V22" i="10" a="1"/>
  <c r="V22" i="10" s="1"/>
  <c r="U22" i="10" a="1"/>
  <c r="U22" i="10" s="1"/>
  <c r="Y21" i="10" a="1"/>
  <c r="Y21" i="10" s="1"/>
  <c r="X21" i="10" a="1"/>
  <c r="X21" i="10" s="1"/>
  <c r="W21" i="10" a="1"/>
  <c r="W21" i="10" s="1"/>
  <c r="V21" i="10" a="1"/>
  <c r="V21" i="10" s="1"/>
  <c r="U21" i="10" a="1"/>
  <c r="U21" i="10" s="1"/>
  <c r="Y20" i="10" a="1"/>
  <c r="Y20" i="10" s="1"/>
  <c r="X20" i="10" a="1"/>
  <c r="X20" i="10" s="1"/>
  <c r="W20" i="10" a="1"/>
  <c r="W20" i="10" s="1"/>
  <c r="V20" i="10" a="1"/>
  <c r="V20" i="10" s="1"/>
  <c r="U20" i="10" a="1"/>
  <c r="U20" i="10" s="1"/>
  <c r="Y19" i="10" a="1"/>
  <c r="Y19" i="10" s="1"/>
  <c r="X19" i="10" a="1"/>
  <c r="X19" i="10" s="1"/>
  <c r="W19" i="10" a="1"/>
  <c r="W19" i="10" s="1"/>
  <c r="V19" i="10" a="1"/>
  <c r="V19" i="10" s="1"/>
  <c r="U19" i="10" a="1"/>
  <c r="U19" i="10" s="1"/>
  <c r="Y18" i="10" a="1"/>
  <c r="Y18" i="10" s="1"/>
  <c r="X18" i="10" a="1"/>
  <c r="X18" i="10" s="1"/>
  <c r="W18" i="10" a="1"/>
  <c r="W18" i="10" s="1"/>
  <c r="V18" i="10" a="1"/>
  <c r="V18" i="10" s="1"/>
  <c r="U18" i="10" a="1"/>
  <c r="U18" i="10" s="1"/>
  <c r="Y17" i="10" a="1"/>
  <c r="Y17" i="10" s="1"/>
  <c r="X17" i="10" a="1"/>
  <c r="X17" i="10" s="1"/>
  <c r="W17" i="10" a="1"/>
  <c r="W17" i="10" s="1"/>
  <c r="V17" i="10" a="1"/>
  <c r="V17" i="10" s="1"/>
  <c r="U17" i="10" a="1"/>
  <c r="U17" i="10" s="1"/>
  <c r="Y16" i="10" a="1"/>
  <c r="Y16" i="10" s="1"/>
  <c r="X16" i="10" a="1"/>
  <c r="X16" i="10" s="1"/>
  <c r="W16" i="10" a="1"/>
  <c r="W16" i="10" s="1"/>
  <c r="V16" i="10" a="1"/>
  <c r="V16" i="10" s="1"/>
  <c r="U16" i="10" a="1"/>
  <c r="U16" i="10" s="1"/>
  <c r="Y15" i="10" a="1"/>
  <c r="Y15" i="10" s="1"/>
  <c r="X15" i="10" a="1"/>
  <c r="X15" i="10" s="1"/>
  <c r="W15" i="10" a="1"/>
  <c r="W15" i="10" s="1"/>
  <c r="V15" i="10" a="1"/>
  <c r="V15" i="10" s="1"/>
  <c r="U15" i="10" a="1"/>
  <c r="U15" i="10" s="1"/>
  <c r="Y12" i="10" a="1"/>
  <c r="Y12" i="10" s="1"/>
  <c r="X12" i="10" a="1"/>
  <c r="X12" i="10" s="1"/>
  <c r="W12" i="10" a="1"/>
  <c r="W12" i="10" s="1"/>
  <c r="V12" i="10" a="1"/>
  <c r="V12" i="10" s="1"/>
  <c r="U12" i="10" a="1"/>
  <c r="U12" i="10" s="1"/>
  <c r="Y11" i="10" a="1"/>
  <c r="Y11" i="10" s="1"/>
  <c r="X11" i="10" a="1"/>
  <c r="X11" i="10" s="1"/>
  <c r="W11" i="10" a="1"/>
  <c r="W11" i="10" s="1"/>
  <c r="V11" i="10" a="1"/>
  <c r="V11" i="10" s="1"/>
  <c r="U11" i="10" a="1"/>
  <c r="U11" i="10" s="1"/>
  <c r="Y10" i="10" a="1"/>
  <c r="Y10" i="10" s="1"/>
  <c r="X10" i="10" a="1"/>
  <c r="X10" i="10" s="1"/>
  <c r="W10" i="10" a="1"/>
  <c r="W10" i="10" s="1"/>
  <c r="V10" i="10" a="1"/>
  <c r="V10" i="10" s="1"/>
  <c r="U10" i="10" a="1"/>
  <c r="U10" i="10" s="1"/>
  <c r="Y9" i="10" a="1"/>
  <c r="Y9" i="10" s="1"/>
  <c r="X9" i="10" a="1"/>
  <c r="X9" i="10" s="1"/>
  <c r="W9" i="10" a="1"/>
  <c r="W9" i="10" s="1"/>
  <c r="V9" i="10" a="1"/>
  <c r="V9" i="10" s="1"/>
  <c r="U9" i="10" a="1"/>
  <c r="U9" i="10" s="1"/>
  <c r="Y8" i="10" a="1"/>
  <c r="Y8" i="10" s="1"/>
  <c r="X8" i="10" a="1"/>
  <c r="X8" i="10" s="1"/>
  <c r="W8" i="10" a="1"/>
  <c r="W8" i="10" s="1"/>
  <c r="V8" i="10" a="1"/>
  <c r="V8" i="10" s="1"/>
  <c r="U8" i="10" a="1"/>
  <c r="U8" i="10" s="1"/>
  <c r="Y7" i="10" a="1"/>
  <c r="Y7" i="10" s="1"/>
  <c r="X7" i="10" a="1"/>
  <c r="X7" i="10" s="1"/>
  <c r="W7" i="10" a="1"/>
  <c r="W7" i="10" s="1"/>
  <c r="V7" i="10" a="1"/>
  <c r="V7" i="10" s="1"/>
  <c r="U7" i="10" a="1"/>
  <c r="U7" i="10" s="1"/>
  <c r="Y6" i="10" a="1"/>
  <c r="Y6" i="10" s="1"/>
  <c r="X6" i="10" a="1"/>
  <c r="X6" i="10" s="1"/>
  <c r="W6" i="10" a="1"/>
  <c r="W6" i="10" s="1"/>
  <c r="V6" i="10" a="1"/>
  <c r="V6" i="10" s="1"/>
  <c r="U6" i="10" a="1"/>
  <c r="U6" i="10" s="1"/>
  <c r="Y5" i="10" a="1"/>
  <c r="Y5" i="10" s="1"/>
  <c r="X5" i="10" a="1"/>
  <c r="X5" i="10" s="1"/>
  <c r="W5" i="10" a="1"/>
  <c r="W5" i="10" s="1"/>
  <c r="V5" i="10" a="1"/>
  <c r="V5" i="10" s="1"/>
  <c r="U5" i="10" a="1"/>
  <c r="U5" i="10" s="1"/>
  <c r="Y4" i="10" a="1"/>
  <c r="Y4" i="10" s="1"/>
  <c r="X4" i="10" a="1"/>
  <c r="X4" i="10" s="1"/>
  <c r="W4" i="10" a="1"/>
  <c r="W4" i="10" s="1"/>
  <c r="V4" i="10" a="1"/>
  <c r="V4" i="10" s="1"/>
  <c r="U4" i="10" a="1"/>
  <c r="U4" i="10" s="1"/>
  <c r="Y3" i="10" a="1"/>
  <c r="Y3" i="10" s="1"/>
  <c r="X3" i="10" a="1"/>
  <c r="X3" i="10" s="1"/>
  <c r="W3" i="10" a="1"/>
  <c r="W3" i="10" s="1"/>
  <c r="V3" i="10" a="1"/>
  <c r="V3" i="10" s="1"/>
  <c r="U3" i="10" a="1"/>
  <c r="U3" i="10" s="1"/>
  <c r="A21" i="17"/>
  <c r="AN20" i="17"/>
  <c r="AM20" i="17"/>
  <c r="AL20" i="17"/>
  <c r="AT19" i="17"/>
  <c r="AT20" i="17" s="1"/>
  <c r="AS19" i="17"/>
  <c r="AS20" i="17" s="1"/>
  <c r="AR19" i="17"/>
  <c r="AR20" i="17" s="1"/>
  <c r="AQ19" i="17"/>
  <c r="AQ20" i="17" s="1"/>
  <c r="AP19" i="17"/>
  <c r="AP20" i="17" s="1"/>
  <c r="AO19" i="17"/>
  <c r="AO20" i="17" s="1"/>
  <c r="AK19" i="17"/>
  <c r="AK20" i="17" s="1"/>
  <c r="AJ19" i="17"/>
  <c r="AJ20" i="17" s="1"/>
  <c r="AI19" i="17"/>
  <c r="AI20" i="17" s="1"/>
  <c r="AH19" i="17"/>
  <c r="AH20" i="17" s="1"/>
  <c r="AG19" i="17"/>
  <c r="AG20" i="17" s="1"/>
  <c r="AF19" i="17"/>
  <c r="AF20" i="17" s="1"/>
  <c r="AE19" i="17"/>
  <c r="AE20" i="17" s="1"/>
  <c r="AD19" i="17"/>
  <c r="AD20" i="17" s="1"/>
  <c r="AC19" i="17"/>
  <c r="AC20" i="17" s="1"/>
  <c r="AB19" i="17"/>
  <c r="AB20" i="17" s="1"/>
  <c r="AA19" i="17"/>
  <c r="AA20" i="17" s="1"/>
  <c r="Z19" i="17"/>
  <c r="Z20" i="17" s="1"/>
  <c r="Y19" i="17"/>
  <c r="Y20" i="17" s="1"/>
  <c r="X19" i="17"/>
  <c r="X20" i="17" s="1"/>
  <c r="W19" i="17"/>
  <c r="W20" i="17" s="1"/>
  <c r="V19" i="17"/>
  <c r="V20" i="17" s="1"/>
  <c r="U19" i="17"/>
  <c r="U20" i="17" s="1"/>
  <c r="T19" i="17"/>
  <c r="T20" i="17" s="1"/>
  <c r="S19" i="17"/>
  <c r="S20" i="17" s="1"/>
  <c r="R19" i="17"/>
  <c r="R20" i="17" s="1"/>
  <c r="Q19" i="17"/>
  <c r="Q20" i="17" s="1"/>
  <c r="P19" i="17"/>
  <c r="P20" i="17" s="1"/>
  <c r="O19" i="17"/>
  <c r="O20" i="17" s="1"/>
  <c r="N19" i="17"/>
  <c r="N20" i="17" s="1"/>
  <c r="M19" i="17"/>
  <c r="M20" i="17" s="1"/>
  <c r="L19" i="17"/>
  <c r="L20" i="17" s="1"/>
  <c r="K19" i="17"/>
  <c r="K20" i="17" s="1"/>
  <c r="J19" i="17"/>
  <c r="J20" i="17" s="1"/>
  <c r="I19" i="17"/>
  <c r="I20" i="17" s="1"/>
  <c r="H19" i="17"/>
  <c r="H20" i="17" s="1"/>
  <c r="G19" i="17"/>
  <c r="G20" i="17" s="1"/>
  <c r="F19" i="17"/>
  <c r="F20" i="17" s="1"/>
  <c r="E19" i="17"/>
  <c r="E20" i="17" s="1"/>
  <c r="D19" i="17"/>
  <c r="D20" i="17" s="1"/>
  <c r="C19" i="17"/>
  <c r="C20" i="17" s="1"/>
  <c r="B19" i="17"/>
  <c r="B20" i="17" s="1"/>
  <c r="AT5" i="17"/>
  <c r="V5" i="17"/>
  <c r="U5" i="17"/>
  <c r="T5" i="17"/>
  <c r="R5" i="17"/>
  <c r="Q5" i="17"/>
  <c r="P5" i="17"/>
  <c r="O5" i="17"/>
  <c r="N5" i="17"/>
  <c r="M5" i="17"/>
  <c r="L5" i="17"/>
  <c r="K5" i="17"/>
  <c r="J5" i="17"/>
  <c r="I5" i="17"/>
  <c r="H5" i="17"/>
  <c r="G5" i="17"/>
  <c r="F5" i="17"/>
  <c r="E5" i="17"/>
  <c r="D5" i="17"/>
  <c r="C5" i="17"/>
  <c r="B5" i="17"/>
  <c r="Z45" i="10" l="1"/>
  <c r="Z27" i="10"/>
  <c r="Z36" i="10"/>
  <c r="Z29" i="10"/>
  <c r="Z44" i="10"/>
  <c r="Z18" i="10"/>
  <c r="Z20" i="10"/>
  <c r="Z22" i="10"/>
  <c r="Z26" i="10"/>
  <c r="Z28" i="10"/>
  <c r="Z32" i="10"/>
  <c r="Z34" i="10"/>
  <c r="Z37" i="10"/>
  <c r="Z43" i="10"/>
  <c r="Z47" i="10"/>
  <c r="Z48" i="10"/>
  <c r="Z49" i="10"/>
  <c r="Z52" i="10"/>
  <c r="Z7" i="10"/>
  <c r="Z11" i="10"/>
  <c r="Z5" i="10"/>
  <c r="Z9" i="10"/>
  <c r="V54" i="10"/>
  <c r="Z3" i="10"/>
  <c r="Z16" i="10"/>
  <c r="X54" i="10"/>
  <c r="U54" i="10"/>
  <c r="Z21" i="10"/>
  <c r="Z46" i="10"/>
  <c r="Z19" i="10"/>
  <c r="Z35" i="10"/>
  <c r="Z38" i="10"/>
  <c r="Z53" i="10"/>
  <c r="Z30" i="10"/>
  <c r="Z31" i="10"/>
  <c r="Z51" i="10"/>
  <c r="W54" i="10"/>
  <c r="Z12" i="10"/>
  <c r="Z17" i="10"/>
  <c r="Z4" i="10"/>
  <c r="Z6" i="10"/>
  <c r="Z8" i="10"/>
  <c r="Z10" i="10"/>
  <c r="Z33" i="10"/>
  <c r="Z39" i="10"/>
  <c r="Z15" i="10"/>
  <c r="Y54" i="10"/>
  <c r="Z50" i="10"/>
  <c r="D49" i="10" a="1"/>
  <c r="D49" i="10" s="1"/>
  <c r="E49" i="10" a="1"/>
  <c r="E49" i="10" s="1"/>
  <c r="F49" i="10" a="1"/>
  <c r="F49" i="10" s="1"/>
  <c r="G49" i="10" a="1"/>
  <c r="G49" i="10" s="1"/>
  <c r="H49" i="10" a="1"/>
  <c r="H49" i="10" s="1"/>
  <c r="I49" i="10" a="1"/>
  <c r="I49" i="10" s="1"/>
  <c r="L49" i="10" a="1"/>
  <c r="L49" i="10" s="1"/>
  <c r="M49" i="10" a="1"/>
  <c r="M49" i="10" s="1"/>
  <c r="N49" i="10" a="1"/>
  <c r="N49" i="10" s="1"/>
  <c r="O49" i="10" a="1"/>
  <c r="O49" i="10" s="1"/>
  <c r="P49" i="10" a="1"/>
  <c r="P49" i="10" s="1"/>
  <c r="Q49" i="10" a="1"/>
  <c r="Q49" i="10" s="1"/>
  <c r="D50" i="10" a="1"/>
  <c r="D50" i="10" s="1"/>
  <c r="E50" i="10" a="1"/>
  <c r="E50" i="10" s="1"/>
  <c r="F50" i="10" a="1"/>
  <c r="F50" i="10" s="1"/>
  <c r="G50" i="10" a="1"/>
  <c r="G50" i="10" s="1"/>
  <c r="H50" i="10" a="1"/>
  <c r="H50" i="10" s="1"/>
  <c r="I50" i="10" a="1"/>
  <c r="I50" i="10" s="1"/>
  <c r="L50" i="10" a="1"/>
  <c r="L50" i="10" s="1"/>
  <c r="M50" i="10" a="1"/>
  <c r="M50" i="10" s="1"/>
  <c r="N50" i="10" a="1"/>
  <c r="N50" i="10" s="1"/>
  <c r="O50" i="10" a="1"/>
  <c r="O50" i="10" s="1"/>
  <c r="P50" i="10" a="1"/>
  <c r="P50" i="10" s="1"/>
  <c r="Q50" i="10" a="1"/>
  <c r="Q50" i="10" s="1"/>
  <c r="D51" i="10" a="1"/>
  <c r="D51" i="10" s="1"/>
  <c r="E51" i="10" a="1"/>
  <c r="E51" i="10" s="1"/>
  <c r="F51" i="10" a="1"/>
  <c r="F51" i="10" s="1"/>
  <c r="G51" i="10" a="1"/>
  <c r="G51" i="10" s="1"/>
  <c r="H51" i="10" a="1"/>
  <c r="H51" i="10" s="1"/>
  <c r="I51" i="10" a="1"/>
  <c r="I51" i="10" s="1"/>
  <c r="L51" i="10" a="1"/>
  <c r="L51" i="10" s="1"/>
  <c r="M51" i="10" a="1"/>
  <c r="M51" i="10" s="1"/>
  <c r="N51" i="10" a="1"/>
  <c r="N51" i="10" s="1"/>
  <c r="O51" i="10" a="1"/>
  <c r="O51" i="10" s="1"/>
  <c r="P51" i="10" a="1"/>
  <c r="P51" i="10" s="1"/>
  <c r="Q51" i="10" a="1"/>
  <c r="Q51" i="10" s="1"/>
  <c r="D52" i="10" a="1"/>
  <c r="D52" i="10" s="1"/>
  <c r="E52" i="10" a="1"/>
  <c r="E52" i="10" s="1"/>
  <c r="F52" i="10" a="1"/>
  <c r="F52" i="10" s="1"/>
  <c r="G52" i="10" a="1"/>
  <c r="G52" i="10" s="1"/>
  <c r="H52" i="10" a="1"/>
  <c r="H52" i="10" s="1"/>
  <c r="I52" i="10" a="1"/>
  <c r="I52" i="10" s="1"/>
  <c r="L52" i="10" a="1"/>
  <c r="L52" i="10" s="1"/>
  <c r="M52" i="10" a="1"/>
  <c r="M52" i="10" s="1"/>
  <c r="N52" i="10" a="1"/>
  <c r="N52" i="10" s="1"/>
  <c r="O52" i="10" a="1"/>
  <c r="O52" i="10" s="1"/>
  <c r="P52" i="10" a="1"/>
  <c r="P52" i="10" s="1"/>
  <c r="Q52" i="10" a="1"/>
  <c r="Q52" i="10" s="1"/>
  <c r="AA7" i="10" l="1"/>
  <c r="T51" i="10" a="1"/>
  <c r="T51" i="10" s="1"/>
  <c r="T50" i="10" a="1"/>
  <c r="T50" i="10" s="1"/>
  <c r="AA45" i="10"/>
  <c r="AA27" i="10"/>
  <c r="T52" i="10" a="1"/>
  <c r="T52" i="10" s="1"/>
  <c r="T49" i="10" a="1"/>
  <c r="T49" i="10" s="1"/>
  <c r="AA36" i="10"/>
  <c r="AA19" i="10"/>
  <c r="AA9" i="10"/>
  <c r="AA49" i="10"/>
  <c r="AA28" i="10"/>
  <c r="AA18" i="10"/>
  <c r="AA4" i="10"/>
  <c r="AA53" i="10"/>
  <c r="AA16" i="10"/>
  <c r="AA5" i="10"/>
  <c r="AA48" i="10"/>
  <c r="AA37" i="10"/>
  <c r="AA26" i="10"/>
  <c r="AA11" i="10"/>
  <c r="AA47" i="10"/>
  <c r="AA34" i="10"/>
  <c r="AA22" i="10"/>
  <c r="AA50" i="10"/>
  <c r="AA39" i="10"/>
  <c r="AA6" i="10"/>
  <c r="AA33" i="10"/>
  <c r="AA51" i="10"/>
  <c r="AA46" i="10"/>
  <c r="AA29" i="10"/>
  <c r="AA10" i="10"/>
  <c r="AA17" i="10"/>
  <c r="AA31" i="10"/>
  <c r="AA38" i="10"/>
  <c r="AA21" i="10"/>
  <c r="AA15" i="10"/>
  <c r="AA8" i="10"/>
  <c r="AA12" i="10"/>
  <c r="AA30" i="10"/>
  <c r="AA35" i="10"/>
  <c r="AA52" i="10"/>
  <c r="AA43" i="10"/>
  <c r="AA32" i="10"/>
  <c r="AA20" i="10"/>
  <c r="AA44" i="10"/>
  <c r="AA3" i="10"/>
  <c r="Z54" i="10"/>
  <c r="AA54" i="10" s="1"/>
  <c r="R52" i="10"/>
  <c r="S52" i="10" s="1"/>
  <c r="R49" i="10"/>
  <c r="S49" i="10" s="1"/>
  <c r="R50" i="10"/>
  <c r="S50" i="10" s="1"/>
  <c r="J52" i="10"/>
  <c r="K52" i="10" s="1"/>
  <c r="J50" i="10"/>
  <c r="K50" i="10" s="1"/>
  <c r="J51" i="10"/>
  <c r="K51" i="10" s="1"/>
  <c r="J49" i="10"/>
  <c r="K49" i="10" s="1"/>
  <c r="R51" i="10"/>
  <c r="S51" i="10" s="1"/>
  <c r="P55" i="10" l="1"/>
  <c r="N64" i="16" s="1"/>
  <c r="O55" i="10"/>
  <c r="M64" i="16" s="1"/>
  <c r="M55" i="10"/>
  <c r="K64" i="16" s="1"/>
  <c r="D22" i="10" l="1" a="1"/>
  <c r="D22" i="10" s="1"/>
  <c r="E22" i="10" a="1"/>
  <c r="E22" i="10" s="1"/>
  <c r="F22" i="10" a="1"/>
  <c r="F22" i="10" s="1"/>
  <c r="G22" i="10" a="1"/>
  <c r="G22" i="10" s="1"/>
  <c r="D39" i="10" a="1"/>
  <c r="D39" i="10" s="1"/>
  <c r="E39" i="10" a="1"/>
  <c r="E39" i="10" s="1"/>
  <c r="F39" i="10" a="1"/>
  <c r="F39" i="10" s="1"/>
  <c r="G39" i="10" a="1"/>
  <c r="G39" i="10" s="1"/>
  <c r="H39" i="10" a="1"/>
  <c r="H39" i="10" s="1"/>
  <c r="I39" i="10" a="1"/>
  <c r="I39" i="10" s="1"/>
  <c r="L39" i="10" a="1"/>
  <c r="L39" i="10" s="1"/>
  <c r="M39" i="10" a="1"/>
  <c r="M39" i="10" s="1"/>
  <c r="N39" i="10" a="1"/>
  <c r="N39" i="10" s="1"/>
  <c r="O39" i="10" a="1"/>
  <c r="O39" i="10" s="1"/>
  <c r="P39" i="10" a="1"/>
  <c r="P39" i="10" s="1"/>
  <c r="Q39" i="10" a="1"/>
  <c r="Q39" i="10" s="1"/>
  <c r="H22" i="10" a="1"/>
  <c r="H22" i="10" s="1"/>
  <c r="I22" i="10" a="1"/>
  <c r="I22" i="10" s="1"/>
  <c r="L22" i="10" a="1"/>
  <c r="L22" i="10" s="1"/>
  <c r="M22" i="10" a="1"/>
  <c r="M22" i="10" s="1"/>
  <c r="N22" i="10" a="1"/>
  <c r="N22" i="10" s="1"/>
  <c r="O22" i="10" a="1"/>
  <c r="O22" i="10" s="1"/>
  <c r="P22" i="10" a="1"/>
  <c r="P22" i="10" s="1"/>
  <c r="Q22" i="10" a="1"/>
  <c r="Q22" i="10" s="1"/>
  <c r="T22" i="10" l="1" a="1"/>
  <c r="T22" i="10" s="1"/>
  <c r="T39" i="10" a="1"/>
  <c r="T39" i="10" s="1"/>
  <c r="R22" i="10"/>
  <c r="S22" i="10" s="1"/>
  <c r="R39" i="10"/>
  <c r="S39" i="10" s="1"/>
  <c r="J39" i="10"/>
  <c r="K39" i="10" s="1"/>
  <c r="J22" i="10"/>
  <c r="K22" i="10" s="1"/>
  <c r="D15" i="10" l="1" a="1"/>
  <c r="D15" i="10" s="1"/>
  <c r="E15" i="10" a="1"/>
  <c r="E15" i="10" s="1"/>
  <c r="F15" i="10" a="1"/>
  <c r="F15" i="10" s="1"/>
  <c r="G15" i="10" a="1"/>
  <c r="G15" i="10" s="1"/>
  <c r="H15" i="10" a="1"/>
  <c r="H15" i="10" s="1"/>
  <c r="I15" i="10" a="1"/>
  <c r="I15" i="10" s="1"/>
  <c r="L15" i="10" a="1"/>
  <c r="L15" i="10" s="1"/>
  <c r="M15" i="10" a="1"/>
  <c r="M15" i="10" s="1"/>
  <c r="N15" i="10" a="1"/>
  <c r="N15" i="10" s="1"/>
  <c r="O15" i="10" a="1"/>
  <c r="O15" i="10" s="1"/>
  <c r="P15" i="10" a="1"/>
  <c r="P15" i="10" s="1"/>
  <c r="Q15" i="10" a="1"/>
  <c r="Q15" i="10" s="1"/>
  <c r="D16" i="10" a="1"/>
  <c r="D16" i="10" s="1"/>
  <c r="E16" i="10" a="1"/>
  <c r="E16" i="10" s="1"/>
  <c r="F16" i="10" a="1"/>
  <c r="F16" i="10" s="1"/>
  <c r="G16" i="10" a="1"/>
  <c r="G16" i="10" s="1"/>
  <c r="H16" i="10" a="1"/>
  <c r="H16" i="10" s="1"/>
  <c r="I16" i="10" a="1"/>
  <c r="I16" i="10" s="1"/>
  <c r="L16" i="10" a="1"/>
  <c r="L16" i="10" s="1"/>
  <c r="M16" i="10" a="1"/>
  <c r="M16" i="10" s="1"/>
  <c r="N16" i="10" a="1"/>
  <c r="N16" i="10" s="1"/>
  <c r="O16" i="10" a="1"/>
  <c r="O16" i="10" s="1"/>
  <c r="P16" i="10" a="1"/>
  <c r="P16" i="10" s="1"/>
  <c r="Q16" i="10" a="1"/>
  <c r="Q16" i="10" s="1"/>
  <c r="D17" i="10" a="1"/>
  <c r="D17" i="10" s="1"/>
  <c r="E17" i="10" a="1"/>
  <c r="E17" i="10" s="1"/>
  <c r="F17" i="10" a="1"/>
  <c r="F17" i="10" s="1"/>
  <c r="G17" i="10" a="1"/>
  <c r="G17" i="10" s="1"/>
  <c r="H17" i="10" a="1"/>
  <c r="H17" i="10" s="1"/>
  <c r="I17" i="10" a="1"/>
  <c r="I17" i="10" s="1"/>
  <c r="L17" i="10" a="1"/>
  <c r="L17" i="10" s="1"/>
  <c r="M17" i="10" a="1"/>
  <c r="M17" i="10" s="1"/>
  <c r="N17" i="10" a="1"/>
  <c r="N17" i="10" s="1"/>
  <c r="O17" i="10" a="1"/>
  <c r="O17" i="10" s="1"/>
  <c r="P17" i="10" a="1"/>
  <c r="P17" i="10" s="1"/>
  <c r="Q17" i="10" a="1"/>
  <c r="Q17" i="10" s="1"/>
  <c r="D18" i="10" a="1"/>
  <c r="D18" i="10" s="1"/>
  <c r="E18" i="10" a="1"/>
  <c r="E18" i="10" s="1"/>
  <c r="F18" i="10" a="1"/>
  <c r="F18" i="10" s="1"/>
  <c r="G18" i="10" a="1"/>
  <c r="G18" i="10" s="1"/>
  <c r="H18" i="10" a="1"/>
  <c r="H18" i="10" s="1"/>
  <c r="I18" i="10" a="1"/>
  <c r="I18" i="10" s="1"/>
  <c r="L18" i="10" a="1"/>
  <c r="L18" i="10" s="1"/>
  <c r="M18" i="10" a="1"/>
  <c r="M18" i="10" s="1"/>
  <c r="N18" i="10" a="1"/>
  <c r="N18" i="10" s="1"/>
  <c r="O18" i="10" a="1"/>
  <c r="O18" i="10" s="1"/>
  <c r="P18" i="10" a="1"/>
  <c r="P18" i="10" s="1"/>
  <c r="Q18" i="10" a="1"/>
  <c r="Q18" i="10" s="1"/>
  <c r="D19" i="10" a="1"/>
  <c r="D19" i="10" s="1"/>
  <c r="E19" i="10" a="1"/>
  <c r="E19" i="10" s="1"/>
  <c r="F19" i="10" a="1"/>
  <c r="F19" i="10" s="1"/>
  <c r="G19" i="10" a="1"/>
  <c r="G19" i="10" s="1"/>
  <c r="H19" i="10" a="1"/>
  <c r="H19" i="10" s="1"/>
  <c r="I19" i="10" a="1"/>
  <c r="I19" i="10" s="1"/>
  <c r="L19" i="10" a="1"/>
  <c r="L19" i="10" s="1"/>
  <c r="M19" i="10" a="1"/>
  <c r="M19" i="10" s="1"/>
  <c r="N19" i="10" a="1"/>
  <c r="N19" i="10" s="1"/>
  <c r="O19" i="10" a="1"/>
  <c r="O19" i="10" s="1"/>
  <c r="P19" i="10" a="1"/>
  <c r="P19" i="10" s="1"/>
  <c r="Q19" i="10" a="1"/>
  <c r="Q19" i="10" s="1"/>
  <c r="D20" i="10" a="1"/>
  <c r="D20" i="10" s="1"/>
  <c r="E20" i="10" a="1"/>
  <c r="E20" i="10" s="1"/>
  <c r="F20" i="10" a="1"/>
  <c r="F20" i="10" s="1"/>
  <c r="G20" i="10" a="1"/>
  <c r="G20" i="10" s="1"/>
  <c r="H20" i="10" a="1"/>
  <c r="H20" i="10" s="1"/>
  <c r="I20" i="10" a="1"/>
  <c r="I20" i="10" s="1"/>
  <c r="L20" i="10" a="1"/>
  <c r="L20" i="10" s="1"/>
  <c r="M20" i="10" a="1"/>
  <c r="M20" i="10" s="1"/>
  <c r="N20" i="10" a="1"/>
  <c r="N20" i="10" s="1"/>
  <c r="O20" i="10" a="1"/>
  <c r="O20" i="10" s="1"/>
  <c r="P20" i="10" a="1"/>
  <c r="P20" i="10" s="1"/>
  <c r="Q20" i="10" a="1"/>
  <c r="Q20" i="10" s="1"/>
  <c r="D21" i="10" a="1"/>
  <c r="D21" i="10" s="1"/>
  <c r="E21" i="10" a="1"/>
  <c r="E21" i="10" s="1"/>
  <c r="F21" i="10" a="1"/>
  <c r="F21" i="10" s="1"/>
  <c r="G21" i="10" a="1"/>
  <c r="G21" i="10" s="1"/>
  <c r="H21" i="10" a="1"/>
  <c r="H21" i="10" s="1"/>
  <c r="I21" i="10" a="1"/>
  <c r="I21" i="10" s="1"/>
  <c r="L21" i="10" a="1"/>
  <c r="L21" i="10" s="1"/>
  <c r="M21" i="10" a="1"/>
  <c r="M21" i="10" s="1"/>
  <c r="N21" i="10" a="1"/>
  <c r="N21" i="10" s="1"/>
  <c r="O21" i="10" a="1"/>
  <c r="O21" i="10" s="1"/>
  <c r="P21" i="10" a="1"/>
  <c r="P21" i="10" s="1"/>
  <c r="Q21" i="10" a="1"/>
  <c r="Q21" i="10" s="1"/>
  <c r="D26" i="10" a="1"/>
  <c r="D26" i="10" s="1"/>
  <c r="E26" i="10" a="1"/>
  <c r="E26" i="10" s="1"/>
  <c r="F26" i="10" a="1"/>
  <c r="F26" i="10" s="1"/>
  <c r="G26" i="10" a="1"/>
  <c r="G26" i="10" s="1"/>
  <c r="H26" i="10" a="1"/>
  <c r="H26" i="10" s="1"/>
  <c r="I26" i="10" a="1"/>
  <c r="I26" i="10" s="1"/>
  <c r="L26" i="10" a="1"/>
  <c r="L26" i="10" s="1"/>
  <c r="M26" i="10" a="1"/>
  <c r="M26" i="10" s="1"/>
  <c r="N26" i="10" a="1"/>
  <c r="N26" i="10" s="1"/>
  <c r="O26" i="10" a="1"/>
  <c r="O26" i="10" s="1"/>
  <c r="P26" i="10" a="1"/>
  <c r="P26" i="10" s="1"/>
  <c r="Q26" i="10" a="1"/>
  <c r="Q26" i="10" s="1"/>
  <c r="D27" i="10" a="1"/>
  <c r="D27" i="10" s="1"/>
  <c r="E27" i="10" a="1"/>
  <c r="E27" i="10" s="1"/>
  <c r="F27" i="10" a="1"/>
  <c r="F27" i="10" s="1"/>
  <c r="G27" i="10" a="1"/>
  <c r="G27" i="10" s="1"/>
  <c r="H27" i="10" a="1"/>
  <c r="H27" i="10" s="1"/>
  <c r="I27" i="10" a="1"/>
  <c r="I27" i="10" s="1"/>
  <c r="L27" i="10" a="1"/>
  <c r="L27" i="10" s="1"/>
  <c r="M27" i="10" a="1"/>
  <c r="M27" i="10" s="1"/>
  <c r="N27" i="10" a="1"/>
  <c r="N27" i="10" s="1"/>
  <c r="O27" i="10" a="1"/>
  <c r="O27" i="10" s="1"/>
  <c r="P27" i="10" a="1"/>
  <c r="P27" i="10" s="1"/>
  <c r="Q27" i="10" a="1"/>
  <c r="Q27" i="10" s="1"/>
  <c r="D28" i="10" a="1"/>
  <c r="D28" i="10" s="1"/>
  <c r="E28" i="10" a="1"/>
  <c r="E28" i="10" s="1"/>
  <c r="F28" i="10" a="1"/>
  <c r="F28" i="10" s="1"/>
  <c r="G28" i="10" a="1"/>
  <c r="G28" i="10" s="1"/>
  <c r="H28" i="10" a="1"/>
  <c r="H28" i="10" s="1"/>
  <c r="I28" i="10" a="1"/>
  <c r="I28" i="10" s="1"/>
  <c r="L28" i="10" a="1"/>
  <c r="L28" i="10" s="1"/>
  <c r="M28" i="10" a="1"/>
  <c r="M28" i="10" s="1"/>
  <c r="N28" i="10" a="1"/>
  <c r="N28" i="10" s="1"/>
  <c r="O28" i="10" a="1"/>
  <c r="O28" i="10" s="1"/>
  <c r="P28" i="10" a="1"/>
  <c r="P28" i="10" s="1"/>
  <c r="Q28" i="10" a="1"/>
  <c r="Q28" i="10" s="1"/>
  <c r="D29" i="10" a="1"/>
  <c r="D29" i="10" s="1"/>
  <c r="E29" i="10" a="1"/>
  <c r="E29" i="10" s="1"/>
  <c r="F29" i="10" a="1"/>
  <c r="F29" i="10" s="1"/>
  <c r="G29" i="10" a="1"/>
  <c r="G29" i="10" s="1"/>
  <c r="H29" i="10" a="1"/>
  <c r="H29" i="10" s="1"/>
  <c r="I29" i="10" a="1"/>
  <c r="I29" i="10" s="1"/>
  <c r="L29" i="10" a="1"/>
  <c r="L29" i="10" s="1"/>
  <c r="M29" i="10" a="1"/>
  <c r="M29" i="10" s="1"/>
  <c r="N29" i="10" a="1"/>
  <c r="N29" i="10" s="1"/>
  <c r="O29" i="10" a="1"/>
  <c r="O29" i="10" s="1"/>
  <c r="P29" i="10" a="1"/>
  <c r="P29" i="10" s="1"/>
  <c r="Q29" i="10" a="1"/>
  <c r="Q29" i="10" s="1"/>
  <c r="D30" i="10" a="1"/>
  <c r="D30" i="10" s="1"/>
  <c r="E30" i="10" a="1"/>
  <c r="E30" i="10" s="1"/>
  <c r="F30" i="10" a="1"/>
  <c r="F30" i="10" s="1"/>
  <c r="G30" i="10" a="1"/>
  <c r="G30" i="10" s="1"/>
  <c r="H30" i="10" a="1"/>
  <c r="H30" i="10" s="1"/>
  <c r="I30" i="10" a="1"/>
  <c r="I30" i="10" s="1"/>
  <c r="L30" i="10" a="1"/>
  <c r="L30" i="10" s="1"/>
  <c r="M30" i="10" a="1"/>
  <c r="M30" i="10" s="1"/>
  <c r="N30" i="10" a="1"/>
  <c r="N30" i="10" s="1"/>
  <c r="O30" i="10" a="1"/>
  <c r="O30" i="10" s="1"/>
  <c r="P30" i="10" a="1"/>
  <c r="P30" i="10" s="1"/>
  <c r="Q30" i="10" a="1"/>
  <c r="Q30" i="10" s="1"/>
  <c r="D31" i="10" a="1"/>
  <c r="D31" i="10" s="1"/>
  <c r="E31" i="10" a="1"/>
  <c r="E31" i="10" s="1"/>
  <c r="F31" i="10" a="1"/>
  <c r="F31" i="10" s="1"/>
  <c r="G31" i="10" a="1"/>
  <c r="G31" i="10" s="1"/>
  <c r="H31" i="10" a="1"/>
  <c r="H31" i="10" s="1"/>
  <c r="I31" i="10" a="1"/>
  <c r="I31" i="10" s="1"/>
  <c r="L31" i="10" a="1"/>
  <c r="L31" i="10" s="1"/>
  <c r="M31" i="10" a="1"/>
  <c r="M31" i="10" s="1"/>
  <c r="N31" i="10" a="1"/>
  <c r="N31" i="10" s="1"/>
  <c r="O31" i="10" a="1"/>
  <c r="O31" i="10" s="1"/>
  <c r="P31" i="10" a="1"/>
  <c r="P31" i="10" s="1"/>
  <c r="Q31" i="10" a="1"/>
  <c r="Q31" i="10" s="1"/>
  <c r="D32" i="10" a="1"/>
  <c r="D32" i="10" s="1"/>
  <c r="E32" i="10" a="1"/>
  <c r="E32" i="10" s="1"/>
  <c r="F32" i="10" a="1"/>
  <c r="F32" i="10" s="1"/>
  <c r="G32" i="10" a="1"/>
  <c r="G32" i="10" s="1"/>
  <c r="H32" i="10" a="1"/>
  <c r="H32" i="10" s="1"/>
  <c r="I32" i="10" a="1"/>
  <c r="I32" i="10" s="1"/>
  <c r="L32" i="10" a="1"/>
  <c r="L32" i="10" s="1"/>
  <c r="M32" i="10" a="1"/>
  <c r="M32" i="10" s="1"/>
  <c r="N32" i="10" a="1"/>
  <c r="N32" i="10" s="1"/>
  <c r="O32" i="10" a="1"/>
  <c r="O32" i="10" s="1"/>
  <c r="P32" i="10" a="1"/>
  <c r="P32" i="10" s="1"/>
  <c r="Q32" i="10" a="1"/>
  <c r="Q32" i="10" s="1"/>
  <c r="D33" i="10" a="1"/>
  <c r="D33" i="10" s="1"/>
  <c r="E33" i="10" a="1"/>
  <c r="E33" i="10" s="1"/>
  <c r="F33" i="10" a="1"/>
  <c r="F33" i="10" s="1"/>
  <c r="G33" i="10" a="1"/>
  <c r="G33" i="10" s="1"/>
  <c r="H33" i="10" a="1"/>
  <c r="H33" i="10" s="1"/>
  <c r="I33" i="10" a="1"/>
  <c r="I33" i="10" s="1"/>
  <c r="L33" i="10" a="1"/>
  <c r="L33" i="10" s="1"/>
  <c r="M33" i="10" a="1"/>
  <c r="M33" i="10" s="1"/>
  <c r="N33" i="10" a="1"/>
  <c r="N33" i="10" s="1"/>
  <c r="O33" i="10" a="1"/>
  <c r="O33" i="10" s="1"/>
  <c r="P33" i="10" a="1"/>
  <c r="P33" i="10" s="1"/>
  <c r="Q33" i="10" a="1"/>
  <c r="Q33" i="10" s="1"/>
  <c r="D34" i="10" a="1"/>
  <c r="D34" i="10" s="1"/>
  <c r="E34" i="10" a="1"/>
  <c r="E34" i="10" s="1"/>
  <c r="F34" i="10" a="1"/>
  <c r="F34" i="10" s="1"/>
  <c r="G34" i="10" a="1"/>
  <c r="G34" i="10" s="1"/>
  <c r="H34" i="10" a="1"/>
  <c r="H34" i="10" s="1"/>
  <c r="I34" i="10" a="1"/>
  <c r="I34" i="10" s="1"/>
  <c r="L34" i="10" a="1"/>
  <c r="L34" i="10" s="1"/>
  <c r="M34" i="10" a="1"/>
  <c r="M34" i="10" s="1"/>
  <c r="N34" i="10" a="1"/>
  <c r="N34" i="10" s="1"/>
  <c r="O34" i="10" a="1"/>
  <c r="O34" i="10" s="1"/>
  <c r="P34" i="10" a="1"/>
  <c r="P34" i="10" s="1"/>
  <c r="Q34" i="10" a="1"/>
  <c r="Q34" i="10" s="1"/>
  <c r="T28" i="10" l="1" a="1"/>
  <c r="T28" i="10" s="1"/>
  <c r="T34" i="10" a="1"/>
  <c r="T34" i="10" s="1"/>
  <c r="T21" i="10" a="1"/>
  <c r="T21" i="10" s="1"/>
  <c r="T20" i="10" a="1"/>
  <c r="T20" i="10" s="1"/>
  <c r="T19" i="10" a="1"/>
  <c r="T19" i="10" s="1"/>
  <c r="T18" i="10" a="1"/>
  <c r="T18" i="10" s="1"/>
  <c r="T31" i="10" a="1"/>
  <c r="T31" i="10" s="1"/>
  <c r="T30" i="10" a="1"/>
  <c r="T30" i="10" s="1"/>
  <c r="T29" i="10" a="1"/>
  <c r="T29" i="10" s="1"/>
  <c r="T27" i="10" a="1"/>
  <c r="T27" i="10" s="1"/>
  <c r="T26" i="10" a="1"/>
  <c r="T26" i="10" s="1"/>
  <c r="T17" i="10" a="1"/>
  <c r="T17" i="10" s="1"/>
  <c r="T16" i="10" a="1"/>
  <c r="T16" i="10" s="1"/>
  <c r="T15" i="10" a="1"/>
  <c r="T15" i="10" s="1"/>
  <c r="T33" i="10" a="1"/>
  <c r="T33" i="10" s="1"/>
  <c r="T32" i="10" a="1"/>
  <c r="T32" i="10" s="1"/>
  <c r="J19" i="10"/>
  <c r="K19" i="10" s="1"/>
  <c r="J18" i="10"/>
  <c r="K18" i="10" s="1"/>
  <c r="J17" i="10"/>
  <c r="K17" i="10" s="1"/>
  <c r="J29" i="10"/>
  <c r="K29" i="10" s="1"/>
  <c r="J28" i="10"/>
  <c r="K28" i="10" s="1"/>
  <c r="J21" i="10"/>
  <c r="K21" i="10" s="1"/>
  <c r="J15" i="10"/>
  <c r="K15" i="10" s="1"/>
  <c r="J27" i="10"/>
  <c r="K27" i="10" s="1"/>
  <c r="R21" i="10"/>
  <c r="S21" i="10" s="1"/>
  <c r="R19" i="10"/>
  <c r="S19" i="10" s="1"/>
  <c r="R17" i="10"/>
  <c r="S17" i="10" s="1"/>
  <c r="R15" i="10"/>
  <c r="S15" i="10" s="1"/>
  <c r="R29" i="10"/>
  <c r="S29" i="10" s="1"/>
  <c r="R28" i="10"/>
  <c r="S28" i="10" s="1"/>
  <c r="R26" i="10"/>
  <c r="S26" i="10" s="1"/>
  <c r="R32" i="10"/>
  <c r="S32" i="10" s="1"/>
  <c r="R34" i="10"/>
  <c r="S34" i="10" s="1"/>
  <c r="J20" i="10"/>
  <c r="K20" i="10" s="1"/>
  <c r="J16" i="10"/>
  <c r="K16" i="10" s="1"/>
  <c r="R33" i="10"/>
  <c r="S33" i="10" s="1"/>
  <c r="R31" i="10"/>
  <c r="S31" i="10" s="1"/>
  <c r="R30" i="10"/>
  <c r="S30" i="10" s="1"/>
  <c r="J34" i="10"/>
  <c r="K34" i="10" s="1"/>
  <c r="J33" i="10"/>
  <c r="K33" i="10" s="1"/>
  <c r="J32" i="10"/>
  <c r="K32" i="10" s="1"/>
  <c r="J31" i="10"/>
  <c r="K31" i="10" s="1"/>
  <c r="J30" i="10"/>
  <c r="K30" i="10" s="1"/>
  <c r="R27" i="10"/>
  <c r="S27" i="10" s="1"/>
  <c r="J26" i="10"/>
  <c r="K26" i="10" s="1"/>
  <c r="R20" i="10"/>
  <c r="S20" i="10" s="1"/>
  <c r="R18" i="10"/>
  <c r="S18" i="10" s="1"/>
  <c r="R16" i="10"/>
  <c r="S16" i="10" s="1"/>
  <c r="D7" i="10" l="1" a="1"/>
  <c r="D7" i="10" s="1"/>
  <c r="E7" i="10" a="1"/>
  <c r="E7" i="10" s="1"/>
  <c r="F7" i="10" a="1"/>
  <c r="F7" i="10" s="1"/>
  <c r="G7" i="10" a="1"/>
  <c r="G7" i="10" s="1"/>
  <c r="H7" i="10" a="1"/>
  <c r="H7" i="10" s="1"/>
  <c r="I7" i="10" a="1"/>
  <c r="I7" i="10" s="1"/>
  <c r="L7" i="10" a="1"/>
  <c r="L7" i="10" s="1"/>
  <c r="M7" i="10" a="1"/>
  <c r="M7" i="10" s="1"/>
  <c r="N7" i="10" a="1"/>
  <c r="N7" i="10" s="1"/>
  <c r="O7" i="10" a="1"/>
  <c r="O7" i="10" s="1"/>
  <c r="P7" i="10" a="1"/>
  <c r="P7" i="10" s="1"/>
  <c r="Q7" i="10" a="1"/>
  <c r="Q7" i="10" s="1"/>
  <c r="T7" i="10" l="1" a="1"/>
  <c r="T7" i="10" s="1"/>
  <c r="J7" i="10"/>
  <c r="K7" i="10" s="1"/>
  <c r="R7" i="10"/>
  <c r="S7" i="10" s="1"/>
  <c r="D6" i="10" l="1" a="1"/>
  <c r="D6" i="10" s="1"/>
  <c r="E6" i="10" a="1"/>
  <c r="E6" i="10" s="1"/>
  <c r="F6" i="10" a="1"/>
  <c r="F6" i="10" s="1"/>
  <c r="G6" i="10" a="1"/>
  <c r="G6" i="10" s="1"/>
  <c r="H6" i="10" a="1"/>
  <c r="H6" i="10" s="1"/>
  <c r="I6" i="10" a="1"/>
  <c r="I6" i="10" s="1"/>
  <c r="L6" i="10" a="1"/>
  <c r="L6" i="10" s="1"/>
  <c r="M6" i="10" a="1"/>
  <c r="M6" i="10" s="1"/>
  <c r="N6" i="10" a="1"/>
  <c r="N6" i="10" s="1"/>
  <c r="O6" i="10" a="1"/>
  <c r="O6" i="10" s="1"/>
  <c r="P6" i="10" a="1"/>
  <c r="P6" i="10" s="1"/>
  <c r="Q6" i="10" a="1"/>
  <c r="Q6" i="10" s="1"/>
  <c r="D8" i="10" a="1"/>
  <c r="D8" i="10" s="1"/>
  <c r="E8" i="10" a="1"/>
  <c r="E8" i="10" s="1"/>
  <c r="F8" i="10" a="1"/>
  <c r="F8" i="10" s="1"/>
  <c r="G8" i="10" a="1"/>
  <c r="G8" i="10" s="1"/>
  <c r="H8" i="10" a="1"/>
  <c r="H8" i="10" s="1"/>
  <c r="I8" i="10" a="1"/>
  <c r="I8" i="10" s="1"/>
  <c r="L8" i="10" a="1"/>
  <c r="L8" i="10" s="1"/>
  <c r="M8" i="10" a="1"/>
  <c r="M8" i="10" s="1"/>
  <c r="N8" i="10" a="1"/>
  <c r="N8" i="10" s="1"/>
  <c r="O8" i="10" a="1"/>
  <c r="O8" i="10" s="1"/>
  <c r="P8" i="10" a="1"/>
  <c r="P8" i="10" s="1"/>
  <c r="Q8" i="10" a="1"/>
  <c r="Q8" i="10" s="1"/>
  <c r="D9" i="10" a="1"/>
  <c r="D9" i="10" s="1"/>
  <c r="E9" i="10" a="1"/>
  <c r="E9" i="10" s="1"/>
  <c r="F9" i="10" a="1"/>
  <c r="F9" i="10" s="1"/>
  <c r="G9" i="10" a="1"/>
  <c r="G9" i="10" s="1"/>
  <c r="H9" i="10" a="1"/>
  <c r="H9" i="10" s="1"/>
  <c r="I9" i="10" a="1"/>
  <c r="I9" i="10" s="1"/>
  <c r="L9" i="10" a="1"/>
  <c r="L9" i="10" s="1"/>
  <c r="M9" i="10" a="1"/>
  <c r="M9" i="10" s="1"/>
  <c r="N9" i="10" a="1"/>
  <c r="N9" i="10" s="1"/>
  <c r="O9" i="10" a="1"/>
  <c r="O9" i="10" s="1"/>
  <c r="P9" i="10" a="1"/>
  <c r="P9" i="10" s="1"/>
  <c r="Q9" i="10" a="1"/>
  <c r="Q9" i="10" s="1"/>
  <c r="D10" i="10" a="1"/>
  <c r="D10" i="10" s="1"/>
  <c r="E10" i="10" a="1"/>
  <c r="E10" i="10" s="1"/>
  <c r="F10" i="10" a="1"/>
  <c r="F10" i="10" s="1"/>
  <c r="G10" i="10" a="1"/>
  <c r="G10" i="10" s="1"/>
  <c r="H10" i="10" a="1"/>
  <c r="H10" i="10" s="1"/>
  <c r="I10" i="10" a="1"/>
  <c r="I10" i="10" s="1"/>
  <c r="L10" i="10" a="1"/>
  <c r="L10" i="10" s="1"/>
  <c r="M10" i="10" a="1"/>
  <c r="M10" i="10" s="1"/>
  <c r="N10" i="10" a="1"/>
  <c r="N10" i="10" s="1"/>
  <c r="O10" i="10" a="1"/>
  <c r="O10" i="10" s="1"/>
  <c r="P10" i="10" a="1"/>
  <c r="P10" i="10" s="1"/>
  <c r="Q10" i="10" a="1"/>
  <c r="Q10" i="10" s="1"/>
  <c r="D11" i="10" a="1"/>
  <c r="D11" i="10" s="1"/>
  <c r="E11" i="10" a="1"/>
  <c r="E11" i="10" s="1"/>
  <c r="F11" i="10" a="1"/>
  <c r="F11" i="10" s="1"/>
  <c r="G11" i="10" a="1"/>
  <c r="G11" i="10" s="1"/>
  <c r="H11" i="10" a="1"/>
  <c r="H11" i="10" s="1"/>
  <c r="I11" i="10" a="1"/>
  <c r="I11" i="10" s="1"/>
  <c r="L11" i="10" a="1"/>
  <c r="L11" i="10" s="1"/>
  <c r="M11" i="10" a="1"/>
  <c r="M11" i="10" s="1"/>
  <c r="N11" i="10" a="1"/>
  <c r="N11" i="10" s="1"/>
  <c r="O11" i="10" a="1"/>
  <c r="O11" i="10" s="1"/>
  <c r="P11" i="10" a="1"/>
  <c r="P11" i="10" s="1"/>
  <c r="Q11" i="10" a="1"/>
  <c r="Q11" i="10" s="1"/>
  <c r="D12" i="10" a="1"/>
  <c r="D12" i="10" s="1"/>
  <c r="E12" i="10" a="1"/>
  <c r="E12" i="10" s="1"/>
  <c r="F12" i="10" a="1"/>
  <c r="F12" i="10" s="1"/>
  <c r="G12" i="10" a="1"/>
  <c r="G12" i="10" s="1"/>
  <c r="H12" i="10" a="1"/>
  <c r="H12" i="10" s="1"/>
  <c r="I12" i="10" a="1"/>
  <c r="I12" i="10" s="1"/>
  <c r="L12" i="10" a="1"/>
  <c r="L12" i="10" s="1"/>
  <c r="M12" i="10" a="1"/>
  <c r="M12" i="10" s="1"/>
  <c r="N12" i="10" a="1"/>
  <c r="N12" i="10" s="1"/>
  <c r="O12" i="10" a="1"/>
  <c r="O12" i="10" s="1"/>
  <c r="P12" i="10" a="1"/>
  <c r="P12" i="10" s="1"/>
  <c r="Q12" i="10" a="1"/>
  <c r="Q12" i="10" s="1"/>
  <c r="T12" i="10" l="1" a="1"/>
  <c r="T12" i="10" s="1"/>
  <c r="T11" i="10" a="1"/>
  <c r="T11" i="10" s="1"/>
  <c r="T10" i="10" a="1"/>
  <c r="T10" i="10" s="1"/>
  <c r="T9" i="10" a="1"/>
  <c r="T9" i="10" s="1"/>
  <c r="T8" i="10" a="1"/>
  <c r="T8" i="10" s="1"/>
  <c r="T6" i="10" a="1"/>
  <c r="T6" i="10" s="1"/>
  <c r="R11" i="10"/>
  <c r="S11" i="10" s="1"/>
  <c r="J6" i="10"/>
  <c r="K6" i="10" s="1"/>
  <c r="J11" i="10"/>
  <c r="K11" i="10" s="1"/>
  <c r="J8" i="10"/>
  <c r="K8" i="10" s="1"/>
  <c r="J12" i="10"/>
  <c r="K12" i="10" s="1"/>
  <c r="J10" i="10"/>
  <c r="K10" i="10" s="1"/>
  <c r="J9" i="10"/>
  <c r="K9" i="10" s="1"/>
  <c r="R10" i="10"/>
  <c r="S10" i="10" s="1"/>
  <c r="R8" i="10"/>
  <c r="S8" i="10" s="1"/>
  <c r="R9" i="10"/>
  <c r="S9" i="10" s="1"/>
  <c r="R6" i="10"/>
  <c r="S6" i="10" s="1"/>
  <c r="R12" i="10"/>
  <c r="S12" i="10" s="1"/>
  <c r="A21" i="14"/>
  <c r="L5" i="14" l="1"/>
  <c r="AO19" i="14" l="1"/>
  <c r="AO20" i="14" s="1"/>
  <c r="AP19" i="14"/>
  <c r="AP20" i="14" s="1"/>
  <c r="AQ19" i="14"/>
  <c r="AQ20" i="14" s="1"/>
  <c r="AR19" i="14"/>
  <c r="AR20" i="14" s="1"/>
  <c r="AS19" i="14"/>
  <c r="AS20" i="14" s="1"/>
  <c r="AT19" i="14"/>
  <c r="AT20" i="14" s="1"/>
  <c r="F55" i="10" l="1"/>
  <c r="N55" i="10"/>
  <c r="L64" i="16" s="1"/>
  <c r="Q55" i="10"/>
  <c r="O64" i="16" s="1"/>
  <c r="I55" i="10"/>
  <c r="F64" i="16" s="1"/>
  <c r="H55" i="10"/>
  <c r="G55" i="10"/>
  <c r="E55" i="10"/>
  <c r="B64" i="16" s="1"/>
  <c r="E64" i="16" l="1"/>
  <c r="AH19" i="14"/>
  <c r="AH20" i="14" s="1"/>
  <c r="AI19" i="14"/>
  <c r="AI20" i="14" s="1"/>
  <c r="AJ19" i="14"/>
  <c r="AJ20" i="14" s="1"/>
  <c r="AK19" i="14"/>
  <c r="AK20" i="14" s="1"/>
  <c r="AL20" i="14"/>
  <c r="AM20" i="14"/>
  <c r="AN20" i="14"/>
  <c r="AB20" i="14"/>
  <c r="AC20" i="14"/>
  <c r="AD20" i="14"/>
  <c r="AE20" i="14"/>
  <c r="AF20" i="14"/>
  <c r="AG20" i="14"/>
  <c r="M53" i="10" l="1" a="1"/>
  <c r="M53" i="10" s="1"/>
  <c r="M48" i="10" a="1"/>
  <c r="M48" i="10" s="1"/>
  <c r="M47" i="10" a="1"/>
  <c r="M47" i="10" s="1"/>
  <c r="M46" i="10" a="1"/>
  <c r="M46" i="10" s="1"/>
  <c r="M45" i="10" a="1"/>
  <c r="M45" i="10" s="1"/>
  <c r="M44" i="10" a="1"/>
  <c r="M44" i="10" s="1"/>
  <c r="M43" i="10" a="1"/>
  <c r="M43" i="10" s="1"/>
  <c r="M38" i="10" a="1"/>
  <c r="M38" i="10" s="1"/>
  <c r="M37" i="10" a="1"/>
  <c r="M37" i="10" s="1"/>
  <c r="M36" i="10" a="1"/>
  <c r="M36" i="10" s="1"/>
  <c r="M35" i="10" a="1"/>
  <c r="M35" i="10" s="1"/>
  <c r="M5" i="10" a="1"/>
  <c r="M5" i="10" s="1"/>
  <c r="M4" i="10" a="1"/>
  <c r="M4" i="10" s="1"/>
  <c r="M3" i="10" a="1"/>
  <c r="M3" i="10" s="1"/>
  <c r="D4" i="10" a="1"/>
  <c r="D4" i="10" s="1"/>
  <c r="E4" i="10" a="1"/>
  <c r="E4" i="10" s="1"/>
  <c r="F4" i="10" a="1"/>
  <c r="F4" i="10" s="1"/>
  <c r="G4" i="10" a="1"/>
  <c r="G4" i="10" s="1"/>
  <c r="H4" i="10" a="1"/>
  <c r="H4" i="10" s="1"/>
  <c r="I4" i="10" a="1"/>
  <c r="I4" i="10" s="1"/>
  <c r="L4" i="10" a="1"/>
  <c r="L4" i="10" s="1"/>
  <c r="N4" i="10" a="1"/>
  <c r="N4" i="10" s="1"/>
  <c r="O4" i="10" a="1"/>
  <c r="O4" i="10" s="1"/>
  <c r="P4" i="10" a="1"/>
  <c r="P4" i="10" s="1"/>
  <c r="Q4" i="10" a="1"/>
  <c r="Q4" i="10" s="1"/>
  <c r="Q53" i="10" a="1"/>
  <c r="Q53" i="10" s="1"/>
  <c r="P53" i="10" a="1"/>
  <c r="P53" i="10" s="1"/>
  <c r="O53" i="10" a="1"/>
  <c r="O53" i="10" s="1"/>
  <c r="N53" i="10" a="1"/>
  <c r="N53" i="10" s="1"/>
  <c r="Q48" i="10" a="1"/>
  <c r="Q48" i="10" s="1"/>
  <c r="P48" i="10" a="1"/>
  <c r="P48" i="10" s="1"/>
  <c r="O48" i="10" a="1"/>
  <c r="O48" i="10" s="1"/>
  <c r="N48" i="10" a="1"/>
  <c r="N48" i="10" s="1"/>
  <c r="Q47" i="10" a="1"/>
  <c r="Q47" i="10" s="1"/>
  <c r="P47" i="10" a="1"/>
  <c r="P47" i="10" s="1"/>
  <c r="O47" i="10" a="1"/>
  <c r="O47" i="10" s="1"/>
  <c r="N47" i="10" a="1"/>
  <c r="N47" i="10" s="1"/>
  <c r="Q46" i="10" a="1"/>
  <c r="Q46" i="10" s="1"/>
  <c r="P46" i="10" a="1"/>
  <c r="P46" i="10" s="1"/>
  <c r="O46" i="10" a="1"/>
  <c r="O46" i="10" s="1"/>
  <c r="N46" i="10" a="1"/>
  <c r="N46" i="10" s="1"/>
  <c r="Q45" i="10" a="1"/>
  <c r="Q45" i="10" s="1"/>
  <c r="P45" i="10" a="1"/>
  <c r="P45" i="10" s="1"/>
  <c r="O45" i="10" a="1"/>
  <c r="O45" i="10" s="1"/>
  <c r="N45" i="10" a="1"/>
  <c r="N45" i="10" s="1"/>
  <c r="Q44" i="10" a="1"/>
  <c r="Q44" i="10" s="1"/>
  <c r="P44" i="10" a="1"/>
  <c r="P44" i="10" s="1"/>
  <c r="O44" i="10" a="1"/>
  <c r="O44" i="10" s="1"/>
  <c r="N44" i="10" a="1"/>
  <c r="N44" i="10" s="1"/>
  <c r="Q43" i="10" a="1"/>
  <c r="Q43" i="10" s="1"/>
  <c r="P43" i="10" a="1"/>
  <c r="P43" i="10" s="1"/>
  <c r="O43" i="10" a="1"/>
  <c r="O43" i="10" s="1"/>
  <c r="N43" i="10" a="1"/>
  <c r="N43" i="10" s="1"/>
  <c r="Q38" i="10" a="1"/>
  <c r="Q38" i="10" s="1"/>
  <c r="P38" i="10" a="1"/>
  <c r="P38" i="10" s="1"/>
  <c r="O38" i="10" a="1"/>
  <c r="O38" i="10" s="1"/>
  <c r="N38" i="10" a="1"/>
  <c r="N38" i="10" s="1"/>
  <c r="Q37" i="10" a="1"/>
  <c r="Q37" i="10" s="1"/>
  <c r="P37" i="10" a="1"/>
  <c r="P37" i="10" s="1"/>
  <c r="O37" i="10" a="1"/>
  <c r="O37" i="10" s="1"/>
  <c r="N37" i="10" a="1"/>
  <c r="N37" i="10" s="1"/>
  <c r="Q36" i="10" a="1"/>
  <c r="Q36" i="10" s="1"/>
  <c r="P36" i="10" a="1"/>
  <c r="P36" i="10" s="1"/>
  <c r="O36" i="10" a="1"/>
  <c r="O36" i="10" s="1"/>
  <c r="N36" i="10" a="1"/>
  <c r="N36" i="10" s="1"/>
  <c r="Q35" i="10" a="1"/>
  <c r="Q35" i="10" s="1"/>
  <c r="P35" i="10" a="1"/>
  <c r="P35" i="10" s="1"/>
  <c r="O35" i="10" a="1"/>
  <c r="O35" i="10" s="1"/>
  <c r="N35" i="10" a="1"/>
  <c r="N35" i="10" s="1"/>
  <c r="Q5" i="10" a="1"/>
  <c r="Q5" i="10" s="1"/>
  <c r="P5" i="10" a="1"/>
  <c r="P5" i="10" s="1"/>
  <c r="O5" i="10" a="1"/>
  <c r="O5" i="10" s="1"/>
  <c r="N5" i="10" a="1"/>
  <c r="N5" i="10" s="1"/>
  <c r="Q3" i="10" a="1"/>
  <c r="Q3" i="10" s="1"/>
  <c r="P3" i="10" a="1"/>
  <c r="P3" i="10" s="1"/>
  <c r="O3" i="10" a="1"/>
  <c r="O3" i="10" s="1"/>
  <c r="N3" i="10" a="1"/>
  <c r="N3" i="10" s="1"/>
  <c r="T4" i="10" l="1" a="1"/>
  <c r="T4" i="10" s="1"/>
  <c r="R35" i="10"/>
  <c r="J4" i="10"/>
  <c r="K4" i="10" s="1"/>
  <c r="R4" i="10"/>
  <c r="S4" i="10" s="1"/>
  <c r="R48" i="10"/>
  <c r="R38" i="10"/>
  <c r="R44" i="10"/>
  <c r="R46" i="10"/>
  <c r="R47" i="10"/>
  <c r="R43" i="10"/>
  <c r="R37" i="10"/>
  <c r="R53" i="10"/>
  <c r="R5" i="10"/>
  <c r="R36" i="10"/>
  <c r="R45" i="10"/>
  <c r="R3" i="10"/>
  <c r="AC19" i="1"/>
  <c r="AC20" i="1" s="1"/>
  <c r="AD19" i="1"/>
  <c r="AD20" i="1" s="1"/>
  <c r="AE19" i="1"/>
  <c r="AE20" i="1" s="1"/>
  <c r="W19" i="1" l="1"/>
  <c r="W20" i="1" s="1"/>
  <c r="X19" i="1"/>
  <c r="X20" i="1" s="1"/>
  <c r="Y19" i="1"/>
  <c r="Y20" i="1" s="1"/>
  <c r="Z19" i="1"/>
  <c r="Z20" i="1" s="1"/>
  <c r="AA19" i="1"/>
  <c r="AA20" i="1" s="1"/>
  <c r="AB19" i="1"/>
  <c r="AB20" i="1" s="1"/>
  <c r="U5" i="1"/>
  <c r="W20" i="14" l="1"/>
  <c r="X20" i="14"/>
  <c r="Y20" i="14"/>
  <c r="Z20" i="14"/>
  <c r="AA20" i="14"/>
  <c r="T19" i="1" l="1"/>
  <c r="T20" i="1" s="1"/>
  <c r="U19" i="1"/>
  <c r="U20" i="1" s="1"/>
  <c r="V19" i="1"/>
  <c r="V20" i="1" s="1"/>
  <c r="T5" i="1" l="1"/>
  <c r="V5" i="1"/>
  <c r="AT5" i="1" l="1"/>
  <c r="D3" i="10" l="1"/>
  <c r="V20" i="14"/>
  <c r="U20" i="14"/>
  <c r="T20" i="14"/>
  <c r="S20" i="14"/>
  <c r="R20" i="14"/>
  <c r="Q20" i="14"/>
  <c r="P20" i="14"/>
  <c r="O20" i="14"/>
  <c r="N20" i="14"/>
  <c r="M20" i="14"/>
  <c r="L20" i="14"/>
  <c r="K20" i="14"/>
  <c r="J20" i="14"/>
  <c r="I20" i="14"/>
  <c r="H20" i="14"/>
  <c r="G20" i="14"/>
  <c r="F20" i="14"/>
  <c r="E20" i="14"/>
  <c r="D20" i="14"/>
  <c r="C20" i="14"/>
  <c r="AT5" i="14"/>
  <c r="V5" i="14"/>
  <c r="U5" i="14"/>
  <c r="T5" i="14"/>
  <c r="R5" i="14"/>
  <c r="Q5" i="14"/>
  <c r="P5" i="14"/>
  <c r="O5" i="14"/>
  <c r="N5" i="14"/>
  <c r="M5" i="14"/>
  <c r="K5" i="14"/>
  <c r="J5" i="14"/>
  <c r="I5" i="14"/>
  <c r="H5" i="14"/>
  <c r="G5" i="14"/>
  <c r="F5" i="14"/>
  <c r="E5" i="14"/>
  <c r="D5" i="14"/>
  <c r="C5" i="14"/>
  <c r="B5" i="14"/>
  <c r="L3" i="10" l="1" a="1"/>
  <c r="L3" i="10" s="1"/>
  <c r="I19" i="1" l="1"/>
  <c r="I20" i="1" s="1"/>
  <c r="L53" i="10" l="1" a="1"/>
  <c r="L53" i="10" s="1"/>
  <c r="L48" i="10" a="1"/>
  <c r="L48" i="10" s="1"/>
  <c r="L47" i="10" a="1"/>
  <c r="L47" i="10" s="1"/>
  <c r="L46" i="10" a="1"/>
  <c r="L46" i="10" s="1"/>
  <c r="L45" i="10" a="1"/>
  <c r="L45" i="10" s="1"/>
  <c r="L44" i="10" a="1"/>
  <c r="L44" i="10" s="1"/>
  <c r="L43" i="10" a="1"/>
  <c r="L43" i="10" s="1"/>
  <c r="L38" i="10" a="1"/>
  <c r="L38" i="10" s="1"/>
  <c r="L37" i="10" a="1"/>
  <c r="L37" i="10" s="1"/>
  <c r="L36" i="10" a="1"/>
  <c r="L36" i="10" s="1"/>
  <c r="L35" i="10" a="1"/>
  <c r="L35" i="10" s="1"/>
  <c r="L5" i="10" a="1"/>
  <c r="L5" i="10" s="1"/>
  <c r="D53" i="10" a="1"/>
  <c r="D53" i="10" s="1"/>
  <c r="D48" i="10" a="1"/>
  <c r="D48" i="10" s="1"/>
  <c r="D47" i="10" a="1"/>
  <c r="D47" i="10" s="1"/>
  <c r="D46" i="10" a="1"/>
  <c r="D46" i="10" s="1"/>
  <c r="D45" i="10" a="1"/>
  <c r="D45" i="10" s="1"/>
  <c r="D44" i="10" a="1"/>
  <c r="D44" i="10" s="1"/>
  <c r="D43" i="10" a="1"/>
  <c r="D43" i="10" s="1"/>
  <c r="D38" i="10" a="1"/>
  <c r="D38" i="10" s="1"/>
  <c r="D37" i="10" a="1"/>
  <c r="D37" i="10" s="1"/>
  <c r="D36" i="10" a="1"/>
  <c r="D36" i="10" s="1"/>
  <c r="D35" i="10" a="1"/>
  <c r="D35" i="10" s="1"/>
  <c r="D5" i="10" a="1"/>
  <c r="D5" i="10" s="1"/>
  <c r="G53" i="10" a="1"/>
  <c r="G53" i="10" s="1"/>
  <c r="G48" i="10" a="1"/>
  <c r="G48" i="10" s="1"/>
  <c r="G47" i="10" a="1"/>
  <c r="G47" i="10" s="1"/>
  <c r="G46" i="10" a="1"/>
  <c r="G46" i="10" s="1"/>
  <c r="G45" i="10" a="1"/>
  <c r="G45" i="10" s="1"/>
  <c r="G44" i="10" a="1"/>
  <c r="G44" i="10" s="1"/>
  <c r="G43" i="10" a="1"/>
  <c r="G43" i="10" s="1"/>
  <c r="G38" i="10" a="1"/>
  <c r="G38" i="10" s="1"/>
  <c r="G37" i="10" a="1"/>
  <c r="G37" i="10" s="1"/>
  <c r="G36" i="10" a="1"/>
  <c r="G36" i="10" s="1"/>
  <c r="G35" i="10" a="1"/>
  <c r="G35" i="10" s="1"/>
  <c r="G5" i="10" a="1"/>
  <c r="G5" i="10" s="1"/>
  <c r="G3" i="10" a="1"/>
  <c r="G3" i="10" s="1"/>
  <c r="F53" i="10" a="1"/>
  <c r="F53" i="10" s="1"/>
  <c r="F48" i="10" a="1"/>
  <c r="F48" i="10" s="1"/>
  <c r="F47" i="10" a="1"/>
  <c r="F47" i="10" s="1"/>
  <c r="F46" i="10" a="1"/>
  <c r="F46" i="10" s="1"/>
  <c r="F45" i="10" a="1"/>
  <c r="F45" i="10" s="1"/>
  <c r="F44" i="10" a="1"/>
  <c r="F44" i="10" s="1"/>
  <c r="F43" i="10" a="1"/>
  <c r="F43" i="10" s="1"/>
  <c r="F38" i="10" a="1"/>
  <c r="F38" i="10" s="1"/>
  <c r="F37" i="10" a="1"/>
  <c r="F37" i="10" s="1"/>
  <c r="F36" i="10" a="1"/>
  <c r="F36" i="10" s="1"/>
  <c r="F35" i="10" a="1"/>
  <c r="F35" i="10" s="1"/>
  <c r="F5" i="10" a="1"/>
  <c r="F5" i="10" s="1"/>
  <c r="F3" i="10" a="1"/>
  <c r="F3" i="10" s="1"/>
  <c r="G54" i="10" l="1"/>
  <c r="N54" i="10"/>
  <c r="E5" i="10" l="1" a="1"/>
  <c r="E5" i="10" s="1"/>
  <c r="H5" i="10" a="1"/>
  <c r="H5" i="10" s="1"/>
  <c r="I5" i="10" a="1"/>
  <c r="I5" i="10" s="1"/>
  <c r="E35" i="10" a="1"/>
  <c r="E35" i="10" s="1"/>
  <c r="H35" i="10" a="1"/>
  <c r="H35" i="10" s="1"/>
  <c r="I35" i="10" a="1"/>
  <c r="I35" i="10" s="1"/>
  <c r="E36" i="10" a="1"/>
  <c r="E36" i="10" s="1"/>
  <c r="H36" i="10" a="1"/>
  <c r="H36" i="10" s="1"/>
  <c r="I36" i="10" a="1"/>
  <c r="I36" i="10" s="1"/>
  <c r="E37" i="10" a="1"/>
  <c r="E37" i="10" s="1"/>
  <c r="H37" i="10" a="1"/>
  <c r="H37" i="10" s="1"/>
  <c r="I37" i="10" a="1"/>
  <c r="I37" i="10" s="1"/>
  <c r="E38" i="10" a="1"/>
  <c r="E38" i="10" s="1"/>
  <c r="H38" i="10" a="1"/>
  <c r="H38" i="10" s="1"/>
  <c r="I38" i="10" a="1"/>
  <c r="I38" i="10" s="1"/>
  <c r="E43" i="10" a="1"/>
  <c r="E43" i="10" s="1"/>
  <c r="H43" i="10" a="1"/>
  <c r="H43" i="10" s="1"/>
  <c r="I43" i="10" a="1"/>
  <c r="I43" i="10" s="1"/>
  <c r="E44" i="10" a="1"/>
  <c r="E44" i="10" s="1"/>
  <c r="H44" i="10" a="1"/>
  <c r="H44" i="10" s="1"/>
  <c r="I44" i="10" a="1"/>
  <c r="I44" i="10" s="1"/>
  <c r="E45" i="10" a="1"/>
  <c r="E45" i="10" s="1"/>
  <c r="H45" i="10" a="1"/>
  <c r="H45" i="10" s="1"/>
  <c r="I45" i="10" a="1"/>
  <c r="I45" i="10" s="1"/>
  <c r="E46" i="10" a="1"/>
  <c r="E46" i="10" s="1"/>
  <c r="H46" i="10" a="1"/>
  <c r="H46" i="10" s="1"/>
  <c r="I46" i="10" a="1"/>
  <c r="I46" i="10" s="1"/>
  <c r="E47" i="10" a="1"/>
  <c r="E47" i="10" s="1"/>
  <c r="H47" i="10" a="1"/>
  <c r="H47" i="10" s="1"/>
  <c r="I47" i="10" a="1"/>
  <c r="I47" i="10" s="1"/>
  <c r="E48" i="10" a="1"/>
  <c r="E48" i="10" s="1"/>
  <c r="H48" i="10" a="1"/>
  <c r="H48" i="10" s="1"/>
  <c r="I48" i="10" a="1"/>
  <c r="I48" i="10" s="1"/>
  <c r="E53" i="10" a="1"/>
  <c r="E53" i="10" s="1"/>
  <c r="H53" i="10" a="1"/>
  <c r="H53" i="10" s="1"/>
  <c r="I53" i="10" a="1"/>
  <c r="I53" i="10" s="1"/>
  <c r="I3" i="10" a="1"/>
  <c r="I3" i="10" s="1"/>
  <c r="H3" i="10" a="1"/>
  <c r="H3" i="10" s="1"/>
  <c r="E3" i="10" a="1"/>
  <c r="E3" i="10" s="1"/>
  <c r="T3" i="10" l="1" a="1"/>
  <c r="T3" i="10" s="1"/>
  <c r="T45" i="10" a="1"/>
  <c r="T45" i="10" s="1"/>
  <c r="T37" i="10" a="1"/>
  <c r="T37" i="10" s="1"/>
  <c r="T53" i="10" a="1"/>
  <c r="T53" i="10" s="1"/>
  <c r="T46" i="10" a="1"/>
  <c r="T46" i="10" s="1"/>
  <c r="T38" i="10" a="1"/>
  <c r="T38" i="10" s="1"/>
  <c r="T5" i="10" a="1"/>
  <c r="T5" i="10" s="1"/>
  <c r="T47" i="10" a="1"/>
  <c r="T47" i="10" s="1"/>
  <c r="T43" i="10" a="1"/>
  <c r="T43" i="10" s="1"/>
  <c r="T35" i="10" a="1"/>
  <c r="T35" i="10" s="1"/>
  <c r="T48" i="10" a="1"/>
  <c r="T48" i="10" s="1"/>
  <c r="T44" i="10" a="1"/>
  <c r="T44" i="10" s="1"/>
  <c r="T36" i="10" a="1"/>
  <c r="T36" i="10" s="1"/>
  <c r="E54" i="10"/>
  <c r="E57" i="10" s="1"/>
  <c r="J19" i="1" l="1"/>
  <c r="K19" i="1"/>
  <c r="M19" i="1"/>
  <c r="N19" i="1"/>
  <c r="O19" i="1"/>
  <c r="P19" i="1"/>
  <c r="Q19" i="1"/>
  <c r="R19" i="1"/>
  <c r="S19" i="1"/>
  <c r="B19" i="1"/>
  <c r="C61" i="10" l="1" a="1"/>
  <c r="C61" i="10" s="1"/>
  <c r="C59" i="10" a="1"/>
  <c r="C59" i="10" s="1"/>
  <c r="C60" i="10" a="1"/>
  <c r="C60" i="10" s="1"/>
  <c r="C58" i="10" a="1"/>
  <c r="C58" i="10" s="1"/>
  <c r="C62" i="10" l="1"/>
  <c r="J45" i="10"/>
  <c r="K45" i="10" s="1"/>
  <c r="S44" i="10"/>
  <c r="S35" i="10"/>
  <c r="S37" i="10"/>
  <c r="S46" i="10"/>
  <c r="S48" i="10"/>
  <c r="J47" i="10"/>
  <c r="K47" i="10" s="1"/>
  <c r="J36" i="10"/>
  <c r="K36" i="10" s="1"/>
  <c r="J35" i="10"/>
  <c r="K35" i="10" s="1"/>
  <c r="J53" i="10"/>
  <c r="K53" i="10" s="1"/>
  <c r="J44" i="10"/>
  <c r="K44" i="10" s="1"/>
  <c r="J46" i="10"/>
  <c r="K46" i="10" s="1"/>
  <c r="S47" i="10"/>
  <c r="S45" i="10"/>
  <c r="S36" i="10"/>
  <c r="J38" i="10"/>
  <c r="K38" i="10" s="1"/>
  <c r="J37" i="10"/>
  <c r="K37" i="10" s="1"/>
  <c r="S38" i="10"/>
  <c r="J48" i="10"/>
  <c r="K48" i="10" s="1"/>
  <c r="S53" i="10"/>
  <c r="J43" i="10"/>
  <c r="K43" i="10" s="1"/>
  <c r="S43" i="10"/>
  <c r="J3" i="10" l="1"/>
  <c r="K3" i="10" s="1"/>
  <c r="J5" i="10"/>
  <c r="K5" i="10" s="1"/>
  <c r="S5" i="10"/>
  <c r="S3" i="10" l="1"/>
  <c r="B20" i="1" l="1"/>
  <c r="J20" i="1"/>
  <c r="K20" i="1"/>
  <c r="L20" i="1"/>
  <c r="M20" i="1"/>
  <c r="N20" i="1"/>
  <c r="O20" i="1"/>
  <c r="P20" i="1"/>
  <c r="Q20" i="1"/>
  <c r="R20" i="1"/>
  <c r="S20" i="1"/>
  <c r="O5" i="1"/>
  <c r="P5" i="1"/>
  <c r="Q5" i="1"/>
  <c r="S5" i="1"/>
  <c r="Q54" i="10" l="1"/>
  <c r="O54" i="10"/>
  <c r="M54" i="10"/>
  <c r="I54" i="10"/>
  <c r="P54" i="10"/>
  <c r="H54" i="10"/>
  <c r="F54" i="10"/>
  <c r="M56" i="10" l="1"/>
  <c r="R54" i="10"/>
  <c r="S54" i="10" s="1"/>
  <c r="J54" i="10"/>
  <c r="K54" i="10" s="1"/>
  <c r="B36" i="16" l="1"/>
  <c r="C36" i="16"/>
  <c r="D36" i="16"/>
  <c r="E36" i="16"/>
  <c r="F36" i="16"/>
  <c r="K36" i="16"/>
  <c r="L36" i="16"/>
  <c r="M36" i="16"/>
  <c r="N36" i="16"/>
  <c r="O36" i="16"/>
  <c r="T36" i="16"/>
  <c r="U36" i="16"/>
  <c r="V36" i="16"/>
  <c r="W36" i="16"/>
  <c r="X36" i="16"/>
  <c r="B50" i="16"/>
  <c r="C50" i="16"/>
  <c r="D50" i="16"/>
  <c r="E50" i="16"/>
  <c r="F50" i="16"/>
  <c r="K50" i="16"/>
  <c r="L50" i="16"/>
  <c r="M50" i="16"/>
  <c r="N50" i="16"/>
  <c r="O50" i="16"/>
  <c r="T50" i="16"/>
  <c r="U50" i="16"/>
  <c r="V50" i="16"/>
  <c r="W50" i="16"/>
  <c r="X50" i="16"/>
  <c r="AB36" i="16" l="1"/>
  <c r="AA36" i="16"/>
  <c r="I50" i="16"/>
  <c r="I36" i="16"/>
  <c r="AA50" i="16"/>
  <c r="AB50" i="16"/>
  <c r="AC50" i="16"/>
  <c r="AF50" i="16"/>
  <c r="AF36" i="16"/>
  <c r="R50" i="16"/>
  <c r="R36" i="16"/>
  <c r="AC36" i="16"/>
  <c r="P36" i="16"/>
  <c r="Q36" i="16" s="1"/>
  <c r="S36" i="16"/>
  <c r="S50" i="16"/>
  <c r="P50" i="16"/>
  <c r="Q50" i="16" s="1"/>
  <c r="G50" i="16"/>
  <c r="H50" i="16" s="1"/>
  <c r="J50" i="16"/>
  <c r="G36" i="16"/>
  <c r="H36" i="16" s="1"/>
  <c r="J36" i="16"/>
  <c r="Y50" i="16"/>
  <c r="Z50" i="16" s="1"/>
  <c r="Y36" i="16"/>
  <c r="Z36" i="16" s="1"/>
  <c r="AE50" i="16" l="1"/>
  <c r="AE36" i="16"/>
  <c r="AD50" i="16"/>
  <c r="AD36" i="16"/>
  <c r="B18" i="16"/>
  <c r="C18" i="16"/>
  <c r="D18" i="16"/>
  <c r="E18" i="16"/>
  <c r="F18" i="16"/>
  <c r="K18" i="16"/>
  <c r="L18" i="16"/>
  <c r="M18" i="16"/>
  <c r="N18" i="16"/>
  <c r="O18" i="16"/>
  <c r="T18" i="16"/>
  <c r="U18" i="16"/>
  <c r="V18" i="16"/>
  <c r="W18" i="16"/>
  <c r="X18" i="16"/>
  <c r="B19" i="16"/>
  <c r="C19" i="16"/>
  <c r="D19" i="16"/>
  <c r="E19" i="16"/>
  <c r="F19" i="16"/>
  <c r="K19" i="16"/>
  <c r="L19" i="16"/>
  <c r="M19" i="16"/>
  <c r="N19" i="16"/>
  <c r="O19" i="16"/>
  <c r="T19" i="16"/>
  <c r="U19" i="16"/>
  <c r="V19" i="16"/>
  <c r="W19" i="16"/>
  <c r="X19" i="16"/>
  <c r="B48" i="16"/>
  <c r="C48" i="16"/>
  <c r="D48" i="16"/>
  <c r="E48" i="16"/>
  <c r="F48" i="16"/>
  <c r="K48" i="16"/>
  <c r="L48" i="16"/>
  <c r="M48" i="16"/>
  <c r="N48" i="16"/>
  <c r="O48" i="16"/>
  <c r="T48" i="16"/>
  <c r="U48" i="16"/>
  <c r="V48" i="16"/>
  <c r="W48" i="16"/>
  <c r="X48" i="16"/>
  <c r="B49" i="16"/>
  <c r="C49" i="16"/>
  <c r="D49" i="16"/>
  <c r="E49" i="16"/>
  <c r="F49" i="16"/>
  <c r="K49" i="16"/>
  <c r="L49" i="16"/>
  <c r="M49" i="16"/>
  <c r="N49" i="16"/>
  <c r="O49" i="16"/>
  <c r="T49" i="16"/>
  <c r="U49" i="16"/>
  <c r="V49" i="16"/>
  <c r="W49" i="16"/>
  <c r="X49" i="16"/>
  <c r="B51" i="16"/>
  <c r="C51" i="16"/>
  <c r="D51" i="16"/>
  <c r="E51" i="16"/>
  <c r="F51" i="16"/>
  <c r="K51" i="16"/>
  <c r="L51" i="16"/>
  <c r="M51" i="16"/>
  <c r="N51" i="16"/>
  <c r="O51" i="16"/>
  <c r="T51" i="16"/>
  <c r="U51" i="16"/>
  <c r="V51" i="16"/>
  <c r="W51" i="16"/>
  <c r="X51" i="16"/>
  <c r="AB18" i="16" l="1"/>
  <c r="I48" i="16"/>
  <c r="AB51" i="16"/>
  <c r="AA18" i="16"/>
  <c r="AB19" i="16"/>
  <c r="AA49" i="16"/>
  <c r="AB48" i="16"/>
  <c r="AA48" i="16"/>
  <c r="AA51" i="16"/>
  <c r="AB49" i="16"/>
  <c r="R51" i="16"/>
  <c r="R48" i="16"/>
  <c r="AF49" i="16"/>
  <c r="AF51" i="16"/>
  <c r="I49" i="16"/>
  <c r="I51" i="16"/>
  <c r="I18" i="16"/>
  <c r="AC48" i="16"/>
  <c r="AA19" i="16"/>
  <c r="AF18" i="16"/>
  <c r="S51" i="16"/>
  <c r="P51" i="16"/>
  <c r="Q51" i="16" s="1"/>
  <c r="R49" i="16"/>
  <c r="AC49" i="16"/>
  <c r="R19" i="16"/>
  <c r="AC19" i="16"/>
  <c r="AC51" i="16"/>
  <c r="S19" i="16"/>
  <c r="P19" i="16"/>
  <c r="Q19" i="16" s="1"/>
  <c r="R18" i="16"/>
  <c r="AC18" i="16"/>
  <c r="P18" i="16"/>
  <c r="Q18" i="16" s="1"/>
  <c r="S18" i="16"/>
  <c r="P48" i="16"/>
  <c r="Q48" i="16" s="1"/>
  <c r="S48" i="16"/>
  <c r="AF48" i="16"/>
  <c r="S49" i="16"/>
  <c r="P49" i="16"/>
  <c r="Q49" i="16" s="1"/>
  <c r="AF19" i="16"/>
  <c r="I19" i="16"/>
  <c r="G19" i="16"/>
  <c r="H19" i="16" s="1"/>
  <c r="J19" i="16"/>
  <c r="J18" i="16"/>
  <c r="G18" i="16"/>
  <c r="H18" i="16" s="1"/>
  <c r="G48" i="16"/>
  <c r="H48" i="16" s="1"/>
  <c r="J48" i="16"/>
  <c r="J49" i="16"/>
  <c r="G49" i="16"/>
  <c r="H49" i="16" s="1"/>
  <c r="J51" i="16"/>
  <c r="G51" i="16"/>
  <c r="H51" i="16" s="1"/>
  <c r="Y18" i="16"/>
  <c r="Z18" i="16" s="1"/>
  <c r="Y19" i="16"/>
  <c r="Z19" i="16" s="1"/>
  <c r="Y48" i="16"/>
  <c r="Z48" i="16" s="1"/>
  <c r="Y51" i="16"/>
  <c r="Z51" i="16" s="1"/>
  <c r="Y49" i="16"/>
  <c r="Z49" i="16" s="1"/>
  <c r="AE48" i="16" l="1"/>
  <c r="AD18" i="16"/>
  <c r="AE51" i="16"/>
  <c r="AD48" i="16"/>
  <c r="AD51" i="16"/>
  <c r="AE49" i="16"/>
  <c r="AD49" i="16"/>
  <c r="AE19" i="16"/>
  <c r="AE18" i="16"/>
  <c r="AD19" i="16"/>
  <c r="X65" i="16"/>
  <c r="X63" i="16" s="1"/>
  <c r="W65" i="16"/>
  <c r="W63" i="16" s="1"/>
  <c r="V65" i="16"/>
  <c r="V63" i="16" s="1"/>
  <c r="U65" i="16"/>
  <c r="U63" i="16" s="1"/>
  <c r="T65" i="16"/>
  <c r="T63" i="16" s="1"/>
  <c r="X12" i="16"/>
  <c r="W12" i="16"/>
  <c r="V12" i="16"/>
  <c r="U12" i="16"/>
  <c r="T12" i="16"/>
  <c r="X11" i="16"/>
  <c r="W11" i="16"/>
  <c r="V11" i="16"/>
  <c r="U11" i="16"/>
  <c r="T11" i="16"/>
  <c r="X10" i="16"/>
  <c r="W10" i="16"/>
  <c r="V10" i="16"/>
  <c r="U10" i="16"/>
  <c r="T10" i="16"/>
  <c r="X7" i="16"/>
  <c r="X8" i="16" s="1"/>
  <c r="W7" i="16"/>
  <c r="W8" i="16" s="1"/>
  <c r="V7" i="16"/>
  <c r="U7" i="16"/>
  <c r="T7" i="16"/>
  <c r="T8" i="16" s="1"/>
  <c r="X4" i="16"/>
  <c r="W4" i="16"/>
  <c r="V4" i="16"/>
  <c r="U4" i="16"/>
  <c r="T4" i="16"/>
  <c r="X5" i="16"/>
  <c r="W5" i="16"/>
  <c r="V5" i="16"/>
  <c r="U5" i="16"/>
  <c r="T5" i="16"/>
  <c r="X59" i="16"/>
  <c r="W59" i="16"/>
  <c r="V59" i="16"/>
  <c r="U59" i="16"/>
  <c r="T59" i="16"/>
  <c r="X58" i="16"/>
  <c r="W58" i="16"/>
  <c r="V58" i="16"/>
  <c r="U58" i="16"/>
  <c r="T58" i="16"/>
  <c r="X57" i="16"/>
  <c r="W57" i="16"/>
  <c r="V57" i="16"/>
  <c r="U57" i="16"/>
  <c r="T57" i="16"/>
  <c r="X56" i="16"/>
  <c r="W56" i="16"/>
  <c r="V56" i="16"/>
  <c r="U56" i="16"/>
  <c r="T56" i="16"/>
  <c r="X22" i="16"/>
  <c r="W22" i="16"/>
  <c r="V22" i="16"/>
  <c r="U22" i="16"/>
  <c r="T22" i="16"/>
  <c r="X21" i="16"/>
  <c r="W21" i="16"/>
  <c r="V21" i="16"/>
  <c r="U21" i="16"/>
  <c r="T21" i="16"/>
  <c r="X17" i="16"/>
  <c r="W17" i="16"/>
  <c r="V17" i="16"/>
  <c r="U17" i="16"/>
  <c r="T17" i="16"/>
  <c r="X15" i="16"/>
  <c r="W15" i="16"/>
  <c r="V15" i="16"/>
  <c r="U15" i="16"/>
  <c r="T15" i="16"/>
  <c r="X14" i="16"/>
  <c r="W14" i="16"/>
  <c r="V14" i="16"/>
  <c r="U14" i="16"/>
  <c r="T14" i="16"/>
  <c r="X20" i="16"/>
  <c r="W20" i="16"/>
  <c r="V20" i="16"/>
  <c r="U20" i="16"/>
  <c r="T20" i="16"/>
  <c r="X44" i="16"/>
  <c r="W44" i="16"/>
  <c r="V44" i="16"/>
  <c r="U44" i="16"/>
  <c r="T44" i="16"/>
  <c r="X43" i="16"/>
  <c r="W43" i="16"/>
  <c r="V43" i="16"/>
  <c r="U43" i="16"/>
  <c r="T43" i="16"/>
  <c r="X41" i="16"/>
  <c r="W41" i="16"/>
  <c r="V41" i="16"/>
  <c r="U41" i="16"/>
  <c r="T41" i="16"/>
  <c r="X42" i="16"/>
  <c r="W42" i="16"/>
  <c r="V42" i="16"/>
  <c r="U42" i="16"/>
  <c r="T42" i="16"/>
  <c r="X16" i="16"/>
  <c r="W16" i="16"/>
  <c r="V16" i="16"/>
  <c r="U16" i="16"/>
  <c r="T16" i="16"/>
  <c r="X24" i="16"/>
  <c r="W24" i="16"/>
  <c r="V24" i="16"/>
  <c r="U24" i="16"/>
  <c r="T24" i="16"/>
  <c r="X25" i="16"/>
  <c r="W25" i="16"/>
  <c r="V25" i="16"/>
  <c r="U25" i="16"/>
  <c r="T25" i="16"/>
  <c r="X27" i="16"/>
  <c r="W27" i="16"/>
  <c r="V27" i="16"/>
  <c r="U27" i="16"/>
  <c r="T27" i="16"/>
  <c r="X28" i="16"/>
  <c r="W28" i="16"/>
  <c r="V28" i="16"/>
  <c r="U28" i="16"/>
  <c r="T28" i="16"/>
  <c r="X52" i="16"/>
  <c r="W52" i="16"/>
  <c r="V52" i="16"/>
  <c r="U52" i="16"/>
  <c r="T52" i="16"/>
  <c r="X47" i="16"/>
  <c r="W47" i="16"/>
  <c r="V47" i="16"/>
  <c r="U47" i="16"/>
  <c r="T47" i="16"/>
  <c r="X46" i="16"/>
  <c r="W46" i="16"/>
  <c r="V46" i="16"/>
  <c r="U46" i="16"/>
  <c r="T46" i="16"/>
  <c r="X45" i="16"/>
  <c r="W45" i="16"/>
  <c r="V45" i="16"/>
  <c r="U45" i="16"/>
  <c r="T45" i="16"/>
  <c r="X53" i="16"/>
  <c r="W53" i="16"/>
  <c r="V53" i="16"/>
  <c r="U53" i="16"/>
  <c r="T53" i="16"/>
  <c r="X40" i="16"/>
  <c r="W40" i="16"/>
  <c r="V40" i="16"/>
  <c r="U40" i="16"/>
  <c r="T40" i="16"/>
  <c r="X39" i="16"/>
  <c r="W39" i="16"/>
  <c r="V39" i="16"/>
  <c r="U39" i="16"/>
  <c r="T39" i="16"/>
  <c r="X37" i="16"/>
  <c r="W37" i="16"/>
  <c r="V37" i="16"/>
  <c r="U37" i="16"/>
  <c r="T37" i="16"/>
  <c r="X38" i="16"/>
  <c r="W38" i="16"/>
  <c r="V38" i="16"/>
  <c r="U38" i="16"/>
  <c r="T38" i="16"/>
  <c r="X32" i="16"/>
  <c r="W32" i="16"/>
  <c r="V32" i="16"/>
  <c r="U32" i="16"/>
  <c r="T32" i="16"/>
  <c r="X35" i="16"/>
  <c r="W35" i="16"/>
  <c r="V35" i="16"/>
  <c r="U35" i="16"/>
  <c r="T35" i="16"/>
  <c r="X31" i="16"/>
  <c r="W31" i="16"/>
  <c r="V31" i="16"/>
  <c r="U31" i="16"/>
  <c r="T31" i="16"/>
  <c r="X33" i="16"/>
  <c r="W33" i="16"/>
  <c r="V33" i="16"/>
  <c r="U33" i="16"/>
  <c r="T33" i="16"/>
  <c r="X34" i="16"/>
  <c r="W34" i="16"/>
  <c r="V34" i="16"/>
  <c r="U34" i="16"/>
  <c r="T34" i="16"/>
  <c r="X55" i="16"/>
  <c r="W55" i="16"/>
  <c r="V55" i="16"/>
  <c r="U55" i="16"/>
  <c r="T55" i="16"/>
  <c r="X54" i="16"/>
  <c r="W54" i="16"/>
  <c r="V54" i="16"/>
  <c r="U54" i="16"/>
  <c r="T54" i="16"/>
  <c r="X60" i="16"/>
  <c r="W60" i="16"/>
  <c r="V60" i="16"/>
  <c r="U60" i="16"/>
  <c r="T60" i="16"/>
  <c r="X3" i="16"/>
  <c r="W3" i="16"/>
  <c r="V3" i="16"/>
  <c r="U3" i="16"/>
  <c r="T3" i="16"/>
  <c r="X9" i="16"/>
  <c r="W9" i="16"/>
  <c r="V9" i="16"/>
  <c r="U9" i="16"/>
  <c r="T9" i="16"/>
  <c r="W13" i="16" l="1"/>
  <c r="W6" i="16"/>
  <c r="AA54" i="16"/>
  <c r="AA37" i="16"/>
  <c r="AA28" i="16"/>
  <c r="AA44" i="16"/>
  <c r="AA17" i="16"/>
  <c r="T13" i="16"/>
  <c r="T6" i="16"/>
  <c r="X6" i="16"/>
  <c r="W26" i="16"/>
  <c r="X13" i="16"/>
  <c r="AA34" i="16"/>
  <c r="AA32" i="16"/>
  <c r="AA40" i="16"/>
  <c r="AA25" i="16"/>
  <c r="AA59" i="16"/>
  <c r="AB34" i="16"/>
  <c r="AB39" i="16"/>
  <c r="AB20" i="16"/>
  <c r="AB44" i="16"/>
  <c r="AB17" i="16"/>
  <c r="AB57" i="16"/>
  <c r="AB4" i="16"/>
  <c r="AB43" i="16"/>
  <c r="AB56" i="16"/>
  <c r="AA5" i="16"/>
  <c r="AA11" i="16"/>
  <c r="AB55" i="16"/>
  <c r="AB32" i="16"/>
  <c r="AB40" i="16"/>
  <c r="AB47" i="16"/>
  <c r="AB25" i="16"/>
  <c r="AB59" i="16"/>
  <c r="AB11" i="16"/>
  <c r="AA47" i="16"/>
  <c r="AA41" i="16"/>
  <c r="AB12" i="16"/>
  <c r="AA57" i="16"/>
  <c r="AA12" i="16"/>
  <c r="T61" i="16"/>
  <c r="AB60" i="16"/>
  <c r="AA45" i="16"/>
  <c r="AA16" i="16"/>
  <c r="AB58" i="16"/>
  <c r="AA4" i="16"/>
  <c r="AB54" i="16"/>
  <c r="AA33" i="16"/>
  <c r="AB37" i="16"/>
  <c r="AA53" i="16"/>
  <c r="AB28" i="16"/>
  <c r="X29" i="16"/>
  <c r="AA24" i="16"/>
  <c r="V26" i="16"/>
  <c r="AA15" i="16"/>
  <c r="AB35" i="16"/>
  <c r="AB46" i="16"/>
  <c r="AB42" i="16"/>
  <c r="T23" i="16"/>
  <c r="AB21" i="16"/>
  <c r="AB7" i="16"/>
  <c r="U8" i="16"/>
  <c r="AB8" i="16" s="1"/>
  <c r="U13" i="16"/>
  <c r="AB9" i="16"/>
  <c r="V13" i="16"/>
  <c r="AA13" i="16" s="1"/>
  <c r="AA9" i="16"/>
  <c r="AA35" i="16"/>
  <c r="AA46" i="16"/>
  <c r="X26" i="16"/>
  <c r="AA42" i="16"/>
  <c r="AB14" i="16"/>
  <c r="U23" i="16"/>
  <c r="AA21" i="16"/>
  <c r="V8" i="16"/>
  <c r="AA8" i="16" s="1"/>
  <c r="AA7" i="16"/>
  <c r="AB52" i="16"/>
  <c r="V23" i="16"/>
  <c r="AA14" i="16"/>
  <c r="AB38" i="16"/>
  <c r="AA60" i="16"/>
  <c r="AB31" i="16"/>
  <c r="U61" i="16"/>
  <c r="AA38" i="16"/>
  <c r="AB45" i="16"/>
  <c r="AA52" i="16"/>
  <c r="T29" i="16"/>
  <c r="AB16" i="16"/>
  <c r="AA43" i="16"/>
  <c r="W23" i="16"/>
  <c r="AA56" i="16"/>
  <c r="AB27" i="16"/>
  <c r="U29" i="16"/>
  <c r="X23" i="16"/>
  <c r="AB3" i="16"/>
  <c r="U6" i="16"/>
  <c r="AA55" i="16"/>
  <c r="W61" i="16"/>
  <c r="AA39" i="16"/>
  <c r="V29" i="16"/>
  <c r="AA27" i="16"/>
  <c r="T26" i="16"/>
  <c r="AB41" i="16"/>
  <c r="AA20" i="16"/>
  <c r="AB22" i="16"/>
  <c r="AA58" i="16"/>
  <c r="AB10" i="16"/>
  <c r="V61" i="16"/>
  <c r="AA31" i="16"/>
  <c r="V6" i="16"/>
  <c r="AA3" i="16"/>
  <c r="AB33" i="16"/>
  <c r="X61" i="16"/>
  <c r="AB53" i="16"/>
  <c r="W29" i="16"/>
  <c r="U26" i="16"/>
  <c r="AB26" i="16" s="1"/>
  <c r="AB24" i="16"/>
  <c r="AB15" i="16"/>
  <c r="AA22" i="16"/>
  <c r="AB5" i="16"/>
  <c r="AA10" i="16"/>
  <c r="Y31" i="16"/>
  <c r="Y57" i="16"/>
  <c r="Z57" i="16" s="1"/>
  <c r="Y52" i="16"/>
  <c r="Z52" i="16" s="1"/>
  <c r="Y47" i="16"/>
  <c r="Z47" i="16" s="1"/>
  <c r="Y56" i="16"/>
  <c r="Z56" i="16" s="1"/>
  <c r="Y45" i="16"/>
  <c r="Z45" i="16" s="1"/>
  <c r="Y46" i="16"/>
  <c r="Z46" i="16" s="1"/>
  <c r="Y20" i="16"/>
  <c r="Z20" i="16" s="1"/>
  <c r="Y11" i="16"/>
  <c r="Z11" i="16" s="1"/>
  <c r="Y41" i="16"/>
  <c r="Z41" i="16" s="1"/>
  <c r="Y58" i="16"/>
  <c r="Z58" i="16" s="1"/>
  <c r="Y53" i="16"/>
  <c r="Z53" i="16" s="1"/>
  <c r="Y42" i="16"/>
  <c r="Z42" i="16" s="1"/>
  <c r="Y59" i="16"/>
  <c r="Z59" i="16" s="1"/>
  <c r="Y25" i="16"/>
  <c r="Z25" i="16" s="1"/>
  <c r="Y14" i="16"/>
  <c r="Y21" i="16"/>
  <c r="Z21" i="16" s="1"/>
  <c r="Y35" i="16"/>
  <c r="Z35" i="16" s="1"/>
  <c r="Y34" i="16"/>
  <c r="Z34" i="16" s="1"/>
  <c r="Y32" i="16"/>
  <c r="Z32" i="16" s="1"/>
  <c r="Y5" i="16"/>
  <c r="Z5" i="16" s="1"/>
  <c r="Y33" i="16"/>
  <c r="Z33" i="16" s="1"/>
  <c r="Y27" i="16"/>
  <c r="Y43" i="16"/>
  <c r="Z43" i="16" s="1"/>
  <c r="Y44" i="16"/>
  <c r="Z44" i="16" s="1"/>
  <c r="Y54" i="16"/>
  <c r="Z54" i="16" s="1"/>
  <c r="Y40" i="16"/>
  <c r="Z40" i="16" s="1"/>
  <c r="Y3" i="16"/>
  <c r="Y37" i="16"/>
  <c r="Z37" i="16" s="1"/>
  <c r="Y9" i="16"/>
  <c r="Y60" i="16"/>
  <c r="Z60" i="16" s="1"/>
  <c r="Y55" i="16"/>
  <c r="Z55" i="16" s="1"/>
  <c r="Y38" i="16"/>
  <c r="Z38" i="16" s="1"/>
  <c r="Y39" i="16"/>
  <c r="Z39" i="16" s="1"/>
  <c r="Y15" i="16"/>
  <c r="Z15" i="16" s="1"/>
  <c r="Y17" i="16"/>
  <c r="Z17" i="16" s="1"/>
  <c r="Y28" i="16"/>
  <c r="Z28" i="16" s="1"/>
  <c r="Y22" i="16"/>
  <c r="Z22" i="16" s="1"/>
  <c r="Y7" i="16"/>
  <c r="Y10" i="16"/>
  <c r="Z10" i="16" s="1"/>
  <c r="Y24" i="16"/>
  <c r="Y16" i="16"/>
  <c r="Z16" i="16" s="1"/>
  <c r="Y4" i="16"/>
  <c r="Z4" i="16" s="1"/>
  <c r="Y12" i="16"/>
  <c r="Z12" i="16" s="1"/>
  <c r="B4" i="16"/>
  <c r="C4" i="16"/>
  <c r="D4" i="16"/>
  <c r="E4" i="16"/>
  <c r="F4" i="16"/>
  <c r="K4" i="16"/>
  <c r="L4" i="16"/>
  <c r="M4" i="16"/>
  <c r="N4" i="16"/>
  <c r="O4" i="16"/>
  <c r="B7" i="16"/>
  <c r="C7" i="16"/>
  <c r="D7" i="16"/>
  <c r="E7" i="16"/>
  <c r="E8" i="16" s="1"/>
  <c r="F7" i="16"/>
  <c r="K7" i="16"/>
  <c r="K8" i="16" s="1"/>
  <c r="L7" i="16"/>
  <c r="M7" i="16"/>
  <c r="N7" i="16"/>
  <c r="N8" i="16" s="1"/>
  <c r="O7" i="16"/>
  <c r="O8" i="16" s="1"/>
  <c r="B10" i="16"/>
  <c r="C10" i="16"/>
  <c r="D10" i="16"/>
  <c r="E10" i="16"/>
  <c r="F10" i="16"/>
  <c r="K10" i="16"/>
  <c r="L10" i="16"/>
  <c r="M10" i="16"/>
  <c r="N10" i="16"/>
  <c r="O10" i="16"/>
  <c r="B11" i="16"/>
  <c r="C11" i="16"/>
  <c r="D11" i="16"/>
  <c r="E11" i="16"/>
  <c r="F11" i="16"/>
  <c r="K11" i="16"/>
  <c r="L11" i="16"/>
  <c r="M11" i="16"/>
  <c r="N11" i="16"/>
  <c r="O11" i="16"/>
  <c r="AB13" i="16" l="1"/>
  <c r="AA6" i="16"/>
  <c r="AB6" i="16"/>
  <c r="AA26" i="16"/>
  <c r="W30" i="16"/>
  <c r="W62" i="16" s="1"/>
  <c r="R10" i="16"/>
  <c r="AA29" i="16"/>
  <c r="T30" i="16"/>
  <c r="T62" i="16" s="1"/>
  <c r="X30" i="16"/>
  <c r="X62" i="16" s="1"/>
  <c r="R4" i="16"/>
  <c r="Z14" i="16"/>
  <c r="Z23" i="16" s="1"/>
  <c r="Y23" i="16"/>
  <c r="AB61" i="16"/>
  <c r="Y29" i="16"/>
  <c r="Z27" i="16"/>
  <c r="Z29" i="16" s="1"/>
  <c r="Z24" i="16"/>
  <c r="Z26" i="16" s="1"/>
  <c r="Y26" i="16"/>
  <c r="Y6" i="16"/>
  <c r="Z3" i="16"/>
  <c r="Z6" i="16" s="1"/>
  <c r="Y8" i="16"/>
  <c r="Z7" i="16"/>
  <c r="Z8" i="16" s="1"/>
  <c r="AA61" i="16"/>
  <c r="U30" i="16"/>
  <c r="Y13" i="16"/>
  <c r="Z9" i="16"/>
  <c r="Z13" i="16" s="1"/>
  <c r="V30" i="16"/>
  <c r="AB23" i="16"/>
  <c r="AB29" i="16"/>
  <c r="Z31" i="16"/>
  <c r="Y61" i="16"/>
  <c r="Z61" i="16" s="1"/>
  <c r="AA23" i="16"/>
  <c r="S11" i="16"/>
  <c r="P11" i="16"/>
  <c r="Q11" i="16" s="1"/>
  <c r="R11" i="16"/>
  <c r="AC11" i="16"/>
  <c r="AF10" i="16"/>
  <c r="R7" i="16"/>
  <c r="M8" i="16"/>
  <c r="R8" i="16" s="1"/>
  <c r="AF4" i="16"/>
  <c r="AF11" i="16"/>
  <c r="AC10" i="16"/>
  <c r="AC4" i="16"/>
  <c r="S10" i="16"/>
  <c r="P10" i="16"/>
  <c r="Q10" i="16" s="1"/>
  <c r="P4" i="16"/>
  <c r="Q4" i="16" s="1"/>
  <c r="S4" i="16"/>
  <c r="L8" i="16"/>
  <c r="S8" i="16" s="1"/>
  <c r="P7" i="16"/>
  <c r="S7" i="16"/>
  <c r="G7" i="16"/>
  <c r="J7" i="16"/>
  <c r="C8" i="16"/>
  <c r="J8" i="16" s="1"/>
  <c r="B8" i="16"/>
  <c r="AC7" i="16"/>
  <c r="AC8" i="16" s="1"/>
  <c r="I10" i="16"/>
  <c r="I4" i="16"/>
  <c r="J11" i="16"/>
  <c r="G11" i="16"/>
  <c r="H11" i="16" s="1"/>
  <c r="J10" i="16"/>
  <c r="AE10" i="16" s="1"/>
  <c r="G10" i="16"/>
  <c r="H10" i="16" s="1"/>
  <c r="J4" i="16"/>
  <c r="G4" i="16"/>
  <c r="H4" i="16" s="1"/>
  <c r="AF7" i="16"/>
  <c r="AF8" i="16" s="1"/>
  <c r="F8" i="16"/>
  <c r="I11" i="16"/>
  <c r="D8" i="16"/>
  <c r="I8" i="16" s="1"/>
  <c r="I7" i="16"/>
  <c r="B17" i="16"/>
  <c r="C17" i="16"/>
  <c r="D17" i="16"/>
  <c r="E17" i="16"/>
  <c r="F17" i="16"/>
  <c r="K17" i="16"/>
  <c r="L17" i="16"/>
  <c r="M17" i="16"/>
  <c r="N17" i="16"/>
  <c r="O17" i="16"/>
  <c r="B53" i="16"/>
  <c r="C53" i="16"/>
  <c r="D53" i="16"/>
  <c r="E53" i="16"/>
  <c r="F53" i="16"/>
  <c r="K53" i="16"/>
  <c r="L53" i="16"/>
  <c r="M53" i="16"/>
  <c r="N53" i="16"/>
  <c r="O53" i="16"/>
  <c r="B45" i="16"/>
  <c r="C45" i="16"/>
  <c r="D45" i="16"/>
  <c r="E45" i="16"/>
  <c r="F45" i="16"/>
  <c r="K45" i="16"/>
  <c r="L45" i="16"/>
  <c r="M45" i="16"/>
  <c r="N45" i="16"/>
  <c r="O45" i="16"/>
  <c r="AB30" i="16" l="1"/>
  <c r="AD10" i="16"/>
  <c r="AD11" i="16"/>
  <c r="AD4" i="16"/>
  <c r="Y30" i="16"/>
  <c r="Y62" i="16" s="1"/>
  <c r="Z62" i="16" s="1"/>
  <c r="AE4" i="16"/>
  <c r="AE7" i="16"/>
  <c r="AE8" i="16" s="1"/>
  <c r="U62" i="16"/>
  <c r="AA62" i="16" s="1"/>
  <c r="V62" i="16"/>
  <c r="AB62" i="16" s="1"/>
  <c r="AA30" i="16"/>
  <c r="Z30" i="16"/>
  <c r="R45" i="16"/>
  <c r="AC45" i="16"/>
  <c r="AF53" i="16"/>
  <c r="R17" i="16"/>
  <c r="AC17" i="16"/>
  <c r="P17" i="16"/>
  <c r="Q17" i="16" s="1"/>
  <c r="S17" i="16"/>
  <c r="AD7" i="16"/>
  <c r="AD8" i="16" s="1"/>
  <c r="R53" i="16"/>
  <c r="AC53" i="16"/>
  <c r="AF17" i="16"/>
  <c r="P45" i="16"/>
  <c r="Q45" i="16" s="1"/>
  <c r="S45" i="16"/>
  <c r="AF45" i="16"/>
  <c r="S53" i="16"/>
  <c r="P53" i="16"/>
  <c r="Q53" i="16" s="1"/>
  <c r="AE11" i="16"/>
  <c r="Q7" i="16"/>
  <c r="Q8" i="16" s="1"/>
  <c r="P8" i="16"/>
  <c r="I45" i="16"/>
  <c r="I17" i="16"/>
  <c r="J45" i="16"/>
  <c r="G45" i="16"/>
  <c r="H45" i="16" s="1"/>
  <c r="J17" i="16"/>
  <c r="G17" i="16"/>
  <c r="H17" i="16" s="1"/>
  <c r="I53" i="16"/>
  <c r="J53" i="16"/>
  <c r="G53" i="16"/>
  <c r="H53" i="16" s="1"/>
  <c r="H7" i="16"/>
  <c r="H8" i="16" s="1"/>
  <c r="G8" i="16"/>
  <c r="AD53" i="16" l="1"/>
  <c r="AE45" i="16"/>
  <c r="AD17" i="16"/>
  <c r="AE17" i="16"/>
  <c r="AD45" i="16"/>
  <c r="AE53" i="16"/>
  <c r="B38" i="16" l="1"/>
  <c r="C38" i="16"/>
  <c r="D38" i="16"/>
  <c r="E38" i="16"/>
  <c r="F38" i="16"/>
  <c r="K38" i="16"/>
  <c r="L38" i="16"/>
  <c r="M38" i="16"/>
  <c r="N38" i="16"/>
  <c r="O38" i="16"/>
  <c r="B37" i="16"/>
  <c r="C37" i="16"/>
  <c r="D37" i="16"/>
  <c r="E37" i="16"/>
  <c r="F37" i="16"/>
  <c r="K37" i="16"/>
  <c r="L37" i="16"/>
  <c r="M37" i="16"/>
  <c r="N37" i="16"/>
  <c r="O37" i="16"/>
  <c r="B39" i="16"/>
  <c r="C39" i="16"/>
  <c r="D39" i="16"/>
  <c r="E39" i="16"/>
  <c r="F39" i="16"/>
  <c r="K39" i="16"/>
  <c r="L39" i="16"/>
  <c r="M39" i="16"/>
  <c r="N39" i="16"/>
  <c r="O39" i="16"/>
  <c r="B40" i="16"/>
  <c r="C40" i="16"/>
  <c r="D40" i="16"/>
  <c r="E40" i="16"/>
  <c r="F40" i="16"/>
  <c r="K40" i="16"/>
  <c r="L40" i="16"/>
  <c r="M40" i="16"/>
  <c r="N40" i="16"/>
  <c r="O40" i="16"/>
  <c r="B46" i="16"/>
  <c r="C46" i="16"/>
  <c r="D46" i="16"/>
  <c r="E46" i="16"/>
  <c r="F46" i="16"/>
  <c r="K46" i="16"/>
  <c r="L46" i="16"/>
  <c r="M46" i="16"/>
  <c r="N46" i="16"/>
  <c r="O46" i="16"/>
  <c r="B47" i="16"/>
  <c r="C47" i="16"/>
  <c r="D47" i="16"/>
  <c r="E47" i="16"/>
  <c r="F47" i="16"/>
  <c r="K47" i="16"/>
  <c r="L47" i="16"/>
  <c r="M47" i="16"/>
  <c r="N47" i="16"/>
  <c r="O47" i="16"/>
  <c r="B52" i="16"/>
  <c r="C52" i="16"/>
  <c r="D52" i="16"/>
  <c r="E52" i="16"/>
  <c r="F52" i="16"/>
  <c r="K52" i="16"/>
  <c r="L52" i="16"/>
  <c r="M52" i="16"/>
  <c r="N52" i="16"/>
  <c r="O52" i="16"/>
  <c r="B28" i="16"/>
  <c r="C28" i="16"/>
  <c r="D28" i="16"/>
  <c r="E28" i="16"/>
  <c r="F28" i="16"/>
  <c r="K28" i="16"/>
  <c r="L28" i="16"/>
  <c r="M28" i="16"/>
  <c r="N28" i="16"/>
  <c r="O28" i="16"/>
  <c r="B27" i="16"/>
  <c r="C27" i="16"/>
  <c r="D27" i="16"/>
  <c r="E27" i="16"/>
  <c r="F27" i="16"/>
  <c r="K27" i="16"/>
  <c r="L27" i="16"/>
  <c r="M27" i="16"/>
  <c r="N27" i="16"/>
  <c r="O27" i="16"/>
  <c r="B25" i="16"/>
  <c r="C25" i="16"/>
  <c r="D25" i="16"/>
  <c r="E25" i="16"/>
  <c r="F25" i="16"/>
  <c r="K25" i="16"/>
  <c r="L25" i="16"/>
  <c r="M25" i="16"/>
  <c r="N25" i="16"/>
  <c r="O25" i="16"/>
  <c r="B24" i="16"/>
  <c r="C24" i="16"/>
  <c r="D24" i="16"/>
  <c r="E24" i="16"/>
  <c r="F24" i="16"/>
  <c r="K24" i="16"/>
  <c r="L24" i="16"/>
  <c r="M24" i="16"/>
  <c r="N24" i="16"/>
  <c r="O24" i="16"/>
  <c r="B16" i="16"/>
  <c r="C16" i="16"/>
  <c r="D16" i="16"/>
  <c r="E16" i="16"/>
  <c r="F16" i="16"/>
  <c r="K16" i="16"/>
  <c r="L16" i="16"/>
  <c r="M16" i="16"/>
  <c r="N16" i="16"/>
  <c r="O16" i="16"/>
  <c r="B42" i="16"/>
  <c r="C42" i="16"/>
  <c r="D42" i="16"/>
  <c r="E42" i="16"/>
  <c r="F42" i="16"/>
  <c r="K42" i="16"/>
  <c r="L42" i="16"/>
  <c r="M42" i="16"/>
  <c r="N42" i="16"/>
  <c r="O42" i="16"/>
  <c r="N26" i="16" l="1"/>
  <c r="N29" i="16"/>
  <c r="R25" i="16"/>
  <c r="R37" i="16"/>
  <c r="R16" i="16"/>
  <c r="O26" i="16"/>
  <c r="R28" i="16"/>
  <c r="R47" i="16"/>
  <c r="R40" i="16"/>
  <c r="I16" i="16"/>
  <c r="I28" i="16"/>
  <c r="R42" i="16"/>
  <c r="E26" i="16"/>
  <c r="R52" i="16"/>
  <c r="R46" i="16"/>
  <c r="R39" i="16"/>
  <c r="K29" i="16"/>
  <c r="K26" i="16"/>
  <c r="I25" i="16"/>
  <c r="I47" i="16"/>
  <c r="I37" i="16"/>
  <c r="E29" i="16"/>
  <c r="I40" i="16"/>
  <c r="AC16" i="16"/>
  <c r="AC25" i="16"/>
  <c r="AC28" i="16"/>
  <c r="AF52" i="16"/>
  <c r="AC47" i="16"/>
  <c r="AF46" i="16"/>
  <c r="AC40" i="16"/>
  <c r="AF39" i="16"/>
  <c r="AC37" i="16"/>
  <c r="AF38" i="16"/>
  <c r="AF42" i="16"/>
  <c r="P16" i="16"/>
  <c r="Q16" i="16" s="1"/>
  <c r="S16" i="16"/>
  <c r="S25" i="16"/>
  <c r="P25" i="16"/>
  <c r="Q25" i="16" s="1"/>
  <c r="P28" i="16"/>
  <c r="Q28" i="16" s="1"/>
  <c r="S28" i="16"/>
  <c r="S47" i="16"/>
  <c r="P47" i="16"/>
  <c r="Q47" i="16" s="1"/>
  <c r="S40" i="16"/>
  <c r="P40" i="16"/>
  <c r="Q40" i="16" s="1"/>
  <c r="P37" i="16"/>
  <c r="Q37" i="16" s="1"/>
  <c r="S37" i="16"/>
  <c r="AC42" i="16"/>
  <c r="AF16" i="16"/>
  <c r="R24" i="16"/>
  <c r="M26" i="16"/>
  <c r="AF25" i="16"/>
  <c r="R27" i="16"/>
  <c r="M29" i="16"/>
  <c r="AF28" i="16"/>
  <c r="AC52" i="16"/>
  <c r="AF47" i="16"/>
  <c r="AC46" i="16"/>
  <c r="AF40" i="16"/>
  <c r="AC39" i="16"/>
  <c r="AF37" i="16"/>
  <c r="R38" i="16"/>
  <c r="AC38" i="16"/>
  <c r="O29" i="16"/>
  <c r="P42" i="16"/>
  <c r="Q42" i="16" s="1"/>
  <c r="S42" i="16"/>
  <c r="L26" i="16"/>
  <c r="P24" i="16"/>
  <c r="S24" i="16"/>
  <c r="L29" i="16"/>
  <c r="S27" i="16"/>
  <c r="P27" i="16"/>
  <c r="P52" i="16"/>
  <c r="Q52" i="16" s="1"/>
  <c r="S52" i="16"/>
  <c r="P46" i="16"/>
  <c r="Q46" i="16" s="1"/>
  <c r="S46" i="16"/>
  <c r="S39" i="16"/>
  <c r="P39" i="16"/>
  <c r="Q39" i="16" s="1"/>
  <c r="P38" i="16"/>
  <c r="Q38" i="16" s="1"/>
  <c r="S38" i="16"/>
  <c r="G16" i="16"/>
  <c r="H16" i="16" s="1"/>
  <c r="J16" i="16"/>
  <c r="G25" i="16"/>
  <c r="H25" i="16" s="1"/>
  <c r="J25" i="16"/>
  <c r="J28" i="16"/>
  <c r="G28" i="16"/>
  <c r="H28" i="16" s="1"/>
  <c r="G47" i="16"/>
  <c r="H47" i="16" s="1"/>
  <c r="J47" i="16"/>
  <c r="G40" i="16"/>
  <c r="H40" i="16" s="1"/>
  <c r="J40" i="16"/>
  <c r="J37" i="16"/>
  <c r="G37" i="16"/>
  <c r="H37" i="16" s="1"/>
  <c r="F29" i="16"/>
  <c r="AF27" i="16"/>
  <c r="I42" i="16"/>
  <c r="I24" i="16"/>
  <c r="D26" i="16"/>
  <c r="D29" i="16"/>
  <c r="I27" i="16"/>
  <c r="I52" i="16"/>
  <c r="I46" i="16"/>
  <c r="I39" i="16"/>
  <c r="I38" i="16"/>
  <c r="AF24" i="16"/>
  <c r="AF26" i="16" s="1"/>
  <c r="F26" i="16"/>
  <c r="J42" i="16"/>
  <c r="AE42" i="16" s="1"/>
  <c r="G42" i="16"/>
  <c r="H42" i="16" s="1"/>
  <c r="C26" i="16"/>
  <c r="G24" i="16"/>
  <c r="J24" i="16"/>
  <c r="G27" i="16"/>
  <c r="C29" i="16"/>
  <c r="J27" i="16"/>
  <c r="J52" i="16"/>
  <c r="AE52" i="16" s="1"/>
  <c r="G52" i="16"/>
  <c r="H52" i="16" s="1"/>
  <c r="G46" i="16"/>
  <c r="H46" i="16" s="1"/>
  <c r="J46" i="16"/>
  <c r="G39" i="16"/>
  <c r="H39" i="16" s="1"/>
  <c r="J39" i="16"/>
  <c r="J38" i="16"/>
  <c r="G38" i="16"/>
  <c r="H38" i="16" s="1"/>
  <c r="AC24" i="16"/>
  <c r="B26" i="16"/>
  <c r="AC27" i="16"/>
  <c r="B29" i="16"/>
  <c r="AD25" i="16" l="1"/>
  <c r="AC26" i="16"/>
  <c r="AE37" i="16"/>
  <c r="S26" i="16"/>
  <c r="AD46" i="16"/>
  <c r="AE38" i="16"/>
  <c r="R26" i="16"/>
  <c r="S29" i="16"/>
  <c r="R29" i="16"/>
  <c r="AD37" i="16"/>
  <c r="AD52" i="16"/>
  <c r="AD24" i="16"/>
  <c r="AE47" i="16"/>
  <c r="AD40" i="16"/>
  <c r="AD16" i="16"/>
  <c r="AD42" i="16"/>
  <c r="AD39" i="16"/>
  <c r="AD47" i="16"/>
  <c r="J26" i="16"/>
  <c r="AD28" i="16"/>
  <c r="I26" i="16"/>
  <c r="I29" i="16"/>
  <c r="J29" i="16"/>
  <c r="AE24" i="16"/>
  <c r="AE39" i="16"/>
  <c r="AD27" i="16"/>
  <c r="AD38" i="16"/>
  <c r="AE28" i="16"/>
  <c r="AE25" i="16"/>
  <c r="AF29" i="16"/>
  <c r="AC29" i="16"/>
  <c r="P29" i="16"/>
  <c r="Q27" i="16"/>
  <c r="Q29" i="16" s="1"/>
  <c r="AE46" i="16"/>
  <c r="Q24" i="16"/>
  <c r="Q26" i="16" s="1"/>
  <c r="P26" i="16"/>
  <c r="AE40" i="16"/>
  <c r="AE16" i="16"/>
  <c r="AE27" i="16"/>
  <c r="G26" i="16"/>
  <c r="H24" i="16"/>
  <c r="H26" i="16" s="1"/>
  <c r="H27" i="16"/>
  <c r="H29" i="16" s="1"/>
  <c r="G29" i="16"/>
  <c r="AD26" i="16" l="1"/>
  <c r="AD29" i="16"/>
  <c r="AE29" i="16"/>
  <c r="AE26" i="16"/>
  <c r="B55" i="16"/>
  <c r="C55" i="16"/>
  <c r="D55" i="16"/>
  <c r="E55" i="16"/>
  <c r="F55" i="16"/>
  <c r="K55" i="16"/>
  <c r="L55" i="16"/>
  <c r="M55" i="16"/>
  <c r="N55" i="16"/>
  <c r="O55" i="16"/>
  <c r="I55" i="16" l="1"/>
  <c r="AF55" i="16"/>
  <c r="R55" i="16"/>
  <c r="AC55" i="16"/>
  <c r="S55" i="16"/>
  <c r="P55" i="16"/>
  <c r="Q55" i="16" s="1"/>
  <c r="J55" i="16"/>
  <c r="G55" i="16"/>
  <c r="H55" i="16" s="1"/>
  <c r="AE55" i="16" l="1"/>
  <c r="AD55" i="16"/>
  <c r="B54" i="16"/>
  <c r="C54" i="16"/>
  <c r="D54" i="16"/>
  <c r="E54" i="16"/>
  <c r="F54" i="16"/>
  <c r="K54" i="16"/>
  <c r="L54" i="16"/>
  <c r="M54" i="16"/>
  <c r="N54" i="16"/>
  <c r="O54" i="16"/>
  <c r="B34" i="16"/>
  <c r="C34" i="16"/>
  <c r="D34" i="16"/>
  <c r="E34" i="16"/>
  <c r="F34" i="16"/>
  <c r="K34" i="16"/>
  <c r="L34" i="16"/>
  <c r="M34" i="16"/>
  <c r="N34" i="16"/>
  <c r="O34" i="16"/>
  <c r="B33" i="16"/>
  <c r="C33" i="16"/>
  <c r="D33" i="16"/>
  <c r="E33" i="16"/>
  <c r="F33" i="16"/>
  <c r="K33" i="16"/>
  <c r="L33" i="16"/>
  <c r="M33" i="16"/>
  <c r="N33" i="16"/>
  <c r="O33" i="16"/>
  <c r="B31" i="16"/>
  <c r="C31" i="16"/>
  <c r="D31" i="16"/>
  <c r="E31" i="16"/>
  <c r="F31" i="16"/>
  <c r="K31" i="16"/>
  <c r="L31" i="16"/>
  <c r="M31" i="16"/>
  <c r="N31" i="16"/>
  <c r="O31" i="16"/>
  <c r="B35" i="16"/>
  <c r="C35" i="16"/>
  <c r="D35" i="16"/>
  <c r="E35" i="16"/>
  <c r="F35" i="16"/>
  <c r="K35" i="16"/>
  <c r="L35" i="16"/>
  <c r="M35" i="16"/>
  <c r="N35" i="16"/>
  <c r="O35" i="16"/>
  <c r="B32" i="16"/>
  <c r="C32" i="16"/>
  <c r="D32" i="16"/>
  <c r="E32" i="16"/>
  <c r="F32" i="16"/>
  <c r="K32" i="16"/>
  <c r="L32" i="16"/>
  <c r="M32" i="16"/>
  <c r="N32" i="16"/>
  <c r="O32" i="16"/>
  <c r="R32" i="16" l="1"/>
  <c r="R34" i="16"/>
  <c r="I33" i="16"/>
  <c r="R35" i="16"/>
  <c r="I32" i="16"/>
  <c r="I34" i="16"/>
  <c r="I35" i="16"/>
  <c r="I54" i="16"/>
  <c r="AC32" i="16"/>
  <c r="AF35" i="16"/>
  <c r="R31" i="16"/>
  <c r="AF33" i="16"/>
  <c r="AC34" i="16"/>
  <c r="AF54" i="16"/>
  <c r="P32" i="16"/>
  <c r="Q32" i="16" s="1"/>
  <c r="S32" i="16"/>
  <c r="S31" i="16"/>
  <c r="P31" i="16"/>
  <c r="P34" i="16"/>
  <c r="Q34" i="16" s="1"/>
  <c r="S34" i="16"/>
  <c r="AC35" i="16"/>
  <c r="R33" i="16"/>
  <c r="AC33" i="16"/>
  <c r="AF34" i="16"/>
  <c r="R54" i="16"/>
  <c r="AC54" i="16"/>
  <c r="AF32" i="16"/>
  <c r="P35" i="16"/>
  <c r="Q35" i="16" s="1"/>
  <c r="S35" i="16"/>
  <c r="P33" i="16"/>
  <c r="Q33" i="16" s="1"/>
  <c r="S33" i="16"/>
  <c r="S54" i="16"/>
  <c r="P54" i="16"/>
  <c r="Q54" i="16" s="1"/>
  <c r="I31" i="16"/>
  <c r="J32" i="16"/>
  <c r="G32" i="16"/>
  <c r="H32" i="16" s="1"/>
  <c r="G31" i="16"/>
  <c r="J31" i="16"/>
  <c r="G34" i="16"/>
  <c r="H34" i="16" s="1"/>
  <c r="J34" i="16"/>
  <c r="AC31" i="16"/>
  <c r="J35" i="16"/>
  <c r="G35" i="16"/>
  <c r="H35" i="16" s="1"/>
  <c r="G33" i="16"/>
  <c r="H33" i="16" s="1"/>
  <c r="J33" i="16"/>
  <c r="J54" i="16"/>
  <c r="G54" i="16"/>
  <c r="H54" i="16" s="1"/>
  <c r="AF31" i="16"/>
  <c r="AD34" i="16" l="1"/>
  <c r="AD32" i="16"/>
  <c r="AE35" i="16"/>
  <c r="AD33" i="16"/>
  <c r="AD35" i="16"/>
  <c r="AD54" i="16"/>
  <c r="AE54" i="16"/>
  <c r="Q31" i="16"/>
  <c r="AE33" i="16"/>
  <c r="AE34" i="16"/>
  <c r="AE32" i="16"/>
  <c r="AE31" i="16"/>
  <c r="AD31" i="16"/>
  <c r="H31" i="16"/>
  <c r="C63" i="16" l="1"/>
  <c r="L65" i="16"/>
  <c r="L63" i="16" s="1"/>
  <c r="O65" i="16"/>
  <c r="O63" i="16" s="1"/>
  <c r="N65" i="16"/>
  <c r="N63" i="16" s="1"/>
  <c r="M65" i="16"/>
  <c r="M63" i="16" s="1"/>
  <c r="K65" i="16"/>
  <c r="K63" i="16" s="1"/>
  <c r="F65" i="16"/>
  <c r="F63" i="16" s="1"/>
  <c r="E65" i="16"/>
  <c r="E63" i="16" s="1"/>
  <c r="D63" i="16"/>
  <c r="B65" i="16"/>
  <c r="B63" i="16" s="1"/>
  <c r="AC63" i="16" l="1"/>
  <c r="AE63" i="16"/>
  <c r="AD63" i="16"/>
  <c r="K12" i="16" l="1"/>
  <c r="K5" i="16"/>
  <c r="K59" i="16"/>
  <c r="K58" i="16"/>
  <c r="K57" i="16"/>
  <c r="K56" i="16"/>
  <c r="K22" i="16"/>
  <c r="K21" i="16"/>
  <c r="K15" i="16"/>
  <c r="K14" i="16"/>
  <c r="K20" i="16"/>
  <c r="K44" i="16"/>
  <c r="K43" i="16"/>
  <c r="K41" i="16"/>
  <c r="K60" i="16"/>
  <c r="K3" i="16"/>
  <c r="K9" i="16"/>
  <c r="B3" i="16"/>
  <c r="C3" i="16"/>
  <c r="D3" i="16"/>
  <c r="E3" i="16"/>
  <c r="F3" i="16"/>
  <c r="L3" i="16"/>
  <c r="M3" i="16"/>
  <c r="N3" i="16"/>
  <c r="O3" i="16"/>
  <c r="O12" i="16"/>
  <c r="N12" i="16"/>
  <c r="M12" i="16"/>
  <c r="L12" i="16"/>
  <c r="O5" i="16"/>
  <c r="N5" i="16"/>
  <c r="M5" i="16"/>
  <c r="L5" i="16"/>
  <c r="O59" i="16"/>
  <c r="N59" i="16"/>
  <c r="M59" i="16"/>
  <c r="L59" i="16"/>
  <c r="O58" i="16"/>
  <c r="N58" i="16"/>
  <c r="M58" i="16"/>
  <c r="L58" i="16"/>
  <c r="O57" i="16"/>
  <c r="N57" i="16"/>
  <c r="M57" i="16"/>
  <c r="L57" i="16"/>
  <c r="O56" i="16"/>
  <c r="N56" i="16"/>
  <c r="M56" i="16"/>
  <c r="L56" i="16"/>
  <c r="O22" i="16"/>
  <c r="N22" i="16"/>
  <c r="M22" i="16"/>
  <c r="L22" i="16"/>
  <c r="O21" i="16"/>
  <c r="N21" i="16"/>
  <c r="M21" i="16"/>
  <c r="L21" i="16"/>
  <c r="O15" i="16"/>
  <c r="N15" i="16"/>
  <c r="M15" i="16"/>
  <c r="L15" i="16"/>
  <c r="O14" i="16"/>
  <c r="N14" i="16"/>
  <c r="M14" i="16"/>
  <c r="L14" i="16"/>
  <c r="O20" i="16"/>
  <c r="N20" i="16"/>
  <c r="M20" i="16"/>
  <c r="L20" i="16"/>
  <c r="O44" i="16"/>
  <c r="N44" i="16"/>
  <c r="M44" i="16"/>
  <c r="L44" i="16"/>
  <c r="O43" i="16"/>
  <c r="N43" i="16"/>
  <c r="M43" i="16"/>
  <c r="L43" i="16"/>
  <c r="O41" i="16"/>
  <c r="N41" i="16"/>
  <c r="M41" i="16"/>
  <c r="L41" i="16"/>
  <c r="O60" i="16"/>
  <c r="N60" i="16"/>
  <c r="M60" i="16"/>
  <c r="L60" i="16"/>
  <c r="O9" i="16"/>
  <c r="O13" i="16" s="1"/>
  <c r="N9" i="16"/>
  <c r="N13" i="16" s="1"/>
  <c r="M9" i="16"/>
  <c r="L9" i="16"/>
  <c r="K13" i="16" l="1"/>
  <c r="R60" i="16"/>
  <c r="R43" i="16"/>
  <c r="R44" i="16"/>
  <c r="R20" i="16"/>
  <c r="R15" i="16"/>
  <c r="R21" i="16"/>
  <c r="R22" i="16"/>
  <c r="R56" i="16"/>
  <c r="R57" i="16"/>
  <c r="R58" i="16"/>
  <c r="R59" i="16"/>
  <c r="R5" i="16"/>
  <c r="R12" i="16"/>
  <c r="N61" i="16"/>
  <c r="O23" i="16"/>
  <c r="O30" i="16" s="1"/>
  <c r="O61" i="16"/>
  <c r="S15" i="16"/>
  <c r="P15" i="16"/>
  <c r="Q15" i="16" s="1"/>
  <c r="K6" i="16"/>
  <c r="S43" i="16"/>
  <c r="P43" i="16"/>
  <c r="Q43" i="16" s="1"/>
  <c r="S59" i="16"/>
  <c r="P59" i="16"/>
  <c r="Q59" i="16" s="1"/>
  <c r="K61" i="16"/>
  <c r="P57" i="16"/>
  <c r="Q57" i="16" s="1"/>
  <c r="S57" i="16"/>
  <c r="P22" i="16"/>
  <c r="Q22" i="16" s="1"/>
  <c r="S22" i="16"/>
  <c r="S41" i="16"/>
  <c r="P41" i="16"/>
  <c r="L61" i="16"/>
  <c r="P44" i="16"/>
  <c r="Q44" i="16" s="1"/>
  <c r="S44" i="16"/>
  <c r="P14" i="16"/>
  <c r="S14" i="16"/>
  <c r="L23" i="16"/>
  <c r="P21" i="16"/>
  <c r="Q21" i="16" s="1"/>
  <c r="S21" i="16"/>
  <c r="P56" i="16"/>
  <c r="Q56" i="16" s="1"/>
  <c r="S56" i="16"/>
  <c r="P58" i="16"/>
  <c r="Q58" i="16" s="1"/>
  <c r="S58" i="16"/>
  <c r="S5" i="16"/>
  <c r="P5" i="16"/>
  <c r="Q5" i="16" s="1"/>
  <c r="O6" i="16"/>
  <c r="S60" i="16"/>
  <c r="P60" i="16"/>
  <c r="Q60" i="16" s="1"/>
  <c r="P12" i="16"/>
  <c r="Q12" i="16" s="1"/>
  <c r="S12" i="16"/>
  <c r="M13" i="16"/>
  <c r="R13" i="16" s="1"/>
  <c r="R9" i="16"/>
  <c r="R41" i="16"/>
  <c r="M61" i="16"/>
  <c r="R14" i="16"/>
  <c r="M23" i="16"/>
  <c r="N6" i="16"/>
  <c r="S20" i="16"/>
  <c r="P20" i="16"/>
  <c r="Q20" i="16" s="1"/>
  <c r="S9" i="16"/>
  <c r="L13" i="16"/>
  <c r="S13" i="16" s="1"/>
  <c r="P9" i="16"/>
  <c r="N23" i="16"/>
  <c r="N30" i="16" s="1"/>
  <c r="M6" i="16"/>
  <c r="R3" i="16"/>
  <c r="K23" i="16"/>
  <c r="K30" i="16" s="1"/>
  <c r="L6" i="16"/>
  <c r="P3" i="16"/>
  <c r="S3" i="16"/>
  <c r="AF3" i="16"/>
  <c r="I3" i="16"/>
  <c r="J3" i="16"/>
  <c r="G3" i="16"/>
  <c r="AC3" i="16"/>
  <c r="R61" i="16" l="1"/>
  <c r="O62" i="16"/>
  <c r="R6" i="16"/>
  <c r="AD3" i="16"/>
  <c r="S6" i="16"/>
  <c r="S23" i="16"/>
  <c r="K62" i="16"/>
  <c r="N62" i="16"/>
  <c r="Q41" i="16"/>
  <c r="P61" i="16"/>
  <c r="Q61" i="16" s="1"/>
  <c r="L30" i="16"/>
  <c r="S30" i="16" s="1"/>
  <c r="S61" i="16"/>
  <c r="P6" i="16"/>
  <c r="Q3" i="16"/>
  <c r="Q6" i="16" s="1"/>
  <c r="AE3" i="16"/>
  <c r="Q14" i="16"/>
  <c r="Q23" i="16" s="1"/>
  <c r="Q30" i="16" s="1"/>
  <c r="P23" i="16"/>
  <c r="P30" i="16" s="1"/>
  <c r="Q9" i="16"/>
  <c r="Q13" i="16" s="1"/>
  <c r="P13" i="16"/>
  <c r="M30" i="16"/>
  <c r="R23" i="16"/>
  <c r="H3" i="16"/>
  <c r="P62" i="16" l="1"/>
  <c r="Q62" i="16" s="1"/>
  <c r="R30" i="16"/>
  <c r="M62" i="16"/>
  <c r="S62" i="16" s="1"/>
  <c r="L62" i="16"/>
  <c r="R62" i="16" s="1"/>
  <c r="D12" i="16" l="1"/>
  <c r="D5" i="16"/>
  <c r="D59" i="16"/>
  <c r="D58" i="16"/>
  <c r="D57" i="16"/>
  <c r="D56" i="16"/>
  <c r="D22" i="16"/>
  <c r="D21" i="16"/>
  <c r="D15" i="16"/>
  <c r="D14" i="16"/>
  <c r="D20" i="16"/>
  <c r="D44" i="16"/>
  <c r="D43" i="16"/>
  <c r="D41" i="16"/>
  <c r="D60" i="16"/>
  <c r="D9" i="16"/>
  <c r="C12" i="16"/>
  <c r="C5" i="16"/>
  <c r="C59" i="16"/>
  <c r="C58" i="16"/>
  <c r="C57" i="16"/>
  <c r="C56" i="16"/>
  <c r="C22" i="16"/>
  <c r="C21" i="16"/>
  <c r="C15" i="16"/>
  <c r="C14" i="16"/>
  <c r="C20" i="16"/>
  <c r="C44" i="16"/>
  <c r="C43" i="16"/>
  <c r="C41" i="16"/>
  <c r="C60" i="16"/>
  <c r="C9" i="16"/>
  <c r="C6" i="16" l="1"/>
  <c r="D23" i="16"/>
  <c r="D13" i="16"/>
  <c r="D6" i="16"/>
  <c r="C61" i="16"/>
  <c r="D61" i="16"/>
  <c r="C23" i="16"/>
  <c r="C13" i="16"/>
  <c r="C30" i="16" l="1"/>
  <c r="C62" i="16" s="1"/>
  <c r="D30" i="16"/>
  <c r="B60" i="16"/>
  <c r="AC60" i="16" s="1"/>
  <c r="E60" i="16"/>
  <c r="F60" i="16"/>
  <c r="AF60" i="16" s="1"/>
  <c r="B41" i="16"/>
  <c r="E41" i="16"/>
  <c r="F41" i="16"/>
  <c r="B43" i="16"/>
  <c r="AC43" i="16" s="1"/>
  <c r="E43" i="16"/>
  <c r="F43" i="16"/>
  <c r="AF43" i="16" s="1"/>
  <c r="B44" i="16"/>
  <c r="AC44" i="16" s="1"/>
  <c r="E44" i="16"/>
  <c r="F44" i="16"/>
  <c r="AF44" i="16" s="1"/>
  <c r="B20" i="16"/>
  <c r="AC20" i="16" s="1"/>
  <c r="E20" i="16"/>
  <c r="F20" i="16"/>
  <c r="AF20" i="16" s="1"/>
  <c r="B14" i="16"/>
  <c r="E14" i="16"/>
  <c r="F14" i="16"/>
  <c r="B15" i="16"/>
  <c r="AC15" i="16" s="1"/>
  <c r="E15" i="16"/>
  <c r="F15" i="16"/>
  <c r="AF15" i="16" s="1"/>
  <c r="B21" i="16"/>
  <c r="AC21" i="16" s="1"/>
  <c r="E21" i="16"/>
  <c r="F21" i="16"/>
  <c r="AF21" i="16" s="1"/>
  <c r="B22" i="16"/>
  <c r="AC22" i="16" s="1"/>
  <c r="E22" i="16"/>
  <c r="F22" i="16"/>
  <c r="AF22" i="16" s="1"/>
  <c r="B56" i="16"/>
  <c r="AC56" i="16" s="1"/>
  <c r="E56" i="16"/>
  <c r="F56" i="16"/>
  <c r="AF56" i="16" s="1"/>
  <c r="B57" i="16"/>
  <c r="AC57" i="16" s="1"/>
  <c r="E57" i="16"/>
  <c r="F57" i="16"/>
  <c r="AF57" i="16" s="1"/>
  <c r="B58" i="16"/>
  <c r="AC58" i="16" s="1"/>
  <c r="E58" i="16"/>
  <c r="F58" i="16"/>
  <c r="AF58" i="16" s="1"/>
  <c r="B59" i="16"/>
  <c r="AC59" i="16" s="1"/>
  <c r="E59" i="16"/>
  <c r="F59" i="16"/>
  <c r="AF59" i="16" s="1"/>
  <c r="B5" i="16"/>
  <c r="E5" i="16"/>
  <c r="F5" i="16"/>
  <c r="B12" i="16"/>
  <c r="AC12" i="16" s="1"/>
  <c r="E12" i="16"/>
  <c r="F12" i="16"/>
  <c r="AF12" i="16" s="1"/>
  <c r="F9" i="16"/>
  <c r="E9" i="16"/>
  <c r="B9" i="16"/>
  <c r="F13" i="16" l="1"/>
  <c r="AF9" i="16"/>
  <c r="AF13" i="16" s="1"/>
  <c r="I56" i="16"/>
  <c r="AD56" i="16" s="1"/>
  <c r="G56" i="16"/>
  <c r="H56" i="16" s="1"/>
  <c r="J56" i="16"/>
  <c r="AE56" i="16" s="1"/>
  <c r="E61" i="16"/>
  <c r="J41" i="16"/>
  <c r="G41" i="16"/>
  <c r="I41" i="16"/>
  <c r="I12" i="16"/>
  <c r="AD12" i="16" s="1"/>
  <c r="G12" i="16"/>
  <c r="H12" i="16" s="1"/>
  <c r="J12" i="16"/>
  <c r="AE12" i="16" s="1"/>
  <c r="AC41" i="16"/>
  <c r="AC61" i="16" s="1"/>
  <c r="B61" i="16"/>
  <c r="G58" i="16"/>
  <c r="H58" i="16" s="1"/>
  <c r="J58" i="16"/>
  <c r="AE58" i="16" s="1"/>
  <c r="I58" i="16"/>
  <c r="AD58" i="16" s="1"/>
  <c r="J44" i="16"/>
  <c r="AE44" i="16" s="1"/>
  <c r="I44" i="16"/>
  <c r="AD44" i="16" s="1"/>
  <c r="G44" i="16"/>
  <c r="H44" i="16" s="1"/>
  <c r="J22" i="16"/>
  <c r="AE22" i="16" s="1"/>
  <c r="G22" i="16"/>
  <c r="H22" i="16" s="1"/>
  <c r="I22" i="16"/>
  <c r="AD22" i="16" s="1"/>
  <c r="F23" i="16"/>
  <c r="F30" i="16" s="1"/>
  <c r="AF14" i="16"/>
  <c r="AF23" i="16" s="1"/>
  <c r="AF30" i="16" s="1"/>
  <c r="G60" i="16"/>
  <c r="H60" i="16" s="1"/>
  <c r="I60" i="16"/>
  <c r="AD60" i="16" s="1"/>
  <c r="J60" i="16"/>
  <c r="AE60" i="16" s="1"/>
  <c r="AF41" i="16"/>
  <c r="AF61" i="16" s="1"/>
  <c r="F61" i="16"/>
  <c r="E6" i="16"/>
  <c r="G5" i="16"/>
  <c r="I5" i="16"/>
  <c r="AD5" i="16" s="1"/>
  <c r="J5" i="16"/>
  <c r="AE5" i="16" s="1"/>
  <c r="E23" i="16"/>
  <c r="G14" i="16"/>
  <c r="I14" i="16"/>
  <c r="AD14" i="16" s="1"/>
  <c r="J14" i="16"/>
  <c r="AE14" i="16" s="1"/>
  <c r="I59" i="16"/>
  <c r="AD59" i="16" s="1"/>
  <c r="J59" i="16"/>
  <c r="AE59" i="16" s="1"/>
  <c r="G59" i="16"/>
  <c r="H59" i="16" s="1"/>
  <c r="J20" i="16"/>
  <c r="AE20" i="16" s="1"/>
  <c r="I20" i="16"/>
  <c r="AD20" i="16" s="1"/>
  <c r="G20" i="16"/>
  <c r="H20" i="16" s="1"/>
  <c r="AF5" i="16"/>
  <c r="F6" i="16"/>
  <c r="B13" i="16"/>
  <c r="AC9" i="16"/>
  <c r="AC13" i="16" s="1"/>
  <c r="AC5" i="16"/>
  <c r="B6" i="16"/>
  <c r="J57" i="16"/>
  <c r="AE57" i="16" s="1"/>
  <c r="G57" i="16"/>
  <c r="H57" i="16" s="1"/>
  <c r="I57" i="16"/>
  <c r="AD57" i="16" s="1"/>
  <c r="B23" i="16"/>
  <c r="B30" i="16" s="1"/>
  <c r="AC14" i="16"/>
  <c r="AC23" i="16" s="1"/>
  <c r="AC30" i="16" s="1"/>
  <c r="I43" i="16"/>
  <c r="AD43" i="16" s="1"/>
  <c r="G43" i="16"/>
  <c r="H43" i="16" s="1"/>
  <c r="J43" i="16"/>
  <c r="AE43" i="16" s="1"/>
  <c r="G15" i="16"/>
  <c r="H15" i="16" s="1"/>
  <c r="J15" i="16"/>
  <c r="AE15" i="16" s="1"/>
  <c r="I15" i="16"/>
  <c r="AD15" i="16" s="1"/>
  <c r="E13" i="16"/>
  <c r="G9" i="16"/>
  <c r="J9" i="16"/>
  <c r="AE9" i="16" s="1"/>
  <c r="AE13" i="16" s="1"/>
  <c r="I9" i="16"/>
  <c r="AD9" i="16" s="1"/>
  <c r="J21" i="16"/>
  <c r="AE21" i="16" s="1"/>
  <c r="G21" i="16"/>
  <c r="H21" i="16" s="1"/>
  <c r="I21" i="16"/>
  <c r="AD21" i="16" s="1"/>
  <c r="D62" i="16"/>
  <c r="AD13" i="16" l="1"/>
  <c r="B62" i="16"/>
  <c r="F62" i="16"/>
  <c r="AE23" i="16"/>
  <c r="AE30" i="16" s="1"/>
  <c r="H41" i="16"/>
  <c r="G61" i="16"/>
  <c r="H61" i="16" s="1"/>
  <c r="AF6" i="16"/>
  <c r="AF62" i="16" s="1"/>
  <c r="AD23" i="16"/>
  <c r="AD30" i="16" s="1"/>
  <c r="AE41" i="16"/>
  <c r="AE61" i="16" s="1"/>
  <c r="J61" i="16"/>
  <c r="J6" i="16"/>
  <c r="I6" i="16"/>
  <c r="H14" i="16"/>
  <c r="H23" i="16" s="1"/>
  <c r="H30" i="16" s="1"/>
  <c r="G23" i="16"/>
  <c r="G30" i="16" s="1"/>
  <c r="E30" i="16"/>
  <c r="E62" i="16" s="1"/>
  <c r="J23" i="16"/>
  <c r="I23" i="16"/>
  <c r="H9" i="16"/>
  <c r="H13" i="16" s="1"/>
  <c r="G13" i="16"/>
  <c r="AC6" i="16"/>
  <c r="AC62" i="16" s="1"/>
  <c r="AC64" i="16" s="1"/>
  <c r="AE6" i="16"/>
  <c r="J13" i="16"/>
  <c r="I13" i="16"/>
  <c r="AD6" i="16"/>
  <c r="H5" i="16"/>
  <c r="H6" i="16" s="1"/>
  <c r="G6" i="16"/>
  <c r="AD41" i="16"/>
  <c r="AD61" i="16" s="1"/>
  <c r="I61" i="16"/>
  <c r="G62" i="16" l="1"/>
  <c r="H62" i="16" s="1"/>
  <c r="AD62" i="16"/>
  <c r="AE62" i="16"/>
  <c r="I62" i="16"/>
  <c r="J62" i="16"/>
  <c r="I30" i="16"/>
  <c r="J30" i="16"/>
</calcChain>
</file>

<file path=xl/sharedStrings.xml><?xml version="1.0" encoding="utf-8"?>
<sst xmlns="http://schemas.openxmlformats.org/spreadsheetml/2006/main" count="286" uniqueCount="109">
  <si>
    <t>TIPO</t>
  </si>
  <si>
    <t>DIA</t>
  </si>
  <si>
    <t>PRODUÇÃO</t>
  </si>
  <si>
    <t>CARTELA</t>
  </si>
  <si>
    <t>CART. C/ BLISTER</t>
  </si>
  <si>
    <t>T O T A L</t>
  </si>
  <si>
    <t>UM-3SHS</t>
  </si>
  <si>
    <t>TURNO: ......................</t>
  </si>
  <si>
    <t>OBJETIVO ALLOYD 1</t>
  </si>
  <si>
    <t>OBJETIVO ALLOYD 2</t>
  </si>
  <si>
    <t>LR20XAB/2B</t>
  </si>
  <si>
    <t>LR14XAB/2B</t>
  </si>
  <si>
    <t>Total</t>
  </si>
  <si>
    <t>Produtos</t>
  </si>
  <si>
    <t>Alloyd 1</t>
  </si>
  <si>
    <t>Máquina</t>
  </si>
  <si>
    <t>Alloyd 2</t>
  </si>
  <si>
    <t>Total Alcalinas</t>
  </si>
  <si>
    <t>SubTotal</t>
  </si>
  <si>
    <t>Sub-Total Outros</t>
  </si>
  <si>
    <t>Conferência</t>
  </si>
  <si>
    <t>Total Geral</t>
  </si>
  <si>
    <t>Observações</t>
  </si>
  <si>
    <t>PPM</t>
  </si>
  <si>
    <t>Produção</t>
  </si>
  <si>
    <t>Blister</t>
  </si>
  <si>
    <t>Cartela c/ Blister</t>
  </si>
  <si>
    <t>ppm</t>
  </si>
  <si>
    <t>Total Blister</t>
  </si>
  <si>
    <t>Total Cartelas</t>
  </si>
  <si>
    <t>PILHAS AMASSADAS</t>
  </si>
  <si>
    <t>Cartelas</t>
  </si>
  <si>
    <t>Cartela  c/ Blister</t>
  </si>
  <si>
    <t>Pilhas Amassadas</t>
  </si>
  <si>
    <t>R03UAL/L8P6</t>
  </si>
  <si>
    <t>LR6XAB/2B192</t>
  </si>
  <si>
    <t>LR6XAB/4B192</t>
  </si>
  <si>
    <t>LR03XAB/4B192</t>
  </si>
  <si>
    <t>LR03XAB/2B192</t>
  </si>
  <si>
    <t>LR6-2BT480</t>
  </si>
  <si>
    <t>6F22UPT/1B24</t>
  </si>
  <si>
    <t>R03UAL/4B400</t>
  </si>
  <si>
    <t>UM-1SHS128</t>
  </si>
  <si>
    <t>UM-2SHSP128</t>
  </si>
  <si>
    <t>LR6XAB/L6P5192</t>
  </si>
  <si>
    <t>LR03-2BT480</t>
  </si>
  <si>
    <t>LRV08-1B</t>
  </si>
  <si>
    <t>LR6XPB/2B</t>
  </si>
  <si>
    <t>LR6XPB/6B</t>
  </si>
  <si>
    <t>LR03XPB/2B</t>
  </si>
  <si>
    <t>LR03XPB/6B</t>
  </si>
  <si>
    <t>Material</t>
  </si>
  <si>
    <t>CUP (Blister)</t>
  </si>
  <si>
    <t>440 x 150 x 0,15</t>
  </si>
  <si>
    <t>Peso Unitário
(g)</t>
  </si>
  <si>
    <t>500 x 150 x 0,15</t>
  </si>
  <si>
    <t>500 x 220 x 0,22</t>
  </si>
  <si>
    <t>440 x 250 x 0,25</t>
  </si>
  <si>
    <t>BLISTER (QTD)</t>
  </si>
  <si>
    <t>BLISTER (PESO)</t>
  </si>
  <si>
    <t>Peso Total</t>
  </si>
  <si>
    <t>Totalização por tipo de material</t>
  </si>
  <si>
    <t>Peso
(g)</t>
  </si>
  <si>
    <t>BK-3LCCE/2BB</t>
  </si>
  <si>
    <t>BK-3MCCE/2BB</t>
  </si>
  <si>
    <t>BK-4MCCE/2BB</t>
  </si>
  <si>
    <t>ALLOYD 2 (ppm)</t>
  </si>
  <si>
    <t>ALLOYD 1 (ppm)</t>
  </si>
  <si>
    <t>SUPERMERCADO - FALHAS DA MÁQUINA ALLOYD</t>
  </si>
  <si>
    <r>
      <rPr>
        <sz val="20"/>
        <color rgb="FF0000FF"/>
        <rFont val="SwitzerlandBlack"/>
        <family val="2"/>
      </rPr>
      <t>Panasonic</t>
    </r>
    <r>
      <rPr>
        <sz val="10"/>
        <rFont val="Arial"/>
        <family val="2"/>
      </rPr>
      <t xml:space="preserve">
</t>
    </r>
    <r>
      <rPr>
        <b/>
        <sz val="12"/>
        <rFont val="Arial"/>
        <family val="2"/>
      </rPr>
      <t>PILHAS / BATERIAS</t>
    </r>
  </si>
  <si>
    <t>Inspetor:</t>
  </si>
  <si>
    <t>Data:</t>
  </si>
  <si>
    <t>6LFXAB/1B24</t>
  </si>
  <si>
    <t>LRV08-1BT</t>
  </si>
  <si>
    <t>1215BP4PA</t>
  </si>
  <si>
    <t>1250BP2PA</t>
  </si>
  <si>
    <t>UM-3SHS/L8P6</t>
  </si>
  <si>
    <t>LR03XAB/6B192</t>
  </si>
  <si>
    <t>Visto CQ</t>
  </si>
  <si>
    <t>Visto Supervisor</t>
  </si>
  <si>
    <t>BK-3HCDE/2BB</t>
  </si>
  <si>
    <t>BK-4HCDE/2BB</t>
  </si>
  <si>
    <t>LR03EGR/2B96</t>
  </si>
  <si>
    <t>LR03EGR/4B96</t>
  </si>
  <si>
    <t>LR03EGR/6B192</t>
  </si>
  <si>
    <t>LR6EGR/2B96</t>
  </si>
  <si>
    <t>LR6EGR/4B96</t>
  </si>
  <si>
    <t>LR6EGR/6B192</t>
  </si>
  <si>
    <t>LR14EGR/2B24</t>
  </si>
  <si>
    <t>LR20EGR/2B24</t>
  </si>
  <si>
    <t>6LR61EGR/1B24</t>
  </si>
  <si>
    <t>LR03EGR/2BT</t>
  </si>
  <si>
    <t>LR6EGR/2BT</t>
  </si>
  <si>
    <t>LR6EGR/L4P3</t>
  </si>
  <si>
    <t>LR03EGR/L4P3</t>
  </si>
  <si>
    <t>UM-1SH300</t>
  </si>
  <si>
    <t>UM-3SH936</t>
  </si>
  <si>
    <t>ALLOYD 3 (ppm)</t>
  </si>
  <si>
    <t>Alloyd 3</t>
  </si>
  <si>
    <t xml:space="preserve">Produção baixa.
</t>
  </si>
  <si>
    <t>OBJETIVO ALLOYD 3</t>
  </si>
  <si>
    <t>LR03XAB/L4P3</t>
  </si>
  <si>
    <t>LR6XAB/L4P3</t>
  </si>
  <si>
    <t>LR6XAB/2BWS</t>
  </si>
  <si>
    <t>LR03XAB/2BWS</t>
  </si>
  <si>
    <t>Dia</t>
  </si>
  <si>
    <t>Noite</t>
  </si>
  <si>
    <t>Mês / Ano</t>
  </si>
  <si>
    <t>CR2032-1B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</si>
</sst>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_)"/>
    <numFmt numFmtId="166" formatCode="0.0000"/>
    <numFmt numFmtId="167" formatCode="#,##0.0000"/>
  </numFmts>
  <fonts count="19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i/>
      <sz val="16"/>
      <name val="Helv"/>
      <family val="2"/>
    </font>
    <font>
      <sz val="10"/>
      <name val="Arial"/>
      <family val="2"/>
    </font>
    <font>
      <sz val="11"/>
      <name val="ＭＳ Ｐゴシック"/>
      <charset val="128"/>
    </font>
    <font>
      <b/>
      <sz val="14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20"/>
      <color rgb="FF0000FF"/>
      <name val="SwitzerlandBlack"/>
      <family val="2"/>
    </font>
    <font>
      <b/>
      <sz val="18"/>
      <name val="Arial"/>
      <family val="2"/>
    </font>
    <font>
      <b/>
      <sz val="8"/>
      <name val="Arial"/>
      <family val="2"/>
    </font>
    <font>
      <sz val="8"/>
      <color rgb="FF0000FF"/>
      <name val="Arial"/>
      <family val="2"/>
    </font>
    <font>
      <sz val="10"/>
      <color theme="2" tint="-9.9978637043366805E-2"/>
      <name val="Arial"/>
      <family val="2"/>
    </font>
    <font>
      <sz val="8"/>
      <name val="Arial"/>
      <family val="2"/>
    </font>
    <font>
      <sz val="14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38" fontId="2" fillId="2" borderId="0" applyNumberFormat="0" applyBorder="0" applyAlignment="0" applyProtection="0"/>
    <xf numFmtId="10" fontId="2" fillId="3" borderId="1" applyNumberFormat="0" applyBorder="0" applyAlignment="0" applyProtection="0"/>
    <xf numFmtId="165" fontId="4" fillId="0" borderId="0"/>
    <xf numFmtId="10" fontId="5" fillId="0" borderId="0" applyFont="0" applyFill="0" applyBorder="0" applyAlignment="0" applyProtection="0"/>
    <xf numFmtId="0" fontId="6" fillId="0" borderId="0"/>
  </cellStyleXfs>
  <cellXfs count="252">
    <xf numFmtId="0" fontId="0" fillId="0" borderId="0" xfId="0"/>
    <xf numFmtId="0" fontId="8" fillId="0" borderId="0" xfId="0" applyFont="1"/>
    <xf numFmtId="0" fontId="0" fillId="0" borderId="0" xfId="0" applyAlignment="1">
      <alignment horizontal="left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64" fontId="0" fillId="0" borderId="0" xfId="0" applyNumberFormat="1"/>
    <xf numFmtId="0" fontId="9" fillId="4" borderId="3" xfId="0" applyFont="1" applyFill="1" applyBorder="1"/>
    <xf numFmtId="0" fontId="5" fillId="2" borderId="4" xfId="0" applyFont="1" applyFill="1" applyBorder="1" applyAlignment="1">
      <alignment horizontal="left" vertical="center"/>
    </xf>
    <xf numFmtId="0" fontId="0" fillId="4" borderId="5" xfId="0" applyFill="1" applyBorder="1" applyAlignment="1">
      <alignment horizontal="left"/>
    </xf>
    <xf numFmtId="164" fontId="0" fillId="2" borderId="7" xfId="0" applyNumberFormat="1" applyFill="1" applyBorder="1" applyAlignment="1">
      <alignment horizontal="center"/>
    </xf>
    <xf numFmtId="0" fontId="9" fillId="2" borderId="3" xfId="0" applyFont="1" applyFill="1" applyBorder="1"/>
    <xf numFmtId="0" fontId="5" fillId="2" borderId="2" xfId="0" applyFont="1" applyFill="1" applyBorder="1" applyAlignment="1">
      <alignment horizontal="left"/>
    </xf>
    <xf numFmtId="0" fontId="8" fillId="2" borderId="8" xfId="0" applyFont="1" applyFill="1" applyBorder="1" applyAlignment="1">
      <alignment horizontal="left"/>
    </xf>
    <xf numFmtId="0" fontId="8" fillId="2" borderId="9" xfId="0" applyFont="1" applyFill="1" applyBorder="1" applyAlignment="1">
      <alignment horizontal="center"/>
    </xf>
    <xf numFmtId="0" fontId="8" fillId="2" borderId="9" xfId="0" applyFont="1" applyFill="1" applyBorder="1" applyAlignment="1">
      <alignment horizontal="center" wrapText="1"/>
    </xf>
    <xf numFmtId="164" fontId="8" fillId="2" borderId="10" xfId="0" applyNumberFormat="1" applyFont="1" applyFill="1" applyBorder="1" applyAlignment="1">
      <alignment horizontal="center"/>
    </xf>
    <xf numFmtId="164" fontId="8" fillId="2" borderId="9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164" fontId="8" fillId="2" borderId="11" xfId="0" applyNumberFormat="1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0" fontId="10" fillId="0" borderId="0" xfId="0" applyFont="1"/>
    <xf numFmtId="164" fontId="10" fillId="0" borderId="0" xfId="0" applyNumberFormat="1" applyFont="1"/>
    <xf numFmtId="0" fontId="10" fillId="0" borderId="0" xfId="0" applyFont="1" applyAlignment="1">
      <alignment horizontal="left"/>
    </xf>
    <xf numFmtId="3" fontId="5" fillId="4" borderId="12" xfId="0" applyNumberFormat="1" applyFont="1" applyFill="1" applyBorder="1"/>
    <xf numFmtId="3" fontId="5" fillId="4" borderId="13" xfId="0" applyNumberFormat="1" applyFont="1" applyFill="1" applyBorder="1"/>
    <xf numFmtId="3" fontId="5" fillId="4" borderId="14" xfId="0" applyNumberFormat="1" applyFont="1" applyFill="1" applyBorder="1"/>
    <xf numFmtId="3" fontId="5" fillId="5" borderId="15" xfId="0" applyNumberFormat="1" applyFont="1" applyFill="1" applyBorder="1"/>
    <xf numFmtId="3" fontId="5" fillId="5" borderId="13" xfId="0" applyNumberFormat="1" applyFont="1" applyFill="1" applyBorder="1"/>
    <xf numFmtId="3" fontId="0" fillId="6" borderId="2" xfId="0" applyNumberFormat="1" applyFill="1" applyBorder="1"/>
    <xf numFmtId="3" fontId="0" fillId="6" borderId="12" xfId="0" applyNumberFormat="1" applyFill="1" applyBorder="1"/>
    <xf numFmtId="3" fontId="0" fillId="6" borderId="16" xfId="0" applyNumberFormat="1" applyFill="1" applyBorder="1"/>
    <xf numFmtId="0" fontId="8" fillId="2" borderId="1" xfId="0" applyFont="1" applyFill="1" applyBorder="1" applyAlignment="1">
      <alignment wrapText="1"/>
    </xf>
    <xf numFmtId="0" fontId="8" fillId="7" borderId="2" xfId="0" applyFont="1" applyFill="1" applyBorder="1" applyAlignment="1">
      <alignment horizontal="left"/>
    </xf>
    <xf numFmtId="3" fontId="8" fillId="7" borderId="12" xfId="0" applyNumberFormat="1" applyFont="1" applyFill="1" applyBorder="1"/>
    <xf numFmtId="3" fontId="8" fillId="7" borderId="16" xfId="0" applyNumberFormat="1" applyFont="1" applyFill="1" applyBorder="1"/>
    <xf numFmtId="3" fontId="8" fillId="7" borderId="2" xfId="0" applyNumberFormat="1" applyFont="1" applyFill="1" applyBorder="1"/>
    <xf numFmtId="0" fontId="8" fillId="7" borderId="3" xfId="0" applyFont="1" applyFill="1" applyBorder="1" applyAlignment="1">
      <alignment horizontal="left"/>
    </xf>
    <xf numFmtId="0" fontId="8" fillId="8" borderId="5" xfId="0" applyFont="1" applyFill="1" applyBorder="1" applyAlignment="1">
      <alignment horizontal="left"/>
    </xf>
    <xf numFmtId="0" fontId="8" fillId="8" borderId="19" xfId="0" applyFont="1" applyFill="1" applyBorder="1"/>
    <xf numFmtId="0" fontId="8" fillId="8" borderId="6" xfId="0" applyFont="1" applyFill="1" applyBorder="1"/>
    <xf numFmtId="1" fontId="8" fillId="8" borderId="19" xfId="0" applyNumberFormat="1" applyFont="1" applyFill="1" applyBorder="1"/>
    <xf numFmtId="1" fontId="8" fillId="8" borderId="6" xfId="0" applyNumberFormat="1" applyFont="1" applyFill="1" applyBorder="1"/>
    <xf numFmtId="3" fontId="8" fillId="8" borderId="19" xfId="0" applyNumberFormat="1" applyFont="1" applyFill="1" applyBorder="1"/>
    <xf numFmtId="3" fontId="8" fillId="7" borderId="20" xfId="0" applyNumberFormat="1" applyFont="1" applyFill="1" applyBorder="1"/>
    <xf numFmtId="3" fontId="0" fillId="4" borderId="12" xfId="0" applyNumberFormat="1" applyFill="1" applyBorder="1"/>
    <xf numFmtId="3" fontId="0" fillId="4" borderId="19" xfId="0" applyNumberFormat="1" applyFill="1" applyBorder="1"/>
    <xf numFmtId="3" fontId="0" fillId="5" borderId="15" xfId="0" applyNumberFormat="1" applyFill="1" applyBorder="1"/>
    <xf numFmtId="3" fontId="0" fillId="5" borderId="13" xfId="0" applyNumberFormat="1" applyFill="1" applyBorder="1"/>
    <xf numFmtId="3" fontId="0" fillId="5" borderId="19" xfId="0" applyNumberFormat="1" applyFill="1" applyBorder="1"/>
    <xf numFmtId="3" fontId="0" fillId="0" borderId="0" xfId="0" applyNumberFormat="1"/>
    <xf numFmtId="1" fontId="0" fillId="0" borderId="0" xfId="0" applyNumberFormat="1" applyAlignment="1">
      <alignment horizontal="center"/>
    </xf>
    <xf numFmtId="0" fontId="0" fillId="0" borderId="22" xfId="0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23" xfId="0" applyBorder="1" applyAlignment="1">
      <alignment horizontal="center" vertical="center"/>
    </xf>
    <xf numFmtId="0" fontId="0" fillId="0" borderId="0" xfId="0" applyAlignment="1">
      <alignment shrinkToFit="1"/>
    </xf>
    <xf numFmtId="0" fontId="0" fillId="0" borderId="4" xfId="0" applyBorder="1" applyAlignment="1">
      <alignment horizontal="center" vertical="center"/>
    </xf>
    <xf numFmtId="0" fontId="0" fillId="0" borderId="1" xfId="0" applyBorder="1"/>
    <xf numFmtId="0" fontId="0" fillId="0" borderId="4" xfId="0" quotePrefix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5" fillId="0" borderId="0" xfId="0" applyFont="1"/>
    <xf numFmtId="1" fontId="2" fillId="0" borderId="9" xfId="0" applyNumberFormat="1" applyFont="1" applyBorder="1"/>
    <xf numFmtId="164" fontId="2" fillId="0" borderId="0" xfId="0" applyNumberFormat="1" applyFont="1"/>
    <xf numFmtId="0" fontId="2" fillId="0" borderId="0" xfId="0" applyFont="1"/>
    <xf numFmtId="14" fontId="2" fillId="0" borderId="0" xfId="0" applyNumberFormat="1" applyFont="1" applyAlignment="1">
      <alignment horizontal="right"/>
    </xf>
    <xf numFmtId="0" fontId="0" fillId="0" borderId="1" xfId="0" applyBorder="1" applyAlignment="1">
      <alignment horizontal="center" vertical="center" textRotation="90"/>
    </xf>
    <xf numFmtId="14" fontId="11" fillId="0" borderId="0" xfId="0" applyNumberFormat="1" applyFont="1"/>
    <xf numFmtId="0" fontId="11" fillId="0" borderId="0" xfId="0" applyFont="1"/>
    <xf numFmtId="1" fontId="0" fillId="4" borderId="14" xfId="0" applyNumberFormat="1" applyFill="1" applyBorder="1"/>
    <xf numFmtId="3" fontId="0" fillId="4" borderId="26" xfId="0" applyNumberFormat="1" applyFill="1" applyBorder="1"/>
    <xf numFmtId="1" fontId="0" fillId="4" borderId="27" xfId="0" applyNumberFormat="1" applyFill="1" applyBorder="1"/>
    <xf numFmtId="1" fontId="0" fillId="5" borderId="14" xfId="0" applyNumberFormat="1" applyFill="1" applyBorder="1"/>
    <xf numFmtId="3" fontId="8" fillId="7" borderId="28" xfId="0" applyNumberFormat="1" applyFont="1" applyFill="1" applyBorder="1"/>
    <xf numFmtId="1" fontId="8" fillId="8" borderId="26" xfId="0" applyNumberFormat="1" applyFont="1" applyFill="1" applyBorder="1"/>
    <xf numFmtId="0" fontId="8" fillId="2" borderId="4" xfId="0" applyFont="1" applyFill="1" applyBorder="1" applyAlignment="1">
      <alignment wrapText="1"/>
    </xf>
    <xf numFmtId="0" fontId="8" fillId="2" borderId="7" xfId="0" applyFont="1" applyFill="1" applyBorder="1" applyAlignment="1">
      <alignment wrapText="1"/>
    </xf>
    <xf numFmtId="0" fontId="8" fillId="2" borderId="29" xfId="0" applyFont="1" applyFill="1" applyBorder="1" applyAlignment="1">
      <alignment wrapText="1"/>
    </xf>
    <xf numFmtId="3" fontId="0" fillId="6" borderId="28" xfId="0" applyNumberFormat="1" applyFill="1" applyBorder="1"/>
    <xf numFmtId="0" fontId="8" fillId="8" borderId="26" xfId="0" applyFont="1" applyFill="1" applyBorder="1"/>
    <xf numFmtId="0" fontId="5" fillId="0" borderId="1" xfId="0" applyFont="1" applyBorder="1"/>
    <xf numFmtId="0" fontId="3" fillId="4" borderId="2" xfId="0" applyFont="1" applyFill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0" fontId="0" fillId="0" borderId="1" xfId="0" applyBorder="1" applyAlignment="1">
      <alignment horizontal="center" vertical="center" textRotation="90" wrapText="1"/>
    </xf>
    <xf numFmtId="0" fontId="3" fillId="0" borderId="1" xfId="0" applyFont="1" applyBorder="1" applyAlignment="1">
      <alignment horizontal="center" vertical="center" textRotation="90" wrapText="1"/>
    </xf>
    <xf numFmtId="0" fontId="3" fillId="2" borderId="43" xfId="0" applyFont="1" applyFill="1" applyBorder="1" applyAlignment="1">
      <alignment horizontal="center" vertical="center"/>
    </xf>
    <xf numFmtId="0" fontId="0" fillId="4" borderId="44" xfId="0" applyFill="1" applyBorder="1" applyAlignment="1">
      <alignment horizontal="center"/>
    </xf>
    <xf numFmtId="0" fontId="0" fillId="4" borderId="45" xfId="0" applyFill="1" applyBorder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2" borderId="43" xfId="0" applyFont="1" applyFill="1" applyBorder="1" applyAlignment="1">
      <alignment horizontal="center" vertical="center" wrapText="1"/>
    </xf>
    <xf numFmtId="166" fontId="0" fillId="4" borderId="44" xfId="0" applyNumberFormat="1" applyFill="1" applyBorder="1" applyAlignment="1">
      <alignment horizontal="center"/>
    </xf>
    <xf numFmtId="0" fontId="9" fillId="4" borderId="47" xfId="0" applyFont="1" applyFill="1" applyBorder="1" applyAlignment="1">
      <alignment horizontal="center"/>
    </xf>
    <xf numFmtId="167" fontId="0" fillId="5" borderId="15" xfId="0" applyNumberFormat="1" applyFill="1" applyBorder="1"/>
    <xf numFmtId="167" fontId="0" fillId="5" borderId="19" xfId="0" applyNumberFormat="1" applyFill="1" applyBorder="1"/>
    <xf numFmtId="0" fontId="0" fillId="2" borderId="25" xfId="0" applyFill="1" applyBorder="1" applyAlignment="1">
      <alignment horizontal="center"/>
    </xf>
    <xf numFmtId="0" fontId="0" fillId="2" borderId="25" xfId="0" applyFill="1" applyBorder="1" applyAlignment="1">
      <alignment horizontal="center" wrapText="1"/>
    </xf>
    <xf numFmtId="164" fontId="0" fillId="2" borderId="32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1" fontId="0" fillId="0" borderId="0" xfId="0" applyNumberFormat="1" applyAlignment="1">
      <alignment shrinkToFit="1"/>
    </xf>
    <xf numFmtId="1" fontId="0" fillId="0" borderId="37" xfId="0" applyNumberFormat="1" applyBorder="1" applyAlignment="1">
      <alignment shrinkToFit="1"/>
    </xf>
    <xf numFmtId="0" fontId="2" fillId="0" borderId="21" xfId="0" applyFont="1" applyBorder="1"/>
    <xf numFmtId="14" fontId="2" fillId="0" borderId="52" xfId="0" applyNumberFormat="1" applyFont="1" applyBorder="1" applyAlignment="1">
      <alignment horizontal="right"/>
    </xf>
    <xf numFmtId="0" fontId="3" fillId="0" borderId="0" xfId="0" applyFont="1" applyAlignment="1">
      <alignment shrinkToFit="1"/>
    </xf>
    <xf numFmtId="0" fontId="13" fillId="0" borderId="49" xfId="0" applyFont="1" applyBorder="1" applyAlignment="1">
      <alignment horizontal="centerContinuous" vertical="center"/>
    </xf>
    <xf numFmtId="0" fontId="7" fillId="0" borderId="48" xfId="0" applyFont="1" applyBorder="1" applyAlignment="1">
      <alignment horizontal="centerContinuous" vertical="center"/>
    </xf>
    <xf numFmtId="0" fontId="2" fillId="0" borderId="48" xfId="0" applyFont="1" applyBorder="1" applyAlignment="1">
      <alignment horizontal="centerContinuous" vertical="center"/>
    </xf>
    <xf numFmtId="0" fontId="0" fillId="0" borderId="48" xfId="0" applyBorder="1" applyAlignment="1">
      <alignment vertical="center"/>
    </xf>
    <xf numFmtId="0" fontId="0" fillId="0" borderId="48" xfId="0" applyBorder="1"/>
    <xf numFmtId="1" fontId="2" fillId="0" borderId="10" xfId="0" applyNumberFormat="1" applyFont="1" applyBorder="1"/>
    <xf numFmtId="0" fontId="3" fillId="0" borderId="48" xfId="0" applyFont="1" applyBorder="1" applyAlignment="1">
      <alignment wrapText="1"/>
    </xf>
    <xf numFmtId="0" fontId="2" fillId="0" borderId="41" xfId="0" applyFont="1" applyBorder="1" applyAlignment="1" applyProtection="1">
      <alignment horizontal="center" wrapText="1"/>
      <protection locked="0"/>
    </xf>
    <xf numFmtId="0" fontId="3" fillId="0" borderId="24" xfId="0" applyFont="1" applyBorder="1" applyAlignment="1" applyProtection="1">
      <alignment horizontal="center"/>
      <protection locked="0"/>
    </xf>
    <xf numFmtId="0" fontId="3" fillId="0" borderId="32" xfId="0" applyFont="1" applyBorder="1" applyAlignment="1" applyProtection="1">
      <alignment horizontal="center"/>
      <protection locked="0"/>
    </xf>
    <xf numFmtId="3" fontId="5" fillId="0" borderId="25" xfId="0" applyNumberFormat="1" applyFont="1" applyBorder="1" applyAlignment="1" applyProtection="1">
      <alignment horizontal="center" shrinkToFit="1"/>
      <protection locked="0"/>
    </xf>
    <xf numFmtId="3" fontId="5" fillId="0" borderId="24" xfId="0" applyNumberFormat="1" applyFont="1" applyBorder="1" applyAlignment="1" applyProtection="1">
      <alignment horizontal="center" shrinkToFit="1"/>
      <protection locked="0"/>
    </xf>
    <xf numFmtId="3" fontId="5" fillId="0" borderId="32" xfId="0" applyNumberFormat="1" applyFont="1" applyBorder="1" applyAlignment="1" applyProtection="1">
      <alignment horizontal="center" shrinkToFit="1"/>
      <protection locked="0"/>
    </xf>
    <xf numFmtId="0" fontId="0" fillId="0" borderId="1" xfId="0" applyBorder="1" applyProtection="1">
      <protection locked="0"/>
    </xf>
    <xf numFmtId="0" fontId="0" fillId="0" borderId="29" xfId="0" applyBorder="1" applyProtection="1">
      <protection locked="0"/>
    </xf>
    <xf numFmtId="0" fontId="0" fillId="0" borderId="7" xfId="0" applyBorder="1" applyProtection="1">
      <protection locked="0"/>
    </xf>
    <xf numFmtId="0" fontId="2" fillId="0" borderId="1" xfId="0" applyFont="1" applyBorder="1" applyProtection="1">
      <protection locked="0"/>
    </xf>
    <xf numFmtId="0" fontId="0" fillId="9" borderId="1" xfId="0" applyFill="1" applyBorder="1" applyProtection="1">
      <protection locked="0"/>
    </xf>
    <xf numFmtId="0" fontId="0" fillId="9" borderId="29" xfId="0" applyFill="1" applyBorder="1" applyProtection="1">
      <protection locked="0"/>
    </xf>
    <xf numFmtId="0" fontId="0" fillId="0" borderId="0" xfId="0" applyProtection="1">
      <protection locked="0"/>
    </xf>
    <xf numFmtId="0" fontId="0" fillId="0" borderId="34" xfId="0" applyBorder="1"/>
    <xf numFmtId="14" fontId="2" fillId="0" borderId="34" xfId="0" applyNumberFormat="1" applyFont="1" applyBorder="1" applyAlignment="1">
      <alignment horizontal="right"/>
    </xf>
    <xf numFmtId="0" fontId="1" fillId="0" borderId="34" xfId="0" applyFont="1" applyBorder="1" applyAlignment="1">
      <alignment horizontal="left" vertical="center"/>
    </xf>
    <xf numFmtId="1" fontId="14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left" shrinkToFit="1"/>
    </xf>
    <xf numFmtId="1" fontId="14" fillId="0" borderId="37" xfId="0" applyNumberFormat="1" applyFont="1" applyBorder="1" applyAlignment="1">
      <alignment horizontal="left"/>
    </xf>
    <xf numFmtId="1" fontId="14" fillId="0" borderId="34" xfId="0" applyNumberFormat="1" applyFont="1" applyBorder="1" applyAlignment="1">
      <alignment horizontal="left"/>
    </xf>
    <xf numFmtId="0" fontId="14" fillId="0" borderId="51" xfId="0" quotePrefix="1" applyFont="1" applyBorder="1" applyAlignment="1">
      <alignment horizontal="left"/>
    </xf>
    <xf numFmtId="0" fontId="14" fillId="0" borderId="21" xfId="0" applyFont="1" applyBorder="1" applyAlignment="1">
      <alignment horizontal="left"/>
    </xf>
    <xf numFmtId="0" fontId="14" fillId="0" borderId="52" xfId="0" applyFont="1" applyBorder="1" applyAlignment="1">
      <alignment horizontal="left"/>
    </xf>
    <xf numFmtId="0" fontId="14" fillId="0" borderId="51" xfId="0" applyFont="1" applyBorder="1" applyAlignment="1">
      <alignment horizontal="left"/>
    </xf>
    <xf numFmtId="0" fontId="0" fillId="0" borderId="35" xfId="0" applyBorder="1" applyAlignment="1">
      <alignment horizontal="center" vertical="center" textRotation="90" wrapText="1"/>
    </xf>
    <xf numFmtId="0" fontId="0" fillId="0" borderId="0" xfId="0" applyAlignment="1">
      <alignment horizontal="center" vertical="center" textRotation="90" wrapText="1"/>
    </xf>
    <xf numFmtId="0" fontId="3" fillId="0" borderId="48" xfId="0" applyFont="1" applyBorder="1" applyAlignment="1">
      <alignment vertical="center" wrapText="1"/>
    </xf>
    <xf numFmtId="0" fontId="0" fillId="9" borderId="53" xfId="0" applyFill="1" applyBorder="1" applyAlignment="1">
      <alignment horizontal="center"/>
    </xf>
    <xf numFmtId="0" fontId="0" fillId="9" borderId="54" xfId="0" applyFill="1" applyBorder="1" applyAlignment="1">
      <alignment horizontal="center"/>
    </xf>
    <xf numFmtId="0" fontId="15" fillId="0" borderId="30" xfId="0" applyFont="1" applyBorder="1" applyAlignment="1" applyProtection="1">
      <alignment horizontal="center" wrapText="1"/>
      <protection locked="0"/>
    </xf>
    <xf numFmtId="0" fontId="15" fillId="0" borderId="41" xfId="0" applyFont="1" applyBorder="1" applyAlignment="1" applyProtection="1">
      <alignment horizontal="center" wrapText="1"/>
      <protection locked="0"/>
    </xf>
    <xf numFmtId="3" fontId="16" fillId="0" borderId="0" xfId="0" applyNumberFormat="1" applyFont="1"/>
    <xf numFmtId="0" fontId="16" fillId="0" borderId="0" xfId="0" applyFont="1"/>
    <xf numFmtId="0" fontId="0" fillId="0" borderId="21" xfId="0" applyBorder="1"/>
    <xf numFmtId="0" fontId="8" fillId="0" borderId="55" xfId="0" applyFont="1" applyBorder="1" applyAlignment="1">
      <alignment horizontal="center" vertical="center"/>
    </xf>
    <xf numFmtId="1" fontId="2" fillId="0" borderId="56" xfId="0" applyNumberFormat="1" applyFont="1" applyBorder="1"/>
    <xf numFmtId="0" fontId="1" fillId="0" borderId="57" xfId="0" applyFont="1" applyBorder="1" applyAlignment="1">
      <alignment horizontal="center" vertical="center"/>
    </xf>
    <xf numFmtId="1" fontId="2" fillId="0" borderId="30" xfId="0" applyNumberFormat="1" applyFont="1" applyBorder="1"/>
    <xf numFmtId="1" fontId="2" fillId="0" borderId="31" xfId="0" applyNumberFormat="1" applyFont="1" applyBorder="1"/>
    <xf numFmtId="0" fontId="1" fillId="0" borderId="8" xfId="0" applyFont="1" applyBorder="1" applyAlignment="1">
      <alignment horizontal="center" vertical="center"/>
    </xf>
    <xf numFmtId="0" fontId="0" fillId="0" borderId="9" xfId="0" applyBorder="1"/>
    <xf numFmtId="0" fontId="0" fillId="0" borderId="11" xfId="0" applyBorder="1"/>
    <xf numFmtId="0" fontId="8" fillId="0" borderId="57" xfId="0" applyFont="1" applyBorder="1" applyAlignment="1">
      <alignment horizontal="center" vertical="center"/>
    </xf>
    <xf numFmtId="0" fontId="3" fillId="0" borderId="1" xfId="0" applyFont="1" applyBorder="1" applyAlignment="1" applyProtection="1">
      <alignment horizontal="center" vertical="center" wrapText="1"/>
      <protection locked="0"/>
    </xf>
    <xf numFmtId="0" fontId="3" fillId="0" borderId="1" xfId="0" applyFont="1" applyBorder="1" applyAlignment="1" applyProtection="1">
      <alignment horizontal="center" vertical="center" textRotation="90" wrapText="1"/>
      <protection locked="0"/>
    </xf>
    <xf numFmtId="0" fontId="0" fillId="0" borderId="1" xfId="0" applyBorder="1" applyAlignment="1" applyProtection="1">
      <alignment horizontal="center" vertical="center" textRotation="90" wrapText="1"/>
      <protection locked="0"/>
    </xf>
    <xf numFmtId="0" fontId="3" fillId="0" borderId="0" xfId="0" applyFont="1" applyAlignment="1">
      <alignment horizontal="left"/>
    </xf>
    <xf numFmtId="0" fontId="3" fillId="0" borderId="0" xfId="0" applyFont="1"/>
    <xf numFmtId="164" fontId="3" fillId="0" borderId="0" xfId="0" applyNumberFormat="1" applyFont="1" applyAlignment="1">
      <alignment horizontal="center"/>
    </xf>
    <xf numFmtId="164" fontId="3" fillId="0" borderId="0" xfId="0" applyNumberFormat="1" applyFont="1"/>
    <xf numFmtId="3" fontId="3" fillId="0" borderId="0" xfId="0" applyNumberFormat="1" applyFont="1"/>
    <xf numFmtId="3" fontId="8" fillId="8" borderId="5" xfId="0" applyNumberFormat="1" applyFont="1" applyFill="1" applyBorder="1"/>
    <xf numFmtId="16" fontId="3" fillId="0" borderId="25" xfId="0" applyNumberFormat="1" applyFont="1" applyBorder="1" applyAlignment="1" applyProtection="1">
      <alignment horizontal="center"/>
      <protection locked="0"/>
    </xf>
    <xf numFmtId="16" fontId="3" fillId="0" borderId="25" xfId="0" applyNumberFormat="1" applyFont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/>
    </xf>
    <xf numFmtId="164" fontId="8" fillId="2" borderId="11" xfId="0" applyNumberFormat="1" applyFont="1" applyFill="1" applyBorder="1" applyAlignment="1">
      <alignment horizontal="center" wrapText="1"/>
    </xf>
    <xf numFmtId="3" fontId="5" fillId="5" borderId="14" xfId="0" applyNumberFormat="1" applyFont="1" applyFill="1" applyBorder="1"/>
    <xf numFmtId="3" fontId="8" fillId="7" borderId="39" xfId="0" applyNumberFormat="1" applyFont="1" applyFill="1" applyBorder="1"/>
    <xf numFmtId="3" fontId="8" fillId="7" borderId="58" xfId="0" applyNumberFormat="1" applyFont="1" applyFill="1" applyBorder="1"/>
    <xf numFmtId="3" fontId="8" fillId="7" borderId="3" xfId="0" applyNumberFormat="1" applyFont="1" applyFill="1" applyBorder="1"/>
    <xf numFmtId="0" fontId="5" fillId="2" borderId="17" xfId="0" applyFont="1" applyFill="1" applyBorder="1" applyAlignment="1">
      <alignment horizontal="left"/>
    </xf>
    <xf numFmtId="3" fontId="5" fillId="4" borderId="18" xfId="0" applyNumberFormat="1" applyFont="1" applyFill="1" applyBorder="1"/>
    <xf numFmtId="3" fontId="5" fillId="4" borderId="59" xfId="0" applyNumberFormat="1" applyFont="1" applyFill="1" applyBorder="1"/>
    <xf numFmtId="3" fontId="5" fillId="4" borderId="60" xfId="0" applyNumberFormat="1" applyFont="1" applyFill="1" applyBorder="1"/>
    <xf numFmtId="3" fontId="0" fillId="6" borderId="61" xfId="0" applyNumberFormat="1" applyFill="1" applyBorder="1"/>
    <xf numFmtId="3" fontId="0" fillId="6" borderId="62" xfId="0" applyNumberFormat="1" applyFill="1" applyBorder="1"/>
    <xf numFmtId="3" fontId="0" fillId="6" borderId="63" xfId="0" applyNumberFormat="1" applyFill="1" applyBorder="1"/>
    <xf numFmtId="3" fontId="0" fillId="6" borderId="64" xfId="0" applyNumberFormat="1" applyFill="1" applyBorder="1"/>
    <xf numFmtId="3" fontId="8" fillId="7" borderId="5" xfId="0" applyNumberFormat="1" applyFont="1" applyFill="1" applyBorder="1"/>
    <xf numFmtId="3" fontId="8" fillId="7" borderId="19" xfId="0" applyNumberFormat="1" applyFont="1" applyFill="1" applyBorder="1"/>
    <xf numFmtId="3" fontId="8" fillId="7" borderId="26" xfId="0" applyNumberFormat="1" applyFont="1" applyFill="1" applyBorder="1"/>
    <xf numFmtId="3" fontId="8" fillId="7" borderId="6" xfId="0" applyNumberFormat="1" applyFont="1" applyFill="1" applyBorder="1"/>
    <xf numFmtId="3" fontId="3" fillId="0" borderId="25" xfId="0" applyNumberFormat="1" applyFont="1" applyBorder="1" applyAlignment="1" applyProtection="1">
      <alignment horizontal="center" shrinkToFit="1"/>
      <protection locked="0"/>
    </xf>
    <xf numFmtId="3" fontId="5" fillId="10" borderId="15" xfId="0" applyNumberFormat="1" applyFont="1" applyFill="1" applyBorder="1"/>
    <xf numFmtId="3" fontId="5" fillId="10" borderId="13" xfId="0" applyNumberFormat="1" applyFont="1" applyFill="1" applyBorder="1"/>
    <xf numFmtId="3" fontId="5" fillId="10" borderId="14" xfId="0" applyNumberFormat="1" applyFont="1" applyFill="1" applyBorder="1"/>
    <xf numFmtId="167" fontId="0" fillId="10" borderId="15" xfId="0" applyNumberFormat="1" applyFill="1" applyBorder="1"/>
    <xf numFmtId="3" fontId="0" fillId="10" borderId="15" xfId="0" applyNumberFormat="1" applyFill="1" applyBorder="1"/>
    <xf numFmtId="3" fontId="0" fillId="10" borderId="13" xfId="0" applyNumberFormat="1" applyFill="1" applyBorder="1"/>
    <xf numFmtId="1" fontId="0" fillId="10" borderId="14" xfId="0" applyNumberFormat="1" applyFill="1" applyBorder="1"/>
    <xf numFmtId="167" fontId="0" fillId="10" borderId="19" xfId="0" applyNumberFormat="1" applyFill="1" applyBorder="1"/>
    <xf numFmtId="3" fontId="0" fillId="10" borderId="19" xfId="0" applyNumberFormat="1" applyFill="1" applyBorder="1"/>
    <xf numFmtId="164" fontId="10" fillId="10" borderId="0" xfId="0" applyNumberFormat="1" applyFont="1" applyFill="1"/>
    <xf numFmtId="3" fontId="16" fillId="10" borderId="0" xfId="0" applyNumberFormat="1" applyFont="1" applyFill="1"/>
    <xf numFmtId="0" fontId="16" fillId="10" borderId="0" xfId="0" applyFont="1" applyFill="1"/>
    <xf numFmtId="0" fontId="10" fillId="10" borderId="0" xfId="0" applyFont="1" applyFill="1"/>
    <xf numFmtId="164" fontId="8" fillId="2" borderId="9" xfId="0" applyNumberFormat="1" applyFont="1" applyFill="1" applyBorder="1" applyAlignment="1">
      <alignment horizontal="center" wrapText="1"/>
    </xf>
    <xf numFmtId="3" fontId="5" fillId="10" borderId="65" xfId="0" applyNumberFormat="1" applyFont="1" applyFill="1" applyBorder="1"/>
    <xf numFmtId="3" fontId="5" fillId="10" borderId="66" xfId="0" applyNumberFormat="1" applyFont="1" applyFill="1" applyBorder="1"/>
    <xf numFmtId="3" fontId="5" fillId="10" borderId="67" xfId="0" applyNumberFormat="1" applyFont="1" applyFill="1" applyBorder="1"/>
    <xf numFmtId="3" fontId="8" fillId="11" borderId="2" xfId="0" applyNumberFormat="1" applyFont="1" applyFill="1" applyBorder="1"/>
    <xf numFmtId="3" fontId="8" fillId="11" borderId="12" xfId="0" applyNumberFormat="1" applyFont="1" applyFill="1" applyBorder="1"/>
    <xf numFmtId="3" fontId="8" fillId="11" borderId="16" xfId="0" applyNumberFormat="1" applyFont="1" applyFill="1" applyBorder="1"/>
    <xf numFmtId="3" fontId="8" fillId="11" borderId="3" xfId="0" applyNumberFormat="1" applyFont="1" applyFill="1" applyBorder="1"/>
    <xf numFmtId="3" fontId="8" fillId="11" borderId="20" xfId="0" applyNumberFormat="1" applyFont="1" applyFill="1" applyBorder="1"/>
    <xf numFmtId="3" fontId="8" fillId="11" borderId="39" xfId="0" applyNumberFormat="1" applyFont="1" applyFill="1" applyBorder="1"/>
    <xf numFmtId="1" fontId="2" fillId="0" borderId="41" xfId="0" applyNumberFormat="1" applyFont="1" applyBorder="1"/>
    <xf numFmtId="0" fontId="0" fillId="0" borderId="10" xfId="0" applyBorder="1"/>
    <xf numFmtId="0" fontId="5" fillId="0" borderId="7" xfId="0" applyFont="1" applyBorder="1"/>
    <xf numFmtId="1" fontId="2" fillId="0" borderId="11" xfId="0" applyNumberFormat="1" applyFont="1" applyBorder="1"/>
    <xf numFmtId="16" fontId="3" fillId="0" borderId="24" xfId="0" applyNumberFormat="1" applyFont="1" applyBorder="1" applyAlignment="1" applyProtection="1">
      <alignment horizontal="center"/>
      <protection locked="0"/>
    </xf>
    <xf numFmtId="1" fontId="0" fillId="5" borderId="6" xfId="0" applyNumberFormat="1" applyFill="1" applyBorder="1"/>
    <xf numFmtId="1" fontId="0" fillId="10" borderId="6" xfId="0" applyNumberFormat="1" applyFill="1" applyBorder="1"/>
    <xf numFmtId="0" fontId="2" fillId="0" borderId="24" xfId="0" applyFont="1" applyBorder="1" applyAlignment="1" applyProtection="1">
      <alignment horizontal="center" wrapText="1"/>
      <protection locked="0"/>
    </xf>
    <xf numFmtId="0" fontId="2" fillId="0" borderId="32" xfId="0" applyFont="1" applyBorder="1" applyAlignment="1" applyProtection="1">
      <alignment horizontal="center" wrapText="1"/>
      <protection locked="0"/>
    </xf>
    <xf numFmtId="14" fontId="3" fillId="0" borderId="24" xfId="0" applyNumberFormat="1" applyFont="1" applyBorder="1" applyAlignment="1" applyProtection="1">
      <alignment horizontal="center"/>
      <protection locked="0"/>
    </xf>
    <xf numFmtId="0" fontId="0" fillId="0" borderId="35" xfId="0" applyBorder="1" applyAlignment="1">
      <alignment horizontal="center" vertical="center" textRotation="90" wrapText="1"/>
    </xf>
    <xf numFmtId="0" fontId="0" fillId="0" borderId="0" xfId="0" applyAlignment="1">
      <alignment horizontal="center" vertical="center" textRotation="90" wrapText="1"/>
    </xf>
    <xf numFmtId="0" fontId="0" fillId="0" borderId="68" xfId="0" applyBorder="1" applyAlignment="1">
      <alignment horizontal="center" vertical="center" textRotation="90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1" fillId="0" borderId="33" xfId="0" applyFont="1" applyBorder="1" applyAlignment="1">
      <alignment horizontal="left" vertical="center" textRotation="90"/>
    </xf>
    <xf numFmtId="0" fontId="8" fillId="0" borderId="34" xfId="0" applyFont="1" applyBorder="1" applyAlignment="1">
      <alignment horizontal="left" vertical="center" textRotation="90"/>
    </xf>
    <xf numFmtId="0" fontId="18" fillId="0" borderId="5" xfId="0" applyFont="1" applyBorder="1" applyAlignment="1">
      <alignment horizontal="center" vertical="center" wrapText="1"/>
    </xf>
    <xf numFmtId="0" fontId="18" fillId="0" borderId="19" xfId="0" applyFont="1" applyBorder="1" applyAlignment="1">
      <alignment horizontal="center" vertical="center" wrapText="1"/>
    </xf>
    <xf numFmtId="0" fontId="18" fillId="0" borderId="19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0" fillId="0" borderId="36" xfId="0" applyBorder="1" applyAlignment="1">
      <alignment horizontal="center" vertical="center" textRotation="90" wrapText="1"/>
    </xf>
    <xf numFmtId="0" fontId="0" fillId="0" borderId="37" xfId="0" applyBorder="1" applyAlignment="1">
      <alignment horizontal="center" vertical="center" textRotation="90" wrapText="1"/>
    </xf>
    <xf numFmtId="0" fontId="0" fillId="0" borderId="38" xfId="0" applyBorder="1" applyAlignment="1">
      <alignment horizontal="center" vertical="center" textRotation="90" wrapText="1"/>
    </xf>
    <xf numFmtId="0" fontId="18" fillId="0" borderId="6" xfId="0" applyFont="1" applyBorder="1" applyAlignment="1">
      <alignment horizontal="center" vertical="center" wrapText="1"/>
    </xf>
    <xf numFmtId="0" fontId="9" fillId="4" borderId="20" xfId="0" applyFont="1" applyFill="1" applyBorder="1" applyAlignment="1">
      <alignment horizontal="center"/>
    </xf>
    <xf numFmtId="0" fontId="9" fillId="4" borderId="39" xfId="0" applyFont="1" applyFill="1" applyBorder="1" applyAlignment="1">
      <alignment horizontal="center"/>
    </xf>
    <xf numFmtId="0" fontId="9" fillId="4" borderId="41" xfId="0" applyFont="1" applyFill="1" applyBorder="1" applyAlignment="1">
      <alignment horizontal="center"/>
    </xf>
    <xf numFmtId="0" fontId="9" fillId="4" borderId="46" xfId="0" applyFont="1" applyFill="1" applyBorder="1" applyAlignment="1">
      <alignment horizontal="center"/>
    </xf>
    <xf numFmtId="0" fontId="9" fillId="5" borderId="49" xfId="0" applyFont="1" applyFill="1" applyBorder="1" applyAlignment="1">
      <alignment horizontal="center"/>
    </xf>
    <xf numFmtId="0" fontId="9" fillId="5" borderId="48" xfId="0" applyFont="1" applyFill="1" applyBorder="1" applyAlignment="1">
      <alignment horizontal="center"/>
    </xf>
    <xf numFmtId="0" fontId="9" fillId="5" borderId="50" xfId="0" applyFont="1" applyFill="1" applyBorder="1" applyAlignment="1">
      <alignment horizontal="center"/>
    </xf>
    <xf numFmtId="0" fontId="9" fillId="10" borderId="49" xfId="0" applyFont="1" applyFill="1" applyBorder="1" applyAlignment="1">
      <alignment horizontal="center"/>
    </xf>
    <xf numFmtId="0" fontId="9" fillId="10" borderId="48" xfId="0" applyFont="1" applyFill="1" applyBorder="1" applyAlignment="1">
      <alignment horizontal="center"/>
    </xf>
    <xf numFmtId="0" fontId="9" fillId="10" borderId="50" xfId="0" applyFont="1" applyFill="1" applyBorder="1" applyAlignment="1">
      <alignment horizontal="center"/>
    </xf>
    <xf numFmtId="0" fontId="9" fillId="4" borderId="40" xfId="0" applyFont="1" applyFill="1" applyBorder="1" applyAlignment="1">
      <alignment horizontal="center"/>
    </xf>
    <xf numFmtId="0" fontId="9" fillId="4" borderId="42" xfId="0" applyFont="1" applyFill="1" applyBorder="1" applyAlignment="1">
      <alignment horizontal="center"/>
    </xf>
    <xf numFmtId="0" fontId="9" fillId="5" borderId="57" xfId="0" applyFont="1" applyFill="1" applyBorder="1" applyAlignment="1">
      <alignment horizontal="center"/>
    </xf>
    <xf numFmtId="0" fontId="9" fillId="5" borderId="30" xfId="0" applyFont="1" applyFill="1" applyBorder="1" applyAlignment="1">
      <alignment horizontal="center"/>
    </xf>
    <xf numFmtId="0" fontId="9" fillId="5" borderId="31" xfId="0" applyFont="1" applyFill="1" applyBorder="1" applyAlignment="1">
      <alignment horizontal="center"/>
    </xf>
    <xf numFmtId="0" fontId="8" fillId="6" borderId="22" xfId="0" applyFont="1" applyFill="1" applyBorder="1" applyAlignment="1">
      <alignment horizontal="center"/>
    </xf>
    <xf numFmtId="0" fontId="8" fillId="6" borderId="40" xfId="0" applyFont="1" applyFill="1" applyBorder="1" applyAlignment="1">
      <alignment horizontal="center"/>
    </xf>
    <xf numFmtId="0" fontId="8" fillId="6" borderId="42" xfId="0" applyFont="1" applyFill="1" applyBorder="1" applyAlignment="1">
      <alignment horizontal="center"/>
    </xf>
    <xf numFmtId="0" fontId="9" fillId="10" borderId="57" xfId="0" applyFont="1" applyFill="1" applyBorder="1" applyAlignment="1">
      <alignment horizontal="center"/>
    </xf>
    <xf numFmtId="0" fontId="9" fillId="10" borderId="30" xfId="0" applyFont="1" applyFill="1" applyBorder="1" applyAlignment="1">
      <alignment horizontal="center"/>
    </xf>
    <xf numFmtId="0" fontId="9" fillId="10" borderId="31" xfId="0" applyFont="1" applyFill="1" applyBorder="1" applyAlignment="1">
      <alignment horizontal="center"/>
    </xf>
  </cellXfs>
  <cellStyles count="6">
    <cellStyle name="Grey" xfId="1" xr:uid="{00000000-0005-0000-0000-000000000000}"/>
    <cellStyle name="Input [yellow]" xfId="2" xr:uid="{00000000-0005-0000-0000-000001000000}"/>
    <cellStyle name="Normal" xfId="0" builtinId="0"/>
    <cellStyle name="Normal - Style1" xfId="3" xr:uid="{00000000-0005-0000-0000-000003000000}"/>
    <cellStyle name="Percent [2]" xfId="4" xr:uid="{00000000-0005-0000-0000-000004000000}"/>
    <cellStyle name="標準_品質検査" xfId="5" xr:uid="{00000000-0005-0000-0000-000005000000}"/>
  </cellStyles>
  <dxfs count="9">
    <dxf>
      <font>
        <b/>
        <i val="0"/>
        <color theme="7"/>
      </font>
      <fill>
        <patternFill>
          <bgColor rgb="FFFF0000"/>
        </patternFill>
      </fill>
    </dxf>
    <dxf>
      <font>
        <b/>
        <i val="0"/>
        <color theme="7"/>
      </font>
      <fill>
        <patternFill>
          <bgColor rgb="FFFF0000"/>
        </patternFill>
      </fill>
    </dxf>
    <dxf>
      <font>
        <b/>
        <i val="0"/>
        <color theme="7"/>
      </font>
      <fill>
        <patternFill>
          <bgColor rgb="FFFF0000"/>
        </patternFill>
      </fill>
    </dxf>
    <dxf>
      <font>
        <b/>
        <i val="0"/>
        <color theme="7"/>
      </font>
      <fill>
        <patternFill>
          <bgColor rgb="FFFF000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8597812931974191E-2"/>
          <c:y val="8.608585217170435E-2"/>
          <c:w val="0.97960044733083462"/>
          <c:h val="0.86098843230721056"/>
        </c:manualLayout>
      </c:layout>
      <c:lineChart>
        <c:grouping val="standard"/>
        <c:varyColors val="0"/>
        <c:ser>
          <c:idx val="0"/>
          <c:order val="0"/>
          <c:tx>
            <c:strRef>
              <c:f>'Alloyd 1'!$A$20</c:f>
              <c:strCache>
                <c:ptCount val="1"/>
                <c:pt idx="0">
                  <c:v>PPM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'Alloyd 1'!$B$20:$AT$20</c:f>
              <c:numCache>
                <c:formatCode>0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16-4285-9763-C62FBC7F7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677608"/>
        <c:axId val="386707096"/>
      </c:lineChart>
      <c:scatterChart>
        <c:scatterStyle val="lineMarker"/>
        <c:varyColors val="0"/>
        <c:ser>
          <c:idx val="1"/>
          <c:order val="1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'Alloyd 1'!$B$27:$AQ$27</c:f>
              <c:numCache>
                <c:formatCode>General</c:formatCode>
                <c:ptCount val="42"/>
                <c:pt idx="0">
                  <c:v>1660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16-4285-9763-C62FBC7F7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707864"/>
        <c:axId val="386707480"/>
      </c:scatterChart>
      <c:catAx>
        <c:axId val="386677608"/>
        <c:scaling>
          <c:orientation val="minMax"/>
        </c:scaling>
        <c:delete val="0"/>
        <c:axPos val="b"/>
        <c:majorGridlines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386707096"/>
        <c:crosses val="autoZero"/>
        <c:auto val="1"/>
        <c:lblAlgn val="ctr"/>
        <c:lblOffset val="100"/>
        <c:noMultiLvlLbl val="0"/>
      </c:catAx>
      <c:valAx>
        <c:axId val="386707096"/>
        <c:scaling>
          <c:orientation val="minMax"/>
          <c:max val="3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386677608"/>
        <c:crosses val="autoZero"/>
        <c:crossBetween val="between"/>
      </c:valAx>
      <c:valAx>
        <c:axId val="38670748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86707864"/>
        <c:crosses val="max"/>
        <c:crossBetween val="midCat"/>
      </c:valAx>
      <c:valAx>
        <c:axId val="386707864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386707480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58877350248722E-2"/>
          <c:y val="8.608585217170435E-2"/>
          <c:w val="0.96576754892207461"/>
          <c:h val="0.86098843230721056"/>
        </c:manualLayout>
      </c:layout>
      <c:lineChart>
        <c:grouping val="standard"/>
        <c:varyColors val="0"/>
        <c:ser>
          <c:idx val="0"/>
          <c:order val="0"/>
          <c:tx>
            <c:strRef>
              <c:f>'Alloyd 1'!$A$20</c:f>
              <c:strCache>
                <c:ptCount val="1"/>
                <c:pt idx="0">
                  <c:v>PPM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'Alloyd 2'!$B$20:$AT$20</c:f>
              <c:numCache>
                <c:formatCode>0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1F-4CA5-8C5B-ED7205741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292656"/>
        <c:axId val="385293440"/>
      </c:lineChart>
      <c:scatterChart>
        <c:scatterStyle val="lineMarker"/>
        <c:varyColors val="0"/>
        <c:ser>
          <c:idx val="1"/>
          <c:order val="1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'Alloyd 2'!$B$27</c:f>
              <c:numCache>
                <c:formatCode>General</c:formatCode>
                <c:ptCount val="1"/>
                <c:pt idx="0">
                  <c:v>1300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1F-4CA5-8C5B-ED7205741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293104"/>
        <c:axId val="387294280"/>
      </c:scatterChart>
      <c:catAx>
        <c:axId val="385292656"/>
        <c:scaling>
          <c:orientation val="minMax"/>
        </c:scaling>
        <c:delete val="0"/>
        <c:axPos val="b"/>
        <c:majorGridlines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385293440"/>
        <c:crosses val="autoZero"/>
        <c:auto val="1"/>
        <c:lblAlgn val="ctr"/>
        <c:lblOffset val="100"/>
        <c:noMultiLvlLbl val="0"/>
      </c:catAx>
      <c:valAx>
        <c:axId val="385293440"/>
        <c:scaling>
          <c:orientation val="minMax"/>
          <c:max val="3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385292656"/>
        <c:crosses val="autoZero"/>
        <c:crossBetween val="between"/>
      </c:valAx>
      <c:valAx>
        <c:axId val="38729428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87293104"/>
        <c:crosses val="max"/>
        <c:crossBetween val="midCat"/>
      </c:valAx>
      <c:valAx>
        <c:axId val="387293104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387294280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538413668125148E-2"/>
          <c:y val="8.608585217170435E-2"/>
          <c:w val="0.96323750196149682"/>
          <c:h val="0.86098843230721056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'Alloyd 3'!$B$20:$AT$20</c:f>
              <c:numCache>
                <c:formatCode>0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43-4A05-B303-E079751D8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293496"/>
        <c:axId val="387288792"/>
      </c:lineChart>
      <c:scatterChart>
        <c:scatterStyle val="lineMarker"/>
        <c:varyColors val="0"/>
        <c:ser>
          <c:idx val="1"/>
          <c:order val="1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'Alloyd 3'!$B$27:$AT$27</c:f>
              <c:numCache>
                <c:formatCode>General</c:formatCode>
                <c:ptCount val="45"/>
                <c:pt idx="0">
                  <c:v>990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43-4A05-B303-E079751D8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293888"/>
        <c:axId val="387295064"/>
      </c:scatterChart>
      <c:catAx>
        <c:axId val="387293496"/>
        <c:scaling>
          <c:orientation val="minMax"/>
        </c:scaling>
        <c:delete val="0"/>
        <c:axPos val="b"/>
        <c:majorGridlines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387288792"/>
        <c:crosses val="autoZero"/>
        <c:auto val="1"/>
        <c:lblAlgn val="ctr"/>
        <c:lblOffset val="100"/>
        <c:noMultiLvlLbl val="0"/>
      </c:catAx>
      <c:valAx>
        <c:axId val="387288792"/>
        <c:scaling>
          <c:orientation val="minMax"/>
          <c:max val="3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>
              <a:solidFill>
                <a:schemeClr val="tx1"/>
              </a:solidFill>
              <a:prstDash val="sysDash"/>
            </a:ln>
          </c:spPr>
        </c:min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387293496"/>
        <c:crosses val="autoZero"/>
        <c:crossBetween val="between"/>
      </c:valAx>
      <c:valAx>
        <c:axId val="38729506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87293888"/>
        <c:crosses val="max"/>
        <c:crossBetween val="midCat"/>
      </c:valAx>
      <c:valAx>
        <c:axId val="387293888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387295064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690077</xdr:colOff>
      <xdr:row>4</xdr:row>
      <xdr:rowOff>0</xdr:rowOff>
    </xdr:from>
    <xdr:to>
      <xdr:col>46</xdr:col>
      <xdr:colOff>59531</xdr:colOff>
      <xdr:row>12</xdr:row>
      <xdr:rowOff>180975</xdr:rowOff>
    </xdr:to>
    <xdr:graphicFrame macro="">
      <xdr:nvGraphicFramePr>
        <xdr:cNvPr id="3" name="Gráfico 5">
          <a:extLst>
            <a:ext uri="{FF2B5EF4-FFF2-40B4-BE49-F238E27FC236}">
              <a16:creationId xmlns:a16="http://schemas.microsoft.com/office/drawing/2014/main" id="{6C3B8762-3FF9-4D2A-9389-05E4D5E044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0.47431</cdr:x>
      <cdr:y>0.49976</cdr:y>
    </cdr:from>
    <cdr:to>
      <cdr:x>0.48005</cdr:x>
      <cdr:y>0.57619</cdr:y>
    </cdr:to>
    <cdr:sp macro="" textlink="">
      <cdr:nvSpPr>
        <cdr:cNvPr id="307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075686" y="1069465"/>
          <a:ext cx="24279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'</a:t>
          </a:r>
        </a:p>
      </cdr:txBody>
    </cdr:sp>
  </cdr:relSizeAnchor>
  <cdr:relSizeAnchor xmlns:cdr="http://schemas.openxmlformats.org/drawingml/2006/chartDrawing">
    <cdr:from>
      <cdr:x>0.48005</cdr:x>
      <cdr:y>0.49976</cdr:y>
    </cdr:from>
    <cdr:to>
      <cdr:x>0.48005</cdr:x>
      <cdr:y>0.57619</cdr:y>
    </cdr:to>
    <cdr:sp macro="" textlink="">
      <cdr:nvSpPr>
        <cdr:cNvPr id="307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18476" y="1069465"/>
          <a:ext cx="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                                 </a:t>
          </a:r>
        </a:p>
      </cdr:txBody>
    </cdr:sp>
  </cdr:relSizeAnchor>
  <cdr:relSizeAnchor xmlns:cdr="http://schemas.openxmlformats.org/drawingml/2006/chartDrawing">
    <cdr:from>
      <cdr:x>0.48005</cdr:x>
      <cdr:y>0.49976</cdr:y>
    </cdr:from>
    <cdr:to>
      <cdr:x>0.48005</cdr:x>
      <cdr:y>0.57619</cdr:y>
    </cdr:to>
    <cdr:sp macro="" textlink="">
      <cdr:nvSpPr>
        <cdr:cNvPr id="3075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18476" y="1069465"/>
          <a:ext cx="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                                 </a:t>
          </a:r>
        </a:p>
      </cdr:txBody>
    </cdr:sp>
  </cdr:relSizeAnchor>
  <cdr:relSizeAnchor xmlns:cdr="http://schemas.openxmlformats.org/drawingml/2006/chartDrawing">
    <cdr:from>
      <cdr:x>0.48005</cdr:x>
      <cdr:y>0.49976</cdr:y>
    </cdr:from>
    <cdr:to>
      <cdr:x>0.48005</cdr:x>
      <cdr:y>0.57619</cdr:y>
    </cdr:to>
    <cdr:sp macro="" textlink="">
      <cdr:nvSpPr>
        <cdr:cNvPr id="3076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18476" y="1069465"/>
          <a:ext cx="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       </a:t>
          </a:r>
        </a:p>
      </cdr:txBody>
    </cdr:sp>
  </cdr:relSizeAnchor>
  <cdr:relSizeAnchor xmlns:cdr="http://schemas.openxmlformats.org/drawingml/2006/chartDrawing">
    <cdr:from>
      <cdr:x>0.48005</cdr:x>
      <cdr:y>0.49976</cdr:y>
    </cdr:from>
    <cdr:to>
      <cdr:x>0.48005</cdr:x>
      <cdr:y>0.57619</cdr:y>
    </cdr:to>
    <cdr:sp macro="" textlink="">
      <cdr:nvSpPr>
        <cdr:cNvPr id="3077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18476" y="1069465"/>
          <a:ext cx="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                            </a:t>
          </a:r>
        </a:p>
      </cdr:txBody>
    </cdr:sp>
  </cdr:relSizeAnchor>
  <cdr:relSizeAnchor xmlns:cdr="http://schemas.openxmlformats.org/drawingml/2006/chartDrawing">
    <cdr:from>
      <cdr:x>0.48005</cdr:x>
      <cdr:y>0.49976</cdr:y>
    </cdr:from>
    <cdr:to>
      <cdr:x>0.48005</cdr:x>
      <cdr:y>0.57619</cdr:y>
    </cdr:to>
    <cdr:sp macro="" textlink="">
      <cdr:nvSpPr>
        <cdr:cNvPr id="3078" name="Text Box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18476" y="1069465"/>
          <a:ext cx="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                            </a:t>
          </a:r>
        </a:p>
      </cdr:txBody>
    </cdr:sp>
  </cdr:relSizeAnchor>
  <cdr:relSizeAnchor xmlns:cdr="http://schemas.openxmlformats.org/drawingml/2006/chartDrawing">
    <cdr:from>
      <cdr:x>0.48005</cdr:x>
      <cdr:y>0.49976</cdr:y>
    </cdr:from>
    <cdr:to>
      <cdr:x>0.48005</cdr:x>
      <cdr:y>0.57619</cdr:y>
    </cdr:to>
    <cdr:sp macro="" textlink="">
      <cdr:nvSpPr>
        <cdr:cNvPr id="3079" name="Text Box 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18476" y="1069465"/>
          <a:ext cx="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3</xdr:row>
      <xdr:rowOff>190500</xdr:rowOff>
    </xdr:from>
    <xdr:to>
      <xdr:col>46</xdr:col>
      <xdr:colOff>47626</xdr:colOff>
      <xdr:row>12</xdr:row>
      <xdr:rowOff>238125</xdr:rowOff>
    </xdr:to>
    <xdr:graphicFrame macro="">
      <xdr:nvGraphicFramePr>
        <xdr:cNvPr id="4" name="Gráfico 5">
          <a:extLst>
            <a:ext uri="{FF2B5EF4-FFF2-40B4-BE49-F238E27FC236}">
              <a16:creationId xmlns:a16="http://schemas.microsoft.com/office/drawing/2014/main" id="{834ABE85-B325-4DB8-96A3-B7DB1758A4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0.47431</cdr:x>
      <cdr:y>0.49976</cdr:y>
    </cdr:from>
    <cdr:to>
      <cdr:x>0.48005</cdr:x>
      <cdr:y>0.57619</cdr:y>
    </cdr:to>
    <cdr:sp macro="" textlink="">
      <cdr:nvSpPr>
        <cdr:cNvPr id="307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075686" y="1069465"/>
          <a:ext cx="24279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'</a:t>
          </a:r>
        </a:p>
      </cdr:txBody>
    </cdr:sp>
  </cdr:relSizeAnchor>
  <cdr:relSizeAnchor xmlns:cdr="http://schemas.openxmlformats.org/drawingml/2006/chartDrawing">
    <cdr:from>
      <cdr:x>0.48005</cdr:x>
      <cdr:y>0.49976</cdr:y>
    </cdr:from>
    <cdr:to>
      <cdr:x>0.48005</cdr:x>
      <cdr:y>0.57619</cdr:y>
    </cdr:to>
    <cdr:sp macro="" textlink="">
      <cdr:nvSpPr>
        <cdr:cNvPr id="307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18476" y="1069465"/>
          <a:ext cx="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                                 </a:t>
          </a:r>
        </a:p>
      </cdr:txBody>
    </cdr:sp>
  </cdr:relSizeAnchor>
  <cdr:relSizeAnchor xmlns:cdr="http://schemas.openxmlformats.org/drawingml/2006/chartDrawing">
    <cdr:from>
      <cdr:x>0.48005</cdr:x>
      <cdr:y>0.49976</cdr:y>
    </cdr:from>
    <cdr:to>
      <cdr:x>0.48005</cdr:x>
      <cdr:y>0.57619</cdr:y>
    </cdr:to>
    <cdr:sp macro="" textlink="">
      <cdr:nvSpPr>
        <cdr:cNvPr id="3075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18476" y="1069465"/>
          <a:ext cx="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                                 </a:t>
          </a:r>
        </a:p>
      </cdr:txBody>
    </cdr:sp>
  </cdr:relSizeAnchor>
  <cdr:relSizeAnchor xmlns:cdr="http://schemas.openxmlformats.org/drawingml/2006/chartDrawing">
    <cdr:from>
      <cdr:x>0.48005</cdr:x>
      <cdr:y>0.49976</cdr:y>
    </cdr:from>
    <cdr:to>
      <cdr:x>0.48005</cdr:x>
      <cdr:y>0.57619</cdr:y>
    </cdr:to>
    <cdr:sp macro="" textlink="">
      <cdr:nvSpPr>
        <cdr:cNvPr id="3076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18476" y="1069465"/>
          <a:ext cx="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       </a:t>
          </a:r>
        </a:p>
      </cdr:txBody>
    </cdr:sp>
  </cdr:relSizeAnchor>
  <cdr:relSizeAnchor xmlns:cdr="http://schemas.openxmlformats.org/drawingml/2006/chartDrawing">
    <cdr:from>
      <cdr:x>0.48005</cdr:x>
      <cdr:y>0.49976</cdr:y>
    </cdr:from>
    <cdr:to>
      <cdr:x>0.48005</cdr:x>
      <cdr:y>0.57619</cdr:y>
    </cdr:to>
    <cdr:sp macro="" textlink="">
      <cdr:nvSpPr>
        <cdr:cNvPr id="3077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18476" y="1069465"/>
          <a:ext cx="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                            </a:t>
          </a:r>
        </a:p>
      </cdr:txBody>
    </cdr:sp>
  </cdr:relSizeAnchor>
  <cdr:relSizeAnchor xmlns:cdr="http://schemas.openxmlformats.org/drawingml/2006/chartDrawing">
    <cdr:from>
      <cdr:x>0.48005</cdr:x>
      <cdr:y>0.49976</cdr:y>
    </cdr:from>
    <cdr:to>
      <cdr:x>0.48005</cdr:x>
      <cdr:y>0.57619</cdr:y>
    </cdr:to>
    <cdr:sp macro="" textlink="">
      <cdr:nvSpPr>
        <cdr:cNvPr id="3078" name="Text Box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18476" y="1069465"/>
          <a:ext cx="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                            </a:t>
          </a:r>
        </a:p>
      </cdr:txBody>
    </cdr:sp>
  </cdr:relSizeAnchor>
  <cdr:relSizeAnchor xmlns:cdr="http://schemas.openxmlformats.org/drawingml/2006/chartDrawing">
    <cdr:from>
      <cdr:x>0.48005</cdr:x>
      <cdr:y>0.49976</cdr:y>
    </cdr:from>
    <cdr:to>
      <cdr:x>0.48005</cdr:x>
      <cdr:y>0.57619</cdr:y>
    </cdr:to>
    <cdr:sp macro="" textlink="">
      <cdr:nvSpPr>
        <cdr:cNvPr id="3079" name="Text Box 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18476" y="1069465"/>
          <a:ext cx="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4</xdr:row>
      <xdr:rowOff>19050</xdr:rowOff>
    </xdr:from>
    <xdr:to>
      <xdr:col>46</xdr:col>
      <xdr:colOff>123825</xdr:colOff>
      <xdr:row>12</xdr:row>
      <xdr:rowOff>161925</xdr:rowOff>
    </xdr:to>
    <xdr:graphicFrame macro="">
      <xdr:nvGraphicFramePr>
        <xdr:cNvPr id="2" name="Gráfico 5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0.47431</cdr:x>
      <cdr:y>0.49976</cdr:y>
    </cdr:from>
    <cdr:to>
      <cdr:x>0.48005</cdr:x>
      <cdr:y>0.57619</cdr:y>
    </cdr:to>
    <cdr:sp macro="" textlink="">
      <cdr:nvSpPr>
        <cdr:cNvPr id="307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075686" y="1069465"/>
          <a:ext cx="24279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'</a:t>
          </a:r>
        </a:p>
      </cdr:txBody>
    </cdr:sp>
  </cdr:relSizeAnchor>
  <cdr:relSizeAnchor xmlns:cdr="http://schemas.openxmlformats.org/drawingml/2006/chartDrawing">
    <cdr:from>
      <cdr:x>0.48005</cdr:x>
      <cdr:y>0.49976</cdr:y>
    </cdr:from>
    <cdr:to>
      <cdr:x>0.48005</cdr:x>
      <cdr:y>0.57619</cdr:y>
    </cdr:to>
    <cdr:sp macro="" textlink="">
      <cdr:nvSpPr>
        <cdr:cNvPr id="307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18476" y="1069465"/>
          <a:ext cx="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                                 </a:t>
          </a:r>
        </a:p>
      </cdr:txBody>
    </cdr:sp>
  </cdr:relSizeAnchor>
  <cdr:relSizeAnchor xmlns:cdr="http://schemas.openxmlformats.org/drawingml/2006/chartDrawing">
    <cdr:from>
      <cdr:x>0.48005</cdr:x>
      <cdr:y>0.49976</cdr:y>
    </cdr:from>
    <cdr:to>
      <cdr:x>0.48005</cdr:x>
      <cdr:y>0.57619</cdr:y>
    </cdr:to>
    <cdr:sp macro="" textlink="">
      <cdr:nvSpPr>
        <cdr:cNvPr id="3075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18476" y="1069465"/>
          <a:ext cx="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                                 </a:t>
          </a:r>
        </a:p>
      </cdr:txBody>
    </cdr:sp>
  </cdr:relSizeAnchor>
  <cdr:relSizeAnchor xmlns:cdr="http://schemas.openxmlformats.org/drawingml/2006/chartDrawing">
    <cdr:from>
      <cdr:x>0.48005</cdr:x>
      <cdr:y>0.49976</cdr:y>
    </cdr:from>
    <cdr:to>
      <cdr:x>0.48005</cdr:x>
      <cdr:y>0.57619</cdr:y>
    </cdr:to>
    <cdr:sp macro="" textlink="">
      <cdr:nvSpPr>
        <cdr:cNvPr id="3076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18476" y="1069465"/>
          <a:ext cx="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       </a:t>
          </a:r>
        </a:p>
      </cdr:txBody>
    </cdr:sp>
  </cdr:relSizeAnchor>
  <cdr:relSizeAnchor xmlns:cdr="http://schemas.openxmlformats.org/drawingml/2006/chartDrawing">
    <cdr:from>
      <cdr:x>0.48005</cdr:x>
      <cdr:y>0.49976</cdr:y>
    </cdr:from>
    <cdr:to>
      <cdr:x>0.48005</cdr:x>
      <cdr:y>0.57619</cdr:y>
    </cdr:to>
    <cdr:sp macro="" textlink="">
      <cdr:nvSpPr>
        <cdr:cNvPr id="3077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18476" y="1069465"/>
          <a:ext cx="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                            </a:t>
          </a:r>
        </a:p>
      </cdr:txBody>
    </cdr:sp>
  </cdr:relSizeAnchor>
  <cdr:relSizeAnchor xmlns:cdr="http://schemas.openxmlformats.org/drawingml/2006/chartDrawing">
    <cdr:from>
      <cdr:x>0.48005</cdr:x>
      <cdr:y>0.49976</cdr:y>
    </cdr:from>
    <cdr:to>
      <cdr:x>0.48005</cdr:x>
      <cdr:y>0.57619</cdr:y>
    </cdr:to>
    <cdr:sp macro="" textlink="">
      <cdr:nvSpPr>
        <cdr:cNvPr id="3078" name="Text Box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18476" y="1069465"/>
          <a:ext cx="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                            </a:t>
          </a:r>
        </a:p>
      </cdr:txBody>
    </cdr:sp>
  </cdr:relSizeAnchor>
  <cdr:relSizeAnchor xmlns:cdr="http://schemas.openxmlformats.org/drawingml/2006/chartDrawing">
    <cdr:from>
      <cdr:x>0.48005</cdr:x>
      <cdr:y>0.49976</cdr:y>
    </cdr:from>
    <cdr:to>
      <cdr:x>0.48005</cdr:x>
      <cdr:y>0.57619</cdr:y>
    </cdr:to>
    <cdr:sp macro="" textlink="">
      <cdr:nvSpPr>
        <cdr:cNvPr id="3079" name="Text Box 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318476" y="1069465"/>
          <a:ext cx="0" cy="1630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pt-BR" sz="1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1)%20Quality%20Business%20Plan/1.3%20-%20Medi&#231;&#227;o%20e%20Monitoramento/SJCPIL%2016-006-08%20-%20FY2021%20-%20Medi&#231;&#227;o%20e%20Monitorament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JCPIL-R%2016-507-02%20-%20Noite%20-%202203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0/(2)%20Resultados/2.2%20-%20FALHAS/(6)%20SUPERMERCADO/ALLOYD/SJCPIL-R%2016-507-02%20-%20Noite%20-%2021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JCPIL 16-006-08"/>
    </sheetNames>
    <sheetDataSet>
      <sheetData sheetId="0">
        <row r="37">
          <cell r="Y37">
            <v>1660</v>
          </cell>
        </row>
        <row r="38">
          <cell r="Y38">
            <v>1300</v>
          </cell>
        </row>
        <row r="39">
          <cell r="Y39">
            <v>990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oyd 1"/>
      <sheetName val="Alloyd 2"/>
      <sheetName val="Alloyd 3"/>
      <sheetName val="Resumo Produção"/>
      <sheetName val="Plan1"/>
    </sheetNames>
    <sheetDataSet>
      <sheetData sheetId="0" refreshError="1"/>
      <sheetData sheetId="1" refreshError="1"/>
      <sheetData sheetId="2" refreshError="1"/>
      <sheetData sheetId="3">
        <row r="3"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</row>
        <row r="4"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</row>
        <row r="5"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</row>
        <row r="6"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U6">
            <v>33528</v>
          </cell>
          <cell r="V6">
            <v>0</v>
          </cell>
          <cell r="W6">
            <v>0</v>
          </cell>
          <cell r="X6">
            <v>19</v>
          </cell>
          <cell r="Y6">
            <v>0</v>
          </cell>
          <cell r="Z6">
            <v>19</v>
          </cell>
        </row>
        <row r="7"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</row>
        <row r="8"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</row>
        <row r="9"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</row>
        <row r="10"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</row>
        <row r="11"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</row>
        <row r="12"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</row>
        <row r="13"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U13">
            <v>5010</v>
          </cell>
          <cell r="V13">
            <v>0</v>
          </cell>
          <cell r="W13">
            <v>0</v>
          </cell>
          <cell r="X13">
            <v>10</v>
          </cell>
          <cell r="Y13">
            <v>0</v>
          </cell>
          <cell r="Z13">
            <v>10</v>
          </cell>
        </row>
        <row r="14"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M14">
            <v>14904</v>
          </cell>
          <cell r="N14">
            <v>0</v>
          </cell>
          <cell r="O14">
            <v>0</v>
          </cell>
          <cell r="P14">
            <v>53</v>
          </cell>
          <cell r="Q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</row>
        <row r="15"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</row>
        <row r="16"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</row>
        <row r="17"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</row>
        <row r="18"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</row>
        <row r="19"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</row>
        <row r="20"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U20">
            <v>166380</v>
          </cell>
          <cell r="V20">
            <v>0</v>
          </cell>
          <cell r="W20">
            <v>0</v>
          </cell>
          <cell r="X20">
            <v>78</v>
          </cell>
          <cell r="Y20">
            <v>0</v>
          </cell>
          <cell r="Z20">
            <v>78</v>
          </cell>
        </row>
        <row r="21">
          <cell r="E21">
            <v>5904</v>
          </cell>
          <cell r="F21">
            <v>0</v>
          </cell>
          <cell r="G21">
            <v>0</v>
          </cell>
          <cell r="H21">
            <v>8</v>
          </cell>
          <cell r="I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</row>
        <row r="22"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M22">
            <v>10528</v>
          </cell>
          <cell r="N22">
            <v>0</v>
          </cell>
          <cell r="O22">
            <v>0</v>
          </cell>
          <cell r="P22">
            <v>7</v>
          </cell>
          <cell r="Q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</row>
        <row r="23">
          <cell r="E23">
            <v>28416</v>
          </cell>
          <cell r="F23">
            <v>0</v>
          </cell>
          <cell r="G23">
            <v>0</v>
          </cell>
          <cell r="H23">
            <v>55</v>
          </cell>
          <cell r="I23">
            <v>0</v>
          </cell>
          <cell r="M23">
            <v>41184</v>
          </cell>
          <cell r="N23">
            <v>0</v>
          </cell>
          <cell r="O23">
            <v>0</v>
          </cell>
          <cell r="P23">
            <v>23</v>
          </cell>
          <cell r="Q23">
            <v>0</v>
          </cell>
          <cell r="U23">
            <v>4848</v>
          </cell>
          <cell r="V23">
            <v>0</v>
          </cell>
          <cell r="W23">
            <v>0</v>
          </cell>
          <cell r="X23">
            <v>3</v>
          </cell>
          <cell r="Y23">
            <v>0</v>
          </cell>
          <cell r="Z23">
            <v>3</v>
          </cell>
        </row>
        <row r="24"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</row>
        <row r="25"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</row>
        <row r="26"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</row>
        <row r="27"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</row>
        <row r="28"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M28">
            <v>72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</row>
        <row r="29"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</row>
        <row r="30"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M30">
            <v>1608</v>
          </cell>
          <cell r="N30">
            <v>0</v>
          </cell>
          <cell r="O30">
            <v>0</v>
          </cell>
          <cell r="P30">
            <v>1</v>
          </cell>
          <cell r="Q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</row>
        <row r="31"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M31">
            <v>13896</v>
          </cell>
          <cell r="N31">
            <v>0</v>
          </cell>
          <cell r="O31">
            <v>0</v>
          </cell>
          <cell r="P31">
            <v>23</v>
          </cell>
          <cell r="Q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</row>
        <row r="32">
          <cell r="E32">
            <v>7584</v>
          </cell>
          <cell r="F32">
            <v>0</v>
          </cell>
          <cell r="G32">
            <v>0</v>
          </cell>
          <cell r="H32">
            <v>34</v>
          </cell>
          <cell r="I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</row>
        <row r="33"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</row>
        <row r="34"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</row>
        <row r="35">
          <cell r="E35">
            <v>2592</v>
          </cell>
          <cell r="F35">
            <v>0</v>
          </cell>
          <cell r="G35">
            <v>0</v>
          </cell>
          <cell r="H35">
            <v>17</v>
          </cell>
          <cell r="I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</row>
        <row r="36">
          <cell r="E36">
            <v>12552</v>
          </cell>
          <cell r="F36">
            <v>0</v>
          </cell>
          <cell r="G36">
            <v>0</v>
          </cell>
          <cell r="H36">
            <v>32</v>
          </cell>
          <cell r="I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</row>
        <row r="37"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M37">
            <v>37728</v>
          </cell>
          <cell r="N37">
            <v>0</v>
          </cell>
          <cell r="O37">
            <v>0</v>
          </cell>
          <cell r="P37">
            <v>12</v>
          </cell>
          <cell r="Q37">
            <v>0</v>
          </cell>
          <cell r="U37">
            <v>98592</v>
          </cell>
          <cell r="V37">
            <v>0</v>
          </cell>
          <cell r="W37">
            <v>0</v>
          </cell>
          <cell r="X37">
            <v>62</v>
          </cell>
          <cell r="Y37">
            <v>0</v>
          </cell>
          <cell r="Z37">
            <v>62</v>
          </cell>
        </row>
        <row r="38">
          <cell r="E38">
            <v>29136</v>
          </cell>
          <cell r="F38">
            <v>0</v>
          </cell>
          <cell r="G38">
            <v>0</v>
          </cell>
          <cell r="H38">
            <v>37</v>
          </cell>
          <cell r="I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</row>
        <row r="39"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M39">
            <v>11520</v>
          </cell>
          <cell r="N39">
            <v>0</v>
          </cell>
          <cell r="O39">
            <v>0</v>
          </cell>
          <cell r="P39">
            <v>8</v>
          </cell>
          <cell r="Q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</row>
        <row r="40">
          <cell r="E40">
            <v>42576</v>
          </cell>
          <cell r="F40">
            <v>0</v>
          </cell>
          <cell r="G40">
            <v>0</v>
          </cell>
          <cell r="H40">
            <v>29</v>
          </cell>
          <cell r="I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</row>
        <row r="41"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</row>
        <row r="42"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</row>
        <row r="43"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</row>
        <row r="44"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U44">
            <v>15960</v>
          </cell>
          <cell r="V44">
            <v>0</v>
          </cell>
          <cell r="W44">
            <v>0</v>
          </cell>
          <cell r="X44">
            <v>55</v>
          </cell>
          <cell r="Y44">
            <v>0</v>
          </cell>
          <cell r="Z44">
            <v>55</v>
          </cell>
        </row>
        <row r="45"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M45">
            <v>624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</row>
        <row r="46">
          <cell r="E46">
            <v>2100</v>
          </cell>
          <cell r="F46">
            <v>0</v>
          </cell>
          <cell r="G46">
            <v>0</v>
          </cell>
          <cell r="H46">
            <v>6</v>
          </cell>
          <cell r="I46">
            <v>0</v>
          </cell>
          <cell r="M46">
            <v>110300</v>
          </cell>
          <cell r="N46">
            <v>0</v>
          </cell>
          <cell r="O46">
            <v>0</v>
          </cell>
          <cell r="P46">
            <v>64</v>
          </cell>
          <cell r="Q46">
            <v>0</v>
          </cell>
          <cell r="U46">
            <v>41500</v>
          </cell>
          <cell r="V46">
            <v>0</v>
          </cell>
          <cell r="W46">
            <v>0</v>
          </cell>
          <cell r="X46">
            <v>15</v>
          </cell>
          <cell r="Y46">
            <v>0</v>
          </cell>
          <cell r="Z46">
            <v>15</v>
          </cell>
        </row>
        <row r="47">
          <cell r="E47">
            <v>12540</v>
          </cell>
          <cell r="F47">
            <v>0</v>
          </cell>
          <cell r="G47">
            <v>0</v>
          </cell>
          <cell r="H47">
            <v>8</v>
          </cell>
          <cell r="I47">
            <v>0</v>
          </cell>
          <cell r="M47">
            <v>55260</v>
          </cell>
          <cell r="N47">
            <v>0</v>
          </cell>
          <cell r="O47">
            <v>0</v>
          </cell>
          <cell r="P47">
            <v>29</v>
          </cell>
          <cell r="Q47">
            <v>0</v>
          </cell>
          <cell r="U47">
            <v>25020</v>
          </cell>
          <cell r="V47">
            <v>0</v>
          </cell>
          <cell r="W47">
            <v>0</v>
          </cell>
          <cell r="X47">
            <v>66</v>
          </cell>
          <cell r="Y47">
            <v>0</v>
          </cell>
          <cell r="Z47">
            <v>66</v>
          </cell>
        </row>
        <row r="48"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M48">
            <v>7680</v>
          </cell>
          <cell r="N48">
            <v>0</v>
          </cell>
          <cell r="O48">
            <v>0</v>
          </cell>
          <cell r="P48">
            <v>11</v>
          </cell>
          <cell r="Q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</row>
        <row r="49"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</row>
        <row r="50"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</row>
        <row r="51">
          <cell r="E51">
            <v>92880</v>
          </cell>
          <cell r="F51">
            <v>0</v>
          </cell>
          <cell r="G51">
            <v>0</v>
          </cell>
          <cell r="H51">
            <v>124</v>
          </cell>
          <cell r="I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</row>
        <row r="52"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</row>
        <row r="53">
          <cell r="E53">
            <v>66684</v>
          </cell>
          <cell r="F53">
            <v>0</v>
          </cell>
          <cell r="G53">
            <v>0</v>
          </cell>
          <cell r="H53">
            <v>172</v>
          </cell>
          <cell r="I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</row>
        <row r="54">
          <cell r="M54">
            <v>305304</v>
          </cell>
          <cell r="N54">
            <v>0</v>
          </cell>
          <cell r="O54">
            <v>0</v>
          </cell>
          <cell r="P54">
            <v>231</v>
          </cell>
          <cell r="Q54">
            <v>0</v>
          </cell>
        </row>
        <row r="55">
          <cell r="E55">
            <v>302964</v>
          </cell>
          <cell r="F55">
            <v>0</v>
          </cell>
          <cell r="G55">
            <v>0</v>
          </cell>
          <cell r="H55">
            <v>522</v>
          </cell>
          <cell r="I55">
            <v>0</v>
          </cell>
          <cell r="M55">
            <v>305304</v>
          </cell>
          <cell r="N55">
            <v>0</v>
          </cell>
          <cell r="O55">
            <v>0</v>
          </cell>
          <cell r="P55">
            <v>231</v>
          </cell>
          <cell r="Q55">
            <v>0</v>
          </cell>
          <cell r="U55">
            <v>390838</v>
          </cell>
          <cell r="V55">
            <v>0</v>
          </cell>
          <cell r="W55">
            <v>0</v>
          </cell>
          <cell r="X55">
            <v>308</v>
          </cell>
          <cell r="Y55">
            <v>0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oyd 1"/>
      <sheetName val="Alloyd 2"/>
      <sheetName val="Alloyd 3"/>
      <sheetName val="Resumo Produção"/>
      <sheetName val="Plan1"/>
      <sheetName val="SJCPIL-R 16-507-02 - Noite - 21"/>
    </sheetNames>
    <definedNames>
      <definedName name="PRODUTOS" refersTo="='Resumo Produção'!$A$3:$A$53"/>
    </definedNames>
    <sheetDataSet>
      <sheetData sheetId="0"/>
      <sheetData sheetId="1"/>
      <sheetData sheetId="2"/>
      <sheetData sheetId="3">
        <row r="3">
          <cell r="A3" t="str">
            <v>1215BP4PA</v>
          </cell>
        </row>
        <row r="4">
          <cell r="A4" t="str">
            <v>1250BP2PA</v>
          </cell>
        </row>
        <row r="5">
          <cell r="A5" t="str">
            <v>6F22UPT/1B24</v>
          </cell>
        </row>
        <row r="6">
          <cell r="A6" t="str">
            <v>6LFXAB/1B24</v>
          </cell>
        </row>
        <row r="7">
          <cell r="A7" t="str">
            <v>6LR61EGR/1B24</v>
          </cell>
        </row>
        <row r="8">
          <cell r="A8" t="str">
            <v>BK-3HCDE/2BB</v>
          </cell>
        </row>
        <row r="9">
          <cell r="A9" t="str">
            <v>BK-3LCCE/2BB</v>
          </cell>
        </row>
        <row r="10">
          <cell r="A10" t="str">
            <v>BK-3MCCE/2BB</v>
          </cell>
        </row>
        <row r="11">
          <cell r="A11" t="str">
            <v>BK-4HCDE/2BB</v>
          </cell>
        </row>
        <row r="12">
          <cell r="A12" t="str">
            <v>BK-4MCCE/2BB</v>
          </cell>
        </row>
        <row r="13">
          <cell r="A13" t="str">
            <v>CR2032-1B</v>
          </cell>
        </row>
        <row r="14">
          <cell r="A14" t="str">
            <v>LR03-2BT480</v>
          </cell>
        </row>
        <row r="15">
          <cell r="A15" t="str">
            <v>LR03EGR/2B96</v>
          </cell>
        </row>
        <row r="16">
          <cell r="A16" t="str">
            <v>LR03EGR/2BT</v>
          </cell>
        </row>
        <row r="17">
          <cell r="A17" t="str">
            <v>LR03EGR/4B96</v>
          </cell>
        </row>
        <row r="18">
          <cell r="A18" t="str">
            <v>LR03EGR/6B192</v>
          </cell>
        </row>
        <row r="19">
          <cell r="A19" t="str">
            <v>LR03EGR/L4P3</v>
          </cell>
        </row>
        <row r="20">
          <cell r="A20" t="str">
            <v>LR03XAB/2B192</v>
          </cell>
        </row>
        <row r="21">
          <cell r="A21" t="str">
            <v>LR03XAB/4B192</v>
          </cell>
        </row>
        <row r="22">
          <cell r="A22" t="str">
            <v>LR03XAB/6B192</v>
          </cell>
        </row>
        <row r="23">
          <cell r="A23" t="str">
            <v>LR03XAB/L4P3</v>
          </cell>
        </row>
        <row r="24">
          <cell r="A24" t="str">
            <v>LR03XAB/2BWS</v>
          </cell>
        </row>
        <row r="25">
          <cell r="A25" t="str">
            <v>LR03XPB/2B</v>
          </cell>
        </row>
        <row r="26">
          <cell r="A26" t="str">
            <v>LR03XPB/6B</v>
          </cell>
        </row>
        <row r="27">
          <cell r="A27" t="str">
            <v>LR14EGR/2B24</v>
          </cell>
        </row>
        <row r="28">
          <cell r="A28" t="str">
            <v>LR14XAB/2B</v>
          </cell>
        </row>
        <row r="29">
          <cell r="A29" t="str">
            <v>LR20EGR/2B24</v>
          </cell>
        </row>
        <row r="30">
          <cell r="A30" t="str">
            <v>LR20XAB/2B</v>
          </cell>
        </row>
        <row r="31">
          <cell r="A31" t="str">
            <v>LR6-2BT480</v>
          </cell>
        </row>
        <row r="32">
          <cell r="A32" t="str">
            <v>LR6EGR/2B96</v>
          </cell>
        </row>
        <row r="33">
          <cell r="A33" t="str">
            <v>LR6EGR/2BT</v>
          </cell>
        </row>
        <row r="34">
          <cell r="A34" t="str">
            <v>LR6EGR/4B96</v>
          </cell>
        </row>
        <row r="35">
          <cell r="A35" t="str">
            <v>LR6EGR/6B192</v>
          </cell>
        </row>
        <row r="36">
          <cell r="A36" t="str">
            <v>LR6EGR/L4P3</v>
          </cell>
        </row>
        <row r="37">
          <cell r="A37" t="str">
            <v>LR6XAB/2B192</v>
          </cell>
        </row>
        <row r="38">
          <cell r="A38" t="str">
            <v>LR6XAB/4B192</v>
          </cell>
        </row>
        <row r="39">
          <cell r="A39" t="str">
            <v>LR6XAB/L6P5192</v>
          </cell>
        </row>
        <row r="40">
          <cell r="A40" t="str">
            <v>LR6XAB/L4P3</v>
          </cell>
        </row>
        <row r="41">
          <cell r="A41" t="str">
            <v>LR6XAB/2BWS</v>
          </cell>
        </row>
        <row r="42">
          <cell r="A42" t="str">
            <v>LR6XPB/2B</v>
          </cell>
        </row>
        <row r="43">
          <cell r="A43" t="str">
            <v>LR6XPB/6B</v>
          </cell>
        </row>
        <row r="44">
          <cell r="A44" t="str">
            <v>LRV08-1B</v>
          </cell>
        </row>
        <row r="45">
          <cell r="A45" t="str">
            <v>LRV08-1BT</v>
          </cell>
        </row>
        <row r="46">
          <cell r="A46" t="str">
            <v>R03UAL/4B400</v>
          </cell>
        </row>
        <row r="47">
          <cell r="A47" t="str">
            <v>R03UAL/L8P6</v>
          </cell>
        </row>
        <row r="48">
          <cell r="A48" t="str">
            <v>UM-1SHS128</v>
          </cell>
        </row>
        <row r="49">
          <cell r="A49" t="str">
            <v>UM-1SH300</v>
          </cell>
        </row>
        <row r="50">
          <cell r="A50" t="str">
            <v>UM-2SHSP128</v>
          </cell>
        </row>
        <row r="51">
          <cell r="A51" t="str">
            <v>UM-3SHS</v>
          </cell>
        </row>
        <row r="52">
          <cell r="A52" t="str">
            <v>UM-3SH936</v>
          </cell>
        </row>
        <row r="53">
          <cell r="A53" t="str">
            <v>UM-3SHS/L8P6</v>
          </cell>
        </row>
      </sheetData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06">
    <pageSetUpPr fitToPage="1"/>
  </sheetPr>
  <dimension ref="A1:AV33"/>
  <sheetViews>
    <sheetView showZeros="0" zoomScaleNormal="100" workbookViewId="0">
      <selection sqref="A1:B1"/>
    </sheetView>
  </sheetViews>
  <sheetFormatPr defaultColWidth="11.42578125" defaultRowHeight="12.75"/>
  <cols>
    <col min="1" max="1" width="20.28515625" bestFit="1" customWidth="1"/>
    <col min="2" max="46" width="10.85546875" customWidth="1"/>
    <col min="47" max="48" width="4.7109375" customWidth="1"/>
  </cols>
  <sheetData>
    <row r="1" spans="1:48" ht="40.5" customHeight="1" thickBot="1">
      <c r="A1" s="219" t="s">
        <v>69</v>
      </c>
      <c r="B1" s="220"/>
      <c r="C1" s="103" t="s">
        <v>68</v>
      </c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6" t="s">
        <v>7</v>
      </c>
      <c r="R1" s="107"/>
      <c r="S1" s="107"/>
      <c r="T1" s="109"/>
      <c r="V1" s="136"/>
      <c r="W1" s="136"/>
      <c r="X1" s="136"/>
      <c r="Y1" s="136"/>
      <c r="Z1" s="136"/>
      <c r="AA1" s="136"/>
      <c r="AB1" s="136"/>
      <c r="AC1" s="136"/>
      <c r="AD1" s="136"/>
      <c r="AE1" s="136"/>
      <c r="AF1" s="136"/>
      <c r="AG1" s="136"/>
      <c r="AH1" s="136"/>
      <c r="AI1" s="136"/>
      <c r="AK1" s="136"/>
      <c r="AL1" s="136"/>
      <c r="AM1" s="136"/>
      <c r="AN1" s="136"/>
      <c r="AO1" s="136"/>
      <c r="AP1" s="136"/>
      <c r="AQ1" s="223" t="s">
        <v>107</v>
      </c>
      <c r="AR1" s="224"/>
      <c r="AS1" s="225" t="str">
        <f ca="1">MID(CELL("nome.arquivo"),SEARCH(".xl",CELL("nome.arquivo"))-2,2)&amp;" / 20"&amp;MID(CELL("nome.arquivo"),SEARCH(".xl",CELL("nome.arquivo"))-4,2)</f>
        <v>03 / 2022</v>
      </c>
      <c r="AT1" s="226"/>
    </row>
    <row r="2" spans="1:48" ht="24" customHeight="1">
      <c r="A2" s="51" t="s">
        <v>0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40"/>
      <c r="U2" s="140"/>
      <c r="V2" s="140"/>
      <c r="W2" s="140"/>
      <c r="X2" s="140"/>
      <c r="Y2" s="14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213"/>
      <c r="AR2" s="213"/>
      <c r="AS2" s="213"/>
      <c r="AT2" s="214"/>
      <c r="AU2" s="52"/>
    </row>
    <row r="3" spans="1:48">
      <c r="A3" s="53" t="s">
        <v>1</v>
      </c>
      <c r="B3" s="162"/>
      <c r="C3" s="162"/>
      <c r="D3" s="162"/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162"/>
      <c r="S3" s="162"/>
      <c r="T3" s="162"/>
      <c r="U3" s="162"/>
      <c r="V3" s="210"/>
      <c r="W3" s="210"/>
      <c r="X3" s="210"/>
      <c r="Y3" s="210"/>
      <c r="Z3" s="210"/>
      <c r="AA3" s="210"/>
      <c r="AB3" s="210"/>
      <c r="AC3" s="210"/>
      <c r="AD3" s="210"/>
      <c r="AE3" s="210"/>
      <c r="AF3" s="210"/>
      <c r="AG3" s="215"/>
      <c r="AH3" s="111"/>
      <c r="AI3" s="111"/>
      <c r="AJ3" s="111"/>
      <c r="AK3" s="111"/>
      <c r="AL3" s="111"/>
      <c r="AM3" s="111"/>
      <c r="AN3" s="111"/>
      <c r="AO3" s="111"/>
      <c r="AP3" s="111"/>
      <c r="AQ3" s="111"/>
      <c r="AR3" s="111"/>
      <c r="AS3" s="111"/>
      <c r="AT3" s="112"/>
    </row>
    <row r="4" spans="1:48" ht="21.95" customHeight="1">
      <c r="A4" s="53" t="s">
        <v>2</v>
      </c>
      <c r="B4" s="182"/>
      <c r="C4" s="182"/>
      <c r="D4" s="182"/>
      <c r="E4" s="182"/>
      <c r="F4" s="113"/>
      <c r="G4" s="113"/>
      <c r="H4" s="113"/>
      <c r="I4" s="182"/>
      <c r="J4" s="182"/>
      <c r="K4" s="182"/>
      <c r="L4" s="182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  <c r="AA4" s="114"/>
      <c r="AB4" s="114"/>
      <c r="AC4" s="114"/>
      <c r="AD4" s="114"/>
      <c r="AE4" s="114"/>
      <c r="AF4" s="114"/>
      <c r="AG4" s="114"/>
      <c r="AH4" s="114"/>
      <c r="AI4" s="114"/>
      <c r="AJ4" s="114"/>
      <c r="AK4" s="114"/>
      <c r="AL4" s="114"/>
      <c r="AM4" s="114"/>
      <c r="AN4" s="114"/>
      <c r="AO4" s="114"/>
      <c r="AP4" s="114"/>
      <c r="AQ4" s="114"/>
      <c r="AR4" s="114"/>
      <c r="AS4" s="114"/>
      <c r="AT4" s="115"/>
      <c r="AU4" s="54"/>
      <c r="AV4" s="54"/>
    </row>
    <row r="5" spans="1:48" ht="24.95" customHeight="1">
      <c r="A5" s="221" t="s">
        <v>67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>
        <f t="shared" ref="O5:S5" si="0">O31</f>
        <v>0</v>
      </c>
      <c r="P5" s="216">
        <f t="shared" si="0"/>
        <v>0</v>
      </c>
      <c r="Q5" s="216">
        <f t="shared" si="0"/>
        <v>0</v>
      </c>
      <c r="R5" s="216"/>
      <c r="S5" s="216">
        <f t="shared" si="0"/>
        <v>0</v>
      </c>
      <c r="T5" s="216">
        <f t="shared" ref="T5:V5" si="1">T31</f>
        <v>0</v>
      </c>
      <c r="U5" s="216">
        <f t="shared" si="1"/>
        <v>0</v>
      </c>
      <c r="V5" s="216">
        <f t="shared" si="1"/>
        <v>0</v>
      </c>
      <c r="W5" s="134"/>
      <c r="X5" s="134"/>
      <c r="Y5" s="134"/>
      <c r="Z5" s="134"/>
      <c r="AA5" s="134"/>
      <c r="AB5" s="134"/>
      <c r="AC5" s="134"/>
      <c r="AD5" s="134"/>
      <c r="AE5" s="134"/>
      <c r="AF5" s="134"/>
      <c r="AG5" s="134"/>
      <c r="AH5" s="134"/>
      <c r="AI5" s="134"/>
      <c r="AJ5" s="134"/>
      <c r="AK5" s="134"/>
      <c r="AL5" s="134"/>
      <c r="AM5" s="134"/>
      <c r="AN5" s="134"/>
      <c r="AO5" s="134"/>
      <c r="AP5" s="134"/>
      <c r="AQ5" s="134"/>
      <c r="AR5" s="134"/>
      <c r="AS5" s="134"/>
      <c r="AT5" s="227">
        <f t="shared" ref="AT5" si="2">AT31</f>
        <v>0</v>
      </c>
    </row>
    <row r="6" spans="1:48" ht="24.95" customHeight="1">
      <c r="A6" s="222"/>
      <c r="B6" s="217"/>
      <c r="C6" s="217"/>
      <c r="D6" s="217"/>
      <c r="E6" s="217"/>
      <c r="F6" s="217"/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  <c r="S6" s="217"/>
      <c r="T6" s="217"/>
      <c r="U6" s="217"/>
      <c r="V6" s="217"/>
      <c r="W6" s="135"/>
      <c r="X6" s="135"/>
      <c r="Y6" s="135"/>
      <c r="Z6" s="135"/>
      <c r="AA6" s="135"/>
      <c r="AB6" s="135"/>
      <c r="AC6" s="135"/>
      <c r="AD6" s="135"/>
      <c r="AE6" s="135"/>
      <c r="AF6" s="135"/>
      <c r="AG6" s="135"/>
      <c r="AH6" s="135"/>
      <c r="AI6" s="135"/>
      <c r="AJ6" s="135"/>
      <c r="AK6" s="135"/>
      <c r="AL6" s="135"/>
      <c r="AM6" s="135"/>
      <c r="AN6" s="135"/>
      <c r="AO6" s="135"/>
      <c r="AP6" s="135"/>
      <c r="AQ6" s="135"/>
      <c r="AR6" s="135"/>
      <c r="AS6" s="135"/>
      <c r="AT6" s="228"/>
    </row>
    <row r="7" spans="1:48" ht="24.95" customHeight="1">
      <c r="A7" s="222"/>
      <c r="B7" s="217"/>
      <c r="C7" s="217"/>
      <c r="D7" s="217"/>
      <c r="E7" s="217"/>
      <c r="F7" s="217"/>
      <c r="G7" s="217"/>
      <c r="H7" s="217"/>
      <c r="I7" s="217"/>
      <c r="J7" s="217"/>
      <c r="K7" s="217"/>
      <c r="L7" s="217"/>
      <c r="M7" s="217"/>
      <c r="N7" s="217"/>
      <c r="O7" s="217"/>
      <c r="P7" s="217"/>
      <c r="Q7" s="217"/>
      <c r="R7" s="217"/>
      <c r="S7" s="217"/>
      <c r="T7" s="217"/>
      <c r="U7" s="217"/>
      <c r="V7" s="217"/>
      <c r="W7" s="135"/>
      <c r="X7" s="135"/>
      <c r="Y7" s="135"/>
      <c r="Z7" s="135"/>
      <c r="AA7" s="135"/>
      <c r="AB7" s="135"/>
      <c r="AC7" s="135"/>
      <c r="AD7" s="135"/>
      <c r="AE7" s="135"/>
      <c r="AF7" s="135"/>
      <c r="AG7" s="135"/>
      <c r="AH7" s="135"/>
      <c r="AI7" s="135"/>
      <c r="AJ7" s="135"/>
      <c r="AK7" s="135"/>
      <c r="AL7" s="135"/>
      <c r="AM7" s="135"/>
      <c r="AN7" s="135"/>
      <c r="AO7" s="135"/>
      <c r="AP7" s="135"/>
      <c r="AQ7" s="135"/>
      <c r="AR7" s="135"/>
      <c r="AS7" s="135"/>
      <c r="AT7" s="228"/>
    </row>
    <row r="8" spans="1:48" ht="24.95" customHeight="1">
      <c r="A8" s="222"/>
      <c r="B8" s="217"/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7"/>
      <c r="N8" s="217"/>
      <c r="O8" s="217"/>
      <c r="P8" s="217"/>
      <c r="Q8" s="217"/>
      <c r="R8" s="217"/>
      <c r="S8" s="217"/>
      <c r="T8" s="217"/>
      <c r="U8" s="217"/>
      <c r="V8" s="217"/>
      <c r="W8" s="135"/>
      <c r="X8" s="135"/>
      <c r="Y8" s="135"/>
      <c r="Z8" s="135"/>
      <c r="AA8" s="135"/>
      <c r="AB8" s="135"/>
      <c r="AC8" s="135"/>
      <c r="AD8" s="135"/>
      <c r="AE8" s="135"/>
      <c r="AF8" s="135"/>
      <c r="AG8" s="135"/>
      <c r="AH8" s="135"/>
      <c r="AI8" s="135"/>
      <c r="AJ8" s="135"/>
      <c r="AK8" s="135"/>
      <c r="AL8" s="135"/>
      <c r="AM8" s="135"/>
      <c r="AN8" s="135"/>
      <c r="AO8" s="135"/>
      <c r="AP8" s="135"/>
      <c r="AQ8" s="135"/>
      <c r="AR8" s="135"/>
      <c r="AS8" s="135"/>
      <c r="AT8" s="228"/>
    </row>
    <row r="9" spans="1:48" ht="24.95" customHeight="1">
      <c r="A9" s="222"/>
      <c r="B9" s="217"/>
      <c r="C9" s="217"/>
      <c r="D9" s="217"/>
      <c r="E9" s="217"/>
      <c r="F9" s="217"/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217"/>
      <c r="W9" s="135"/>
      <c r="X9" s="135"/>
      <c r="Y9" s="135"/>
      <c r="Z9" s="135"/>
      <c r="AA9" s="135"/>
      <c r="AB9" s="135"/>
      <c r="AC9" s="135"/>
      <c r="AD9" s="135"/>
      <c r="AE9" s="135"/>
      <c r="AF9" s="135"/>
      <c r="AG9" s="135"/>
      <c r="AH9" s="135"/>
      <c r="AI9" s="135"/>
      <c r="AJ9" s="135"/>
      <c r="AK9" s="135"/>
      <c r="AL9" s="135"/>
      <c r="AM9" s="135"/>
      <c r="AN9" s="135"/>
      <c r="AO9" s="135"/>
      <c r="AP9" s="135"/>
      <c r="AQ9" s="135"/>
      <c r="AR9" s="135"/>
      <c r="AS9" s="135"/>
      <c r="AT9" s="228"/>
    </row>
    <row r="10" spans="1:48" ht="24.95" customHeight="1">
      <c r="A10" s="222"/>
      <c r="B10" s="217"/>
      <c r="C10" s="217"/>
      <c r="D10" s="217"/>
      <c r="E10" s="217"/>
      <c r="F10" s="217"/>
      <c r="G10" s="217"/>
      <c r="H10" s="217"/>
      <c r="I10" s="217"/>
      <c r="J10" s="217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  <c r="V10" s="217"/>
      <c r="W10" s="135"/>
      <c r="X10" s="135"/>
      <c r="Y10" s="135"/>
      <c r="Z10" s="135"/>
      <c r="AA10" s="135"/>
      <c r="AB10" s="135"/>
      <c r="AC10" s="135"/>
      <c r="AD10" s="135"/>
      <c r="AE10" s="135"/>
      <c r="AF10" s="135"/>
      <c r="AG10" s="135"/>
      <c r="AH10" s="135"/>
      <c r="AI10" s="135"/>
      <c r="AJ10" s="135"/>
      <c r="AK10" s="135"/>
      <c r="AL10" s="135"/>
      <c r="AM10" s="135"/>
      <c r="AN10" s="135"/>
      <c r="AO10" s="135"/>
      <c r="AP10" s="135"/>
      <c r="AQ10" s="135"/>
      <c r="AR10" s="135"/>
      <c r="AS10" s="135"/>
      <c r="AT10" s="228"/>
    </row>
    <row r="11" spans="1:48" ht="24.95" customHeight="1">
      <c r="A11" s="222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  <c r="V11" s="217"/>
      <c r="W11" s="135"/>
      <c r="X11" s="135"/>
      <c r="Y11" s="135"/>
      <c r="Z11" s="135"/>
      <c r="AA11" s="135"/>
      <c r="AB11" s="135"/>
      <c r="AC11" s="135"/>
      <c r="AD11" s="135"/>
      <c r="AE11" s="135"/>
      <c r="AF11" s="135"/>
      <c r="AG11" s="135"/>
      <c r="AH11" s="135"/>
      <c r="AI11" s="135"/>
      <c r="AJ11" s="135"/>
      <c r="AK11" s="135"/>
      <c r="AL11" s="135"/>
      <c r="AM11" s="135"/>
      <c r="AN11" s="135"/>
      <c r="AO11" s="135"/>
      <c r="AP11" s="135"/>
      <c r="AQ11" s="135"/>
      <c r="AR11" s="135"/>
      <c r="AS11" s="135"/>
      <c r="AT11" s="228"/>
    </row>
    <row r="12" spans="1:48" ht="24.95" customHeight="1">
      <c r="A12" s="222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  <c r="V12" s="217"/>
      <c r="W12" s="135"/>
      <c r="X12" s="135"/>
      <c r="Y12" s="135"/>
      <c r="Z12" s="135"/>
      <c r="AA12" s="135"/>
      <c r="AB12" s="135"/>
      <c r="AC12" s="135"/>
      <c r="AD12" s="135"/>
      <c r="AE12" s="135"/>
      <c r="AF12" s="135"/>
      <c r="AG12" s="135"/>
      <c r="AH12" s="135"/>
      <c r="AI12" s="135"/>
      <c r="AJ12" s="135"/>
      <c r="AK12" s="135"/>
      <c r="AL12" s="135"/>
      <c r="AM12" s="135"/>
      <c r="AN12" s="135"/>
      <c r="AO12" s="135"/>
      <c r="AP12" s="135"/>
      <c r="AQ12" s="135"/>
      <c r="AR12" s="135"/>
      <c r="AS12" s="135"/>
      <c r="AT12" s="228"/>
    </row>
    <row r="13" spans="1:48" ht="24.95" customHeight="1">
      <c r="A13" s="222"/>
      <c r="B13" s="217"/>
      <c r="C13" s="218"/>
      <c r="D13" s="218"/>
      <c r="E13" s="218"/>
      <c r="F13" s="218"/>
      <c r="G13" s="218"/>
      <c r="H13" s="218"/>
      <c r="I13" s="217"/>
      <c r="J13" s="217"/>
      <c r="K13" s="217"/>
      <c r="L13" s="217"/>
      <c r="M13" s="217"/>
      <c r="N13" s="217"/>
      <c r="O13" s="217"/>
      <c r="P13" s="217"/>
      <c r="Q13" s="217"/>
      <c r="R13" s="217"/>
      <c r="S13" s="217"/>
      <c r="T13" s="217"/>
      <c r="U13" s="217"/>
      <c r="V13" s="217"/>
      <c r="W13" s="135"/>
      <c r="X13" s="135"/>
      <c r="Y13" s="135"/>
      <c r="Z13" s="135"/>
      <c r="AA13" s="135"/>
      <c r="AB13" s="135"/>
      <c r="AC13" s="135"/>
      <c r="AD13" s="135"/>
      <c r="AE13" s="135"/>
      <c r="AF13" s="135"/>
      <c r="AG13" s="135"/>
      <c r="AH13" s="135"/>
      <c r="AI13" s="135"/>
      <c r="AJ13" s="135"/>
      <c r="AK13" s="135"/>
      <c r="AL13" s="135"/>
      <c r="AM13" s="135"/>
      <c r="AN13" s="135"/>
      <c r="AO13" s="135"/>
      <c r="AP13" s="135"/>
      <c r="AQ13" s="135"/>
      <c r="AR13" s="135"/>
      <c r="AS13" s="135"/>
      <c r="AT13" s="229"/>
    </row>
    <row r="14" spans="1:48" ht="18" customHeight="1">
      <c r="A14" s="55" t="s">
        <v>59</v>
      </c>
      <c r="B14" s="116"/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7"/>
      <c r="U14" s="117"/>
      <c r="V14" s="117"/>
      <c r="W14" s="117"/>
      <c r="X14" s="117"/>
      <c r="Y14" s="117"/>
      <c r="Z14" s="117"/>
      <c r="AA14" s="117"/>
      <c r="AB14" s="117"/>
      <c r="AC14" s="117"/>
      <c r="AD14" s="117"/>
      <c r="AE14" s="117"/>
      <c r="AF14" s="117"/>
      <c r="AG14" s="117"/>
      <c r="AH14" s="117"/>
      <c r="AI14" s="117"/>
      <c r="AJ14" s="117"/>
      <c r="AK14" s="117"/>
      <c r="AL14" s="117"/>
      <c r="AM14" s="117"/>
      <c r="AN14" s="117"/>
      <c r="AO14" s="117"/>
      <c r="AP14" s="117"/>
      <c r="AQ14" s="117"/>
      <c r="AR14" s="117"/>
      <c r="AS14" s="117"/>
      <c r="AT14" s="118"/>
    </row>
    <row r="15" spans="1:48" ht="18" customHeight="1">
      <c r="A15" s="55" t="s">
        <v>58</v>
      </c>
      <c r="B15" s="116"/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7"/>
      <c r="U15" s="117"/>
      <c r="V15" s="117"/>
      <c r="W15" s="117"/>
      <c r="X15" s="117"/>
      <c r="Y15" s="117"/>
      <c r="Z15" s="117"/>
      <c r="AA15" s="117"/>
      <c r="AB15" s="117"/>
      <c r="AC15" s="117"/>
      <c r="AD15" s="117"/>
      <c r="AE15" s="117"/>
      <c r="AF15" s="117"/>
      <c r="AG15" s="117"/>
      <c r="AH15" s="117"/>
      <c r="AI15" s="117"/>
      <c r="AJ15" s="117"/>
      <c r="AK15" s="117"/>
      <c r="AL15" s="117"/>
      <c r="AM15" s="117"/>
      <c r="AN15" s="117"/>
      <c r="AO15" s="117"/>
      <c r="AP15" s="117"/>
      <c r="AQ15" s="117"/>
      <c r="AR15" s="117"/>
      <c r="AS15" s="117"/>
      <c r="AT15" s="118"/>
    </row>
    <row r="16" spans="1:48" ht="18" customHeight="1">
      <c r="A16" s="57" t="s">
        <v>3</v>
      </c>
      <c r="B16" s="116"/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9"/>
      <c r="R16" s="116"/>
      <c r="S16" s="116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1"/>
      <c r="AR16" s="121"/>
      <c r="AS16" s="121"/>
      <c r="AT16" s="118"/>
    </row>
    <row r="17" spans="1:47" ht="18" customHeight="1">
      <c r="A17" s="55" t="s">
        <v>4</v>
      </c>
      <c r="B17" s="116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1"/>
      <c r="AR17" s="121"/>
      <c r="AS17" s="121"/>
      <c r="AT17" s="118"/>
    </row>
    <row r="18" spans="1:47" ht="18" customHeight="1">
      <c r="A18" s="55" t="s">
        <v>30</v>
      </c>
      <c r="B18" s="116"/>
      <c r="C18" s="116"/>
      <c r="D18" s="116"/>
      <c r="E18" s="116"/>
      <c r="F18" s="122"/>
      <c r="G18" s="116"/>
      <c r="H18" s="116"/>
      <c r="I18" s="116"/>
      <c r="J18" s="116"/>
      <c r="K18" s="116"/>
      <c r="L18" s="116"/>
      <c r="M18" s="122"/>
      <c r="N18" s="116"/>
      <c r="O18" s="116"/>
      <c r="P18" s="116"/>
      <c r="Q18" s="116"/>
      <c r="R18" s="116"/>
      <c r="S18" s="116"/>
      <c r="T18" s="117"/>
      <c r="U18" s="117"/>
      <c r="V18" s="117"/>
      <c r="W18" s="117"/>
      <c r="X18" s="117"/>
      <c r="Y18" s="117"/>
      <c r="Z18" s="117"/>
      <c r="AA18" s="117"/>
      <c r="AB18" s="117"/>
      <c r="AC18" s="117"/>
      <c r="AD18" s="117"/>
      <c r="AE18" s="117"/>
      <c r="AF18" s="117"/>
      <c r="AG18" s="117"/>
      <c r="AH18" s="117"/>
      <c r="AI18" s="117"/>
      <c r="AJ18" s="117"/>
      <c r="AK18" s="117"/>
      <c r="AL18" s="117"/>
      <c r="AM18" s="117"/>
      <c r="AN18" s="117"/>
      <c r="AO18" s="117"/>
      <c r="AP18" s="117"/>
      <c r="AQ18" s="117"/>
      <c r="AR18" s="117"/>
      <c r="AS18" s="117"/>
      <c r="AT18" s="118"/>
    </row>
    <row r="19" spans="1:47" s="1" customFormat="1" ht="18" customHeight="1">
      <c r="A19" s="58" t="s">
        <v>5</v>
      </c>
      <c r="B19" s="78">
        <f>SUM(B15:B18)</f>
        <v>0</v>
      </c>
      <c r="C19" s="78">
        <f t="shared" ref="C19:S19" si="3">SUM(C15:C18)</f>
        <v>0</v>
      </c>
      <c r="D19" s="78">
        <f t="shared" si="3"/>
        <v>0</v>
      </c>
      <c r="E19" s="78">
        <f t="shared" si="3"/>
        <v>0</v>
      </c>
      <c r="F19" s="78">
        <f t="shared" si="3"/>
        <v>0</v>
      </c>
      <c r="G19" s="78">
        <f t="shared" si="3"/>
        <v>0</v>
      </c>
      <c r="H19" s="78">
        <f t="shared" si="3"/>
        <v>0</v>
      </c>
      <c r="I19" s="78">
        <f t="shared" si="3"/>
        <v>0</v>
      </c>
      <c r="J19" s="78">
        <f t="shared" si="3"/>
        <v>0</v>
      </c>
      <c r="K19" s="78">
        <f>SUM(K15:K18)</f>
        <v>0</v>
      </c>
      <c r="L19" s="78">
        <f>SUM(L15:L18)</f>
        <v>0</v>
      </c>
      <c r="M19" s="78">
        <f t="shared" si="3"/>
        <v>0</v>
      </c>
      <c r="N19" s="78">
        <f t="shared" si="3"/>
        <v>0</v>
      </c>
      <c r="O19" s="78">
        <f t="shared" si="3"/>
        <v>0</v>
      </c>
      <c r="P19" s="78">
        <f t="shared" si="3"/>
        <v>0</v>
      </c>
      <c r="Q19" s="78">
        <f t="shared" si="3"/>
        <v>0</v>
      </c>
      <c r="R19" s="78">
        <f t="shared" si="3"/>
        <v>0</v>
      </c>
      <c r="S19" s="78">
        <f t="shared" si="3"/>
        <v>0</v>
      </c>
      <c r="T19" s="78">
        <f t="shared" ref="T19:AT19" si="4">SUM(T15:T18)</f>
        <v>0</v>
      </c>
      <c r="U19" s="78">
        <f t="shared" si="4"/>
        <v>0</v>
      </c>
      <c r="V19" s="78">
        <f t="shared" si="4"/>
        <v>0</v>
      </c>
      <c r="W19" s="78">
        <f t="shared" si="4"/>
        <v>0</v>
      </c>
      <c r="X19" s="78">
        <f t="shared" si="4"/>
        <v>0</v>
      </c>
      <c r="Y19" s="78">
        <f t="shared" si="4"/>
        <v>0</v>
      </c>
      <c r="Z19" s="78">
        <f t="shared" si="4"/>
        <v>0</v>
      </c>
      <c r="AA19" s="78">
        <f t="shared" si="4"/>
        <v>0</v>
      </c>
      <c r="AB19" s="78">
        <f t="shared" si="4"/>
        <v>0</v>
      </c>
      <c r="AC19" s="78">
        <f t="shared" si="4"/>
        <v>0</v>
      </c>
      <c r="AD19" s="78">
        <f t="shared" si="4"/>
        <v>0</v>
      </c>
      <c r="AE19" s="78">
        <f t="shared" si="4"/>
        <v>0</v>
      </c>
      <c r="AF19" s="78">
        <f t="shared" si="4"/>
        <v>0</v>
      </c>
      <c r="AG19" s="78">
        <f t="shared" si="4"/>
        <v>0</v>
      </c>
      <c r="AH19" s="78">
        <f t="shared" si="4"/>
        <v>0</v>
      </c>
      <c r="AI19" s="78">
        <f t="shared" si="4"/>
        <v>0</v>
      </c>
      <c r="AJ19" s="78">
        <f t="shared" si="4"/>
        <v>0</v>
      </c>
      <c r="AK19" s="78">
        <f t="shared" si="4"/>
        <v>0</v>
      </c>
      <c r="AL19" s="78"/>
      <c r="AM19" s="78"/>
      <c r="AN19" s="78"/>
      <c r="AO19" s="78"/>
      <c r="AP19" s="78"/>
      <c r="AQ19" s="78"/>
      <c r="AR19" s="78"/>
      <c r="AS19" s="78"/>
      <c r="AT19" s="208">
        <f t="shared" si="4"/>
        <v>0</v>
      </c>
      <c r="AU19" s="59"/>
    </row>
    <row r="20" spans="1:47" s="1" customFormat="1" ht="18" customHeight="1" thickBot="1">
      <c r="A20" s="144" t="s">
        <v>23</v>
      </c>
      <c r="B20" s="145" t="str">
        <f>IF(B19&gt;0,B19/B4*1000000,"")</f>
        <v/>
      </c>
      <c r="C20" s="145" t="str">
        <f t="shared" ref="C20:S20" si="5">IF(C19&gt;0,C19/C4*1000000,"")</f>
        <v/>
      </c>
      <c r="D20" s="145" t="str">
        <f t="shared" si="5"/>
        <v/>
      </c>
      <c r="E20" s="145" t="str">
        <f t="shared" si="5"/>
        <v/>
      </c>
      <c r="F20" s="145" t="str">
        <f t="shared" si="5"/>
        <v/>
      </c>
      <c r="G20" s="145" t="str">
        <f t="shared" si="5"/>
        <v/>
      </c>
      <c r="H20" s="145" t="str">
        <f t="shared" si="5"/>
        <v/>
      </c>
      <c r="I20" s="145" t="str">
        <f t="shared" si="5"/>
        <v/>
      </c>
      <c r="J20" s="145" t="str">
        <f t="shared" si="5"/>
        <v/>
      </c>
      <c r="K20" s="145" t="str">
        <f t="shared" si="5"/>
        <v/>
      </c>
      <c r="L20" s="145" t="str">
        <f t="shared" si="5"/>
        <v/>
      </c>
      <c r="M20" s="145" t="str">
        <f t="shared" si="5"/>
        <v/>
      </c>
      <c r="N20" s="145" t="str">
        <f t="shared" si="5"/>
        <v/>
      </c>
      <c r="O20" s="145" t="str">
        <f t="shared" si="5"/>
        <v/>
      </c>
      <c r="P20" s="60" t="str">
        <f t="shared" si="5"/>
        <v/>
      </c>
      <c r="Q20" s="60" t="str">
        <f t="shared" si="5"/>
        <v/>
      </c>
      <c r="R20" s="60" t="str">
        <f t="shared" si="5"/>
        <v/>
      </c>
      <c r="S20" s="60" t="str">
        <f t="shared" si="5"/>
        <v/>
      </c>
      <c r="T20" s="108" t="str">
        <f t="shared" ref="T20:AT20" si="6">IF(T19&gt;0,T19/T4*1000000,"")</f>
        <v/>
      </c>
      <c r="U20" s="108" t="str">
        <f t="shared" si="6"/>
        <v/>
      </c>
      <c r="V20" s="108" t="str">
        <f t="shared" si="6"/>
        <v/>
      </c>
      <c r="W20" s="108" t="str">
        <f t="shared" si="6"/>
        <v/>
      </c>
      <c r="X20" s="108" t="str">
        <f t="shared" si="6"/>
        <v/>
      </c>
      <c r="Y20" s="108" t="str">
        <f t="shared" si="6"/>
        <v/>
      </c>
      <c r="Z20" s="108" t="str">
        <f t="shared" si="6"/>
        <v/>
      </c>
      <c r="AA20" s="108" t="str">
        <f t="shared" si="6"/>
        <v/>
      </c>
      <c r="AB20" s="108" t="str">
        <f t="shared" si="6"/>
        <v/>
      </c>
      <c r="AC20" s="108" t="str">
        <f t="shared" si="6"/>
        <v/>
      </c>
      <c r="AD20" s="108" t="str">
        <f t="shared" si="6"/>
        <v/>
      </c>
      <c r="AE20" s="108" t="str">
        <f t="shared" si="6"/>
        <v/>
      </c>
      <c r="AF20" s="108" t="str">
        <f t="shared" si="6"/>
        <v/>
      </c>
      <c r="AG20" s="108" t="str">
        <f t="shared" si="6"/>
        <v/>
      </c>
      <c r="AH20" s="108" t="str">
        <f t="shared" si="6"/>
        <v/>
      </c>
      <c r="AI20" s="108" t="str">
        <f t="shared" si="6"/>
        <v/>
      </c>
      <c r="AJ20" s="108" t="str">
        <f t="shared" si="6"/>
        <v/>
      </c>
      <c r="AK20" s="108" t="str">
        <f t="shared" si="6"/>
        <v/>
      </c>
      <c r="AL20" s="108" t="str">
        <f t="shared" si="6"/>
        <v/>
      </c>
      <c r="AM20" s="108" t="str">
        <f t="shared" si="6"/>
        <v/>
      </c>
      <c r="AN20" s="108" t="str">
        <f t="shared" si="6"/>
        <v/>
      </c>
      <c r="AO20" s="108" t="str">
        <f t="shared" si="6"/>
        <v/>
      </c>
      <c r="AP20" s="108" t="str">
        <f t="shared" si="6"/>
        <v/>
      </c>
      <c r="AQ20" s="108" t="str">
        <f t="shared" si="6"/>
        <v/>
      </c>
      <c r="AR20" s="108" t="str">
        <f t="shared" si="6"/>
        <v/>
      </c>
      <c r="AS20" s="108" t="str">
        <f t="shared" si="6"/>
        <v/>
      </c>
      <c r="AT20" s="209" t="str">
        <f t="shared" si="6"/>
        <v/>
      </c>
    </row>
    <row r="21" spans="1:47" s="1" customFormat="1" ht="18" customHeight="1">
      <c r="A21" s="146" t="s">
        <v>79</v>
      </c>
      <c r="B21" s="147"/>
      <c r="C21" s="147"/>
      <c r="D21" s="147"/>
      <c r="E21" s="147"/>
      <c r="F21" s="147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147"/>
      <c r="R21" s="147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47"/>
      <c r="AJ21" s="147"/>
      <c r="AK21" s="147"/>
      <c r="AL21" s="147"/>
      <c r="AM21" s="147"/>
      <c r="AN21" s="147"/>
      <c r="AO21" s="206"/>
      <c r="AP21" s="206"/>
      <c r="AQ21" s="206"/>
      <c r="AR21" s="206"/>
      <c r="AS21" s="206"/>
      <c r="AT21" s="148"/>
      <c r="AU21" s="61"/>
    </row>
    <row r="22" spans="1:47" ht="18" customHeight="1" thickBot="1">
      <c r="A22" s="149" t="s">
        <v>78</v>
      </c>
      <c r="B22" s="150"/>
      <c r="C22" s="150"/>
      <c r="D22" s="150"/>
      <c r="E22" s="150"/>
      <c r="F22" s="150"/>
      <c r="G22" s="150"/>
      <c r="H22" s="150"/>
      <c r="I22" s="150"/>
      <c r="J22" s="150"/>
      <c r="K22" s="150"/>
      <c r="L22" s="150"/>
      <c r="M22" s="150"/>
      <c r="N22" s="150"/>
      <c r="O22" s="150"/>
      <c r="P22" s="150"/>
      <c r="Q22" s="150"/>
      <c r="R22" s="150"/>
      <c r="S22" s="150"/>
      <c r="T22" s="150"/>
      <c r="U22" s="150"/>
      <c r="V22" s="150"/>
      <c r="W22" s="150"/>
      <c r="X22" s="150"/>
      <c r="Y22" s="150"/>
      <c r="Z22" s="150"/>
      <c r="AA22" s="150"/>
      <c r="AB22" s="150"/>
      <c r="AC22" s="150"/>
      <c r="AD22" s="150"/>
      <c r="AE22" s="150"/>
      <c r="AF22" s="150"/>
      <c r="AG22" s="150"/>
      <c r="AH22" s="150"/>
      <c r="AI22" s="150"/>
      <c r="AJ22" s="150"/>
      <c r="AK22" s="150"/>
      <c r="AL22" s="150"/>
      <c r="AM22" s="150"/>
      <c r="AN22" s="150"/>
      <c r="AO22" s="207"/>
      <c r="AP22" s="207"/>
      <c r="AQ22" s="207"/>
      <c r="AR22" s="207"/>
      <c r="AS22" s="207"/>
      <c r="AT22" s="151"/>
    </row>
    <row r="23" spans="1:47" ht="14.1" customHeight="1">
      <c r="A23" s="125" t="s">
        <v>70</v>
      </c>
      <c r="B23" s="126"/>
      <c r="C23" s="126"/>
      <c r="D23" s="126"/>
      <c r="E23" s="126"/>
      <c r="F23" s="126"/>
      <c r="G23" s="128"/>
      <c r="H23" s="129"/>
      <c r="I23" s="126"/>
      <c r="J23" s="126"/>
      <c r="K23" s="126"/>
      <c r="L23" s="126"/>
      <c r="M23" s="126"/>
      <c r="N23" s="126"/>
      <c r="O23" s="128"/>
      <c r="P23" s="126"/>
      <c r="Q23" s="126"/>
      <c r="R23" s="127"/>
      <c r="S23" s="127"/>
      <c r="T23" s="98"/>
      <c r="U23" s="98"/>
      <c r="V23" s="98"/>
      <c r="W23" s="98"/>
      <c r="X23" s="98"/>
      <c r="Y23" s="98"/>
      <c r="Z23" s="98"/>
      <c r="AA23" s="98"/>
      <c r="AB23" s="98"/>
      <c r="AC23" s="98"/>
      <c r="AD23" s="98"/>
      <c r="AE23" s="98"/>
      <c r="AF23" s="98"/>
      <c r="AG23" s="98"/>
      <c r="AH23" s="98"/>
      <c r="AI23" s="98"/>
      <c r="AJ23" s="98"/>
      <c r="AK23" s="98"/>
      <c r="AL23" s="98"/>
      <c r="AM23" s="98"/>
      <c r="AN23" s="98"/>
      <c r="AO23" s="98"/>
      <c r="AP23" s="98"/>
      <c r="AQ23" s="98"/>
      <c r="AR23" s="98"/>
      <c r="AS23" s="98"/>
      <c r="AT23" s="99"/>
    </row>
    <row r="24" spans="1:47" ht="14.1" customHeight="1">
      <c r="A24" s="125"/>
      <c r="B24" s="126"/>
      <c r="C24" s="126"/>
      <c r="D24" s="126"/>
      <c r="E24" s="126"/>
      <c r="F24" s="126"/>
      <c r="G24" s="128"/>
      <c r="H24" s="129"/>
      <c r="I24" s="126"/>
      <c r="J24" s="126"/>
      <c r="K24" s="126"/>
      <c r="L24" s="126"/>
      <c r="M24" s="126"/>
      <c r="N24" s="126"/>
      <c r="O24" s="128"/>
      <c r="P24" s="126"/>
      <c r="Q24" s="126"/>
      <c r="R24" s="127"/>
      <c r="S24" s="127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9"/>
    </row>
    <row r="25" spans="1:47" s="62" customFormat="1" ht="12" thickBot="1">
      <c r="A25" s="130" t="s">
        <v>71</v>
      </c>
      <c r="B25" s="131"/>
      <c r="C25" s="131"/>
      <c r="D25" s="131"/>
      <c r="E25" s="131"/>
      <c r="F25" s="131"/>
      <c r="G25" s="132"/>
      <c r="H25" s="133"/>
      <c r="I25" s="131"/>
      <c r="J25" s="131"/>
      <c r="K25" s="131"/>
      <c r="L25" s="131"/>
      <c r="M25" s="131"/>
      <c r="N25" s="131"/>
      <c r="O25" s="132"/>
      <c r="P25" s="131"/>
      <c r="Q25" s="131"/>
      <c r="R25" s="131"/>
      <c r="S25" s="131"/>
      <c r="T25" s="100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1"/>
      <c r="AU25" s="63"/>
    </row>
    <row r="27" spans="1:47">
      <c r="A27" s="102" t="s">
        <v>8</v>
      </c>
      <c r="B27">
        <f>'[1]SJCPIL 16-006-08'!$Y$37</f>
        <v>1660</v>
      </c>
    </row>
    <row r="30" spans="1:47" ht="18.75" customHeight="1">
      <c r="A30" s="56" t="s">
        <v>22</v>
      </c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</row>
    <row r="31" spans="1:47" ht="103.5" customHeight="1">
      <c r="A31" s="64" t="s">
        <v>14</v>
      </c>
      <c r="B31" s="153"/>
      <c r="C31" s="153"/>
      <c r="D31" s="153"/>
      <c r="E31" s="153"/>
      <c r="F31" s="153"/>
      <c r="G31" s="153"/>
      <c r="H31" s="153"/>
      <c r="I31" s="153"/>
      <c r="J31" s="153"/>
      <c r="K31" s="153"/>
      <c r="L31" s="153"/>
      <c r="M31" s="153"/>
      <c r="N31" s="153"/>
      <c r="O31" s="153"/>
      <c r="P31" s="153"/>
      <c r="Q31" s="153"/>
      <c r="R31" s="153"/>
      <c r="S31" s="153"/>
      <c r="T31" s="153"/>
      <c r="U31" s="153"/>
      <c r="V31" s="153"/>
      <c r="W31" s="153"/>
      <c r="X31" s="153"/>
      <c r="Y31" s="153"/>
      <c r="Z31" s="154"/>
      <c r="AA31" s="154"/>
      <c r="AB31" s="154"/>
      <c r="AC31" s="154"/>
      <c r="AD31" s="154"/>
      <c r="AE31" s="154"/>
      <c r="AF31" s="154"/>
      <c r="AG31" s="154"/>
      <c r="AH31" s="154"/>
      <c r="AI31" s="154"/>
      <c r="AJ31" s="154"/>
      <c r="AK31" s="154"/>
      <c r="AL31" s="154" t="s">
        <v>99</v>
      </c>
      <c r="AM31" s="154"/>
      <c r="AN31" s="154"/>
      <c r="AO31" s="154"/>
      <c r="AP31" s="154"/>
      <c r="AQ31" s="154"/>
      <c r="AR31" s="154"/>
      <c r="AS31" s="154"/>
      <c r="AT31" s="155"/>
    </row>
    <row r="33" spans="1:9">
      <c r="A33" s="65"/>
      <c r="B33" s="66"/>
      <c r="C33" s="66"/>
      <c r="D33" s="66"/>
      <c r="E33" s="66"/>
      <c r="F33" s="66"/>
      <c r="G33" s="66"/>
      <c r="H33" s="66"/>
      <c r="I33" s="66"/>
    </row>
  </sheetData>
  <sheetProtection algorithmName="SHA-512" hashValue="gdRA6W7kD5i4Q+RdQLs30P6EYtosxeXptaGr/kWzXKXzPZCmNKki/GJ3hVsVedGAHFjm6KQSecDahMz7jp1b4Q==" saltValue="twoesFYdXbKS+4pfQ1S+JA==" spinCount="100000" sheet="1" objects="1" scenarios="1" selectLockedCells="1"/>
  <mergeCells count="26">
    <mergeCell ref="AQ1:AR1"/>
    <mergeCell ref="AS1:AT1"/>
    <mergeCell ref="N5:N13"/>
    <mergeCell ref="O5:O13"/>
    <mergeCell ref="P5:P13"/>
    <mergeCell ref="AT5:AT13"/>
    <mergeCell ref="R5:R13"/>
    <mergeCell ref="S5:S13"/>
    <mergeCell ref="T5:T13"/>
    <mergeCell ref="U5:U13"/>
    <mergeCell ref="V5:V13"/>
    <mergeCell ref="A1:B1"/>
    <mergeCell ref="A5:A13"/>
    <mergeCell ref="B5:B13"/>
    <mergeCell ref="C5:C13"/>
    <mergeCell ref="D5:D13"/>
    <mergeCell ref="E5:E13"/>
    <mergeCell ref="F5:F13"/>
    <mergeCell ref="G5:G13"/>
    <mergeCell ref="H5:H13"/>
    <mergeCell ref="I5:I13"/>
    <mergeCell ref="J5:J13"/>
    <mergeCell ref="K5:K13"/>
    <mergeCell ref="L5:L13"/>
    <mergeCell ref="Q5:Q13"/>
    <mergeCell ref="M5:M13"/>
  </mergeCells>
  <phoneticPr fontId="0" type="noConversion"/>
  <dataValidations disablePrompts="1" count="1">
    <dataValidation type="list" allowBlank="1" showInputMessage="1" showErrorMessage="1" sqref="B2:AT2" xr:uid="{00000000-0002-0000-0000-000000000000}">
      <formula1>PRODUTOS</formula1>
    </dataValidation>
  </dataValidations>
  <printOptions horizontalCentered="1" verticalCentered="1" gridLines="1" gridLinesSet="0"/>
  <pageMargins left="0.39370078740157483" right="0.39370078740157483" top="0.98425196850393704" bottom="0.59055118110236227" header="0.27559055118110237" footer="0.39370078740157483"/>
  <pageSetup paperSize="9" scale="25" orientation="landscape" horizontalDpi="300" verticalDpi="300" r:id="rId1"/>
  <headerFooter alignWithMargins="0">
    <oddFooter>&amp;RSJCPIL-R 16-507-01</oddFooter>
  </headerFooter>
  <colBreaks count="1" manualBreakCount="1">
    <brk id="47" max="36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07">
    <pageSetUpPr fitToPage="1"/>
  </sheetPr>
  <dimension ref="A1:AV33"/>
  <sheetViews>
    <sheetView showZeros="0" zoomScaleNormal="100" workbookViewId="0">
      <selection activeCell="C5" sqref="C5:C13"/>
    </sheetView>
  </sheetViews>
  <sheetFormatPr defaultColWidth="11.42578125" defaultRowHeight="12.75"/>
  <cols>
    <col min="1" max="1" width="20.28515625" bestFit="1" customWidth="1"/>
    <col min="2" max="46" width="10.85546875" customWidth="1"/>
    <col min="47" max="48" width="4.7109375" customWidth="1"/>
  </cols>
  <sheetData>
    <row r="1" spans="1:48" ht="40.5" customHeight="1" thickBot="1">
      <c r="A1" s="219" t="s">
        <v>69</v>
      </c>
      <c r="B1" s="220"/>
      <c r="C1" s="103" t="s">
        <v>68</v>
      </c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5"/>
      <c r="R1" s="106" t="s">
        <v>7</v>
      </c>
      <c r="S1" s="107"/>
      <c r="T1" s="107"/>
      <c r="U1" s="143"/>
      <c r="V1" s="136"/>
      <c r="W1" s="136"/>
      <c r="X1" s="136"/>
      <c r="Y1" s="136"/>
      <c r="Z1" s="136"/>
      <c r="AA1" s="136"/>
      <c r="AB1" s="136"/>
      <c r="AC1" s="136"/>
      <c r="AD1" s="136"/>
      <c r="AE1" s="136"/>
      <c r="AG1" s="136"/>
      <c r="AH1" s="136"/>
      <c r="AI1" s="136"/>
      <c r="AJ1" s="136"/>
      <c r="AK1" s="136"/>
      <c r="AL1" s="136"/>
      <c r="AM1" s="136"/>
      <c r="AN1" s="136"/>
      <c r="AO1" s="136"/>
      <c r="AP1" s="136"/>
      <c r="AQ1" s="223" t="s">
        <v>107</v>
      </c>
      <c r="AR1" s="224"/>
      <c r="AS1" s="224" t="str">
        <f ca="1">'Alloyd 1'!AS1</f>
        <v>03 / 2022</v>
      </c>
      <c r="AT1" s="230"/>
    </row>
    <row r="2" spans="1:48" ht="24" customHeight="1">
      <c r="A2" s="51" t="s">
        <v>0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10"/>
      <c r="AL2" s="110"/>
      <c r="AM2" s="110"/>
      <c r="AN2" s="110"/>
      <c r="AO2" s="110"/>
      <c r="AP2" s="110"/>
      <c r="AQ2" s="213"/>
      <c r="AR2" s="213"/>
      <c r="AS2" s="213"/>
      <c r="AT2" s="214"/>
      <c r="AU2" s="52"/>
    </row>
    <row r="3" spans="1:48">
      <c r="A3" s="53" t="s">
        <v>1</v>
      </c>
      <c r="B3" s="162"/>
      <c r="C3" s="162"/>
      <c r="D3" s="162"/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162"/>
      <c r="S3" s="162"/>
      <c r="T3" s="162"/>
      <c r="U3" s="162"/>
      <c r="V3" s="210"/>
      <c r="W3" s="210"/>
      <c r="X3" s="210"/>
      <c r="Y3" s="210"/>
      <c r="Z3" s="210"/>
      <c r="AA3" s="210"/>
      <c r="AB3" s="210"/>
      <c r="AC3" s="210"/>
      <c r="AD3" s="210"/>
      <c r="AE3" s="210"/>
      <c r="AF3" s="210"/>
      <c r="AG3" s="210"/>
      <c r="AH3" s="111"/>
      <c r="AI3" s="111"/>
      <c r="AJ3" s="111"/>
      <c r="AK3" s="111"/>
      <c r="AL3" s="111"/>
      <c r="AM3" s="111"/>
      <c r="AN3" s="111"/>
      <c r="AO3" s="111"/>
      <c r="AP3" s="111"/>
      <c r="AQ3" s="111"/>
      <c r="AR3" s="111"/>
      <c r="AS3" s="111"/>
      <c r="AT3" s="112"/>
    </row>
    <row r="4" spans="1:48" ht="21.95" customHeight="1">
      <c r="A4" s="53" t="s">
        <v>2</v>
      </c>
      <c r="B4" s="182"/>
      <c r="C4" s="182"/>
      <c r="D4" s="182"/>
      <c r="E4" s="182"/>
      <c r="F4" s="182"/>
      <c r="G4" s="182"/>
      <c r="H4" s="182"/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4"/>
      <c r="V4" s="114"/>
      <c r="W4" s="114"/>
      <c r="X4" s="114"/>
      <c r="Y4" s="114"/>
      <c r="Z4" s="114"/>
      <c r="AA4" s="114"/>
      <c r="AB4" s="114"/>
      <c r="AC4" s="114"/>
      <c r="AD4" s="114"/>
      <c r="AE4" s="114"/>
      <c r="AF4" s="114"/>
      <c r="AG4" s="114"/>
      <c r="AH4" s="114"/>
      <c r="AI4" s="114"/>
      <c r="AJ4" s="114"/>
      <c r="AK4" s="114"/>
      <c r="AL4" s="114"/>
      <c r="AM4" s="114"/>
      <c r="AN4" s="114"/>
      <c r="AO4" s="114"/>
      <c r="AP4" s="114"/>
      <c r="AQ4" s="114"/>
      <c r="AR4" s="114"/>
      <c r="AS4" s="114"/>
      <c r="AT4" s="115"/>
      <c r="AU4" s="54"/>
      <c r="AV4" s="54"/>
    </row>
    <row r="5" spans="1:48" ht="24.95" customHeight="1">
      <c r="A5" s="221" t="s">
        <v>66</v>
      </c>
      <c r="B5" s="216">
        <f>B31</f>
        <v>0</v>
      </c>
      <c r="C5" s="216">
        <f t="shared" ref="C5:AT5" si="0">C31</f>
        <v>0</v>
      </c>
      <c r="D5" s="216">
        <f t="shared" si="0"/>
        <v>0</v>
      </c>
      <c r="E5" s="216">
        <f t="shared" si="0"/>
        <v>0</v>
      </c>
      <c r="F5" s="216">
        <f t="shared" si="0"/>
        <v>0</v>
      </c>
      <c r="G5" s="216">
        <f t="shared" si="0"/>
        <v>0</v>
      </c>
      <c r="H5" s="216">
        <f t="shared" si="0"/>
        <v>0</v>
      </c>
      <c r="I5" s="216">
        <f t="shared" si="0"/>
        <v>0</v>
      </c>
      <c r="J5" s="216">
        <f t="shared" si="0"/>
        <v>0</v>
      </c>
      <c r="K5" s="216">
        <f t="shared" si="0"/>
        <v>0</v>
      </c>
      <c r="L5" s="216">
        <f t="shared" si="0"/>
        <v>0</v>
      </c>
      <c r="M5" s="216">
        <f t="shared" si="0"/>
        <v>0</v>
      </c>
      <c r="N5" s="216">
        <f t="shared" si="0"/>
        <v>0</v>
      </c>
      <c r="O5" s="216">
        <f t="shared" si="0"/>
        <v>0</v>
      </c>
      <c r="P5" s="216">
        <f t="shared" si="0"/>
        <v>0</v>
      </c>
      <c r="Q5" s="216">
        <f t="shared" si="0"/>
        <v>0</v>
      </c>
      <c r="R5" s="216">
        <f t="shared" si="0"/>
        <v>0</v>
      </c>
      <c r="S5" s="216"/>
      <c r="T5" s="216">
        <f t="shared" si="0"/>
        <v>0</v>
      </c>
      <c r="U5" s="216">
        <f t="shared" si="0"/>
        <v>0</v>
      </c>
      <c r="V5" s="216">
        <f t="shared" si="0"/>
        <v>0</v>
      </c>
      <c r="W5" s="134"/>
      <c r="X5" s="134"/>
      <c r="Y5" s="134"/>
      <c r="Z5" s="134"/>
      <c r="AA5" s="134"/>
      <c r="AB5" s="134"/>
      <c r="AC5" s="134"/>
      <c r="AD5" s="134"/>
      <c r="AE5" s="134"/>
      <c r="AF5" s="134"/>
      <c r="AG5" s="134"/>
      <c r="AH5" s="134"/>
      <c r="AI5" s="134"/>
      <c r="AJ5" s="134"/>
      <c r="AK5" s="134"/>
      <c r="AL5" s="134"/>
      <c r="AM5" s="134"/>
      <c r="AN5" s="134"/>
      <c r="AO5" s="134"/>
      <c r="AP5" s="134"/>
      <c r="AQ5" s="134"/>
      <c r="AR5" s="134"/>
      <c r="AS5" s="134"/>
      <c r="AT5" s="227">
        <f t="shared" si="0"/>
        <v>0</v>
      </c>
    </row>
    <row r="6" spans="1:48" ht="24.95" customHeight="1">
      <c r="A6" s="222"/>
      <c r="B6" s="217"/>
      <c r="C6" s="217"/>
      <c r="D6" s="217"/>
      <c r="E6" s="217"/>
      <c r="F6" s="217"/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  <c r="S6" s="217"/>
      <c r="T6" s="217"/>
      <c r="U6" s="217"/>
      <c r="V6" s="217"/>
      <c r="W6" s="135"/>
      <c r="X6" s="135"/>
      <c r="Y6" s="135"/>
      <c r="Z6" s="135"/>
      <c r="AA6" s="135"/>
      <c r="AB6" s="135"/>
      <c r="AC6" s="135"/>
      <c r="AD6" s="135"/>
      <c r="AE6" s="135"/>
      <c r="AF6" s="135"/>
      <c r="AG6" s="135"/>
      <c r="AH6" s="135"/>
      <c r="AI6" s="135"/>
      <c r="AJ6" s="135"/>
      <c r="AK6" s="135"/>
      <c r="AL6" s="135"/>
      <c r="AM6" s="135"/>
      <c r="AN6" s="135"/>
      <c r="AO6" s="135"/>
      <c r="AP6" s="135"/>
      <c r="AQ6" s="135"/>
      <c r="AR6" s="135"/>
      <c r="AS6" s="135"/>
      <c r="AT6" s="228"/>
    </row>
    <row r="7" spans="1:48" ht="24.95" customHeight="1">
      <c r="A7" s="222"/>
      <c r="B7" s="217"/>
      <c r="C7" s="217"/>
      <c r="D7" s="217"/>
      <c r="E7" s="217"/>
      <c r="F7" s="217"/>
      <c r="G7" s="217"/>
      <c r="H7" s="217"/>
      <c r="I7" s="217"/>
      <c r="J7" s="217"/>
      <c r="K7" s="217"/>
      <c r="L7" s="217"/>
      <c r="M7" s="217"/>
      <c r="N7" s="217"/>
      <c r="O7" s="217"/>
      <c r="P7" s="217"/>
      <c r="Q7" s="217"/>
      <c r="R7" s="217"/>
      <c r="S7" s="217"/>
      <c r="T7" s="217"/>
      <c r="U7" s="217"/>
      <c r="V7" s="217"/>
      <c r="W7" s="135"/>
      <c r="X7" s="135"/>
      <c r="Y7" s="135"/>
      <c r="Z7" s="135"/>
      <c r="AA7" s="135"/>
      <c r="AB7" s="135"/>
      <c r="AC7" s="135"/>
      <c r="AD7" s="135"/>
      <c r="AE7" s="135"/>
      <c r="AF7" s="135"/>
      <c r="AG7" s="135"/>
      <c r="AH7" s="135"/>
      <c r="AI7" s="135"/>
      <c r="AJ7" s="135"/>
      <c r="AK7" s="135"/>
      <c r="AL7" s="135"/>
      <c r="AM7" s="135"/>
      <c r="AN7" s="135"/>
      <c r="AO7" s="135"/>
      <c r="AP7" s="135"/>
      <c r="AQ7" s="135"/>
      <c r="AR7" s="135"/>
      <c r="AS7" s="135"/>
      <c r="AT7" s="228"/>
    </row>
    <row r="8" spans="1:48" ht="24.95" customHeight="1">
      <c r="A8" s="222"/>
      <c r="B8" s="217"/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7"/>
      <c r="N8" s="217"/>
      <c r="O8" s="217"/>
      <c r="P8" s="217"/>
      <c r="Q8" s="217"/>
      <c r="R8" s="217"/>
      <c r="S8" s="217"/>
      <c r="T8" s="217"/>
      <c r="U8" s="217"/>
      <c r="V8" s="217"/>
      <c r="W8" s="135"/>
      <c r="X8" s="135"/>
      <c r="Y8" s="135"/>
      <c r="Z8" s="135"/>
      <c r="AA8" s="135"/>
      <c r="AB8" s="135"/>
      <c r="AC8" s="135"/>
      <c r="AD8" s="135"/>
      <c r="AE8" s="135"/>
      <c r="AF8" s="135"/>
      <c r="AG8" s="135"/>
      <c r="AH8" s="135"/>
      <c r="AI8" s="135"/>
      <c r="AJ8" s="135"/>
      <c r="AK8" s="135"/>
      <c r="AL8" s="135"/>
      <c r="AM8" s="135"/>
      <c r="AN8" s="135"/>
      <c r="AO8" s="135"/>
      <c r="AP8" s="135"/>
      <c r="AQ8" s="135"/>
      <c r="AR8" s="135"/>
      <c r="AS8" s="135"/>
      <c r="AT8" s="228"/>
    </row>
    <row r="9" spans="1:48" ht="24.95" customHeight="1">
      <c r="A9" s="222"/>
      <c r="B9" s="217"/>
      <c r="C9" s="217"/>
      <c r="D9" s="217"/>
      <c r="E9" s="217"/>
      <c r="F9" s="217"/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217"/>
      <c r="W9" s="135"/>
      <c r="X9" s="135"/>
      <c r="Y9" s="135"/>
      <c r="Z9" s="135"/>
      <c r="AA9" s="135"/>
      <c r="AB9" s="135"/>
      <c r="AC9" s="135"/>
      <c r="AD9" s="135"/>
      <c r="AE9" s="135"/>
      <c r="AF9" s="135"/>
      <c r="AG9" s="135"/>
      <c r="AH9" s="135"/>
      <c r="AI9" s="135"/>
      <c r="AJ9" s="135"/>
      <c r="AK9" s="135"/>
      <c r="AL9" s="135"/>
      <c r="AM9" s="135"/>
      <c r="AN9" s="135"/>
      <c r="AO9" s="135"/>
      <c r="AP9" s="135"/>
      <c r="AQ9" s="135"/>
      <c r="AR9" s="135"/>
      <c r="AS9" s="135"/>
      <c r="AT9" s="228"/>
    </row>
    <row r="10" spans="1:48" ht="24.95" customHeight="1">
      <c r="A10" s="222"/>
      <c r="B10" s="217"/>
      <c r="C10" s="217"/>
      <c r="D10" s="217"/>
      <c r="E10" s="217"/>
      <c r="F10" s="217"/>
      <c r="G10" s="217"/>
      <c r="H10" s="217"/>
      <c r="I10" s="217"/>
      <c r="J10" s="217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  <c r="V10" s="217"/>
      <c r="W10" s="135"/>
      <c r="X10" s="135"/>
      <c r="Y10" s="135"/>
      <c r="Z10" s="135"/>
      <c r="AA10" s="135"/>
      <c r="AB10" s="135"/>
      <c r="AC10" s="135"/>
      <c r="AD10" s="135"/>
      <c r="AE10" s="135"/>
      <c r="AF10" s="135"/>
      <c r="AG10" s="135"/>
      <c r="AH10" s="135"/>
      <c r="AI10" s="135"/>
      <c r="AJ10" s="135"/>
      <c r="AK10" s="135"/>
      <c r="AL10" s="135"/>
      <c r="AM10" s="135"/>
      <c r="AN10" s="135"/>
      <c r="AO10" s="135"/>
      <c r="AP10" s="135"/>
      <c r="AQ10" s="135"/>
      <c r="AR10" s="135"/>
      <c r="AS10" s="135"/>
      <c r="AT10" s="228"/>
    </row>
    <row r="11" spans="1:48" ht="24.95" customHeight="1">
      <c r="A11" s="222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  <c r="V11" s="217"/>
      <c r="W11" s="135"/>
      <c r="X11" s="135"/>
      <c r="Y11" s="135"/>
      <c r="Z11" s="135"/>
      <c r="AA11" s="135"/>
      <c r="AB11" s="135"/>
      <c r="AC11" s="135"/>
      <c r="AD11" s="135"/>
      <c r="AE11" s="135"/>
      <c r="AF11" s="135"/>
      <c r="AG11" s="135"/>
      <c r="AH11" s="135"/>
      <c r="AI11" s="135"/>
      <c r="AJ11" s="135"/>
      <c r="AK11" s="135"/>
      <c r="AL11" s="135"/>
      <c r="AM11" s="135"/>
      <c r="AN11" s="135"/>
      <c r="AO11" s="135"/>
      <c r="AP11" s="135"/>
      <c r="AQ11" s="135"/>
      <c r="AR11" s="135"/>
      <c r="AS11" s="135"/>
      <c r="AT11" s="228"/>
    </row>
    <row r="12" spans="1:48" ht="24.95" customHeight="1">
      <c r="A12" s="222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  <c r="V12" s="217"/>
      <c r="W12" s="135"/>
      <c r="X12" s="135"/>
      <c r="Y12" s="135"/>
      <c r="Z12" s="135"/>
      <c r="AA12" s="135"/>
      <c r="AB12" s="135"/>
      <c r="AC12" s="135"/>
      <c r="AD12" s="135"/>
      <c r="AE12" s="135"/>
      <c r="AF12" s="135"/>
      <c r="AG12" s="135"/>
      <c r="AH12" s="135"/>
      <c r="AI12" s="135"/>
      <c r="AJ12" s="135"/>
      <c r="AK12" s="135"/>
      <c r="AL12" s="135"/>
      <c r="AM12" s="135"/>
      <c r="AN12" s="135"/>
      <c r="AO12" s="135"/>
      <c r="AP12" s="135"/>
      <c r="AQ12" s="135"/>
      <c r="AR12" s="135"/>
      <c r="AS12" s="135"/>
      <c r="AT12" s="228"/>
    </row>
    <row r="13" spans="1:48" ht="24.95" customHeight="1">
      <c r="A13" s="222"/>
      <c r="B13" s="217"/>
      <c r="C13" s="217"/>
      <c r="D13" s="217"/>
      <c r="E13" s="217"/>
      <c r="F13" s="217"/>
      <c r="G13" s="217"/>
      <c r="H13" s="217"/>
      <c r="I13" s="217"/>
      <c r="J13" s="217"/>
      <c r="K13" s="217"/>
      <c r="L13" s="217"/>
      <c r="M13" s="217"/>
      <c r="N13" s="217"/>
      <c r="O13" s="217"/>
      <c r="P13" s="217"/>
      <c r="Q13" s="217"/>
      <c r="R13" s="217"/>
      <c r="S13" s="217"/>
      <c r="T13" s="217"/>
      <c r="U13" s="217"/>
      <c r="V13" s="217"/>
      <c r="W13" s="135"/>
      <c r="X13" s="135"/>
      <c r="Y13" s="135"/>
      <c r="Z13" s="135"/>
      <c r="AA13" s="135"/>
      <c r="AB13" s="135"/>
      <c r="AC13" s="135"/>
      <c r="AD13" s="135"/>
      <c r="AE13" s="135"/>
      <c r="AF13" s="135"/>
      <c r="AG13" s="135"/>
      <c r="AH13" s="135"/>
      <c r="AI13" s="135"/>
      <c r="AJ13" s="135"/>
      <c r="AK13" s="135"/>
      <c r="AL13" s="135"/>
      <c r="AM13" s="135"/>
      <c r="AN13" s="135"/>
      <c r="AO13" s="135"/>
      <c r="AP13" s="135"/>
      <c r="AQ13" s="135"/>
      <c r="AR13" s="135"/>
      <c r="AS13" s="135"/>
      <c r="AT13" s="228"/>
    </row>
    <row r="14" spans="1:48" ht="18" customHeight="1">
      <c r="A14" s="55" t="s">
        <v>59</v>
      </c>
      <c r="B14" s="116"/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7"/>
      <c r="X14" s="117"/>
      <c r="Y14" s="117"/>
      <c r="Z14" s="117"/>
      <c r="AA14" s="117"/>
      <c r="AB14" s="117"/>
      <c r="AC14" s="117"/>
      <c r="AD14" s="117"/>
      <c r="AE14" s="117"/>
      <c r="AF14" s="117"/>
      <c r="AG14" s="117"/>
      <c r="AH14" s="117"/>
      <c r="AI14" s="117"/>
      <c r="AJ14" s="117"/>
      <c r="AK14" s="117"/>
      <c r="AL14" s="117"/>
      <c r="AM14" s="117"/>
      <c r="AN14" s="117"/>
      <c r="AO14" s="117"/>
      <c r="AP14" s="117"/>
      <c r="AQ14" s="117"/>
      <c r="AR14" s="117"/>
      <c r="AS14" s="117"/>
      <c r="AT14" s="118"/>
    </row>
    <row r="15" spans="1:48" ht="18" customHeight="1">
      <c r="A15" s="55" t="s">
        <v>58</v>
      </c>
      <c r="B15" s="116"/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7"/>
      <c r="X15" s="117"/>
      <c r="Y15" s="117"/>
      <c r="Z15" s="117"/>
      <c r="AA15" s="117"/>
      <c r="AB15" s="117"/>
      <c r="AC15" s="117"/>
      <c r="AD15" s="117"/>
      <c r="AE15" s="117"/>
      <c r="AF15" s="117"/>
      <c r="AG15" s="117"/>
      <c r="AH15" s="117"/>
      <c r="AI15" s="117"/>
      <c r="AJ15" s="117"/>
      <c r="AK15" s="117"/>
      <c r="AL15" s="117"/>
      <c r="AM15" s="117"/>
      <c r="AN15" s="117"/>
      <c r="AO15" s="117"/>
      <c r="AP15" s="117"/>
      <c r="AQ15" s="117"/>
      <c r="AR15" s="117"/>
      <c r="AS15" s="117"/>
      <c r="AT15" s="118"/>
    </row>
    <row r="16" spans="1:48" ht="18" customHeight="1">
      <c r="A16" s="57" t="s">
        <v>3</v>
      </c>
      <c r="B16" s="116"/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9"/>
      <c r="S16" s="116"/>
      <c r="T16" s="116"/>
      <c r="U16" s="120"/>
      <c r="V16" s="120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1"/>
      <c r="AR16" s="121"/>
      <c r="AS16" s="121"/>
      <c r="AT16" s="118"/>
    </row>
    <row r="17" spans="1:47" ht="18" customHeight="1">
      <c r="A17" s="55" t="s">
        <v>4</v>
      </c>
      <c r="B17" s="116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20"/>
      <c r="V17" s="120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1"/>
      <c r="AR17" s="121"/>
      <c r="AS17" s="121"/>
      <c r="AT17" s="118"/>
    </row>
    <row r="18" spans="1:47" ht="18" customHeight="1">
      <c r="A18" s="55" t="s">
        <v>30</v>
      </c>
      <c r="B18" s="116"/>
      <c r="C18" s="116"/>
      <c r="D18" s="116"/>
      <c r="E18" s="116"/>
      <c r="F18" s="122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7"/>
      <c r="X18" s="117"/>
      <c r="Y18" s="117"/>
      <c r="Z18" s="117"/>
      <c r="AA18" s="117"/>
      <c r="AB18" s="117"/>
      <c r="AC18" s="117"/>
      <c r="AD18" s="117"/>
      <c r="AE18" s="117"/>
      <c r="AF18" s="117"/>
      <c r="AG18" s="117"/>
      <c r="AH18" s="117"/>
      <c r="AI18" s="117"/>
      <c r="AJ18" s="117"/>
      <c r="AK18" s="117"/>
      <c r="AL18" s="117"/>
      <c r="AM18" s="117"/>
      <c r="AN18" s="117"/>
      <c r="AO18" s="117"/>
      <c r="AP18" s="117"/>
      <c r="AQ18" s="117"/>
      <c r="AR18" s="117"/>
      <c r="AS18" s="117"/>
      <c r="AT18" s="118"/>
    </row>
    <row r="19" spans="1:47" s="1" customFormat="1" ht="18" customHeight="1">
      <c r="A19" s="58" t="s">
        <v>5</v>
      </c>
      <c r="B19" s="78">
        <f>SUM(B15:B18)</f>
        <v>0</v>
      </c>
      <c r="C19" s="78">
        <f t="shared" ref="C19:AG19" si="1">SUM(C15:C18)</f>
        <v>0</v>
      </c>
      <c r="D19" s="78">
        <f t="shared" si="1"/>
        <v>0</v>
      </c>
      <c r="E19" s="78">
        <f t="shared" si="1"/>
        <v>0</v>
      </c>
      <c r="F19" s="78">
        <f t="shared" si="1"/>
        <v>0</v>
      </c>
      <c r="G19" s="78">
        <f t="shared" si="1"/>
        <v>0</v>
      </c>
      <c r="H19" s="78">
        <f t="shared" si="1"/>
        <v>0</v>
      </c>
      <c r="I19" s="78">
        <f t="shared" si="1"/>
        <v>0</v>
      </c>
      <c r="J19" s="78">
        <f t="shared" si="1"/>
        <v>0</v>
      </c>
      <c r="K19" s="78">
        <f t="shared" si="1"/>
        <v>0</v>
      </c>
      <c r="L19" s="78">
        <f t="shared" si="1"/>
        <v>0</v>
      </c>
      <c r="M19" s="78">
        <f t="shared" si="1"/>
        <v>0</v>
      </c>
      <c r="N19" s="78">
        <f t="shared" si="1"/>
        <v>0</v>
      </c>
      <c r="O19" s="78">
        <f t="shared" si="1"/>
        <v>0</v>
      </c>
      <c r="P19" s="78">
        <f t="shared" si="1"/>
        <v>0</v>
      </c>
      <c r="Q19" s="78">
        <f t="shared" si="1"/>
        <v>0</v>
      </c>
      <c r="R19" s="78">
        <f t="shared" si="1"/>
        <v>0</v>
      </c>
      <c r="S19" s="78">
        <f t="shared" si="1"/>
        <v>0</v>
      </c>
      <c r="T19" s="78">
        <f t="shared" si="1"/>
        <v>0</v>
      </c>
      <c r="U19" s="78">
        <f t="shared" si="1"/>
        <v>0</v>
      </c>
      <c r="V19" s="78">
        <f t="shared" si="1"/>
        <v>0</v>
      </c>
      <c r="W19" s="78">
        <f t="shared" si="1"/>
        <v>0</v>
      </c>
      <c r="X19" s="78">
        <f t="shared" si="1"/>
        <v>0</v>
      </c>
      <c r="Y19" s="78">
        <f t="shared" si="1"/>
        <v>0</v>
      </c>
      <c r="Z19" s="78">
        <f t="shared" si="1"/>
        <v>0</v>
      </c>
      <c r="AA19" s="78">
        <f t="shared" si="1"/>
        <v>0</v>
      </c>
      <c r="AB19" s="78">
        <f t="shared" si="1"/>
        <v>0</v>
      </c>
      <c r="AC19" s="78">
        <f t="shared" si="1"/>
        <v>0</v>
      </c>
      <c r="AD19" s="78">
        <f t="shared" si="1"/>
        <v>0</v>
      </c>
      <c r="AE19" s="78">
        <f t="shared" si="1"/>
        <v>0</v>
      </c>
      <c r="AF19" s="78">
        <f t="shared" si="1"/>
        <v>0</v>
      </c>
      <c r="AG19" s="78">
        <f t="shared" si="1"/>
        <v>0</v>
      </c>
      <c r="AH19" s="78">
        <f t="shared" ref="AH19:AT19" si="2">SUM(AH15:AH18)</f>
        <v>0</v>
      </c>
      <c r="AI19" s="78">
        <f t="shared" si="2"/>
        <v>0</v>
      </c>
      <c r="AJ19" s="78">
        <f t="shared" si="2"/>
        <v>0</v>
      </c>
      <c r="AK19" s="78">
        <f t="shared" si="2"/>
        <v>0</v>
      </c>
      <c r="AL19" s="78"/>
      <c r="AM19" s="78"/>
      <c r="AN19" s="78"/>
      <c r="AO19" s="78">
        <f t="shared" si="2"/>
        <v>0</v>
      </c>
      <c r="AP19" s="78">
        <f t="shared" si="2"/>
        <v>0</v>
      </c>
      <c r="AQ19" s="78">
        <f t="shared" si="2"/>
        <v>0</v>
      </c>
      <c r="AR19" s="78">
        <f t="shared" si="2"/>
        <v>0</v>
      </c>
      <c r="AS19" s="78">
        <f t="shared" si="2"/>
        <v>0</v>
      </c>
      <c r="AT19" s="208">
        <f t="shared" si="2"/>
        <v>0</v>
      </c>
      <c r="AU19" s="61"/>
    </row>
    <row r="20" spans="1:47" s="1" customFormat="1" ht="18" customHeight="1" thickBot="1">
      <c r="A20" s="144" t="s">
        <v>23</v>
      </c>
      <c r="B20" s="145" t="str">
        <f>IF(B19&gt;0,B19/B4*1000000,"")</f>
        <v/>
      </c>
      <c r="C20" s="145" t="str">
        <f t="shared" ref="C20:AT20" si="3">IF(C19&gt;0,C19/C4*1000000,"")</f>
        <v/>
      </c>
      <c r="D20" s="145" t="str">
        <f t="shared" si="3"/>
        <v/>
      </c>
      <c r="E20" s="145" t="str">
        <f t="shared" si="3"/>
        <v/>
      </c>
      <c r="F20" s="145" t="str">
        <f t="shared" si="3"/>
        <v/>
      </c>
      <c r="G20" s="145" t="str">
        <f t="shared" si="3"/>
        <v/>
      </c>
      <c r="H20" s="145" t="str">
        <f t="shared" si="3"/>
        <v/>
      </c>
      <c r="I20" s="145" t="str">
        <f t="shared" si="3"/>
        <v/>
      </c>
      <c r="J20" s="145" t="str">
        <f t="shared" si="3"/>
        <v/>
      </c>
      <c r="K20" s="145" t="str">
        <f t="shared" si="3"/>
        <v/>
      </c>
      <c r="L20" s="145" t="str">
        <f t="shared" si="3"/>
        <v/>
      </c>
      <c r="M20" s="145" t="str">
        <f t="shared" si="3"/>
        <v/>
      </c>
      <c r="N20" s="145" t="str">
        <f t="shared" si="3"/>
        <v/>
      </c>
      <c r="O20" s="145" t="str">
        <f t="shared" si="3"/>
        <v/>
      </c>
      <c r="P20" s="60" t="str">
        <f t="shared" si="3"/>
        <v/>
      </c>
      <c r="Q20" s="60" t="str">
        <f t="shared" si="3"/>
        <v/>
      </c>
      <c r="R20" s="60" t="str">
        <f t="shared" si="3"/>
        <v/>
      </c>
      <c r="S20" s="60" t="str">
        <f t="shared" si="3"/>
        <v/>
      </c>
      <c r="T20" s="60" t="str">
        <f t="shared" si="3"/>
        <v/>
      </c>
      <c r="U20" s="60" t="str">
        <f t="shared" si="3"/>
        <v/>
      </c>
      <c r="V20" s="60" t="str">
        <f t="shared" si="3"/>
        <v/>
      </c>
      <c r="W20" s="60" t="str">
        <f t="shared" si="3"/>
        <v/>
      </c>
      <c r="X20" s="60" t="str">
        <f t="shared" si="3"/>
        <v/>
      </c>
      <c r="Y20" s="60" t="str">
        <f t="shared" si="3"/>
        <v/>
      </c>
      <c r="Z20" s="60" t="str">
        <f t="shared" si="3"/>
        <v/>
      </c>
      <c r="AA20" s="60" t="str">
        <f t="shared" si="3"/>
        <v/>
      </c>
      <c r="AB20" s="60" t="str">
        <f t="shared" si="3"/>
        <v/>
      </c>
      <c r="AC20" s="60" t="str">
        <f t="shared" si="3"/>
        <v/>
      </c>
      <c r="AD20" s="60" t="str">
        <f t="shared" si="3"/>
        <v/>
      </c>
      <c r="AE20" s="60" t="str">
        <f t="shared" si="3"/>
        <v/>
      </c>
      <c r="AF20" s="60" t="str">
        <f t="shared" si="3"/>
        <v/>
      </c>
      <c r="AG20" s="60" t="str">
        <f t="shared" si="3"/>
        <v/>
      </c>
      <c r="AH20" s="60" t="str">
        <f t="shared" si="3"/>
        <v/>
      </c>
      <c r="AI20" s="60" t="str">
        <f t="shared" si="3"/>
        <v/>
      </c>
      <c r="AJ20" s="60" t="str">
        <f t="shared" si="3"/>
        <v/>
      </c>
      <c r="AK20" s="60" t="str">
        <f t="shared" si="3"/>
        <v/>
      </c>
      <c r="AL20" s="60" t="str">
        <f t="shared" si="3"/>
        <v/>
      </c>
      <c r="AM20" s="60" t="str">
        <f t="shared" si="3"/>
        <v/>
      </c>
      <c r="AN20" s="60" t="str">
        <f t="shared" si="3"/>
        <v/>
      </c>
      <c r="AO20" s="60" t="str">
        <f t="shared" si="3"/>
        <v/>
      </c>
      <c r="AP20" s="60" t="str">
        <f t="shared" si="3"/>
        <v/>
      </c>
      <c r="AQ20" s="60" t="str">
        <f t="shared" si="3"/>
        <v/>
      </c>
      <c r="AR20" s="60" t="str">
        <f t="shared" si="3"/>
        <v/>
      </c>
      <c r="AS20" s="60" t="str">
        <f t="shared" si="3"/>
        <v/>
      </c>
      <c r="AT20" s="209" t="str">
        <f t="shared" si="3"/>
        <v/>
      </c>
      <c r="AU20" s="61"/>
    </row>
    <row r="21" spans="1:47" s="1" customFormat="1" ht="18" customHeight="1">
      <c r="A21" s="152" t="str">
        <f>'Alloyd 1'!A21</f>
        <v>Visto Supervisor</v>
      </c>
      <c r="B21" s="147"/>
      <c r="C21" s="147"/>
      <c r="D21" s="147"/>
      <c r="E21" s="147"/>
      <c r="F21" s="147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147"/>
      <c r="R21" s="147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47"/>
      <c r="AJ21" s="147"/>
      <c r="AK21" s="147"/>
      <c r="AL21" s="147"/>
      <c r="AM21" s="147"/>
      <c r="AN21" s="147"/>
      <c r="AO21" s="147"/>
      <c r="AP21" s="147"/>
      <c r="AQ21" s="147"/>
      <c r="AR21" s="147"/>
      <c r="AS21" s="147"/>
      <c r="AT21" s="148"/>
      <c r="AU21"/>
    </row>
    <row r="22" spans="1:47" ht="18" customHeight="1" thickBot="1">
      <c r="A22" s="149" t="s">
        <v>78</v>
      </c>
      <c r="B22" s="150"/>
      <c r="C22" s="150"/>
      <c r="D22" s="150"/>
      <c r="E22" s="150"/>
      <c r="F22" s="150"/>
      <c r="G22" s="150"/>
      <c r="H22" s="150"/>
      <c r="I22" s="150"/>
      <c r="J22" s="150"/>
      <c r="K22" s="150"/>
      <c r="L22" s="150"/>
      <c r="M22" s="150"/>
      <c r="N22" s="150"/>
      <c r="O22" s="150"/>
      <c r="P22" s="150"/>
      <c r="Q22" s="150"/>
      <c r="R22" s="150"/>
      <c r="S22" s="150"/>
      <c r="T22" s="150"/>
      <c r="U22" s="150"/>
      <c r="V22" s="150"/>
      <c r="W22" s="150"/>
      <c r="X22" s="150"/>
      <c r="Y22" s="150"/>
      <c r="Z22" s="150"/>
      <c r="AA22" s="150"/>
      <c r="AB22" s="150"/>
      <c r="AC22" s="150"/>
      <c r="AD22" s="150"/>
      <c r="AE22" s="150"/>
      <c r="AF22" s="150"/>
      <c r="AG22" s="150"/>
      <c r="AH22" s="150"/>
      <c r="AI22" s="150"/>
      <c r="AJ22" s="150"/>
      <c r="AK22" s="150"/>
      <c r="AL22" s="150"/>
      <c r="AM22" s="150"/>
      <c r="AN22" s="150"/>
      <c r="AO22" s="150"/>
      <c r="AP22" s="150"/>
      <c r="AQ22" s="150"/>
      <c r="AR22" s="150"/>
      <c r="AS22" s="150"/>
      <c r="AT22" s="151"/>
    </row>
    <row r="23" spans="1:47" ht="14.1" customHeight="1">
      <c r="A23" s="125" t="s">
        <v>70</v>
      </c>
      <c r="B23" s="126"/>
      <c r="C23" s="126"/>
      <c r="D23" s="126"/>
      <c r="E23" s="126"/>
      <c r="F23" s="126"/>
      <c r="G23" s="128"/>
      <c r="H23" s="129"/>
      <c r="I23" s="126"/>
      <c r="J23" s="126"/>
      <c r="K23" s="126"/>
      <c r="L23" s="126"/>
      <c r="M23" s="126"/>
      <c r="N23" s="126"/>
      <c r="O23" s="128"/>
      <c r="P23" s="126"/>
      <c r="Q23" s="126"/>
      <c r="R23" s="127"/>
      <c r="S23" s="127"/>
      <c r="T23" s="98"/>
      <c r="U23" s="98"/>
      <c r="V23" s="98"/>
      <c r="W23" s="98"/>
      <c r="X23" s="98"/>
      <c r="Y23" s="98"/>
      <c r="Z23" s="98"/>
      <c r="AA23" s="98"/>
      <c r="AB23" s="98"/>
      <c r="AC23" s="98"/>
      <c r="AD23" s="98"/>
      <c r="AE23" s="98"/>
      <c r="AF23" s="98"/>
      <c r="AG23" s="98"/>
      <c r="AH23" s="98"/>
      <c r="AI23" s="98"/>
      <c r="AJ23" s="98"/>
      <c r="AK23" s="98"/>
      <c r="AL23" s="98"/>
      <c r="AM23" s="98"/>
      <c r="AN23" s="98"/>
      <c r="AO23" s="98"/>
      <c r="AP23" s="98"/>
      <c r="AQ23" s="98"/>
      <c r="AR23" s="98"/>
      <c r="AS23" s="98"/>
      <c r="AT23" s="99"/>
      <c r="AU23" s="123"/>
    </row>
    <row r="24" spans="1:47" ht="14.1" customHeight="1">
      <c r="A24" s="125"/>
      <c r="B24" s="126"/>
      <c r="C24" s="126"/>
      <c r="D24" s="126"/>
      <c r="E24" s="126"/>
      <c r="F24" s="126"/>
      <c r="G24" s="128"/>
      <c r="H24" s="129"/>
      <c r="I24" s="126"/>
      <c r="J24" s="126"/>
      <c r="K24" s="126"/>
      <c r="L24" s="126"/>
      <c r="M24" s="126"/>
      <c r="N24" s="126"/>
      <c r="O24" s="128"/>
      <c r="P24" s="126"/>
      <c r="Q24" s="126"/>
      <c r="R24" s="127"/>
      <c r="S24" s="127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9"/>
      <c r="AU24" s="124"/>
    </row>
    <row r="25" spans="1:47" s="62" customFormat="1" ht="13.5" thickBot="1">
      <c r="A25" s="130" t="s">
        <v>71</v>
      </c>
      <c r="B25" s="131"/>
      <c r="C25" s="131"/>
      <c r="D25" s="131"/>
      <c r="E25" s="131"/>
      <c r="F25" s="131"/>
      <c r="G25" s="132"/>
      <c r="H25" s="133"/>
      <c r="I25" s="131"/>
      <c r="J25" s="131"/>
      <c r="K25" s="131"/>
      <c r="L25" s="131"/>
      <c r="M25" s="131"/>
      <c r="N25" s="131"/>
      <c r="O25" s="132"/>
      <c r="P25" s="131"/>
      <c r="Q25" s="131"/>
      <c r="R25" s="131"/>
      <c r="S25" s="131"/>
      <c r="T25" s="100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1"/>
      <c r="AU25"/>
    </row>
    <row r="27" spans="1:47">
      <c r="A27" s="102" t="s">
        <v>9</v>
      </c>
      <c r="B27">
        <f>'[1]SJCPIL 16-006-08'!$Y$38</f>
        <v>1300</v>
      </c>
    </row>
    <row r="30" spans="1:47" ht="18.75" customHeight="1">
      <c r="A30" s="56" t="s">
        <v>22</v>
      </c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</row>
    <row r="31" spans="1:47" ht="103.5" customHeight="1">
      <c r="A31" s="64" t="s">
        <v>16</v>
      </c>
      <c r="B31" s="153"/>
      <c r="C31" s="153"/>
      <c r="D31" s="153"/>
      <c r="E31" s="153"/>
      <c r="F31" s="153"/>
      <c r="G31" s="153"/>
      <c r="H31" s="153"/>
      <c r="I31" s="153"/>
      <c r="J31" s="153"/>
      <c r="K31" s="153"/>
      <c r="L31" s="153"/>
      <c r="M31" s="153"/>
      <c r="N31" s="153"/>
      <c r="O31" s="153"/>
      <c r="P31" s="153"/>
      <c r="Q31" s="153"/>
      <c r="R31" s="153"/>
      <c r="S31" s="153"/>
      <c r="T31" s="153"/>
      <c r="U31" s="153"/>
      <c r="V31" s="153"/>
      <c r="W31" s="153"/>
      <c r="X31" s="153"/>
      <c r="Y31" s="153"/>
      <c r="Z31" s="154"/>
      <c r="AA31" s="154"/>
      <c r="AB31" s="154"/>
      <c r="AC31" s="154"/>
      <c r="AD31" s="154"/>
      <c r="AE31" s="154"/>
      <c r="AF31" s="154"/>
      <c r="AG31" s="154"/>
      <c r="AH31" s="154"/>
      <c r="AI31" s="154"/>
      <c r="AJ31" s="154"/>
      <c r="AK31" s="154"/>
      <c r="AL31" s="82"/>
      <c r="AM31" s="82"/>
      <c r="AN31" s="82"/>
      <c r="AO31" s="82"/>
      <c r="AP31" s="82"/>
      <c r="AQ31" s="82"/>
      <c r="AR31" s="82"/>
      <c r="AS31" s="82"/>
      <c r="AT31" s="81"/>
    </row>
    <row r="33" spans="1:9">
      <c r="A33" s="65"/>
      <c r="B33" s="66"/>
      <c r="C33" s="66"/>
      <c r="D33" s="66"/>
      <c r="E33" s="66"/>
      <c r="F33" s="66"/>
      <c r="G33" s="66"/>
      <c r="H33" s="66"/>
      <c r="I33" s="66"/>
    </row>
  </sheetData>
  <sheetProtection algorithmName="SHA-512" hashValue="SL0Ygh9mU7ABctzNXZSRYpKIal8gc7+1ZIKMFYufswgZa55LpOFOTRH8Y7pSKySWcabEWHnsYM1qGkyteNFGxQ==" saltValue="OnrdHim+fbYUdAYCvtL2Rg==" spinCount="100000" sheet="1" objects="1" scenarios="1" selectLockedCells="1"/>
  <mergeCells count="26">
    <mergeCell ref="AQ1:AR1"/>
    <mergeCell ref="AS1:AT1"/>
    <mergeCell ref="K5:K13"/>
    <mergeCell ref="A1:B1"/>
    <mergeCell ref="A5:A13"/>
    <mergeCell ref="B5:B13"/>
    <mergeCell ref="C5:C13"/>
    <mergeCell ref="D5:D13"/>
    <mergeCell ref="J5:J13"/>
    <mergeCell ref="E5:E13"/>
    <mergeCell ref="F5:F13"/>
    <mergeCell ref="G5:G13"/>
    <mergeCell ref="H5:H13"/>
    <mergeCell ref="I5:I13"/>
    <mergeCell ref="Q5:Q13"/>
    <mergeCell ref="L5:L13"/>
    <mergeCell ref="M5:M13"/>
    <mergeCell ref="N5:N13"/>
    <mergeCell ref="O5:O13"/>
    <mergeCell ref="P5:P13"/>
    <mergeCell ref="AT5:AT13"/>
    <mergeCell ref="R5:R13"/>
    <mergeCell ref="S5:S13"/>
    <mergeCell ref="T5:T13"/>
    <mergeCell ref="U5:U13"/>
    <mergeCell ref="V5:V13"/>
  </mergeCells>
  <dataValidations count="1">
    <dataValidation type="list" allowBlank="1" showInputMessage="1" showErrorMessage="1" sqref="B2:AT2" xr:uid="{00000000-0002-0000-0100-000000000000}">
      <formula1>PRODUTOS</formula1>
    </dataValidation>
  </dataValidations>
  <printOptions horizontalCentered="1" verticalCentered="1" gridLines="1" gridLinesSet="0"/>
  <pageMargins left="0.39370078740157483" right="0.39370078740157483" top="0.98425196850393704" bottom="0.59055118110236227" header="0.27559055118110237" footer="0.39370078740157483"/>
  <pageSetup paperSize="9" scale="27" orientation="landscape" r:id="rId1"/>
  <headerFooter alignWithMargins="0">
    <oddFooter>&amp;RSJCPIL-R 16-507-01</oddFooter>
  </headerFooter>
  <colBreaks count="1" manualBreakCount="1">
    <brk id="47" max="36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08">
    <pageSetUpPr fitToPage="1"/>
  </sheetPr>
  <dimension ref="A1:AV33"/>
  <sheetViews>
    <sheetView showZeros="0" topLeftCell="A2" zoomScaleNormal="100" workbookViewId="0">
      <selection activeCell="C5" sqref="C5:C13"/>
    </sheetView>
  </sheetViews>
  <sheetFormatPr defaultColWidth="11.42578125" defaultRowHeight="12.75"/>
  <cols>
    <col min="1" max="1" width="20.28515625" bestFit="1" customWidth="1"/>
    <col min="2" max="46" width="10.85546875" customWidth="1"/>
    <col min="47" max="48" width="4.7109375" customWidth="1"/>
  </cols>
  <sheetData>
    <row r="1" spans="1:48" ht="40.5" customHeight="1" thickBot="1">
      <c r="A1" s="219" t="s">
        <v>69</v>
      </c>
      <c r="B1" s="220"/>
      <c r="C1" s="103" t="s">
        <v>68</v>
      </c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5"/>
      <c r="R1" s="106" t="s">
        <v>7</v>
      </c>
      <c r="S1" s="107"/>
      <c r="T1" s="107"/>
      <c r="U1" s="143"/>
      <c r="V1" s="136"/>
      <c r="W1" s="136"/>
      <c r="X1" s="136"/>
      <c r="Y1" s="136"/>
      <c r="Z1" s="136"/>
      <c r="AA1" s="136"/>
      <c r="AB1" s="136"/>
      <c r="AC1" s="136"/>
      <c r="AD1" s="136"/>
      <c r="AE1" s="136"/>
      <c r="AG1" s="136"/>
      <c r="AH1" s="136"/>
      <c r="AI1" s="136"/>
      <c r="AJ1" s="136"/>
      <c r="AK1" s="136"/>
      <c r="AL1" s="136"/>
      <c r="AM1" s="136"/>
      <c r="AN1" s="136"/>
      <c r="AO1" s="136"/>
      <c r="AP1" s="136"/>
      <c r="AQ1" s="223" t="s">
        <v>107</v>
      </c>
      <c r="AR1" s="224"/>
      <c r="AS1" s="224" t="str">
        <f ca="1">'Alloyd 1'!AS1</f>
        <v>03 / 2022</v>
      </c>
      <c r="AT1" s="230"/>
    </row>
    <row r="2" spans="1:48" ht="24" customHeight="1">
      <c r="A2" s="51" t="s">
        <v>0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10"/>
      <c r="AL2" s="110"/>
      <c r="AM2" s="110"/>
      <c r="AN2" s="110"/>
      <c r="AO2" s="110"/>
      <c r="AP2" s="110"/>
      <c r="AQ2" s="213"/>
      <c r="AR2" s="213"/>
      <c r="AS2" s="213"/>
      <c r="AT2" s="214"/>
      <c r="AU2" s="52"/>
    </row>
    <row r="3" spans="1:48">
      <c r="A3" s="53" t="s">
        <v>1</v>
      </c>
      <c r="B3" s="162"/>
      <c r="C3" s="162"/>
      <c r="D3" s="162"/>
      <c r="E3" s="162"/>
      <c r="F3" s="162"/>
      <c r="G3" s="162"/>
      <c r="H3" s="162"/>
      <c r="I3" s="163"/>
      <c r="J3" s="163"/>
      <c r="K3" s="163"/>
      <c r="L3" s="163"/>
      <c r="M3" s="163"/>
      <c r="N3" s="163"/>
      <c r="O3" s="163"/>
      <c r="P3" s="163"/>
      <c r="Q3" s="163"/>
      <c r="R3" s="162"/>
      <c r="S3" s="162"/>
      <c r="T3" s="162"/>
      <c r="U3" s="210"/>
      <c r="V3" s="210"/>
      <c r="W3" s="210"/>
      <c r="X3" s="210"/>
      <c r="Y3" s="210"/>
      <c r="Z3" s="210"/>
      <c r="AA3" s="210"/>
      <c r="AB3" s="111"/>
      <c r="AC3" s="111"/>
      <c r="AD3" s="111"/>
      <c r="AE3" s="111"/>
      <c r="AF3" s="111"/>
      <c r="AG3" s="111"/>
      <c r="AH3" s="111"/>
      <c r="AI3" s="111"/>
      <c r="AJ3" s="111"/>
      <c r="AK3" s="111"/>
      <c r="AL3" s="111"/>
      <c r="AM3" s="111"/>
      <c r="AN3" s="111"/>
      <c r="AO3" s="111"/>
      <c r="AP3" s="111"/>
      <c r="AQ3" s="111"/>
      <c r="AR3" s="111"/>
      <c r="AS3" s="111"/>
      <c r="AT3" s="112"/>
    </row>
    <row r="4" spans="1:48" ht="21.95" customHeight="1">
      <c r="A4" s="53" t="s">
        <v>2</v>
      </c>
      <c r="B4" s="182"/>
      <c r="C4" s="182"/>
      <c r="D4" s="182"/>
      <c r="E4" s="182"/>
      <c r="F4" s="182"/>
      <c r="G4" s="182"/>
      <c r="H4" s="182"/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4"/>
      <c r="V4" s="114"/>
      <c r="W4" s="114"/>
      <c r="X4" s="114"/>
      <c r="Y4" s="114"/>
      <c r="Z4" s="114"/>
      <c r="AA4" s="114"/>
      <c r="AB4" s="114"/>
      <c r="AC4" s="114"/>
      <c r="AD4" s="114"/>
      <c r="AE4" s="114"/>
      <c r="AF4" s="114"/>
      <c r="AG4" s="114"/>
      <c r="AH4" s="114"/>
      <c r="AI4" s="114"/>
      <c r="AJ4" s="114"/>
      <c r="AK4" s="114"/>
      <c r="AL4" s="114"/>
      <c r="AM4" s="114"/>
      <c r="AN4" s="114"/>
      <c r="AO4" s="114"/>
      <c r="AP4" s="114"/>
      <c r="AQ4" s="114"/>
      <c r="AR4" s="114"/>
      <c r="AS4" s="114"/>
      <c r="AT4" s="115"/>
      <c r="AU4" s="54"/>
      <c r="AV4" s="54"/>
    </row>
    <row r="5" spans="1:48" ht="24.95" customHeight="1">
      <c r="A5" s="221" t="s">
        <v>97</v>
      </c>
      <c r="B5" s="216">
        <f>B31</f>
        <v>0</v>
      </c>
      <c r="C5" s="216">
        <f t="shared" ref="C5:AT5" si="0">C31</f>
        <v>0</v>
      </c>
      <c r="D5" s="216">
        <f t="shared" si="0"/>
        <v>0</v>
      </c>
      <c r="E5" s="216">
        <f t="shared" si="0"/>
        <v>0</v>
      </c>
      <c r="F5" s="216">
        <f t="shared" si="0"/>
        <v>0</v>
      </c>
      <c r="G5" s="216">
        <f t="shared" si="0"/>
        <v>0</v>
      </c>
      <c r="H5" s="216">
        <f t="shared" si="0"/>
        <v>0</v>
      </c>
      <c r="I5" s="216">
        <f t="shared" si="0"/>
        <v>0</v>
      </c>
      <c r="J5" s="216">
        <f t="shared" si="0"/>
        <v>0</v>
      </c>
      <c r="K5" s="216">
        <f t="shared" si="0"/>
        <v>0</v>
      </c>
      <c r="L5" s="216">
        <f t="shared" si="0"/>
        <v>0</v>
      </c>
      <c r="M5" s="216">
        <f t="shared" si="0"/>
        <v>0</v>
      </c>
      <c r="N5" s="216">
        <f t="shared" si="0"/>
        <v>0</v>
      </c>
      <c r="O5" s="216">
        <f t="shared" si="0"/>
        <v>0</v>
      </c>
      <c r="P5" s="216">
        <f t="shared" si="0"/>
        <v>0</v>
      </c>
      <c r="Q5" s="216">
        <f t="shared" si="0"/>
        <v>0</v>
      </c>
      <c r="R5" s="216">
        <f t="shared" si="0"/>
        <v>0</v>
      </c>
      <c r="S5" s="216"/>
      <c r="T5" s="216">
        <f t="shared" si="0"/>
        <v>0</v>
      </c>
      <c r="U5" s="216">
        <f t="shared" si="0"/>
        <v>0</v>
      </c>
      <c r="V5" s="216">
        <f t="shared" si="0"/>
        <v>0</v>
      </c>
      <c r="W5" s="134"/>
      <c r="X5" s="134"/>
      <c r="Y5" s="134"/>
      <c r="Z5" s="134"/>
      <c r="AA5" s="134"/>
      <c r="AB5" s="134"/>
      <c r="AC5" s="134"/>
      <c r="AD5" s="134"/>
      <c r="AE5" s="134"/>
      <c r="AF5" s="134"/>
      <c r="AG5" s="134"/>
      <c r="AH5" s="134"/>
      <c r="AI5" s="134"/>
      <c r="AJ5" s="134"/>
      <c r="AK5" s="134"/>
      <c r="AL5" s="134"/>
      <c r="AM5" s="134"/>
      <c r="AN5" s="134"/>
      <c r="AO5" s="134"/>
      <c r="AP5" s="134"/>
      <c r="AQ5" s="134"/>
      <c r="AR5" s="134"/>
      <c r="AS5" s="134"/>
      <c r="AT5" s="227">
        <f t="shared" si="0"/>
        <v>0</v>
      </c>
    </row>
    <row r="6" spans="1:48" ht="24.95" customHeight="1">
      <c r="A6" s="222"/>
      <c r="B6" s="217"/>
      <c r="C6" s="217"/>
      <c r="D6" s="217"/>
      <c r="E6" s="217"/>
      <c r="F6" s="217"/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  <c r="S6" s="217"/>
      <c r="T6" s="217"/>
      <c r="U6" s="217"/>
      <c r="V6" s="217"/>
      <c r="W6" s="135"/>
      <c r="X6" s="135"/>
      <c r="Y6" s="135"/>
      <c r="Z6" s="135"/>
      <c r="AA6" s="135"/>
      <c r="AB6" s="135"/>
      <c r="AC6" s="135"/>
      <c r="AD6" s="135"/>
      <c r="AE6" s="135"/>
      <c r="AF6" s="135"/>
      <c r="AG6" s="135"/>
      <c r="AH6" s="135"/>
      <c r="AI6" s="135"/>
      <c r="AJ6" s="135"/>
      <c r="AK6" s="135"/>
      <c r="AL6" s="135"/>
      <c r="AM6" s="135"/>
      <c r="AN6" s="135"/>
      <c r="AO6" s="135"/>
      <c r="AP6" s="135"/>
      <c r="AQ6" s="135"/>
      <c r="AR6" s="135"/>
      <c r="AS6" s="135"/>
      <c r="AT6" s="228"/>
    </row>
    <row r="7" spans="1:48" ht="24.95" customHeight="1">
      <c r="A7" s="222"/>
      <c r="B7" s="217"/>
      <c r="C7" s="217"/>
      <c r="D7" s="217"/>
      <c r="E7" s="217"/>
      <c r="F7" s="217"/>
      <c r="G7" s="217"/>
      <c r="H7" s="217"/>
      <c r="I7" s="217"/>
      <c r="J7" s="217"/>
      <c r="K7" s="217"/>
      <c r="L7" s="217"/>
      <c r="M7" s="217"/>
      <c r="N7" s="217"/>
      <c r="O7" s="217"/>
      <c r="P7" s="217"/>
      <c r="Q7" s="217"/>
      <c r="R7" s="217"/>
      <c r="S7" s="217"/>
      <c r="T7" s="217"/>
      <c r="U7" s="217"/>
      <c r="V7" s="217"/>
      <c r="W7" s="135"/>
      <c r="X7" s="135"/>
      <c r="Y7" s="135"/>
      <c r="Z7" s="135"/>
      <c r="AA7" s="135"/>
      <c r="AB7" s="135"/>
      <c r="AC7" s="135"/>
      <c r="AD7" s="135"/>
      <c r="AE7" s="135"/>
      <c r="AF7" s="135"/>
      <c r="AG7" s="135"/>
      <c r="AH7" s="135"/>
      <c r="AI7" s="135"/>
      <c r="AJ7" s="135"/>
      <c r="AK7" s="135"/>
      <c r="AL7" s="135"/>
      <c r="AM7" s="135"/>
      <c r="AN7" s="135"/>
      <c r="AO7" s="135"/>
      <c r="AP7" s="135"/>
      <c r="AQ7" s="135"/>
      <c r="AR7" s="135"/>
      <c r="AS7" s="135"/>
      <c r="AT7" s="228"/>
    </row>
    <row r="8" spans="1:48" ht="24.95" customHeight="1">
      <c r="A8" s="222"/>
      <c r="B8" s="217"/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7"/>
      <c r="N8" s="217"/>
      <c r="O8" s="217"/>
      <c r="P8" s="217"/>
      <c r="Q8" s="217"/>
      <c r="R8" s="217"/>
      <c r="S8" s="217"/>
      <c r="T8" s="217"/>
      <c r="U8" s="217"/>
      <c r="V8" s="217"/>
      <c r="W8" s="135"/>
      <c r="X8" s="135"/>
      <c r="Y8" s="135"/>
      <c r="Z8" s="135"/>
      <c r="AA8" s="135"/>
      <c r="AB8" s="135"/>
      <c r="AC8" s="135"/>
      <c r="AD8" s="135"/>
      <c r="AE8" s="135"/>
      <c r="AF8" s="135"/>
      <c r="AG8" s="135"/>
      <c r="AH8" s="135"/>
      <c r="AI8" s="135"/>
      <c r="AJ8" s="135"/>
      <c r="AK8" s="135"/>
      <c r="AL8" s="135"/>
      <c r="AM8" s="135"/>
      <c r="AN8" s="135"/>
      <c r="AO8" s="135"/>
      <c r="AP8" s="135"/>
      <c r="AQ8" s="135"/>
      <c r="AR8" s="135"/>
      <c r="AS8" s="135"/>
      <c r="AT8" s="228"/>
    </row>
    <row r="9" spans="1:48" ht="24.95" customHeight="1">
      <c r="A9" s="222"/>
      <c r="B9" s="217"/>
      <c r="C9" s="217"/>
      <c r="D9" s="217"/>
      <c r="E9" s="217"/>
      <c r="F9" s="217"/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217"/>
      <c r="W9" s="135"/>
      <c r="X9" s="135"/>
      <c r="Y9" s="135"/>
      <c r="Z9" s="135"/>
      <c r="AA9" s="135"/>
      <c r="AB9" s="135"/>
      <c r="AC9" s="135"/>
      <c r="AD9" s="135"/>
      <c r="AE9" s="135"/>
      <c r="AF9" s="135"/>
      <c r="AG9" s="135"/>
      <c r="AH9" s="135"/>
      <c r="AI9" s="135"/>
      <c r="AJ9" s="135"/>
      <c r="AK9" s="135"/>
      <c r="AL9" s="135"/>
      <c r="AM9" s="135"/>
      <c r="AN9" s="135"/>
      <c r="AO9" s="135"/>
      <c r="AP9" s="135"/>
      <c r="AQ9" s="135"/>
      <c r="AR9" s="135"/>
      <c r="AS9" s="135"/>
      <c r="AT9" s="228"/>
    </row>
    <row r="10" spans="1:48" ht="24.95" customHeight="1">
      <c r="A10" s="222"/>
      <c r="B10" s="217"/>
      <c r="C10" s="217"/>
      <c r="D10" s="217"/>
      <c r="E10" s="217"/>
      <c r="F10" s="217"/>
      <c r="G10" s="217"/>
      <c r="H10" s="217"/>
      <c r="I10" s="217"/>
      <c r="J10" s="217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  <c r="V10" s="217"/>
      <c r="W10" s="135"/>
      <c r="X10" s="135"/>
      <c r="Y10" s="135"/>
      <c r="Z10" s="135"/>
      <c r="AA10" s="135"/>
      <c r="AB10" s="135"/>
      <c r="AC10" s="135"/>
      <c r="AD10" s="135"/>
      <c r="AE10" s="135"/>
      <c r="AF10" s="135"/>
      <c r="AG10" s="135"/>
      <c r="AH10" s="135"/>
      <c r="AI10" s="135"/>
      <c r="AJ10" s="135"/>
      <c r="AK10" s="135"/>
      <c r="AL10" s="135"/>
      <c r="AM10" s="135"/>
      <c r="AN10" s="135"/>
      <c r="AO10" s="135"/>
      <c r="AP10" s="135"/>
      <c r="AQ10" s="135"/>
      <c r="AR10" s="135"/>
      <c r="AS10" s="135"/>
      <c r="AT10" s="228"/>
    </row>
    <row r="11" spans="1:48" ht="24.95" customHeight="1">
      <c r="A11" s="222"/>
      <c r="B11" s="217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  <c r="V11" s="217"/>
      <c r="W11" s="135"/>
      <c r="X11" s="135"/>
      <c r="Y11" s="135"/>
      <c r="Z11" s="135"/>
      <c r="AA11" s="135"/>
      <c r="AB11" s="135"/>
      <c r="AC11" s="135"/>
      <c r="AD11" s="135"/>
      <c r="AE11" s="135"/>
      <c r="AF11" s="135"/>
      <c r="AG11" s="135"/>
      <c r="AH11" s="135"/>
      <c r="AI11" s="135"/>
      <c r="AJ11" s="135"/>
      <c r="AK11" s="135"/>
      <c r="AL11" s="135"/>
      <c r="AM11" s="135"/>
      <c r="AN11" s="135"/>
      <c r="AO11" s="135"/>
      <c r="AP11" s="135"/>
      <c r="AQ11" s="135"/>
      <c r="AR11" s="135"/>
      <c r="AS11" s="135"/>
      <c r="AT11" s="228"/>
    </row>
    <row r="12" spans="1:48" ht="24.95" customHeight="1">
      <c r="A12" s="222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  <c r="V12" s="217"/>
      <c r="W12" s="135"/>
      <c r="X12" s="135"/>
      <c r="Y12" s="135"/>
      <c r="Z12" s="135"/>
      <c r="AA12" s="135"/>
      <c r="AB12" s="135"/>
      <c r="AC12" s="135"/>
      <c r="AD12" s="135"/>
      <c r="AE12" s="135"/>
      <c r="AF12" s="135"/>
      <c r="AG12" s="135"/>
      <c r="AH12" s="135"/>
      <c r="AI12" s="135"/>
      <c r="AJ12" s="135"/>
      <c r="AK12" s="135"/>
      <c r="AL12" s="135"/>
      <c r="AM12" s="135"/>
      <c r="AN12" s="135"/>
      <c r="AO12" s="135"/>
      <c r="AP12" s="135"/>
      <c r="AQ12" s="135"/>
      <c r="AR12" s="135"/>
      <c r="AS12" s="135"/>
      <c r="AT12" s="228"/>
    </row>
    <row r="13" spans="1:48" ht="24.95" customHeight="1">
      <c r="A13" s="222"/>
      <c r="B13" s="217"/>
      <c r="C13" s="217"/>
      <c r="D13" s="217"/>
      <c r="E13" s="217"/>
      <c r="F13" s="217"/>
      <c r="G13" s="217"/>
      <c r="H13" s="217"/>
      <c r="I13" s="217"/>
      <c r="J13" s="217"/>
      <c r="K13" s="217"/>
      <c r="L13" s="217"/>
      <c r="M13" s="217"/>
      <c r="N13" s="217"/>
      <c r="O13" s="217"/>
      <c r="P13" s="217"/>
      <c r="Q13" s="217"/>
      <c r="R13" s="217"/>
      <c r="S13" s="217"/>
      <c r="T13" s="217"/>
      <c r="U13" s="217"/>
      <c r="V13" s="217"/>
      <c r="W13" s="135"/>
      <c r="X13" s="135"/>
      <c r="Y13" s="135"/>
      <c r="Z13" s="135"/>
      <c r="AA13" s="135"/>
      <c r="AB13" s="135"/>
      <c r="AC13" s="135"/>
      <c r="AD13" s="135"/>
      <c r="AE13" s="135"/>
      <c r="AF13" s="135"/>
      <c r="AG13" s="135"/>
      <c r="AH13" s="135"/>
      <c r="AI13" s="135"/>
      <c r="AJ13" s="135"/>
      <c r="AK13" s="135"/>
      <c r="AL13" s="135"/>
      <c r="AM13" s="135"/>
      <c r="AN13" s="135"/>
      <c r="AO13" s="135"/>
      <c r="AP13" s="135"/>
      <c r="AQ13" s="135"/>
      <c r="AR13" s="135"/>
      <c r="AS13" s="135"/>
      <c r="AT13" s="228"/>
    </row>
    <row r="14" spans="1:48" ht="18" customHeight="1">
      <c r="A14" s="55" t="s">
        <v>59</v>
      </c>
      <c r="B14" s="116"/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7"/>
      <c r="X14" s="117"/>
      <c r="Y14" s="117"/>
      <c r="Z14" s="117"/>
      <c r="AA14" s="117"/>
      <c r="AB14" s="117"/>
      <c r="AC14" s="117"/>
      <c r="AD14" s="117"/>
      <c r="AE14" s="117"/>
      <c r="AF14" s="117"/>
      <c r="AG14" s="117"/>
      <c r="AH14" s="117"/>
      <c r="AI14" s="117"/>
      <c r="AJ14" s="117"/>
      <c r="AK14" s="117"/>
      <c r="AL14" s="117"/>
      <c r="AM14" s="117"/>
      <c r="AN14" s="117"/>
      <c r="AO14" s="117"/>
      <c r="AP14" s="117"/>
      <c r="AQ14" s="117"/>
      <c r="AR14" s="117"/>
      <c r="AS14" s="117"/>
      <c r="AT14" s="118"/>
    </row>
    <row r="15" spans="1:48" ht="18" customHeight="1">
      <c r="A15" s="55" t="s">
        <v>58</v>
      </c>
      <c r="B15" s="116"/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7"/>
      <c r="X15" s="117"/>
      <c r="Y15" s="117"/>
      <c r="Z15" s="117"/>
      <c r="AA15" s="117"/>
      <c r="AB15" s="117"/>
      <c r="AC15" s="117"/>
      <c r="AD15" s="117"/>
      <c r="AE15" s="117"/>
      <c r="AF15" s="117"/>
      <c r="AG15" s="117"/>
      <c r="AH15" s="117"/>
      <c r="AI15" s="117"/>
      <c r="AJ15" s="117"/>
      <c r="AK15" s="117"/>
      <c r="AL15" s="117"/>
      <c r="AM15" s="117"/>
      <c r="AN15" s="117"/>
      <c r="AO15" s="117"/>
      <c r="AP15" s="117"/>
      <c r="AQ15" s="117"/>
      <c r="AR15" s="117"/>
      <c r="AS15" s="117"/>
      <c r="AT15" s="118"/>
    </row>
    <row r="16" spans="1:48" ht="18" customHeight="1">
      <c r="A16" s="57" t="s">
        <v>3</v>
      </c>
      <c r="B16" s="116"/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9"/>
      <c r="S16" s="116"/>
      <c r="T16" s="116"/>
      <c r="U16" s="120"/>
      <c r="V16" s="120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1"/>
      <c r="AR16" s="121"/>
      <c r="AS16" s="121"/>
      <c r="AT16" s="118"/>
    </row>
    <row r="17" spans="1:47" ht="18" customHeight="1">
      <c r="A17" s="55" t="s">
        <v>4</v>
      </c>
      <c r="B17" s="116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20"/>
      <c r="V17" s="120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1"/>
      <c r="AR17" s="121"/>
      <c r="AS17" s="121"/>
      <c r="AT17" s="118"/>
    </row>
    <row r="18" spans="1:47" ht="18" customHeight="1">
      <c r="A18" s="55" t="s">
        <v>30</v>
      </c>
      <c r="B18" s="116"/>
      <c r="C18" s="116"/>
      <c r="D18" s="116"/>
      <c r="E18" s="116"/>
      <c r="F18" s="122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7"/>
      <c r="X18" s="117"/>
      <c r="Y18" s="117"/>
      <c r="Z18" s="117"/>
      <c r="AA18" s="117"/>
      <c r="AB18" s="117"/>
      <c r="AC18" s="117"/>
      <c r="AD18" s="117"/>
      <c r="AE18" s="117"/>
      <c r="AF18" s="117"/>
      <c r="AG18" s="117"/>
      <c r="AH18" s="117"/>
      <c r="AI18" s="117"/>
      <c r="AJ18" s="117"/>
      <c r="AK18" s="117"/>
      <c r="AL18" s="117"/>
      <c r="AM18" s="117"/>
      <c r="AN18" s="117"/>
      <c r="AO18" s="117"/>
      <c r="AP18" s="117"/>
      <c r="AQ18" s="117"/>
      <c r="AR18" s="117"/>
      <c r="AS18" s="117"/>
      <c r="AT18" s="118"/>
    </row>
    <row r="19" spans="1:47" s="1" customFormat="1" ht="18" customHeight="1">
      <c r="A19" s="58" t="s">
        <v>5</v>
      </c>
      <c r="B19" s="78">
        <f>SUM(B15:B18)</f>
        <v>0</v>
      </c>
      <c r="C19" s="78">
        <f t="shared" ref="C19:AT19" si="1">SUM(C15:C18)</f>
        <v>0</v>
      </c>
      <c r="D19" s="78">
        <f t="shared" si="1"/>
        <v>0</v>
      </c>
      <c r="E19" s="78">
        <f t="shared" si="1"/>
        <v>0</v>
      </c>
      <c r="F19" s="78">
        <f t="shared" si="1"/>
        <v>0</v>
      </c>
      <c r="G19" s="78">
        <f t="shared" si="1"/>
        <v>0</v>
      </c>
      <c r="H19" s="78">
        <f t="shared" si="1"/>
        <v>0</v>
      </c>
      <c r="I19" s="78">
        <f t="shared" si="1"/>
        <v>0</v>
      </c>
      <c r="J19" s="78">
        <f t="shared" si="1"/>
        <v>0</v>
      </c>
      <c r="K19" s="78">
        <f>SUM(K15:K18)</f>
        <v>0</v>
      </c>
      <c r="L19" s="78">
        <f>SUM(L15:L18)</f>
        <v>0</v>
      </c>
      <c r="M19" s="78">
        <f t="shared" si="1"/>
        <v>0</v>
      </c>
      <c r="N19" s="78">
        <f t="shared" si="1"/>
        <v>0</v>
      </c>
      <c r="O19" s="78">
        <f t="shared" si="1"/>
        <v>0</v>
      </c>
      <c r="P19" s="78">
        <f t="shared" si="1"/>
        <v>0</v>
      </c>
      <c r="Q19" s="78">
        <f t="shared" si="1"/>
        <v>0</v>
      </c>
      <c r="R19" s="78">
        <f t="shared" si="1"/>
        <v>0</v>
      </c>
      <c r="S19" s="78">
        <f t="shared" si="1"/>
        <v>0</v>
      </c>
      <c r="T19" s="78">
        <f t="shared" si="1"/>
        <v>0</v>
      </c>
      <c r="U19" s="78">
        <f t="shared" si="1"/>
        <v>0</v>
      </c>
      <c r="V19" s="78">
        <f t="shared" si="1"/>
        <v>0</v>
      </c>
      <c r="W19" s="78">
        <f t="shared" si="1"/>
        <v>0</v>
      </c>
      <c r="X19" s="78">
        <f t="shared" si="1"/>
        <v>0</v>
      </c>
      <c r="Y19" s="78">
        <f t="shared" si="1"/>
        <v>0</v>
      </c>
      <c r="Z19" s="78">
        <f t="shared" si="1"/>
        <v>0</v>
      </c>
      <c r="AA19" s="78">
        <f t="shared" si="1"/>
        <v>0</v>
      </c>
      <c r="AB19" s="78">
        <f t="shared" si="1"/>
        <v>0</v>
      </c>
      <c r="AC19" s="78">
        <f t="shared" si="1"/>
        <v>0</v>
      </c>
      <c r="AD19" s="78">
        <f t="shared" si="1"/>
        <v>0</v>
      </c>
      <c r="AE19" s="78">
        <f t="shared" si="1"/>
        <v>0</v>
      </c>
      <c r="AF19" s="78">
        <f t="shared" si="1"/>
        <v>0</v>
      </c>
      <c r="AG19" s="78">
        <f t="shared" si="1"/>
        <v>0</v>
      </c>
      <c r="AH19" s="78">
        <f t="shared" si="1"/>
        <v>0</v>
      </c>
      <c r="AI19" s="78">
        <f t="shared" si="1"/>
        <v>0</v>
      </c>
      <c r="AJ19" s="78">
        <f t="shared" si="1"/>
        <v>0</v>
      </c>
      <c r="AK19" s="78">
        <f t="shared" si="1"/>
        <v>0</v>
      </c>
      <c r="AL19" s="78"/>
      <c r="AM19" s="78"/>
      <c r="AN19" s="78"/>
      <c r="AO19" s="78">
        <f t="shared" si="1"/>
        <v>0</v>
      </c>
      <c r="AP19" s="78">
        <f t="shared" si="1"/>
        <v>0</v>
      </c>
      <c r="AQ19" s="78">
        <f t="shared" si="1"/>
        <v>0</v>
      </c>
      <c r="AR19" s="78">
        <f t="shared" si="1"/>
        <v>0</v>
      </c>
      <c r="AS19" s="78">
        <f t="shared" si="1"/>
        <v>0</v>
      </c>
      <c r="AT19" s="208">
        <f t="shared" si="1"/>
        <v>0</v>
      </c>
      <c r="AU19" s="61"/>
    </row>
    <row r="20" spans="1:47" s="1" customFormat="1" ht="18" customHeight="1" thickBot="1">
      <c r="A20" s="144" t="s">
        <v>23</v>
      </c>
      <c r="B20" s="145" t="str">
        <f>IF(B19&gt;0,B19/B4*1000000,"")</f>
        <v/>
      </c>
      <c r="C20" s="145" t="str">
        <f t="shared" ref="C20:AT20" si="2">IF(C19&gt;0,C19/C4*1000000,"")</f>
        <v/>
      </c>
      <c r="D20" s="145" t="str">
        <f t="shared" si="2"/>
        <v/>
      </c>
      <c r="E20" s="145" t="str">
        <f t="shared" si="2"/>
        <v/>
      </c>
      <c r="F20" s="145" t="str">
        <f t="shared" si="2"/>
        <v/>
      </c>
      <c r="G20" s="145" t="str">
        <f t="shared" si="2"/>
        <v/>
      </c>
      <c r="H20" s="145" t="str">
        <f t="shared" si="2"/>
        <v/>
      </c>
      <c r="I20" s="145" t="str">
        <f t="shared" si="2"/>
        <v/>
      </c>
      <c r="J20" s="145" t="str">
        <f t="shared" si="2"/>
        <v/>
      </c>
      <c r="K20" s="145" t="str">
        <f t="shared" si="2"/>
        <v/>
      </c>
      <c r="L20" s="145" t="str">
        <f t="shared" si="2"/>
        <v/>
      </c>
      <c r="M20" s="145" t="str">
        <f t="shared" si="2"/>
        <v/>
      </c>
      <c r="N20" s="145" t="str">
        <f t="shared" si="2"/>
        <v/>
      </c>
      <c r="O20" s="145" t="str">
        <f t="shared" si="2"/>
        <v/>
      </c>
      <c r="P20" s="60" t="str">
        <f t="shared" si="2"/>
        <v/>
      </c>
      <c r="Q20" s="60" t="str">
        <f t="shared" si="2"/>
        <v/>
      </c>
      <c r="R20" s="60" t="str">
        <f t="shared" si="2"/>
        <v/>
      </c>
      <c r="S20" s="60" t="str">
        <f t="shared" si="2"/>
        <v/>
      </c>
      <c r="T20" s="60" t="str">
        <f t="shared" si="2"/>
        <v/>
      </c>
      <c r="U20" s="60" t="str">
        <f t="shared" si="2"/>
        <v/>
      </c>
      <c r="V20" s="60" t="str">
        <f t="shared" si="2"/>
        <v/>
      </c>
      <c r="W20" s="60" t="str">
        <f t="shared" si="2"/>
        <v/>
      </c>
      <c r="X20" s="60" t="str">
        <f t="shared" si="2"/>
        <v/>
      </c>
      <c r="Y20" s="60" t="str">
        <f t="shared" si="2"/>
        <v/>
      </c>
      <c r="Z20" s="60" t="str">
        <f t="shared" si="2"/>
        <v/>
      </c>
      <c r="AA20" s="60" t="str">
        <f t="shared" si="2"/>
        <v/>
      </c>
      <c r="AB20" s="60" t="str">
        <f t="shared" si="2"/>
        <v/>
      </c>
      <c r="AC20" s="60" t="str">
        <f t="shared" si="2"/>
        <v/>
      </c>
      <c r="AD20" s="60" t="str">
        <f t="shared" si="2"/>
        <v/>
      </c>
      <c r="AE20" s="60" t="str">
        <f t="shared" si="2"/>
        <v/>
      </c>
      <c r="AF20" s="60" t="str">
        <f t="shared" si="2"/>
        <v/>
      </c>
      <c r="AG20" s="60" t="str">
        <f t="shared" si="2"/>
        <v/>
      </c>
      <c r="AH20" s="60" t="str">
        <f t="shared" si="2"/>
        <v/>
      </c>
      <c r="AI20" s="60" t="str">
        <f t="shared" si="2"/>
        <v/>
      </c>
      <c r="AJ20" s="60" t="str">
        <f t="shared" si="2"/>
        <v/>
      </c>
      <c r="AK20" s="60" t="str">
        <f t="shared" si="2"/>
        <v/>
      </c>
      <c r="AL20" s="60" t="str">
        <f t="shared" si="2"/>
        <v/>
      </c>
      <c r="AM20" s="60" t="str">
        <f t="shared" si="2"/>
        <v/>
      </c>
      <c r="AN20" s="60" t="str">
        <f t="shared" si="2"/>
        <v/>
      </c>
      <c r="AO20" s="60" t="str">
        <f t="shared" si="2"/>
        <v/>
      </c>
      <c r="AP20" s="60" t="str">
        <f t="shared" si="2"/>
        <v/>
      </c>
      <c r="AQ20" s="60" t="str">
        <f t="shared" si="2"/>
        <v/>
      </c>
      <c r="AR20" s="60" t="str">
        <f t="shared" si="2"/>
        <v/>
      </c>
      <c r="AS20" s="60" t="str">
        <f t="shared" si="2"/>
        <v/>
      </c>
      <c r="AT20" s="209" t="str">
        <f t="shared" si="2"/>
        <v/>
      </c>
      <c r="AU20" s="61"/>
    </row>
    <row r="21" spans="1:47" s="1" customFormat="1" ht="18" customHeight="1">
      <c r="A21" s="152" t="str">
        <f>'Alloyd 1'!A21</f>
        <v>Visto Supervisor</v>
      </c>
      <c r="B21" s="147"/>
      <c r="C21" s="147"/>
      <c r="D21" s="147"/>
      <c r="E21" s="147"/>
      <c r="F21" s="147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147"/>
      <c r="R21" s="147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47"/>
      <c r="AJ21" s="147"/>
      <c r="AK21" s="147"/>
      <c r="AL21" s="147"/>
      <c r="AM21" s="147"/>
      <c r="AN21" s="147"/>
      <c r="AO21" s="147"/>
      <c r="AP21" s="147"/>
      <c r="AQ21" s="147"/>
      <c r="AR21" s="147"/>
      <c r="AS21" s="147"/>
      <c r="AT21" s="148"/>
      <c r="AU21"/>
    </row>
    <row r="22" spans="1:47" ht="18" customHeight="1" thickBot="1">
      <c r="A22" s="149" t="s">
        <v>78</v>
      </c>
      <c r="B22" s="150"/>
      <c r="C22" s="150"/>
      <c r="D22" s="150"/>
      <c r="E22" s="150"/>
      <c r="F22" s="150"/>
      <c r="G22" s="150"/>
      <c r="H22" s="150"/>
      <c r="I22" s="150"/>
      <c r="J22" s="150"/>
      <c r="K22" s="150"/>
      <c r="L22" s="150"/>
      <c r="M22" s="150"/>
      <c r="N22" s="150"/>
      <c r="O22" s="150"/>
      <c r="P22" s="150"/>
      <c r="Q22" s="150"/>
      <c r="R22" s="150"/>
      <c r="S22" s="150"/>
      <c r="T22" s="150"/>
      <c r="U22" s="150"/>
      <c r="V22" s="150"/>
      <c r="W22" s="150"/>
      <c r="X22" s="150"/>
      <c r="Y22" s="150"/>
      <c r="Z22" s="150"/>
      <c r="AA22" s="150"/>
      <c r="AB22" s="150"/>
      <c r="AC22" s="150"/>
      <c r="AD22" s="150"/>
      <c r="AE22" s="150"/>
      <c r="AF22" s="150"/>
      <c r="AG22" s="150"/>
      <c r="AH22" s="150"/>
      <c r="AI22" s="150"/>
      <c r="AJ22" s="150"/>
      <c r="AK22" s="150"/>
      <c r="AL22" s="150"/>
      <c r="AM22" s="150"/>
      <c r="AN22" s="150"/>
      <c r="AO22" s="150"/>
      <c r="AP22" s="150"/>
      <c r="AQ22" s="150"/>
      <c r="AR22" s="150"/>
      <c r="AS22" s="150"/>
      <c r="AT22" s="151"/>
    </row>
    <row r="23" spans="1:47" ht="14.1" customHeight="1">
      <c r="A23" s="125" t="s">
        <v>70</v>
      </c>
      <c r="B23" s="126"/>
      <c r="C23" s="126"/>
      <c r="D23" s="126"/>
      <c r="E23" s="126"/>
      <c r="F23" s="126"/>
      <c r="G23" s="128"/>
      <c r="H23" s="129"/>
      <c r="I23" s="126"/>
      <c r="J23" s="126"/>
      <c r="K23" s="126"/>
      <c r="L23" s="126"/>
      <c r="M23" s="126"/>
      <c r="N23" s="126"/>
      <c r="O23" s="128"/>
      <c r="P23" s="126"/>
      <c r="Q23" s="126"/>
      <c r="R23" s="127"/>
      <c r="S23" s="127"/>
      <c r="T23" s="98"/>
      <c r="U23" s="98"/>
      <c r="V23" s="98"/>
      <c r="W23" s="98"/>
      <c r="X23" s="98"/>
      <c r="Y23" s="98"/>
      <c r="Z23" s="98"/>
      <c r="AA23" s="98"/>
      <c r="AB23" s="98"/>
      <c r="AC23" s="98"/>
      <c r="AD23" s="98"/>
      <c r="AE23" s="98"/>
      <c r="AF23" s="98"/>
      <c r="AG23" s="98"/>
      <c r="AH23" s="98"/>
      <c r="AI23" s="98"/>
      <c r="AJ23" s="98"/>
      <c r="AK23" s="98"/>
      <c r="AL23" s="98"/>
      <c r="AM23" s="98"/>
      <c r="AN23" s="98"/>
      <c r="AO23" s="98"/>
      <c r="AP23" s="98"/>
      <c r="AQ23" s="98"/>
      <c r="AR23" s="98"/>
      <c r="AS23" s="98"/>
      <c r="AT23" s="99"/>
      <c r="AU23" s="123"/>
    </row>
    <row r="24" spans="1:47" ht="14.1" customHeight="1">
      <c r="A24" s="125"/>
      <c r="B24" s="126"/>
      <c r="C24" s="126"/>
      <c r="D24" s="126"/>
      <c r="E24" s="126"/>
      <c r="F24" s="126"/>
      <c r="G24" s="128"/>
      <c r="H24" s="129"/>
      <c r="I24" s="126"/>
      <c r="J24" s="126"/>
      <c r="K24" s="126"/>
      <c r="L24" s="126"/>
      <c r="M24" s="126"/>
      <c r="N24" s="126"/>
      <c r="O24" s="128"/>
      <c r="P24" s="126"/>
      <c r="Q24" s="126"/>
      <c r="R24" s="127"/>
      <c r="S24" s="127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9"/>
      <c r="AU24" s="124"/>
    </row>
    <row r="25" spans="1:47" s="62" customFormat="1" ht="13.5" thickBot="1">
      <c r="A25" s="130" t="s">
        <v>71</v>
      </c>
      <c r="B25" s="131"/>
      <c r="C25" s="131"/>
      <c r="D25" s="131"/>
      <c r="E25" s="131"/>
      <c r="F25" s="131"/>
      <c r="G25" s="132"/>
      <c r="H25" s="133"/>
      <c r="I25" s="131"/>
      <c r="J25" s="131"/>
      <c r="K25" s="131"/>
      <c r="L25" s="131"/>
      <c r="M25" s="131"/>
      <c r="N25" s="131"/>
      <c r="O25" s="132"/>
      <c r="P25" s="131"/>
      <c r="Q25" s="131"/>
      <c r="R25" s="131"/>
      <c r="S25" s="131"/>
      <c r="T25" s="100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1"/>
      <c r="AU25"/>
    </row>
    <row r="27" spans="1:47">
      <c r="A27" s="102" t="s">
        <v>100</v>
      </c>
      <c r="B27">
        <f>'[1]SJCPIL 16-006-08'!$Y$39</f>
        <v>990</v>
      </c>
    </row>
    <row r="30" spans="1:47" ht="18.75" customHeight="1">
      <c r="A30" s="56" t="s">
        <v>22</v>
      </c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</row>
    <row r="31" spans="1:47" ht="103.5" customHeight="1">
      <c r="A31" s="64" t="s">
        <v>16</v>
      </c>
      <c r="B31" s="153"/>
      <c r="C31" s="153"/>
      <c r="D31" s="153"/>
      <c r="E31" s="153"/>
      <c r="F31" s="153"/>
      <c r="G31" s="153"/>
      <c r="H31" s="153"/>
      <c r="I31" s="153"/>
      <c r="J31" s="153"/>
      <c r="K31" s="153"/>
      <c r="L31" s="153"/>
      <c r="M31" s="153"/>
      <c r="N31" s="153"/>
      <c r="O31" s="153"/>
      <c r="P31" s="153"/>
      <c r="Q31" s="153"/>
      <c r="R31" s="153"/>
      <c r="S31" s="153"/>
      <c r="T31" s="153"/>
      <c r="U31" s="154"/>
      <c r="V31" s="154"/>
      <c r="W31" s="154"/>
      <c r="X31" s="153"/>
      <c r="Y31" s="153"/>
      <c r="Z31" s="154"/>
      <c r="AA31" s="154"/>
      <c r="AB31" s="154"/>
      <c r="AC31" s="154"/>
      <c r="AD31" s="154"/>
      <c r="AE31" s="154"/>
      <c r="AF31" s="154"/>
      <c r="AG31" s="154"/>
      <c r="AH31" s="154"/>
      <c r="AI31" s="154"/>
      <c r="AJ31" s="154"/>
      <c r="AK31" s="154"/>
      <c r="AL31" s="82"/>
      <c r="AM31" s="82"/>
      <c r="AN31" s="82"/>
      <c r="AO31" s="82"/>
      <c r="AP31" s="82"/>
      <c r="AQ31" s="82"/>
      <c r="AR31" s="82"/>
      <c r="AS31" s="82"/>
      <c r="AT31" s="81"/>
    </row>
    <row r="33" spans="1:9">
      <c r="A33" s="65"/>
      <c r="B33" s="66"/>
      <c r="C33" s="66"/>
      <c r="D33" s="66"/>
      <c r="E33" s="66"/>
      <c r="F33" s="66"/>
      <c r="G33" s="66"/>
      <c r="H33" s="66"/>
      <c r="I33" s="66"/>
    </row>
  </sheetData>
  <sheetProtection algorithmName="SHA-512" hashValue="rMIjMvjNedQmqDYpUDNeSZ3FGWhVl+R9GPKlLqVz+p5dMS0kfnvOb+8s7xux/pndvA98fGbltP2uldE0h9Jj1w==" saltValue="3LoZ29rlzS3gUsUEfd9Bpw==" spinCount="100000" sheet="1" objects="1" scenarios="1" selectLockedCells="1"/>
  <mergeCells count="26">
    <mergeCell ref="AQ1:AR1"/>
    <mergeCell ref="AS1:AT1"/>
    <mergeCell ref="U5:U13"/>
    <mergeCell ref="V5:V13"/>
    <mergeCell ref="AT5:AT13"/>
    <mergeCell ref="O5:O13"/>
    <mergeCell ref="P5:P13"/>
    <mergeCell ref="Q5:Q13"/>
    <mergeCell ref="R5:R13"/>
    <mergeCell ref="S5:S13"/>
    <mergeCell ref="T5:T13"/>
    <mergeCell ref="N5:N13"/>
    <mergeCell ref="A1:B1"/>
    <mergeCell ref="A5:A13"/>
    <mergeCell ref="B5:B13"/>
    <mergeCell ref="C5:C13"/>
    <mergeCell ref="D5:D13"/>
    <mergeCell ref="E5:E13"/>
    <mergeCell ref="F5:F13"/>
    <mergeCell ref="G5:G13"/>
    <mergeCell ref="H5:H13"/>
    <mergeCell ref="I5:I13"/>
    <mergeCell ref="J5:J13"/>
    <mergeCell ref="K5:K13"/>
    <mergeCell ref="L5:L13"/>
    <mergeCell ref="M5:M13"/>
  </mergeCells>
  <dataValidations count="1">
    <dataValidation type="list" allowBlank="1" showInputMessage="1" showErrorMessage="1" sqref="B2:AT2" xr:uid="{00000000-0002-0000-0200-000000000000}">
      <formula1>PRODUTOS</formula1>
    </dataValidation>
  </dataValidations>
  <printOptions horizontalCentered="1" verticalCentered="1" gridLines="1" gridLinesSet="0"/>
  <pageMargins left="0.39370078740157483" right="0.39370078740157483" top="0.98425196850393704" bottom="0.59055118110236227" header="0.27559055118110237" footer="0.39370078740157483"/>
  <pageSetup paperSize="9" scale="27" orientation="landscape" r:id="rId1"/>
  <headerFooter alignWithMargins="0">
    <oddFooter>&amp;RSJCPIL-R 16-507-01</oddFooter>
  </headerFooter>
  <colBreaks count="1" manualBreakCount="1">
    <brk id="47" max="36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"/>
  <dimension ref="A1:AA194"/>
  <sheetViews>
    <sheetView zoomScaleNormal="100" zoomScaleSheetLayoutView="100" workbookViewId="0">
      <pane xSplit="1" ySplit="2" topLeftCell="L33" activePane="bottomRight" state="frozen"/>
      <selection pane="topRight" activeCell="B1" sqref="B1"/>
      <selection pane="bottomLeft" activeCell="A3" sqref="A3"/>
      <selection pane="bottomRight" activeCell="T62" sqref="T62"/>
    </sheetView>
  </sheetViews>
  <sheetFormatPr defaultRowHeight="12.75"/>
  <cols>
    <col min="1" max="1" width="18" style="2" bestFit="1" customWidth="1"/>
    <col min="2" max="2" width="15" style="87" bestFit="1" customWidth="1"/>
    <col min="3" max="3" width="12.140625" style="87" bestFit="1" customWidth="1"/>
    <col min="4" max="4" width="12.140625" style="87" customWidth="1"/>
    <col min="5" max="5" width="9.28515625" bestFit="1" customWidth="1"/>
    <col min="6" max="6" width="10.5703125" bestFit="1" customWidth="1"/>
    <col min="7" max="7" width="11" bestFit="1" customWidth="1"/>
    <col min="8" max="8" width="11.140625" bestFit="1" customWidth="1"/>
    <col min="9" max="9" width="11.140625" customWidth="1"/>
    <col min="10" max="10" width="12.42578125" bestFit="1" customWidth="1"/>
    <col min="11" max="11" width="9.85546875" style="5" bestFit="1" customWidth="1"/>
    <col min="12" max="12" width="9.85546875" style="5" customWidth="1"/>
    <col min="13" max="18" width="10.7109375" customWidth="1"/>
    <col min="19" max="19" width="10.7109375" style="5" customWidth="1"/>
    <col min="20" max="20" width="10.7109375" customWidth="1"/>
    <col min="21" max="21" width="11.28515625" customWidth="1"/>
  </cols>
  <sheetData>
    <row r="1" spans="1:27" ht="16.5" thickBot="1">
      <c r="A1" s="6" t="s">
        <v>15</v>
      </c>
      <c r="B1" s="233" t="s">
        <v>52</v>
      </c>
      <c r="C1" s="234"/>
      <c r="D1" s="90"/>
      <c r="E1" s="231" t="s">
        <v>14</v>
      </c>
      <c r="F1" s="231"/>
      <c r="G1" s="231"/>
      <c r="H1" s="231"/>
      <c r="I1" s="231"/>
      <c r="J1" s="231"/>
      <c r="K1" s="232"/>
      <c r="L1" s="235" t="s">
        <v>16</v>
      </c>
      <c r="M1" s="236"/>
      <c r="N1" s="236"/>
      <c r="O1" s="236"/>
      <c r="P1" s="236"/>
      <c r="Q1" s="236"/>
      <c r="R1" s="236"/>
      <c r="S1" s="237"/>
      <c r="T1" s="238" t="s">
        <v>98</v>
      </c>
      <c r="U1" s="239"/>
      <c r="V1" s="239"/>
      <c r="W1" s="239"/>
      <c r="X1" s="239"/>
      <c r="Y1" s="239"/>
      <c r="Z1" s="239"/>
      <c r="AA1" s="240"/>
    </row>
    <row r="2" spans="1:27" ht="38.25">
      <c r="A2" s="7" t="s">
        <v>13</v>
      </c>
      <c r="B2" s="83" t="s">
        <v>51</v>
      </c>
      <c r="C2" s="88" t="s">
        <v>54</v>
      </c>
      <c r="D2" s="88" t="s">
        <v>60</v>
      </c>
      <c r="E2" s="3" t="s">
        <v>24</v>
      </c>
      <c r="F2" s="3" t="s">
        <v>31</v>
      </c>
      <c r="G2" s="3" t="s">
        <v>25</v>
      </c>
      <c r="H2" s="4" t="s">
        <v>32</v>
      </c>
      <c r="I2" s="4" t="s">
        <v>33</v>
      </c>
      <c r="J2" s="3" t="s">
        <v>12</v>
      </c>
      <c r="K2" s="9" t="s">
        <v>27</v>
      </c>
      <c r="L2" s="88" t="s">
        <v>60</v>
      </c>
      <c r="M2" s="93" t="s">
        <v>24</v>
      </c>
      <c r="N2" s="93" t="s">
        <v>31</v>
      </c>
      <c r="O2" s="93" t="s">
        <v>25</v>
      </c>
      <c r="P2" s="94" t="s">
        <v>32</v>
      </c>
      <c r="Q2" s="94" t="s">
        <v>33</v>
      </c>
      <c r="R2" s="93" t="s">
        <v>12</v>
      </c>
      <c r="S2" s="95" t="s">
        <v>27</v>
      </c>
      <c r="T2" s="88" t="s">
        <v>60</v>
      </c>
      <c r="U2" s="93" t="s">
        <v>24</v>
      </c>
      <c r="V2" s="93" t="s">
        <v>31</v>
      </c>
      <c r="W2" s="93" t="s">
        <v>25</v>
      </c>
      <c r="X2" s="94" t="s">
        <v>32</v>
      </c>
      <c r="Y2" s="94" t="s">
        <v>33</v>
      </c>
      <c r="Z2" s="93" t="s">
        <v>12</v>
      </c>
      <c r="AA2" s="95" t="s">
        <v>27</v>
      </c>
    </row>
    <row r="3" spans="1:27">
      <c r="A3" s="79" t="s">
        <v>74</v>
      </c>
      <c r="B3" s="84"/>
      <c r="C3" s="84"/>
      <c r="D3" s="44">
        <f>SUM(IF('Alloyd 1'!$B$2:$AT$2='Resumo Produção'!A3,'Alloyd 1'!$B$13:$AT$13))</f>
        <v>0</v>
      </c>
      <c r="E3" s="44">
        <f t="array" ref="E3">SUM(IF('Alloyd 1'!$B$2:$AT$2='Resumo Produção'!A3,'Alloyd 1'!$B$4:$AT$4))</f>
        <v>0</v>
      </c>
      <c r="F3" s="44">
        <f t="array" ref="F3">SUM(IF('Alloyd 1'!$B$2:$AT$2='Resumo Produção'!$A3,'Alloyd 1'!$B$16:$AT$16))</f>
        <v>0</v>
      </c>
      <c r="G3" s="44">
        <f t="array" ref="G3">SUM(IF('Alloyd 1'!$B$2:$AT$2='Resumo Produção'!$A3,'Alloyd 1'!$B$15:$AT$15))</f>
        <v>0</v>
      </c>
      <c r="H3" s="44">
        <f t="array" ref="H3">SUM(IF('Alloyd 1'!$B$2:$AT$2='Resumo Produção'!$A3,'Alloyd 1'!$B$17:$AT$17))</f>
        <v>0</v>
      </c>
      <c r="I3" s="44">
        <f t="array" ref="I3">SUM(IF('Alloyd 1'!$B$2:$AT$2='Resumo Produção'!$A3,'Alloyd 1'!$B$18:$AT$18))</f>
        <v>0</v>
      </c>
      <c r="J3" s="44">
        <f t="shared" ref="J3:J53" si="0">SUM(F3:I3)</f>
        <v>0</v>
      </c>
      <c r="K3" s="67">
        <f t="shared" ref="K3:K53" si="1">IF(ISERR(J3/E3),,J3/E3*1000000)</f>
        <v>0</v>
      </c>
      <c r="L3" s="91" t="e">
        <f t="array" ref="L3">SUM(IF('Alloyd 1'!#REF!='Resumo Produção'!A3,'Alloyd 1'!#REF!))+SUM(IF('Alloyd 1'!#REF!='Resumo Produção'!A3,'Alloyd 1'!#REF!))</f>
        <v>#REF!</v>
      </c>
      <c r="M3" s="46">
        <f t="array" ref="M3">SUM(IF('Alloyd 2'!$B$2:$AW$2='Resumo Produção'!$A3,'Alloyd 2'!$B$4:$AW$4))</f>
        <v>0</v>
      </c>
      <c r="N3" s="47">
        <f t="array" ref="N3">SUM(IF('Alloyd 2'!$B$2:$AW$2='Resumo Produção'!$A3,'Alloyd 2'!$B$16:$AW$16))</f>
        <v>0</v>
      </c>
      <c r="O3" s="47">
        <f t="array" ref="O3">SUM(IF('Alloyd 2'!$B$2:$AW$2='Resumo Produção'!$A3,'Alloyd 2'!$B$15:$AW$15))</f>
        <v>0</v>
      </c>
      <c r="P3" s="47">
        <f t="array" ref="P3">SUM(IF('Alloyd 2'!$B$2:$AW$2='Resumo Produção'!$A3,'Alloyd 2'!$B$17:$AW$17))</f>
        <v>0</v>
      </c>
      <c r="Q3" s="47">
        <f t="array" ref="Q3">SUM(IF('Alloyd 2'!$B$2:$AW$2='Resumo Produção'!$A3,'Alloyd 2'!$B$18:$AW$18))</f>
        <v>0</v>
      </c>
      <c r="R3" s="47">
        <f t="shared" ref="R3" si="2">SUM(N3:Q3)</f>
        <v>0</v>
      </c>
      <c r="S3" s="70">
        <f t="shared" ref="S3:S53" si="3">IF(ISERR(R3/M3),,R3/M3*1000000)</f>
        <v>0</v>
      </c>
      <c r="T3" s="186" t="e">
        <f t="array" ref="T3">SUM(IF('Alloyd 1'!#REF!='Resumo Produção'!I3,'Alloyd 1'!#REF!))+SUM(IF('Alloyd 1'!#REF!='Resumo Produção'!I3,'Alloyd 1'!#REF!))</f>
        <v>#REF!</v>
      </c>
      <c r="U3" s="187">
        <f t="array" ref="U3">SUM(IF('Alloyd 3'!$B$2:$AW$2='Resumo Produção'!$A3,'Alloyd 3'!$B$4:$AW$4))</f>
        <v>0</v>
      </c>
      <c r="V3" s="188">
        <f t="array" ref="V3">SUM(IF('Alloyd 3'!$B$2:$AW$2='Resumo Produção'!$A3,'Alloyd 3'!$B$16:$AW$16))</f>
        <v>0</v>
      </c>
      <c r="W3" s="188">
        <f t="array" ref="W3">SUM(IF('Alloyd 3'!$B$2:$AW$2='Resumo Produção'!$A3,'Alloyd 3'!$B$15:$AW$15))</f>
        <v>0</v>
      </c>
      <c r="X3" s="188">
        <f t="array" ref="X3">SUM(IF('Alloyd 3'!$B$2:$AW$2='Resumo Produção'!$A3,'Alloyd 3'!$B$17:$AW$17))</f>
        <v>0</v>
      </c>
      <c r="Y3" s="188">
        <f t="array" ref="Y3">SUM(IF('Alloyd 3'!$B$2:$AW$2='Resumo Produção'!$A3,'Alloyd 3'!$B$18:$AW$18))</f>
        <v>0</v>
      </c>
      <c r="Z3" s="188">
        <f t="shared" ref="Z3:Z53" si="4">SUM(V3:Y3)</f>
        <v>0</v>
      </c>
      <c r="AA3" s="189">
        <f t="shared" ref="AA3:AA53" si="5">IF(ISERR(Z3/U3),,Z3/U3*1000000)</f>
        <v>0</v>
      </c>
    </row>
    <row r="4" spans="1:27">
      <c r="A4" s="79" t="s">
        <v>75</v>
      </c>
      <c r="B4" s="84"/>
      <c r="C4" s="84"/>
      <c r="D4" s="44">
        <f t="array" ref="D4">SUM(IF('Alloyd 1'!$B$2:$AT$2='Resumo Produção'!A4,'Alloyd 1'!$B$13:$AT$13))</f>
        <v>0</v>
      </c>
      <c r="E4" s="44">
        <f t="array" ref="E4">SUM(IF('Alloyd 1'!$B$2:$AT$2='Resumo Produção'!A4,'Alloyd 1'!$B$4:$AT$4))</f>
        <v>0</v>
      </c>
      <c r="F4" s="44">
        <f t="array" ref="F4">SUM(IF('Alloyd 1'!$B$2:$AT$2='Resumo Produção'!$A4,'Alloyd 1'!$B$16:$AT$16))</f>
        <v>0</v>
      </c>
      <c r="G4" s="44">
        <f t="array" ref="G4">SUM(IF('Alloyd 1'!$B$2:$AT$2='Resumo Produção'!$A4,'Alloyd 1'!$B$15:$AT$15))</f>
        <v>0</v>
      </c>
      <c r="H4" s="44">
        <f t="array" ref="H4">SUM(IF('Alloyd 1'!$B$2:$AT$2='Resumo Produção'!$A4,'Alloyd 1'!$B$17:$AT$17))</f>
        <v>0</v>
      </c>
      <c r="I4" s="44">
        <f t="array" ref="I4">SUM(IF('Alloyd 1'!$B$2:$AT$2='Resumo Produção'!$A4,'Alloyd 1'!$B$18:$AT$18))</f>
        <v>0</v>
      </c>
      <c r="J4" s="44">
        <f t="shared" si="0"/>
        <v>0</v>
      </c>
      <c r="K4" s="67">
        <f t="shared" si="1"/>
        <v>0</v>
      </c>
      <c r="L4" s="91" t="e">
        <f t="array" ref="L4">SUM(IF('Alloyd 1'!#REF!='Resumo Produção'!A4,'Alloyd 1'!#REF!))</f>
        <v>#REF!</v>
      </c>
      <c r="M4" s="46">
        <f t="array" ref="M4">SUM(IF('Alloyd 2'!$B$2:$AW$2='Resumo Produção'!$A4,'Alloyd 2'!$B$4:$AW$4))</f>
        <v>0</v>
      </c>
      <c r="N4" s="47">
        <f t="array" ref="N4">SUM(IF('Alloyd 2'!$B$2:$AW$2='Resumo Produção'!$A4,'Alloyd 2'!$B$16:$AW$16))</f>
        <v>0</v>
      </c>
      <c r="O4" s="47">
        <f t="array" ref="O4">SUM(IF('Alloyd 2'!$B$2:$AW$2='Resumo Produção'!$A4,'Alloyd 2'!$B$15:$AW$15))</f>
        <v>0</v>
      </c>
      <c r="P4" s="47">
        <f t="array" ref="P4">SUM(IF('Alloyd 2'!$B$2:$AW$2='Resumo Produção'!$A4,'Alloyd 2'!$B$17:$AW$17))</f>
        <v>0</v>
      </c>
      <c r="Q4" s="47">
        <f t="array" ref="Q4">SUM(IF('Alloyd 2'!$B$2:$AW$2='Resumo Produção'!$A4,'Alloyd 2'!$B$18:$AW$18))</f>
        <v>0</v>
      </c>
      <c r="R4" s="47">
        <f t="shared" ref="R4:R53" si="6">SUM(N4:Q4)</f>
        <v>0</v>
      </c>
      <c r="S4" s="70">
        <f t="shared" si="3"/>
        <v>0</v>
      </c>
      <c r="T4" s="186" t="e">
        <f t="array" ref="T4">SUM(IF('Alloyd 1'!#REF!='Resumo Produção'!I4,'Alloyd 1'!#REF!))</f>
        <v>#REF!</v>
      </c>
      <c r="U4" s="187">
        <f t="array" ref="U4">SUM(IF('Alloyd 3'!$B$2:$AW$2='Resumo Produção'!$A4,'Alloyd 3'!$B$4:$AW$4))</f>
        <v>0</v>
      </c>
      <c r="V4" s="188">
        <f t="array" ref="V4">SUM(IF('Alloyd 3'!$B$2:$AW$2='Resumo Produção'!$A4,'Alloyd 3'!$B$16:$AW$16))</f>
        <v>0</v>
      </c>
      <c r="W4" s="188">
        <f t="array" ref="W4">SUM(IF('Alloyd 3'!$B$2:$AW$2='Resumo Produção'!$A4,'Alloyd 3'!$B$15:$AW$15))</f>
        <v>0</v>
      </c>
      <c r="X4" s="188">
        <f t="array" ref="X4">SUM(IF('Alloyd 3'!$B$2:$AW$2='Resumo Produção'!$A4,'Alloyd 3'!$B$17:$AW$17))</f>
        <v>0</v>
      </c>
      <c r="Y4" s="188">
        <f t="array" ref="Y4">SUM(IF('Alloyd 3'!$B$2:$AW$2='Resumo Produção'!$A4,'Alloyd 3'!$B$18:$AW$18))</f>
        <v>0</v>
      </c>
      <c r="Z4" s="188">
        <f t="shared" si="4"/>
        <v>0</v>
      </c>
      <c r="AA4" s="189">
        <f t="shared" si="5"/>
        <v>0</v>
      </c>
    </row>
    <row r="5" spans="1:27">
      <c r="A5" s="79" t="s">
        <v>40</v>
      </c>
      <c r="B5" s="84"/>
      <c r="C5" s="89"/>
      <c r="D5" s="44">
        <f t="array" ref="D5">SUM(IF('Alloyd 1'!$B$2:$AT$2='Resumo Produção'!A5,'Alloyd 1'!$B$13:$AT$13))</f>
        <v>0</v>
      </c>
      <c r="E5" s="44">
        <f t="array" ref="E5">SUM(IF('Alloyd 1'!$B$2:$AT$2='Resumo Produção'!A5,'Alloyd 1'!$B$4:$AT$4))</f>
        <v>0</v>
      </c>
      <c r="F5" s="44">
        <f t="array" ref="F5">SUM(IF('Alloyd 1'!$B$2:$AT$2='Resumo Produção'!$A5,'Alloyd 1'!$B$16:$AT$16))</f>
        <v>0</v>
      </c>
      <c r="G5" s="44">
        <f t="array" ref="G5">SUM(IF('Alloyd 1'!$B$2:$AT$2='Resumo Produção'!$A5,'Alloyd 1'!$B$15:$AT$15))</f>
        <v>0</v>
      </c>
      <c r="H5" s="44">
        <f t="array" ref="H5">SUM(IF('Alloyd 1'!$B$2:$AT$2='Resumo Produção'!$A5,'Alloyd 1'!$B$17:$AT$17))</f>
        <v>0</v>
      </c>
      <c r="I5" s="44">
        <f t="array" ref="I5">SUM(IF('Alloyd 1'!$B$2:$AT$2='Resumo Produção'!$A5,'Alloyd 1'!$B$18:$AT$18))</f>
        <v>0</v>
      </c>
      <c r="J5" s="44">
        <f t="shared" si="0"/>
        <v>0</v>
      </c>
      <c r="K5" s="67">
        <f t="shared" si="1"/>
        <v>0</v>
      </c>
      <c r="L5" s="91" t="e">
        <f t="array" ref="L5">SUM(IF('Alloyd 1'!#REF!='Resumo Produção'!A5,'Alloyd 1'!#REF!))</f>
        <v>#REF!</v>
      </c>
      <c r="M5" s="46">
        <f t="array" ref="M5">SUM(IF('Alloyd 2'!$B$2:$AW$2='Resumo Produção'!$A5,'Alloyd 2'!$B$4:$AW$4))</f>
        <v>0</v>
      </c>
      <c r="N5" s="47">
        <f t="array" ref="N5">SUM(IF('Alloyd 2'!$B$2:$AW$2='Resumo Produção'!$A5,'Alloyd 2'!$B$16:$AW$16))</f>
        <v>0</v>
      </c>
      <c r="O5" s="47">
        <f t="array" ref="O5">SUM(IF('Alloyd 2'!$B$2:$AW$2='Resumo Produção'!$A5,'Alloyd 2'!$B$15:$AW$15))</f>
        <v>0</v>
      </c>
      <c r="P5" s="47">
        <f t="array" ref="P5">SUM(IF('Alloyd 2'!$B$2:$AW$2='Resumo Produção'!$A5,'Alloyd 2'!$B$17:$AW$17))</f>
        <v>0</v>
      </c>
      <c r="Q5" s="47">
        <f t="array" ref="Q5">SUM(IF('Alloyd 2'!$B$2:$AW$2='Resumo Produção'!$A5,'Alloyd 2'!$B$18:$AW$18))</f>
        <v>0</v>
      </c>
      <c r="R5" s="47">
        <f t="shared" si="6"/>
        <v>0</v>
      </c>
      <c r="S5" s="70">
        <f t="shared" si="3"/>
        <v>0</v>
      </c>
      <c r="T5" s="186" t="e">
        <f t="array" ref="T5">SUM(IF('Alloyd 1'!#REF!='Resumo Produção'!I5,'Alloyd 1'!#REF!))</f>
        <v>#REF!</v>
      </c>
      <c r="U5" s="187">
        <f t="array" ref="U5">SUM(IF('Alloyd 3'!$B$2:$AW$2='Resumo Produção'!$A5,'Alloyd 3'!$B$4:$AW$4))</f>
        <v>0</v>
      </c>
      <c r="V5" s="188">
        <f t="array" ref="V5">SUM(IF('Alloyd 3'!$B$2:$AW$2='Resumo Produção'!$A5,'Alloyd 3'!$B$16:$AW$16))</f>
        <v>0</v>
      </c>
      <c r="W5" s="188">
        <f t="array" ref="W5">SUM(IF('Alloyd 3'!$B$2:$AW$2='Resumo Produção'!$A5,'Alloyd 3'!$B$15:$AW$15))</f>
        <v>0</v>
      </c>
      <c r="X5" s="188">
        <f t="array" ref="X5">SUM(IF('Alloyd 3'!$B$2:$AW$2='Resumo Produção'!$A5,'Alloyd 3'!$B$17:$AW$17))</f>
        <v>0</v>
      </c>
      <c r="Y5" s="188">
        <f t="array" ref="Y5">SUM(IF('Alloyd 3'!$B$2:$AW$2='Resumo Produção'!$A5,'Alloyd 3'!$B$18:$AW$18))</f>
        <v>0</v>
      </c>
      <c r="Z5" s="188">
        <f t="shared" si="4"/>
        <v>0</v>
      </c>
      <c r="AA5" s="189">
        <f t="shared" si="5"/>
        <v>0</v>
      </c>
    </row>
    <row r="6" spans="1:27">
      <c r="A6" s="79" t="s">
        <v>72</v>
      </c>
      <c r="B6" s="84"/>
      <c r="C6" s="89"/>
      <c r="D6" s="44">
        <f t="array" ref="D6">SUM(IF('Alloyd 1'!$B$2:$AT$2='Resumo Produção'!A6,'Alloyd 1'!$B$13:$AT$13))</f>
        <v>0</v>
      </c>
      <c r="E6" s="44">
        <f t="array" ref="E6">SUM(IF('Alloyd 1'!$B$2:$AT$2='Resumo Produção'!A6,'Alloyd 1'!$B$4:$AT$4))</f>
        <v>0</v>
      </c>
      <c r="F6" s="44">
        <f t="array" ref="F6">SUM(IF('Alloyd 1'!$B$2:$AT$2='Resumo Produção'!$A6,'Alloyd 1'!$B$16:$AT$16))</f>
        <v>0</v>
      </c>
      <c r="G6" s="44">
        <f t="array" ref="G6">SUM(IF('Alloyd 1'!$B$2:$AT$2='Resumo Produção'!$A6,'Alloyd 1'!$B$15:$AT$15))</f>
        <v>0</v>
      </c>
      <c r="H6" s="44">
        <f t="array" ref="H6">SUM(IF('Alloyd 1'!$B$2:$AT$2='Resumo Produção'!$A6,'Alloyd 1'!$B$17:$AT$17))</f>
        <v>0</v>
      </c>
      <c r="I6" s="44">
        <f t="array" ref="I6">SUM(IF('Alloyd 1'!$B$2:$AT$2='Resumo Produção'!$A6,'Alloyd 1'!$B$18:$AT$18))</f>
        <v>0</v>
      </c>
      <c r="J6" s="44">
        <f t="shared" ref="J6:J12" si="7">SUM(F6:I6)</f>
        <v>0</v>
      </c>
      <c r="K6" s="67">
        <f t="shared" ref="K6:K12" si="8">IF(ISERR(J6/E6),,J6/E6*1000000)</f>
        <v>0</v>
      </c>
      <c r="L6" s="91" t="e">
        <f t="array" ref="L6">SUM(IF('Alloyd 1'!#REF!='Resumo Produção'!A6,'Alloyd 1'!#REF!))</f>
        <v>#REF!</v>
      </c>
      <c r="M6" s="46">
        <f t="array" ref="M6">SUM(IF('Alloyd 2'!$B$2:$AW$2='Resumo Produção'!$A6,'Alloyd 2'!$B$4:$AW$4))</f>
        <v>0</v>
      </c>
      <c r="N6" s="47">
        <f t="array" ref="N6">SUM(IF('Alloyd 2'!$B$2:$AW$2='Resumo Produção'!$A6,'Alloyd 2'!$B$16:$AW$16))</f>
        <v>0</v>
      </c>
      <c r="O6" s="47">
        <f t="array" ref="O6">SUM(IF('Alloyd 2'!$B$2:$AW$2='Resumo Produção'!$A6,'Alloyd 2'!$B$15:$AW$15))</f>
        <v>0</v>
      </c>
      <c r="P6" s="47">
        <f t="array" ref="P6">SUM(IF('Alloyd 2'!$B$2:$AW$2='Resumo Produção'!$A6,'Alloyd 2'!$B$17:$AW$17))</f>
        <v>0</v>
      </c>
      <c r="Q6" s="47">
        <f t="array" ref="Q6">SUM(IF('Alloyd 2'!$B$2:$AW$2='Resumo Produção'!$A6,'Alloyd 2'!$B$18:$AW$18))</f>
        <v>0</v>
      </c>
      <c r="R6" s="47">
        <f t="shared" ref="R6:R12" si="9">SUM(N6:Q6)</f>
        <v>0</v>
      </c>
      <c r="S6" s="70">
        <f t="shared" ref="S6:S12" si="10">IF(ISERR(R6/M6),,R6/M6*1000000)</f>
        <v>0</v>
      </c>
      <c r="T6" s="186" t="e">
        <f t="array" ref="T6">SUM(IF('Alloyd 1'!#REF!='Resumo Produção'!I6,'Alloyd 1'!#REF!))</f>
        <v>#REF!</v>
      </c>
      <c r="U6" s="187">
        <f t="array" ref="U6">SUM(IF('Alloyd 3'!$B$2:$AW$2='Resumo Produção'!$A6,'Alloyd 3'!$B$4:$AW$4))</f>
        <v>0</v>
      </c>
      <c r="V6" s="188">
        <f t="array" ref="V6">SUM(IF('Alloyd 3'!$B$2:$AW$2='Resumo Produção'!$A6,'Alloyd 3'!$B$16:$AW$16))</f>
        <v>0</v>
      </c>
      <c r="W6" s="188">
        <f t="array" ref="W6">SUM(IF('Alloyd 3'!$B$2:$AW$2='Resumo Produção'!$A6,'Alloyd 3'!$B$15:$AW$15))</f>
        <v>0</v>
      </c>
      <c r="X6" s="188">
        <f t="array" ref="X6">SUM(IF('Alloyd 3'!$B$2:$AW$2='Resumo Produção'!$A6,'Alloyd 3'!$B$17:$AW$17))</f>
        <v>0</v>
      </c>
      <c r="Y6" s="188">
        <f t="array" ref="Y6">SUM(IF('Alloyd 3'!$B$2:$AW$2='Resumo Produção'!$A6,'Alloyd 3'!$B$18:$AW$18))</f>
        <v>0</v>
      </c>
      <c r="Z6" s="188">
        <f t="shared" si="4"/>
        <v>0</v>
      </c>
      <c r="AA6" s="189">
        <f t="shared" si="5"/>
        <v>0</v>
      </c>
    </row>
    <row r="7" spans="1:27">
      <c r="A7" s="79" t="s">
        <v>90</v>
      </c>
      <c r="B7" s="84"/>
      <c r="C7" s="89"/>
      <c r="D7" s="44">
        <f t="array" ref="D7">SUM(IF('Alloyd 1'!$B$2:$AT$2='Resumo Produção'!A7,'Alloyd 1'!$B$13:$AT$13))</f>
        <v>0</v>
      </c>
      <c r="E7" s="44">
        <f t="array" ref="E7">SUM(IF('Alloyd 1'!$B$2:$AT$2='Resumo Produção'!A7,'Alloyd 1'!$B$4:$AT$4))</f>
        <v>0</v>
      </c>
      <c r="F7" s="44">
        <f t="array" ref="F7">SUM(IF('Alloyd 1'!$B$2:$AT$2='Resumo Produção'!$A7,'Alloyd 1'!$B$16:$AT$16))</f>
        <v>0</v>
      </c>
      <c r="G7" s="44">
        <f t="array" ref="G7">SUM(IF('Alloyd 1'!$B$2:$AT$2='Resumo Produção'!$A7,'Alloyd 1'!$B$15:$AT$15))</f>
        <v>0</v>
      </c>
      <c r="H7" s="44">
        <f t="array" ref="H7">SUM(IF('Alloyd 1'!$B$2:$AT$2='Resumo Produção'!$A7,'Alloyd 1'!$B$17:$AT$17))</f>
        <v>0</v>
      </c>
      <c r="I7" s="44">
        <f t="array" ref="I7">SUM(IF('Alloyd 1'!$B$2:$AT$2='Resumo Produção'!$A7,'Alloyd 1'!$B$18:$AT$18))</f>
        <v>0</v>
      </c>
      <c r="J7" s="44">
        <f t="shared" ref="J7" si="11">SUM(F7:I7)</f>
        <v>0</v>
      </c>
      <c r="K7" s="67">
        <f t="shared" ref="K7" si="12">IF(ISERR(J7/E7),,J7/E7*1000000)</f>
        <v>0</v>
      </c>
      <c r="L7" s="91" t="e">
        <f t="array" ref="L7">SUM(IF('Alloyd 1'!#REF!='Resumo Produção'!A7,'Alloyd 1'!#REF!))</f>
        <v>#REF!</v>
      </c>
      <c r="M7" s="46">
        <f t="array" ref="M7">SUM(IF('Alloyd 2'!$B$2:$AW$2='Resumo Produção'!$A7,'Alloyd 2'!$B$4:$AW$4))</f>
        <v>0</v>
      </c>
      <c r="N7" s="47">
        <f t="array" ref="N7">SUM(IF('Alloyd 2'!$B$2:$AW$2='Resumo Produção'!$A7,'Alloyd 2'!$B$16:$AW$16))</f>
        <v>0</v>
      </c>
      <c r="O7" s="47">
        <f t="array" ref="O7">SUM(IF('Alloyd 2'!$B$2:$AW$2='Resumo Produção'!$A7,'Alloyd 2'!$B$15:$AW$15))</f>
        <v>0</v>
      </c>
      <c r="P7" s="47">
        <f t="array" ref="P7">SUM(IF('Alloyd 2'!$B$2:$AW$2='Resumo Produção'!$A7,'Alloyd 2'!$B$17:$AW$17))</f>
        <v>0</v>
      </c>
      <c r="Q7" s="47">
        <f t="array" ref="Q7">SUM(IF('Alloyd 2'!$B$2:$AW$2='Resumo Produção'!$A7,'Alloyd 2'!$B$18:$AW$18))</f>
        <v>0</v>
      </c>
      <c r="R7" s="47">
        <f t="shared" ref="R7" si="13">SUM(N7:Q7)</f>
        <v>0</v>
      </c>
      <c r="S7" s="70">
        <f t="shared" ref="S7" si="14">IF(ISERR(R7/M7),,R7/M7*1000000)</f>
        <v>0</v>
      </c>
      <c r="T7" s="186" t="e">
        <f t="array" ref="T7">SUM(IF('Alloyd 1'!#REF!='Resumo Produção'!I7,'Alloyd 1'!#REF!))</f>
        <v>#REF!</v>
      </c>
      <c r="U7" s="187">
        <f t="array" ref="U7">SUM(IF('Alloyd 3'!$B$2:$AW$2='Resumo Produção'!$A7,'Alloyd 3'!$B$4:$AW$4))</f>
        <v>0</v>
      </c>
      <c r="V7" s="188">
        <f t="array" ref="V7">SUM(IF('Alloyd 3'!$B$2:$AW$2='Resumo Produção'!$A7,'Alloyd 3'!$B$16:$AW$16))</f>
        <v>0</v>
      </c>
      <c r="W7" s="188">
        <f t="array" ref="W7">SUM(IF('Alloyd 3'!$B$2:$AW$2='Resumo Produção'!$A7,'Alloyd 3'!$B$15:$AW$15))</f>
        <v>0</v>
      </c>
      <c r="X7" s="188">
        <f t="array" ref="X7">SUM(IF('Alloyd 3'!$B$2:$AW$2='Resumo Produção'!$A7,'Alloyd 3'!$B$17:$AW$17))</f>
        <v>0</v>
      </c>
      <c r="Y7" s="188">
        <f t="array" ref="Y7">SUM(IF('Alloyd 3'!$B$2:$AW$2='Resumo Produção'!$A7,'Alloyd 3'!$B$18:$AW$18))</f>
        <v>0</v>
      </c>
      <c r="Z7" s="188">
        <f t="shared" si="4"/>
        <v>0</v>
      </c>
      <c r="AA7" s="189">
        <f t="shared" si="5"/>
        <v>0</v>
      </c>
    </row>
    <row r="8" spans="1:27">
      <c r="A8" s="79" t="s">
        <v>80</v>
      </c>
      <c r="B8" s="84"/>
      <c r="C8" s="89"/>
      <c r="D8" s="44">
        <f t="array" ref="D8">SUM(IF('Alloyd 1'!$B$2:$AT$2='Resumo Produção'!A8,'Alloyd 1'!$B$13:$AT$13))</f>
        <v>0</v>
      </c>
      <c r="E8" s="44">
        <f t="array" ref="E8">SUM(IF('Alloyd 1'!$B$2:$AT$2='Resumo Produção'!A8,'Alloyd 1'!$B$4:$AT$4))</f>
        <v>0</v>
      </c>
      <c r="F8" s="44">
        <f t="array" ref="F8">SUM(IF('Alloyd 1'!$B$2:$AT$2='Resumo Produção'!$A8,'Alloyd 1'!$B$16:$AT$16))</f>
        <v>0</v>
      </c>
      <c r="G8" s="44">
        <f t="array" ref="G8">SUM(IF('Alloyd 1'!$B$2:$AT$2='Resumo Produção'!$A8,'Alloyd 1'!$B$15:$AT$15))</f>
        <v>0</v>
      </c>
      <c r="H8" s="44">
        <f t="array" ref="H8">SUM(IF('Alloyd 1'!$B$2:$AT$2='Resumo Produção'!$A8,'Alloyd 1'!$B$17:$AT$17))</f>
        <v>0</v>
      </c>
      <c r="I8" s="44">
        <f t="array" ref="I8">SUM(IF('Alloyd 1'!$B$2:$AT$2='Resumo Produção'!$A8,'Alloyd 1'!$B$18:$AT$18))</f>
        <v>0</v>
      </c>
      <c r="J8" s="44">
        <f t="shared" si="7"/>
        <v>0</v>
      </c>
      <c r="K8" s="67">
        <f t="shared" si="8"/>
        <v>0</v>
      </c>
      <c r="L8" s="91" t="e">
        <f t="array" ref="L8">SUM(IF('Alloyd 1'!#REF!='Resumo Produção'!A8,'Alloyd 1'!#REF!))</f>
        <v>#REF!</v>
      </c>
      <c r="M8" s="46">
        <f t="array" ref="M8">SUM(IF('Alloyd 2'!$B$2:$AW$2='Resumo Produção'!$A8,'Alloyd 2'!$B$4:$AW$4))</f>
        <v>0</v>
      </c>
      <c r="N8" s="47">
        <f t="array" ref="N8">SUM(IF('Alloyd 2'!$B$2:$AW$2='Resumo Produção'!$A8,'Alloyd 2'!$B$16:$AW$16))</f>
        <v>0</v>
      </c>
      <c r="O8" s="47">
        <f t="array" ref="O8">SUM(IF('Alloyd 2'!$B$2:$AW$2='Resumo Produção'!$A8,'Alloyd 2'!$B$15:$AW$15))</f>
        <v>0</v>
      </c>
      <c r="P8" s="47">
        <f t="array" ref="P8">SUM(IF('Alloyd 2'!$B$2:$AW$2='Resumo Produção'!$A8,'Alloyd 2'!$B$17:$AW$17))</f>
        <v>0</v>
      </c>
      <c r="Q8" s="47">
        <f t="array" ref="Q8">SUM(IF('Alloyd 2'!$B$2:$AW$2='Resumo Produção'!$A8,'Alloyd 2'!$B$18:$AW$18))</f>
        <v>0</v>
      </c>
      <c r="R8" s="47">
        <f t="shared" si="9"/>
        <v>0</v>
      </c>
      <c r="S8" s="70">
        <f t="shared" si="10"/>
        <v>0</v>
      </c>
      <c r="T8" s="186" t="e">
        <f t="array" ref="T8">SUM(IF('Alloyd 1'!#REF!='Resumo Produção'!I8,'Alloyd 1'!#REF!))</f>
        <v>#REF!</v>
      </c>
      <c r="U8" s="187">
        <f t="array" ref="U8">SUM(IF('Alloyd 3'!$B$2:$AW$2='Resumo Produção'!$A8,'Alloyd 3'!$B$4:$AW$4))</f>
        <v>0</v>
      </c>
      <c r="V8" s="188">
        <f t="array" ref="V8">SUM(IF('Alloyd 3'!$B$2:$AW$2='Resumo Produção'!$A8,'Alloyd 3'!$B$16:$AW$16))</f>
        <v>0</v>
      </c>
      <c r="W8" s="188">
        <f t="array" ref="W8">SUM(IF('Alloyd 3'!$B$2:$AW$2='Resumo Produção'!$A8,'Alloyd 3'!$B$15:$AW$15))</f>
        <v>0</v>
      </c>
      <c r="X8" s="188">
        <f t="array" ref="X8">SUM(IF('Alloyd 3'!$B$2:$AW$2='Resumo Produção'!$A8,'Alloyd 3'!$B$17:$AW$17))</f>
        <v>0</v>
      </c>
      <c r="Y8" s="188">
        <f t="array" ref="Y8">SUM(IF('Alloyd 3'!$B$2:$AW$2='Resumo Produção'!$A8,'Alloyd 3'!$B$18:$AW$18))</f>
        <v>0</v>
      </c>
      <c r="Z8" s="188">
        <f t="shared" si="4"/>
        <v>0</v>
      </c>
      <c r="AA8" s="189">
        <f t="shared" si="5"/>
        <v>0</v>
      </c>
    </row>
    <row r="9" spans="1:27">
      <c r="A9" s="79" t="s">
        <v>63</v>
      </c>
      <c r="B9" s="84"/>
      <c r="C9" s="89"/>
      <c r="D9" s="44">
        <f t="array" ref="D9">SUM(IF('Alloyd 1'!$B$2:$AT$2='Resumo Produção'!A9,'Alloyd 1'!$B$13:$AT$13))</f>
        <v>0</v>
      </c>
      <c r="E9" s="44">
        <f t="array" ref="E9">SUM(IF('Alloyd 1'!$B$2:$AT$2='Resumo Produção'!A9,'Alloyd 1'!$B$4:$AT$4))</f>
        <v>0</v>
      </c>
      <c r="F9" s="44">
        <f t="array" ref="F9">SUM(IF('Alloyd 1'!$B$2:$AT$2='Resumo Produção'!$A9,'Alloyd 1'!$B$16:$AT$16))</f>
        <v>0</v>
      </c>
      <c r="G9" s="44">
        <f t="array" ref="G9">SUM(IF('Alloyd 1'!$B$2:$AT$2='Resumo Produção'!$A9,'Alloyd 1'!$B$15:$AT$15))</f>
        <v>0</v>
      </c>
      <c r="H9" s="44">
        <f t="array" ref="H9">SUM(IF('Alloyd 1'!$B$2:$AT$2='Resumo Produção'!$A9,'Alloyd 1'!$B$17:$AT$17))</f>
        <v>0</v>
      </c>
      <c r="I9" s="44">
        <f t="array" ref="I9">SUM(IF('Alloyd 1'!$B$2:$AT$2='Resumo Produção'!$A9,'Alloyd 1'!$B$18:$AT$18))</f>
        <v>0</v>
      </c>
      <c r="J9" s="44">
        <f t="shared" si="7"/>
        <v>0</v>
      </c>
      <c r="K9" s="67">
        <f t="shared" si="8"/>
        <v>0</v>
      </c>
      <c r="L9" s="91" t="e">
        <f t="array" ref="L9">SUM(IF('Alloyd 1'!#REF!='Resumo Produção'!A9,'Alloyd 1'!#REF!))</f>
        <v>#REF!</v>
      </c>
      <c r="M9" s="46">
        <f t="array" ref="M9">SUM(IF('Alloyd 2'!$B$2:$AW$2='Resumo Produção'!$A9,'Alloyd 2'!$B$4:$AW$4))</f>
        <v>0</v>
      </c>
      <c r="N9" s="47">
        <f t="array" ref="N9">SUM(IF('Alloyd 2'!$B$2:$AW$2='Resumo Produção'!$A9,'Alloyd 2'!$B$16:$AW$16))</f>
        <v>0</v>
      </c>
      <c r="O9" s="47">
        <f t="array" ref="O9">SUM(IF('Alloyd 2'!$B$2:$AW$2='Resumo Produção'!$A9,'Alloyd 2'!$B$15:$AW$15))</f>
        <v>0</v>
      </c>
      <c r="P9" s="47">
        <f t="array" ref="P9">SUM(IF('Alloyd 2'!$B$2:$AW$2='Resumo Produção'!$A9,'Alloyd 2'!$B$17:$AW$17))</f>
        <v>0</v>
      </c>
      <c r="Q9" s="47">
        <f t="array" ref="Q9">SUM(IF('Alloyd 2'!$B$2:$AW$2='Resumo Produção'!$A9,'Alloyd 2'!$B$18:$AW$18))</f>
        <v>0</v>
      </c>
      <c r="R9" s="47">
        <f t="shared" si="9"/>
        <v>0</v>
      </c>
      <c r="S9" s="70">
        <f t="shared" si="10"/>
        <v>0</v>
      </c>
      <c r="T9" s="186" t="e">
        <f t="array" ref="T9">SUM(IF('Alloyd 1'!#REF!='Resumo Produção'!I9,'Alloyd 1'!#REF!))</f>
        <v>#REF!</v>
      </c>
      <c r="U9" s="187">
        <f t="array" ref="U9">SUM(IF('Alloyd 3'!$B$2:$AW$2='Resumo Produção'!$A9,'Alloyd 3'!$B$4:$AW$4))</f>
        <v>0</v>
      </c>
      <c r="V9" s="188">
        <f t="array" ref="V9">SUM(IF('Alloyd 3'!$B$2:$AW$2='Resumo Produção'!$A9,'Alloyd 3'!$B$16:$AW$16))</f>
        <v>0</v>
      </c>
      <c r="W9" s="188">
        <f t="array" ref="W9">SUM(IF('Alloyd 3'!$B$2:$AW$2='Resumo Produção'!$A9,'Alloyd 3'!$B$15:$AW$15))</f>
        <v>0</v>
      </c>
      <c r="X9" s="188">
        <f t="array" ref="X9">SUM(IF('Alloyd 3'!$B$2:$AW$2='Resumo Produção'!$A9,'Alloyd 3'!$B$17:$AW$17))</f>
        <v>0</v>
      </c>
      <c r="Y9" s="188">
        <f t="array" ref="Y9">SUM(IF('Alloyd 3'!$B$2:$AW$2='Resumo Produção'!$A9,'Alloyd 3'!$B$18:$AW$18))</f>
        <v>0</v>
      </c>
      <c r="Z9" s="188">
        <f t="shared" si="4"/>
        <v>0</v>
      </c>
      <c r="AA9" s="189">
        <f t="shared" si="5"/>
        <v>0</v>
      </c>
    </row>
    <row r="10" spans="1:27">
      <c r="A10" s="79" t="s">
        <v>64</v>
      </c>
      <c r="B10" s="84"/>
      <c r="C10" s="89"/>
      <c r="D10" s="44">
        <f t="array" ref="D10">SUM(IF('Alloyd 1'!$B$2:$AT$2='Resumo Produção'!A10,'Alloyd 1'!$B$13:$AT$13))</f>
        <v>0</v>
      </c>
      <c r="E10" s="44">
        <f t="array" ref="E10">SUM(IF('Alloyd 1'!$B$2:$AT$2='Resumo Produção'!A10,'Alloyd 1'!$B$4:$AT$4))</f>
        <v>0</v>
      </c>
      <c r="F10" s="44">
        <f t="array" ref="F10">SUM(IF('Alloyd 1'!$B$2:$AT$2='Resumo Produção'!$A10,'Alloyd 1'!$B$16:$AT$16))</f>
        <v>0</v>
      </c>
      <c r="G10" s="44">
        <f t="array" ref="G10">SUM(IF('Alloyd 1'!$B$2:$AT$2='Resumo Produção'!$A10,'Alloyd 1'!$B$15:$AT$15))</f>
        <v>0</v>
      </c>
      <c r="H10" s="44">
        <f t="array" ref="H10">SUM(IF('Alloyd 1'!$B$2:$AT$2='Resumo Produção'!$A10,'Alloyd 1'!$B$17:$AT$17))</f>
        <v>0</v>
      </c>
      <c r="I10" s="44">
        <f t="array" ref="I10">SUM(IF('Alloyd 1'!$B$2:$AT$2='Resumo Produção'!$A10,'Alloyd 1'!$B$18:$AT$18))</f>
        <v>0</v>
      </c>
      <c r="J10" s="44">
        <f t="shared" si="7"/>
        <v>0</v>
      </c>
      <c r="K10" s="67">
        <f t="shared" si="8"/>
        <v>0</v>
      </c>
      <c r="L10" s="91" t="e">
        <f t="array" ref="L10">SUM(IF('Alloyd 1'!#REF!='Resumo Produção'!A10,'Alloyd 1'!#REF!))</f>
        <v>#REF!</v>
      </c>
      <c r="M10" s="46">
        <f t="array" ref="M10">SUM(IF('Alloyd 2'!$B$2:$AW$2='Resumo Produção'!$A10,'Alloyd 2'!$B$4:$AW$4))</f>
        <v>0</v>
      </c>
      <c r="N10" s="47">
        <f t="array" ref="N10">SUM(IF('Alloyd 2'!$B$2:$AW$2='Resumo Produção'!$A10,'Alloyd 2'!$B$16:$AW$16))</f>
        <v>0</v>
      </c>
      <c r="O10" s="47">
        <f t="array" ref="O10">SUM(IF('Alloyd 2'!$B$2:$AW$2='Resumo Produção'!$A10,'Alloyd 2'!$B$15:$AW$15))</f>
        <v>0</v>
      </c>
      <c r="P10" s="47">
        <f t="array" ref="P10">SUM(IF('Alloyd 2'!$B$2:$AW$2='Resumo Produção'!$A10,'Alloyd 2'!$B$17:$AW$17))</f>
        <v>0</v>
      </c>
      <c r="Q10" s="47">
        <f t="array" ref="Q10">SUM(IF('Alloyd 2'!$B$2:$AW$2='Resumo Produção'!$A10,'Alloyd 2'!$B$18:$AW$18))</f>
        <v>0</v>
      </c>
      <c r="R10" s="47">
        <f t="shared" si="9"/>
        <v>0</v>
      </c>
      <c r="S10" s="70">
        <f t="shared" si="10"/>
        <v>0</v>
      </c>
      <c r="T10" s="186" t="e">
        <f t="array" ref="T10">SUM(IF('Alloyd 1'!#REF!='Resumo Produção'!I10,'Alloyd 1'!#REF!))</f>
        <v>#REF!</v>
      </c>
      <c r="U10" s="187">
        <f t="array" ref="U10">SUM(IF('Alloyd 3'!$B$2:$AW$2='Resumo Produção'!$A10,'Alloyd 3'!$B$4:$AW$4))</f>
        <v>0</v>
      </c>
      <c r="V10" s="188">
        <f t="array" ref="V10">SUM(IF('Alloyd 3'!$B$2:$AW$2='Resumo Produção'!$A10,'Alloyd 3'!$B$16:$AW$16))</f>
        <v>0</v>
      </c>
      <c r="W10" s="188">
        <f t="array" ref="W10">SUM(IF('Alloyd 3'!$B$2:$AW$2='Resumo Produção'!$A10,'Alloyd 3'!$B$15:$AW$15))</f>
        <v>0</v>
      </c>
      <c r="X10" s="188">
        <f t="array" ref="X10">SUM(IF('Alloyd 3'!$B$2:$AW$2='Resumo Produção'!$A10,'Alloyd 3'!$B$17:$AW$17))</f>
        <v>0</v>
      </c>
      <c r="Y10" s="188">
        <f t="array" ref="Y10">SUM(IF('Alloyd 3'!$B$2:$AW$2='Resumo Produção'!$A10,'Alloyd 3'!$B$18:$AW$18))</f>
        <v>0</v>
      </c>
      <c r="Z10" s="188">
        <f t="shared" si="4"/>
        <v>0</v>
      </c>
      <c r="AA10" s="189">
        <f t="shared" si="5"/>
        <v>0</v>
      </c>
    </row>
    <row r="11" spans="1:27">
      <c r="A11" s="79" t="s">
        <v>81</v>
      </c>
      <c r="B11" s="84"/>
      <c r="C11" s="89"/>
      <c r="D11" s="44">
        <f t="array" ref="D11">SUM(IF('Alloyd 1'!$B$2:$AT$2='Resumo Produção'!A11,'Alloyd 1'!$B$13:$AT$13))</f>
        <v>0</v>
      </c>
      <c r="E11" s="44">
        <f t="array" ref="E11">SUM(IF('Alloyd 1'!$B$2:$AT$2='Resumo Produção'!A11,'Alloyd 1'!$B$4:$AT$4))</f>
        <v>0</v>
      </c>
      <c r="F11" s="44">
        <f t="array" ref="F11">SUM(IF('Alloyd 1'!$B$2:$AT$2='Resumo Produção'!$A11,'Alloyd 1'!$B$16:$AT$16))</f>
        <v>0</v>
      </c>
      <c r="G11" s="44">
        <f t="array" ref="G11">SUM(IF('Alloyd 1'!$B$2:$AT$2='Resumo Produção'!$A11,'Alloyd 1'!$B$15:$AT$15))</f>
        <v>0</v>
      </c>
      <c r="H11" s="44">
        <f t="array" ref="H11">SUM(IF('Alloyd 1'!$B$2:$AT$2='Resumo Produção'!$A11,'Alloyd 1'!$B$17:$AT$17))</f>
        <v>0</v>
      </c>
      <c r="I11" s="44">
        <f t="array" ref="I11">SUM(IF('Alloyd 1'!$B$2:$AT$2='Resumo Produção'!$A11,'Alloyd 1'!$B$18:$AT$18))</f>
        <v>0</v>
      </c>
      <c r="J11" s="44">
        <f t="shared" si="7"/>
        <v>0</v>
      </c>
      <c r="K11" s="67">
        <f t="shared" si="8"/>
        <v>0</v>
      </c>
      <c r="L11" s="91" t="e">
        <f t="array" ref="L11">SUM(IF('Alloyd 1'!#REF!='Resumo Produção'!A11,'Alloyd 1'!#REF!))</f>
        <v>#REF!</v>
      </c>
      <c r="M11" s="46">
        <f t="array" ref="M11">SUM(IF('Alloyd 2'!$B$2:$AW$2='Resumo Produção'!$A11,'Alloyd 2'!$B$4:$AW$4))</f>
        <v>0</v>
      </c>
      <c r="N11" s="47">
        <f t="array" ref="N11">SUM(IF('Alloyd 2'!$B$2:$AW$2='Resumo Produção'!$A11,'Alloyd 2'!$B$16:$AW$16))</f>
        <v>0</v>
      </c>
      <c r="O11" s="47">
        <f t="array" ref="O11">SUM(IF('Alloyd 2'!$B$2:$AW$2='Resumo Produção'!$A11,'Alloyd 2'!$B$15:$AW$15))</f>
        <v>0</v>
      </c>
      <c r="P11" s="47">
        <f t="array" ref="P11">SUM(IF('Alloyd 2'!$B$2:$AW$2='Resumo Produção'!$A11,'Alloyd 2'!$B$17:$AW$17))</f>
        <v>0</v>
      </c>
      <c r="Q11" s="47">
        <f t="array" ref="Q11">SUM(IF('Alloyd 2'!$B$2:$AW$2='Resumo Produção'!$A11,'Alloyd 2'!$B$18:$AW$18))</f>
        <v>0</v>
      </c>
      <c r="R11" s="47">
        <f t="shared" si="9"/>
        <v>0</v>
      </c>
      <c r="S11" s="70">
        <f t="shared" si="10"/>
        <v>0</v>
      </c>
      <c r="T11" s="186" t="e">
        <f t="array" ref="T11">SUM(IF('Alloyd 1'!#REF!='Resumo Produção'!I11,'Alloyd 1'!#REF!))</f>
        <v>#REF!</v>
      </c>
      <c r="U11" s="187">
        <f t="array" ref="U11">SUM(IF('Alloyd 3'!$B$2:$AW$2='Resumo Produção'!$A11,'Alloyd 3'!$B$4:$AW$4))</f>
        <v>0</v>
      </c>
      <c r="V11" s="188">
        <f t="array" ref="V11">SUM(IF('Alloyd 3'!$B$2:$AW$2='Resumo Produção'!$A11,'Alloyd 3'!$B$16:$AW$16))</f>
        <v>0</v>
      </c>
      <c r="W11" s="188">
        <f t="array" ref="W11">SUM(IF('Alloyd 3'!$B$2:$AW$2='Resumo Produção'!$A11,'Alloyd 3'!$B$15:$AW$15))</f>
        <v>0</v>
      </c>
      <c r="X11" s="188">
        <f t="array" ref="X11">SUM(IF('Alloyd 3'!$B$2:$AW$2='Resumo Produção'!$A11,'Alloyd 3'!$B$17:$AW$17))</f>
        <v>0</v>
      </c>
      <c r="Y11" s="188">
        <f t="array" ref="Y11">SUM(IF('Alloyd 3'!$B$2:$AW$2='Resumo Produção'!$A11,'Alloyd 3'!$B$18:$AW$18))</f>
        <v>0</v>
      </c>
      <c r="Z11" s="188">
        <f t="shared" si="4"/>
        <v>0</v>
      </c>
      <c r="AA11" s="189">
        <f t="shared" si="5"/>
        <v>0</v>
      </c>
    </row>
    <row r="12" spans="1:27">
      <c r="A12" s="79" t="s">
        <v>65</v>
      </c>
      <c r="B12" s="84"/>
      <c r="C12" s="89"/>
      <c r="D12" s="44">
        <f t="array" ref="D12">SUM(IF('Alloyd 1'!$B$2:$AT$2='Resumo Produção'!A12,'Alloyd 1'!$B$13:$AT$13))</f>
        <v>0</v>
      </c>
      <c r="E12" s="44">
        <f t="array" ref="E12">SUM(IF('Alloyd 1'!$B$2:$AT$2='Resumo Produção'!A12,'Alloyd 1'!$B$4:$AT$4))</f>
        <v>0</v>
      </c>
      <c r="F12" s="44">
        <f t="array" ref="F12">SUM(IF('Alloyd 1'!$B$2:$AT$2='Resumo Produção'!$A12,'Alloyd 1'!$B$16:$AT$16))</f>
        <v>0</v>
      </c>
      <c r="G12" s="44">
        <f t="array" ref="G12">SUM(IF('Alloyd 1'!$B$2:$AT$2='Resumo Produção'!$A12,'Alloyd 1'!$B$15:$AT$15))</f>
        <v>0</v>
      </c>
      <c r="H12" s="44">
        <f t="array" ref="H12">SUM(IF('Alloyd 1'!$B$2:$AT$2='Resumo Produção'!$A12,'Alloyd 1'!$B$17:$AT$17))</f>
        <v>0</v>
      </c>
      <c r="I12" s="44">
        <f t="array" ref="I12">SUM(IF('Alloyd 1'!$B$2:$AT$2='Resumo Produção'!$A12,'Alloyd 1'!$B$18:$AT$18))</f>
        <v>0</v>
      </c>
      <c r="J12" s="44">
        <f t="shared" si="7"/>
        <v>0</v>
      </c>
      <c r="K12" s="67">
        <f t="shared" si="8"/>
        <v>0</v>
      </c>
      <c r="L12" s="91" t="e">
        <f t="array" ref="L12">SUM(IF('Alloyd 1'!#REF!='Resumo Produção'!A12,'Alloyd 1'!#REF!))</f>
        <v>#REF!</v>
      </c>
      <c r="M12" s="46">
        <f t="array" ref="M12">SUM(IF('Alloyd 2'!$B$2:$AW$2='Resumo Produção'!$A12,'Alloyd 2'!$B$4:$AW$4))</f>
        <v>0</v>
      </c>
      <c r="N12" s="47">
        <f t="array" ref="N12">SUM(IF('Alloyd 2'!$B$2:$AW$2='Resumo Produção'!$A12,'Alloyd 2'!$B$16:$AW$16))</f>
        <v>0</v>
      </c>
      <c r="O12" s="47">
        <f t="array" ref="O12">SUM(IF('Alloyd 2'!$B$2:$AW$2='Resumo Produção'!$A12,'Alloyd 2'!$B$15:$AW$15))</f>
        <v>0</v>
      </c>
      <c r="P12" s="47">
        <f t="array" ref="P12">SUM(IF('Alloyd 2'!$B$2:$AW$2='Resumo Produção'!$A12,'Alloyd 2'!$B$17:$AW$17))</f>
        <v>0</v>
      </c>
      <c r="Q12" s="47">
        <f t="array" ref="Q12">SUM(IF('Alloyd 2'!$B$2:$AW$2='Resumo Produção'!$A12,'Alloyd 2'!$B$18:$AW$18))</f>
        <v>0</v>
      </c>
      <c r="R12" s="47">
        <f t="shared" si="9"/>
        <v>0</v>
      </c>
      <c r="S12" s="70">
        <f t="shared" si="10"/>
        <v>0</v>
      </c>
      <c r="T12" s="186" t="e">
        <f t="array" ref="T12">SUM(IF('Alloyd 1'!#REF!='Resumo Produção'!I12,'Alloyd 1'!#REF!))</f>
        <v>#REF!</v>
      </c>
      <c r="U12" s="187">
        <f t="array" ref="U12">SUM(IF('Alloyd 3'!$B$2:$AW$2='Resumo Produção'!$A12,'Alloyd 3'!$B$4:$AW$4))</f>
        <v>0</v>
      </c>
      <c r="V12" s="188">
        <f t="array" ref="V12">SUM(IF('Alloyd 3'!$B$2:$AW$2='Resumo Produção'!$A12,'Alloyd 3'!$B$16:$AW$16))</f>
        <v>0</v>
      </c>
      <c r="W12" s="188">
        <f t="array" ref="W12">SUM(IF('Alloyd 3'!$B$2:$AW$2='Resumo Produção'!$A12,'Alloyd 3'!$B$15:$AW$15))</f>
        <v>0</v>
      </c>
      <c r="X12" s="188">
        <f t="array" ref="X12">SUM(IF('Alloyd 3'!$B$2:$AW$2='Resumo Produção'!$A12,'Alloyd 3'!$B$17:$AW$17))</f>
        <v>0</v>
      </c>
      <c r="Y12" s="188">
        <f t="array" ref="Y12">SUM(IF('Alloyd 3'!$B$2:$AW$2='Resumo Produção'!$A12,'Alloyd 3'!$B$18:$AW$18))</f>
        <v>0</v>
      </c>
      <c r="Z12" s="188">
        <f t="shared" si="4"/>
        <v>0</v>
      </c>
      <c r="AA12" s="189">
        <f t="shared" si="5"/>
        <v>0</v>
      </c>
    </row>
    <row r="13" spans="1:27">
      <c r="A13" s="79" t="s">
        <v>108</v>
      </c>
      <c r="B13" s="84"/>
      <c r="C13" s="89"/>
      <c r="D13" s="44">
        <f t="array" ref="D13">SUM(IF('Alloyd 1'!$B$2:$AT$2='Resumo Produção'!A13,'Alloyd 1'!$B$13:$AT$13))</f>
        <v>0</v>
      </c>
      <c r="E13" s="44">
        <f t="array" ref="E13">SUM(IF('Alloyd 1'!$B$2:$AT$2='Resumo Produção'!A13,'Alloyd 1'!$B$4:$AT$4))</f>
        <v>0</v>
      </c>
      <c r="F13" s="44">
        <f t="array" ref="F13">SUM(IF('Alloyd 1'!$B$2:$AT$2='Resumo Produção'!$A13,'Alloyd 1'!$B$16:$AT$16))</f>
        <v>0</v>
      </c>
      <c r="G13" s="44">
        <f t="array" ref="G13">SUM(IF('Alloyd 1'!$B$2:$AT$2='Resumo Produção'!$A13,'Alloyd 1'!$B$15:$AT$15))</f>
        <v>0</v>
      </c>
      <c r="H13" s="44">
        <f t="array" ref="H13">SUM(IF('Alloyd 1'!$B$2:$AT$2='Resumo Produção'!$A13,'Alloyd 1'!$B$17:$AT$17))</f>
        <v>0</v>
      </c>
      <c r="I13" s="44">
        <f t="array" ref="I13">SUM(IF('Alloyd 1'!$B$2:$AT$2='Resumo Produção'!$A13,'Alloyd 1'!$B$18:$AT$18))</f>
        <v>0</v>
      </c>
      <c r="J13" s="44">
        <f t="shared" ref="J13:J14" si="15">SUM(F13:I13)</f>
        <v>0</v>
      </c>
      <c r="K13" s="67">
        <f t="shared" ref="K13:K14" si="16">IF(ISERR(J13/E13),,J13/E13*1000000)</f>
        <v>0</v>
      </c>
      <c r="L13" s="91" t="e">
        <f t="array" ref="L13">SUM(IF('Alloyd 1'!#REF!='Resumo Produção'!A13,'Alloyd 1'!#REF!))</f>
        <v>#REF!</v>
      </c>
      <c r="M13" s="46">
        <f t="array" ref="M13">SUM(IF('Alloyd 2'!$B$2:$AW$2='Resumo Produção'!$A13,'Alloyd 2'!$B$4:$AW$4))</f>
        <v>0</v>
      </c>
      <c r="N13" s="47">
        <f t="array" ref="N13">SUM(IF('Alloyd 2'!$B$2:$AW$2='Resumo Produção'!$A13,'Alloyd 2'!$B$16:$AW$16))</f>
        <v>0</v>
      </c>
      <c r="O13" s="47">
        <f t="array" ref="O13">SUM(IF('Alloyd 2'!$B$2:$AW$2='Resumo Produção'!$A13,'Alloyd 2'!$B$15:$AW$15))</f>
        <v>0</v>
      </c>
      <c r="P13" s="47">
        <f t="array" ref="P13">SUM(IF('Alloyd 2'!$B$2:$AW$2='Resumo Produção'!$A13,'Alloyd 2'!$B$17:$AW$17))</f>
        <v>0</v>
      </c>
      <c r="Q13" s="47">
        <f t="array" ref="Q13">SUM(IF('Alloyd 2'!$B$2:$AW$2='Resumo Produção'!$A13,'Alloyd 2'!$B$18:$AW$18))</f>
        <v>0</v>
      </c>
      <c r="R13" s="47">
        <f t="shared" ref="R13:R14" si="17">SUM(N13:Q13)</f>
        <v>0</v>
      </c>
      <c r="S13" s="70">
        <f t="shared" ref="S13:S14" si="18">IF(ISERR(R13/M13),,R13/M13*1000000)</f>
        <v>0</v>
      </c>
      <c r="T13" s="186" t="e">
        <f t="array" ref="T13">SUM(IF('Alloyd 1'!#REF!='Resumo Produção'!I13,'Alloyd 1'!#REF!))</f>
        <v>#REF!</v>
      </c>
      <c r="U13" s="187">
        <f t="array" ref="U13">SUM(IF('Alloyd 3'!$B$2:$AW$2='Resumo Produção'!$A13,'Alloyd 3'!$B$4:$AW$4))</f>
        <v>0</v>
      </c>
      <c r="V13" s="188">
        <f t="array" ref="V13">SUM(IF('Alloyd 3'!$B$2:$AW$2='Resumo Produção'!$A13,'Alloyd 3'!$B$16:$AW$16))</f>
        <v>0</v>
      </c>
      <c r="W13" s="188">
        <f t="array" ref="W13">SUM(IF('Alloyd 3'!$B$2:$AW$2='Resumo Produção'!$A13,'Alloyd 3'!$B$15:$AW$15))</f>
        <v>0</v>
      </c>
      <c r="X13" s="188">
        <f t="array" ref="X13">SUM(IF('Alloyd 3'!$B$2:$AW$2='Resumo Produção'!$A13,'Alloyd 3'!$B$17:$AW$17))</f>
        <v>0</v>
      </c>
      <c r="Y13" s="188">
        <f t="array" ref="Y13">SUM(IF('Alloyd 3'!$B$2:$AW$2='Resumo Produção'!$A13,'Alloyd 3'!$B$18:$AW$18))</f>
        <v>0</v>
      </c>
      <c r="Z13" s="188">
        <f t="shared" ref="Z13:Z14" si="19">SUM(V13:Y13)</f>
        <v>0</v>
      </c>
      <c r="AA13" s="189">
        <f t="shared" ref="AA13:AA14" si="20">IF(ISERR(Z13/U13),,Z13/U13*1000000)</f>
        <v>0</v>
      </c>
    </row>
    <row r="14" spans="1:27">
      <c r="A14" s="79" t="s">
        <v>45</v>
      </c>
      <c r="B14" s="84"/>
      <c r="C14" s="89"/>
      <c r="D14" s="44">
        <f t="array" ref="D14">SUM(IF('Alloyd 1'!$B$2:$AT$2='Resumo Produção'!A14,'Alloyd 1'!$B$13:$AT$13))</f>
        <v>0</v>
      </c>
      <c r="E14" s="44">
        <f t="array" ref="E14">SUM(IF('Alloyd 1'!$B$2:$AT$2='Resumo Produção'!A14,'Alloyd 1'!$B$4:$AT$4))</f>
        <v>0</v>
      </c>
      <c r="F14" s="44">
        <f t="array" ref="F14">SUM(IF('Alloyd 1'!$B$2:$AT$2='Resumo Produção'!$A14,'Alloyd 1'!$B$16:$AT$16))</f>
        <v>0</v>
      </c>
      <c r="G14" s="44">
        <f t="array" ref="G14">SUM(IF('Alloyd 1'!$B$2:$AT$2='Resumo Produção'!$A14,'Alloyd 1'!$B$15:$AT$15))</f>
        <v>0</v>
      </c>
      <c r="H14" s="44">
        <f t="array" ref="H14">SUM(IF('Alloyd 1'!$B$2:$AT$2='Resumo Produção'!$A14,'Alloyd 1'!$B$17:$AT$17))</f>
        <v>0</v>
      </c>
      <c r="I14" s="44">
        <f t="array" ref="I14">SUM(IF('Alloyd 1'!$B$2:$AT$2='Resumo Produção'!$A14,'Alloyd 1'!$B$18:$AT$18))</f>
        <v>0</v>
      </c>
      <c r="J14" s="44">
        <f t="shared" si="15"/>
        <v>0</v>
      </c>
      <c r="K14" s="67">
        <f t="shared" si="16"/>
        <v>0</v>
      </c>
      <c r="L14" s="91" t="e">
        <f t="array" ref="L14">SUM(IF('Alloyd 1'!#REF!='Resumo Produção'!A14,'Alloyd 1'!#REF!))</f>
        <v>#REF!</v>
      </c>
      <c r="M14" s="46">
        <f t="array" ref="M14">SUM(IF('Alloyd 2'!$B$2:$AW$2='Resumo Produção'!$A14,'Alloyd 2'!$B$4:$AW$4))</f>
        <v>0</v>
      </c>
      <c r="N14" s="47">
        <f t="array" ref="N14">SUM(IF('Alloyd 2'!$B$2:$AW$2='Resumo Produção'!$A14,'Alloyd 2'!$B$16:$AW$16))</f>
        <v>0</v>
      </c>
      <c r="O14" s="47">
        <f t="array" ref="O14">SUM(IF('Alloyd 2'!$B$2:$AW$2='Resumo Produção'!$A14,'Alloyd 2'!$B$15:$AW$15))</f>
        <v>0</v>
      </c>
      <c r="P14" s="47">
        <f t="array" ref="P14">SUM(IF('Alloyd 2'!$B$2:$AW$2='Resumo Produção'!$A14,'Alloyd 2'!$B$17:$AW$17))</f>
        <v>0</v>
      </c>
      <c r="Q14" s="47">
        <f t="array" ref="Q14">SUM(IF('Alloyd 2'!$B$2:$AW$2='Resumo Produção'!$A14,'Alloyd 2'!$B$18:$AW$18))</f>
        <v>0</v>
      </c>
      <c r="R14" s="47">
        <f t="shared" si="17"/>
        <v>0</v>
      </c>
      <c r="S14" s="70">
        <f t="shared" si="18"/>
        <v>0</v>
      </c>
      <c r="T14" s="186" t="e">
        <f t="array" ref="T14">SUM(IF('Alloyd 1'!#REF!='Resumo Produção'!I14,'Alloyd 1'!#REF!))</f>
        <v>#REF!</v>
      </c>
      <c r="U14" s="187">
        <f t="array" ref="U14">SUM(IF('Alloyd 3'!$B$2:$AW$2='Resumo Produção'!$A14,'Alloyd 3'!$B$4:$AW$4))</f>
        <v>0</v>
      </c>
      <c r="V14" s="188">
        <f t="array" ref="V14">SUM(IF('Alloyd 3'!$B$2:$AW$2='Resumo Produção'!$A14,'Alloyd 3'!$B$16:$AW$16))</f>
        <v>0</v>
      </c>
      <c r="W14" s="188">
        <f t="array" ref="W14">SUM(IF('Alloyd 3'!$B$2:$AW$2='Resumo Produção'!$A14,'Alloyd 3'!$B$15:$AW$15))</f>
        <v>0</v>
      </c>
      <c r="X14" s="188">
        <f t="array" ref="X14">SUM(IF('Alloyd 3'!$B$2:$AW$2='Resumo Produção'!$A14,'Alloyd 3'!$B$17:$AW$17))</f>
        <v>0</v>
      </c>
      <c r="Y14" s="188">
        <f t="array" ref="Y14">SUM(IF('Alloyd 3'!$B$2:$AW$2='Resumo Produção'!$A14,'Alloyd 3'!$B$18:$AW$18))</f>
        <v>0</v>
      </c>
      <c r="Z14" s="188">
        <f t="shared" si="19"/>
        <v>0</v>
      </c>
      <c r="AA14" s="189">
        <f t="shared" si="20"/>
        <v>0</v>
      </c>
    </row>
    <row r="15" spans="1:27">
      <c r="A15" s="79" t="s">
        <v>82</v>
      </c>
      <c r="B15" s="84"/>
      <c r="C15" s="89"/>
      <c r="D15" s="44">
        <f t="array" ref="D15">SUM(IF('Alloyd 1'!$B$2:$AT$2='Resumo Produção'!A15,'Alloyd 1'!$B$13:$AT$13))</f>
        <v>0</v>
      </c>
      <c r="E15" s="44">
        <f t="array" ref="E15">SUM(IF('Alloyd 1'!$B$2:$AT$2='Resumo Produção'!A15,'Alloyd 1'!$B$4:$AT$4))</f>
        <v>0</v>
      </c>
      <c r="F15" s="44">
        <f t="array" ref="F15">SUM(IF('Alloyd 1'!$B$2:$AT$2='Resumo Produção'!$A15,'Alloyd 1'!$B$16:$AT$16))</f>
        <v>0</v>
      </c>
      <c r="G15" s="44">
        <f t="array" ref="G15">SUM(IF('Alloyd 1'!$B$2:$AT$2='Resumo Produção'!$A15,'Alloyd 1'!$B$15:$AT$15))</f>
        <v>0</v>
      </c>
      <c r="H15" s="44">
        <f t="array" ref="H15">SUM(IF('Alloyd 1'!$B$2:$AT$2='Resumo Produção'!$A15,'Alloyd 1'!$B$17:$AT$17))</f>
        <v>0</v>
      </c>
      <c r="I15" s="44">
        <f t="array" ref="I15">SUM(IF('Alloyd 1'!$B$2:$AT$2='Resumo Produção'!$A15,'Alloyd 1'!$B$18:$AT$18))</f>
        <v>0</v>
      </c>
      <c r="J15" s="44">
        <f t="shared" ref="J15:J34" si="21">SUM(F15:I15)</f>
        <v>0</v>
      </c>
      <c r="K15" s="67">
        <f t="shared" ref="K15:K34" si="22">IF(ISERR(J15/E15),,J15/E15*1000000)</f>
        <v>0</v>
      </c>
      <c r="L15" s="91" t="e">
        <f t="array" ref="L15">SUM(IF('Alloyd 1'!#REF!='Resumo Produção'!A15,'Alloyd 1'!#REF!))</f>
        <v>#REF!</v>
      </c>
      <c r="M15" s="46">
        <f t="array" ref="M15">SUM(IF('Alloyd 2'!$B$2:$AW$2='Resumo Produção'!$A15,'Alloyd 2'!$B$4:$AW$4))</f>
        <v>0</v>
      </c>
      <c r="N15" s="47">
        <f t="array" ref="N15">SUM(IF('Alloyd 2'!$B$2:$AW$2='Resumo Produção'!$A15,'Alloyd 2'!$B$16:$AW$16))</f>
        <v>0</v>
      </c>
      <c r="O15" s="47">
        <f t="array" ref="O15">SUM(IF('Alloyd 2'!$B$2:$AW$2='Resumo Produção'!$A15,'Alloyd 2'!$B$15:$AW$15))</f>
        <v>0</v>
      </c>
      <c r="P15" s="47">
        <f t="array" ref="P15">SUM(IF('Alloyd 2'!$B$2:$AW$2='Resumo Produção'!$A15,'Alloyd 2'!$B$17:$AW$17))</f>
        <v>0</v>
      </c>
      <c r="Q15" s="47">
        <f t="array" ref="Q15">SUM(IF('Alloyd 2'!$B$2:$AW$2='Resumo Produção'!$A15,'Alloyd 2'!$B$18:$AW$18))</f>
        <v>0</v>
      </c>
      <c r="R15" s="47">
        <f t="shared" ref="R15:R34" si="23">SUM(N15:Q15)</f>
        <v>0</v>
      </c>
      <c r="S15" s="70">
        <f t="shared" ref="S15:S34" si="24">IF(ISERR(R15/M15),,R15/M15*1000000)</f>
        <v>0</v>
      </c>
      <c r="T15" s="186" t="e">
        <f t="array" ref="T15">SUM(IF('Alloyd 1'!#REF!='Resumo Produção'!I15,'Alloyd 1'!#REF!))</f>
        <v>#REF!</v>
      </c>
      <c r="U15" s="187">
        <f t="array" ref="U15">SUM(IF('Alloyd 3'!$B$2:$AW$2='Resumo Produção'!$A15,'Alloyd 3'!$B$4:$AW$4))</f>
        <v>0</v>
      </c>
      <c r="V15" s="188">
        <f t="array" ref="V15">SUM(IF('Alloyd 3'!$B$2:$AW$2='Resumo Produção'!$A15,'Alloyd 3'!$B$16:$AW$16))</f>
        <v>0</v>
      </c>
      <c r="W15" s="188">
        <f t="array" ref="W15">SUM(IF('Alloyd 3'!$B$2:$AW$2='Resumo Produção'!$A15,'Alloyd 3'!$B$15:$AW$15))</f>
        <v>0</v>
      </c>
      <c r="X15" s="188">
        <f t="array" ref="X15">SUM(IF('Alloyd 3'!$B$2:$AW$2='Resumo Produção'!$A15,'Alloyd 3'!$B$17:$AW$17))</f>
        <v>0</v>
      </c>
      <c r="Y15" s="188">
        <f t="array" ref="Y15">SUM(IF('Alloyd 3'!$B$2:$AW$2='Resumo Produção'!$A15,'Alloyd 3'!$B$18:$AW$18))</f>
        <v>0</v>
      </c>
      <c r="Z15" s="188">
        <f t="shared" si="4"/>
        <v>0</v>
      </c>
      <c r="AA15" s="189">
        <f t="shared" si="5"/>
        <v>0</v>
      </c>
    </row>
    <row r="16" spans="1:27">
      <c r="A16" s="79" t="s">
        <v>91</v>
      </c>
      <c r="B16" s="84"/>
      <c r="C16" s="89"/>
      <c r="D16" s="44">
        <f t="array" ref="D16">SUM(IF('Alloyd 1'!$B$2:$AT$2='Resumo Produção'!A16,'Alloyd 1'!$B$13:$AT$13))</f>
        <v>0</v>
      </c>
      <c r="E16" s="44">
        <f t="array" ref="E16">SUM(IF('Alloyd 1'!$B$2:$AT$2='Resumo Produção'!A16,'Alloyd 1'!$B$4:$AT$4))</f>
        <v>0</v>
      </c>
      <c r="F16" s="44">
        <f t="array" ref="F16">SUM(IF('Alloyd 1'!$B$2:$AT$2='Resumo Produção'!$A16,'Alloyd 1'!$B$16:$AT$16))</f>
        <v>0</v>
      </c>
      <c r="G16" s="44">
        <f t="array" ref="G16">SUM(IF('Alloyd 1'!$B$2:$AT$2='Resumo Produção'!$A16,'Alloyd 1'!$B$15:$AT$15))</f>
        <v>0</v>
      </c>
      <c r="H16" s="44">
        <f t="array" ref="H16">SUM(IF('Alloyd 1'!$B$2:$AT$2='Resumo Produção'!$A16,'Alloyd 1'!$B$17:$AT$17))</f>
        <v>0</v>
      </c>
      <c r="I16" s="44">
        <f t="array" ref="I16">SUM(IF('Alloyd 1'!$B$2:$AT$2='Resumo Produção'!$A16,'Alloyd 1'!$B$18:$AT$18))</f>
        <v>0</v>
      </c>
      <c r="J16" s="44">
        <f t="shared" si="21"/>
        <v>0</v>
      </c>
      <c r="K16" s="67">
        <f t="shared" si="22"/>
        <v>0</v>
      </c>
      <c r="L16" s="91" t="e">
        <f t="array" ref="L16">SUM(IF('Alloyd 1'!#REF!='Resumo Produção'!A16,'Alloyd 1'!#REF!))</f>
        <v>#REF!</v>
      </c>
      <c r="M16" s="46">
        <f t="array" ref="M16">SUM(IF('Alloyd 2'!$B$2:$AW$2='Resumo Produção'!$A16,'Alloyd 2'!$B$4:$AW$4))</f>
        <v>0</v>
      </c>
      <c r="N16" s="47">
        <f t="array" ref="N16">SUM(IF('Alloyd 2'!$B$2:$AW$2='Resumo Produção'!$A16,'Alloyd 2'!$B$16:$AW$16))</f>
        <v>0</v>
      </c>
      <c r="O16" s="47">
        <f t="array" ref="O16">SUM(IF('Alloyd 2'!$B$2:$AW$2='Resumo Produção'!$A16,'Alloyd 2'!$B$15:$AW$15))</f>
        <v>0</v>
      </c>
      <c r="P16" s="47">
        <f t="array" ref="P16">SUM(IF('Alloyd 2'!$B$2:$AW$2='Resumo Produção'!$A16,'Alloyd 2'!$B$17:$AW$17))</f>
        <v>0</v>
      </c>
      <c r="Q16" s="47">
        <f t="array" ref="Q16">SUM(IF('Alloyd 2'!$B$2:$AW$2='Resumo Produção'!$A16,'Alloyd 2'!$B$18:$AW$18))</f>
        <v>0</v>
      </c>
      <c r="R16" s="47">
        <f t="shared" si="23"/>
        <v>0</v>
      </c>
      <c r="S16" s="70">
        <f t="shared" si="24"/>
        <v>0</v>
      </c>
      <c r="T16" s="186" t="e">
        <f t="array" ref="T16">SUM(IF('Alloyd 1'!#REF!='Resumo Produção'!I16,'Alloyd 1'!#REF!))</f>
        <v>#REF!</v>
      </c>
      <c r="U16" s="187">
        <f t="array" ref="U16">SUM(IF('Alloyd 3'!$B$2:$AW$2='Resumo Produção'!$A16,'Alloyd 3'!$B$4:$AW$4))</f>
        <v>0</v>
      </c>
      <c r="V16" s="188">
        <f t="array" ref="V16">SUM(IF('Alloyd 3'!$B$2:$AW$2='Resumo Produção'!$A16,'Alloyd 3'!$B$16:$AW$16))</f>
        <v>0</v>
      </c>
      <c r="W16" s="188">
        <f t="array" ref="W16">SUM(IF('Alloyd 3'!$B$2:$AW$2='Resumo Produção'!$A16,'Alloyd 3'!$B$15:$AW$15))</f>
        <v>0</v>
      </c>
      <c r="X16" s="188">
        <f t="array" ref="X16">SUM(IF('Alloyd 3'!$B$2:$AW$2='Resumo Produção'!$A16,'Alloyd 3'!$B$17:$AW$17))</f>
        <v>0</v>
      </c>
      <c r="Y16" s="188">
        <f t="array" ref="Y16">SUM(IF('Alloyd 3'!$B$2:$AW$2='Resumo Produção'!$A16,'Alloyd 3'!$B$18:$AW$18))</f>
        <v>0</v>
      </c>
      <c r="Z16" s="188">
        <f t="shared" si="4"/>
        <v>0</v>
      </c>
      <c r="AA16" s="189">
        <f t="shared" si="5"/>
        <v>0</v>
      </c>
    </row>
    <row r="17" spans="1:27">
      <c r="A17" s="79" t="s">
        <v>83</v>
      </c>
      <c r="B17" s="84"/>
      <c r="C17" s="84"/>
      <c r="D17" s="44">
        <f t="array" ref="D17">SUM(IF('Alloyd 1'!$B$2:$AT$2='Resumo Produção'!A17,'Alloyd 1'!$B$13:$AT$13))</f>
        <v>0</v>
      </c>
      <c r="E17" s="44">
        <f t="array" ref="E17">SUM(IF('Alloyd 1'!$B$2:$AT$2='Resumo Produção'!A17,'Alloyd 1'!$B$4:$AT$4))</f>
        <v>0</v>
      </c>
      <c r="F17" s="44">
        <f t="array" ref="F17">SUM(IF('Alloyd 1'!$B$2:$AT$2='Resumo Produção'!$A17,'Alloyd 1'!$B$16:$AT$16))</f>
        <v>0</v>
      </c>
      <c r="G17" s="44">
        <f t="array" ref="G17">SUM(IF('Alloyd 1'!$B$2:$AT$2='Resumo Produção'!$A17,'Alloyd 1'!$B$15:$AT$15))</f>
        <v>0</v>
      </c>
      <c r="H17" s="44">
        <f t="array" ref="H17">SUM(IF('Alloyd 1'!$B$2:$AT$2='Resumo Produção'!$A17,'Alloyd 1'!$B$17:$AT$17))</f>
        <v>0</v>
      </c>
      <c r="I17" s="44">
        <f t="array" ref="I17">SUM(IF('Alloyd 1'!$B$2:$AT$2='Resumo Produção'!$A17,'Alloyd 1'!$B$18:$AT$18))</f>
        <v>0</v>
      </c>
      <c r="J17" s="44">
        <f t="shared" si="21"/>
        <v>0</v>
      </c>
      <c r="K17" s="67">
        <f t="shared" si="22"/>
        <v>0</v>
      </c>
      <c r="L17" s="91" t="e">
        <f t="array" ref="L17">SUM(IF('Alloyd 1'!#REF!='Resumo Produção'!A17,'Alloyd 1'!#REF!))</f>
        <v>#REF!</v>
      </c>
      <c r="M17" s="46">
        <f t="array" ref="M17">SUM(IF('Alloyd 2'!$B$2:$AW$2='Resumo Produção'!$A17,'Alloyd 2'!$B$4:$AW$4))</f>
        <v>0</v>
      </c>
      <c r="N17" s="47">
        <f t="array" ref="N17">SUM(IF('Alloyd 2'!$B$2:$AW$2='Resumo Produção'!$A17,'Alloyd 2'!$B$16:$AW$16))</f>
        <v>0</v>
      </c>
      <c r="O17" s="47">
        <f t="array" ref="O17">SUM(IF('Alloyd 2'!$B$2:$AW$2='Resumo Produção'!$A17,'Alloyd 2'!$B$15:$AW$15))</f>
        <v>0</v>
      </c>
      <c r="P17" s="47">
        <f t="array" ref="P17">SUM(IF('Alloyd 2'!$B$2:$AW$2='Resumo Produção'!$A17,'Alloyd 2'!$B$17:$AW$17))</f>
        <v>0</v>
      </c>
      <c r="Q17" s="47">
        <f t="array" ref="Q17">SUM(IF('Alloyd 2'!$B$2:$AW$2='Resumo Produção'!$A17,'Alloyd 2'!$B$18:$AW$18))</f>
        <v>0</v>
      </c>
      <c r="R17" s="47">
        <f t="shared" si="23"/>
        <v>0</v>
      </c>
      <c r="S17" s="70">
        <f t="shared" si="24"/>
        <v>0</v>
      </c>
      <c r="T17" s="186" t="e">
        <f t="array" ref="T17">SUM(IF('Alloyd 1'!#REF!='Resumo Produção'!I17,'Alloyd 1'!#REF!))</f>
        <v>#REF!</v>
      </c>
      <c r="U17" s="187">
        <f t="array" ref="U17">SUM(IF('Alloyd 3'!$B$2:$AW$2='Resumo Produção'!$A17,'Alloyd 3'!$B$4:$AW$4))</f>
        <v>0</v>
      </c>
      <c r="V17" s="188">
        <f t="array" ref="V17">SUM(IF('Alloyd 3'!$B$2:$AW$2='Resumo Produção'!$A17,'Alloyd 3'!$B$16:$AW$16))</f>
        <v>0</v>
      </c>
      <c r="W17" s="188">
        <f t="array" ref="W17">SUM(IF('Alloyd 3'!$B$2:$AW$2='Resumo Produção'!$A17,'Alloyd 3'!$B$15:$AW$15))</f>
        <v>0</v>
      </c>
      <c r="X17" s="188">
        <f t="array" ref="X17">SUM(IF('Alloyd 3'!$B$2:$AW$2='Resumo Produção'!$A17,'Alloyd 3'!$B$17:$AW$17))</f>
        <v>0</v>
      </c>
      <c r="Y17" s="188">
        <f t="array" ref="Y17">SUM(IF('Alloyd 3'!$B$2:$AW$2='Resumo Produção'!$A17,'Alloyd 3'!$B$18:$AW$18))</f>
        <v>0</v>
      </c>
      <c r="Z17" s="188">
        <f t="shared" si="4"/>
        <v>0</v>
      </c>
      <c r="AA17" s="189">
        <f t="shared" si="5"/>
        <v>0</v>
      </c>
    </row>
    <row r="18" spans="1:27">
      <c r="A18" s="79" t="s">
        <v>84</v>
      </c>
      <c r="B18" s="84"/>
      <c r="C18" s="84"/>
      <c r="D18" s="44">
        <f t="array" ref="D18">SUM(IF('Alloyd 1'!$B$2:$AT$2='Resumo Produção'!A18,'Alloyd 1'!$B$13:$AT$13))</f>
        <v>0</v>
      </c>
      <c r="E18" s="44">
        <f t="array" ref="E18">SUM(IF('Alloyd 1'!$B$2:$AT$2='Resumo Produção'!A18,'Alloyd 1'!$B$4:$AT$4))</f>
        <v>0</v>
      </c>
      <c r="F18" s="44">
        <f t="array" ref="F18">SUM(IF('Alloyd 1'!$B$2:$AT$2='Resumo Produção'!$A18,'Alloyd 1'!$B$16:$AT$16))</f>
        <v>0</v>
      </c>
      <c r="G18" s="44">
        <f t="array" ref="G18">SUM(IF('Alloyd 1'!$B$2:$AT$2='Resumo Produção'!$A18,'Alloyd 1'!$B$15:$AT$15))</f>
        <v>0</v>
      </c>
      <c r="H18" s="44">
        <f t="array" ref="H18">SUM(IF('Alloyd 1'!$B$2:$AT$2='Resumo Produção'!$A18,'Alloyd 1'!$B$17:$AT$17))</f>
        <v>0</v>
      </c>
      <c r="I18" s="44">
        <f t="array" ref="I18">SUM(IF('Alloyd 1'!$B$2:$AT$2='Resumo Produção'!$A18,'Alloyd 1'!$B$18:$AT$18))</f>
        <v>0</v>
      </c>
      <c r="J18" s="44">
        <f t="shared" si="21"/>
        <v>0</v>
      </c>
      <c r="K18" s="67">
        <f t="shared" si="22"/>
        <v>0</v>
      </c>
      <c r="L18" s="91" t="e">
        <f t="array" ref="L18">SUM(IF('Alloyd 1'!#REF!='Resumo Produção'!A18,'Alloyd 1'!#REF!))</f>
        <v>#REF!</v>
      </c>
      <c r="M18" s="46">
        <f t="array" ref="M18">SUM(IF('Alloyd 2'!$B$2:$AW$2='Resumo Produção'!$A18,'Alloyd 2'!$B$4:$AW$4))</f>
        <v>0</v>
      </c>
      <c r="N18" s="47">
        <f t="array" ref="N18">SUM(IF('Alloyd 2'!$B$2:$AW$2='Resumo Produção'!$A18,'Alloyd 2'!$B$16:$AW$16))</f>
        <v>0</v>
      </c>
      <c r="O18" s="47">
        <f t="array" ref="O18">SUM(IF('Alloyd 2'!$B$2:$AW$2='Resumo Produção'!$A18,'Alloyd 2'!$B$15:$AW$15))</f>
        <v>0</v>
      </c>
      <c r="P18" s="47">
        <f t="array" ref="P18">SUM(IF('Alloyd 2'!$B$2:$AW$2='Resumo Produção'!$A18,'Alloyd 2'!$B$17:$AW$17))</f>
        <v>0</v>
      </c>
      <c r="Q18" s="47">
        <f t="array" ref="Q18">SUM(IF('Alloyd 2'!$B$2:$AW$2='Resumo Produção'!$A18,'Alloyd 2'!$B$18:$AW$18))</f>
        <v>0</v>
      </c>
      <c r="R18" s="47">
        <f t="shared" si="23"/>
        <v>0</v>
      </c>
      <c r="S18" s="70">
        <f t="shared" si="24"/>
        <v>0</v>
      </c>
      <c r="T18" s="186" t="e">
        <f t="array" ref="T18">SUM(IF('Alloyd 1'!#REF!='Resumo Produção'!I18,'Alloyd 1'!#REF!))</f>
        <v>#REF!</v>
      </c>
      <c r="U18" s="187">
        <f t="array" ref="U18">SUM(IF('Alloyd 3'!$B$2:$AW$2='Resumo Produção'!$A18,'Alloyd 3'!$B$4:$AW$4))</f>
        <v>0</v>
      </c>
      <c r="V18" s="188">
        <f t="array" ref="V18">SUM(IF('Alloyd 3'!$B$2:$AW$2='Resumo Produção'!$A18,'Alloyd 3'!$B$16:$AW$16))</f>
        <v>0</v>
      </c>
      <c r="W18" s="188">
        <f t="array" ref="W18">SUM(IF('Alloyd 3'!$B$2:$AW$2='Resumo Produção'!$A18,'Alloyd 3'!$B$15:$AW$15))</f>
        <v>0</v>
      </c>
      <c r="X18" s="188">
        <f t="array" ref="X18">SUM(IF('Alloyd 3'!$B$2:$AW$2='Resumo Produção'!$A18,'Alloyd 3'!$B$17:$AW$17))</f>
        <v>0</v>
      </c>
      <c r="Y18" s="188">
        <f t="array" ref="Y18">SUM(IF('Alloyd 3'!$B$2:$AW$2='Resumo Produção'!$A18,'Alloyd 3'!$B$18:$AW$18))</f>
        <v>0</v>
      </c>
      <c r="Z18" s="188">
        <f t="shared" si="4"/>
        <v>0</v>
      </c>
      <c r="AA18" s="189">
        <f t="shared" si="5"/>
        <v>0</v>
      </c>
    </row>
    <row r="19" spans="1:27">
      <c r="A19" s="79" t="s">
        <v>94</v>
      </c>
      <c r="B19" s="84"/>
      <c r="C19" s="84"/>
      <c r="D19" s="44">
        <f t="array" ref="D19">SUM(IF('Alloyd 1'!$B$2:$AT$2='Resumo Produção'!A19,'Alloyd 1'!$B$13:$AT$13))</f>
        <v>0</v>
      </c>
      <c r="E19" s="44">
        <f t="array" ref="E19">SUM(IF('Alloyd 1'!$B$2:$AT$2='Resumo Produção'!A19,'Alloyd 1'!$B$4:$AT$4))</f>
        <v>0</v>
      </c>
      <c r="F19" s="44">
        <f t="array" ref="F19">SUM(IF('Alloyd 1'!$B$2:$AT$2='Resumo Produção'!$A19,'Alloyd 1'!$B$16:$AT$16))</f>
        <v>0</v>
      </c>
      <c r="G19" s="44">
        <f t="array" ref="G19">SUM(IF('Alloyd 1'!$B$2:$AT$2='Resumo Produção'!$A19,'Alloyd 1'!$B$15:$AT$15))</f>
        <v>0</v>
      </c>
      <c r="H19" s="44">
        <f t="array" ref="H19">SUM(IF('Alloyd 1'!$B$2:$AT$2='Resumo Produção'!$A19,'Alloyd 1'!$B$17:$AT$17))</f>
        <v>0</v>
      </c>
      <c r="I19" s="44">
        <f t="array" ref="I19">SUM(IF('Alloyd 1'!$B$2:$AT$2='Resumo Produção'!$A19,'Alloyd 1'!$B$18:$AT$18))</f>
        <v>0</v>
      </c>
      <c r="J19" s="44">
        <f t="shared" si="21"/>
        <v>0</v>
      </c>
      <c r="K19" s="67">
        <f t="shared" si="22"/>
        <v>0</v>
      </c>
      <c r="L19" s="91" t="e">
        <f t="array" ref="L19">SUM(IF('Alloyd 1'!#REF!='Resumo Produção'!A19,'Alloyd 1'!#REF!))</f>
        <v>#REF!</v>
      </c>
      <c r="M19" s="46">
        <f t="array" ref="M19">SUM(IF('Alloyd 2'!$B$2:$AW$2='Resumo Produção'!$A19,'Alloyd 2'!$B$4:$AW$4))</f>
        <v>0</v>
      </c>
      <c r="N19" s="47">
        <f t="array" ref="N19">SUM(IF('Alloyd 2'!$B$2:$AW$2='Resumo Produção'!$A19,'Alloyd 2'!$B$16:$AW$16))</f>
        <v>0</v>
      </c>
      <c r="O19" s="47">
        <f t="array" ref="O19">SUM(IF('Alloyd 2'!$B$2:$AW$2='Resumo Produção'!$A19,'Alloyd 2'!$B$15:$AW$15))</f>
        <v>0</v>
      </c>
      <c r="P19" s="47">
        <f t="array" ref="P19">SUM(IF('Alloyd 2'!$B$2:$AW$2='Resumo Produção'!$A19,'Alloyd 2'!$B$17:$AW$17))</f>
        <v>0</v>
      </c>
      <c r="Q19" s="47">
        <f t="array" ref="Q19">SUM(IF('Alloyd 2'!$B$2:$AW$2='Resumo Produção'!$A19,'Alloyd 2'!$B$18:$AW$18))</f>
        <v>0</v>
      </c>
      <c r="R19" s="47">
        <f t="shared" si="23"/>
        <v>0</v>
      </c>
      <c r="S19" s="70">
        <f t="shared" si="24"/>
        <v>0</v>
      </c>
      <c r="T19" s="186" t="e">
        <f t="array" ref="T19">SUM(IF('Alloyd 1'!#REF!='Resumo Produção'!I19,'Alloyd 1'!#REF!))</f>
        <v>#REF!</v>
      </c>
      <c r="U19" s="187">
        <f t="array" ref="U19">SUM(IF('Alloyd 3'!$B$2:$AW$2='Resumo Produção'!$A19,'Alloyd 3'!$B$4:$AW$4))</f>
        <v>0</v>
      </c>
      <c r="V19" s="188">
        <f t="array" ref="V19">SUM(IF('Alloyd 3'!$B$2:$AW$2='Resumo Produção'!$A19,'Alloyd 3'!$B$16:$AW$16))</f>
        <v>0</v>
      </c>
      <c r="W19" s="188">
        <f t="array" ref="W19">SUM(IF('Alloyd 3'!$B$2:$AW$2='Resumo Produção'!$A19,'Alloyd 3'!$B$15:$AW$15))</f>
        <v>0</v>
      </c>
      <c r="X19" s="188">
        <f t="array" ref="X19">SUM(IF('Alloyd 3'!$B$2:$AW$2='Resumo Produção'!$A19,'Alloyd 3'!$B$17:$AW$17))</f>
        <v>0</v>
      </c>
      <c r="Y19" s="188">
        <f t="array" ref="Y19">SUM(IF('Alloyd 3'!$B$2:$AW$2='Resumo Produção'!$A19,'Alloyd 3'!$B$18:$AW$18))</f>
        <v>0</v>
      </c>
      <c r="Z19" s="188">
        <f t="shared" si="4"/>
        <v>0</v>
      </c>
      <c r="AA19" s="189">
        <f t="shared" si="5"/>
        <v>0</v>
      </c>
    </row>
    <row r="20" spans="1:27">
      <c r="A20" s="79" t="s">
        <v>38</v>
      </c>
      <c r="B20" s="84"/>
      <c r="C20" s="84"/>
      <c r="D20" s="44">
        <f t="array" ref="D20">SUM(IF('Alloyd 1'!$B$2:$AT$2='Resumo Produção'!A20,'Alloyd 1'!$B$13:$AT$13))</f>
        <v>0</v>
      </c>
      <c r="E20" s="44">
        <f t="array" ref="E20">SUM(IF('Alloyd 1'!$B$2:$AT$2='Resumo Produção'!A20,'Alloyd 1'!$B$4:$AT$4))</f>
        <v>0</v>
      </c>
      <c r="F20" s="44">
        <f t="array" ref="F20">SUM(IF('Alloyd 1'!$B$2:$AT$2='Resumo Produção'!$A20,'Alloyd 1'!$B$16:$AT$16))</f>
        <v>0</v>
      </c>
      <c r="G20" s="44">
        <f t="array" ref="G20">SUM(IF('Alloyd 1'!$B$2:$AT$2='Resumo Produção'!$A20,'Alloyd 1'!$B$15:$AT$15))</f>
        <v>0</v>
      </c>
      <c r="H20" s="44">
        <f t="array" ref="H20">SUM(IF('Alloyd 1'!$B$2:$AT$2='Resumo Produção'!$A20,'Alloyd 1'!$B$17:$AT$17))</f>
        <v>0</v>
      </c>
      <c r="I20" s="44">
        <f t="array" ref="I20">SUM(IF('Alloyd 1'!$B$2:$AT$2='Resumo Produção'!$A20,'Alloyd 1'!$B$18:$AT$18))</f>
        <v>0</v>
      </c>
      <c r="J20" s="44">
        <f t="shared" si="21"/>
        <v>0</v>
      </c>
      <c r="K20" s="67">
        <f t="shared" si="22"/>
        <v>0</v>
      </c>
      <c r="L20" s="91" t="e">
        <f t="array" ref="L20">SUM(IF('Alloyd 1'!#REF!='Resumo Produção'!A20,'Alloyd 1'!#REF!))</f>
        <v>#REF!</v>
      </c>
      <c r="M20" s="46">
        <f t="array" ref="M20">SUM(IF('Alloyd 2'!$B$2:$AW$2='Resumo Produção'!$A20,'Alloyd 2'!$B$4:$AW$4))</f>
        <v>0</v>
      </c>
      <c r="N20" s="47">
        <f t="array" ref="N20">SUM(IF('Alloyd 2'!$B$2:$AW$2='Resumo Produção'!$A20,'Alloyd 2'!$B$16:$AW$16))</f>
        <v>0</v>
      </c>
      <c r="O20" s="47">
        <f t="array" ref="O20">SUM(IF('Alloyd 2'!$B$2:$AW$2='Resumo Produção'!$A20,'Alloyd 2'!$B$15:$AW$15))</f>
        <v>0</v>
      </c>
      <c r="P20" s="47">
        <f t="array" ref="P20">SUM(IF('Alloyd 2'!$B$2:$AW$2='Resumo Produção'!$A20,'Alloyd 2'!$B$17:$AW$17))</f>
        <v>0</v>
      </c>
      <c r="Q20" s="47">
        <f t="array" ref="Q20">SUM(IF('Alloyd 2'!$B$2:$AW$2='Resumo Produção'!$A20,'Alloyd 2'!$B$18:$AW$18))</f>
        <v>0</v>
      </c>
      <c r="R20" s="47">
        <f t="shared" si="23"/>
        <v>0</v>
      </c>
      <c r="S20" s="70">
        <f t="shared" si="24"/>
        <v>0</v>
      </c>
      <c r="T20" s="186" t="e">
        <f t="array" ref="T20">SUM(IF('Alloyd 1'!#REF!='Resumo Produção'!I20,'Alloyd 1'!#REF!))</f>
        <v>#REF!</v>
      </c>
      <c r="U20" s="187">
        <f t="array" ref="U20">SUM(IF('Alloyd 3'!$B$2:$AW$2='Resumo Produção'!$A20,'Alloyd 3'!$B$4:$AW$4))</f>
        <v>0</v>
      </c>
      <c r="V20" s="188">
        <f t="array" ref="V20">SUM(IF('Alloyd 3'!$B$2:$AW$2='Resumo Produção'!$A20,'Alloyd 3'!$B$16:$AW$16))</f>
        <v>0</v>
      </c>
      <c r="W20" s="188">
        <f t="array" ref="W20">SUM(IF('Alloyd 3'!$B$2:$AW$2='Resumo Produção'!$A20,'Alloyd 3'!$B$15:$AW$15))</f>
        <v>0</v>
      </c>
      <c r="X20" s="188">
        <f t="array" ref="X20">SUM(IF('Alloyd 3'!$B$2:$AW$2='Resumo Produção'!$A20,'Alloyd 3'!$B$17:$AW$17))</f>
        <v>0</v>
      </c>
      <c r="Y20" s="188">
        <f t="array" ref="Y20">SUM(IF('Alloyd 3'!$B$2:$AW$2='Resumo Produção'!$A20,'Alloyd 3'!$B$18:$AW$18))</f>
        <v>0</v>
      </c>
      <c r="Z20" s="188">
        <f t="shared" si="4"/>
        <v>0</v>
      </c>
      <c r="AA20" s="189">
        <f t="shared" si="5"/>
        <v>0</v>
      </c>
    </row>
    <row r="21" spans="1:27">
      <c r="A21" s="79" t="s">
        <v>37</v>
      </c>
      <c r="B21" s="84"/>
      <c r="C21" s="84"/>
      <c r="D21" s="44">
        <f t="array" ref="D21">SUM(IF('Alloyd 1'!$B$2:$AT$2='Resumo Produção'!A21,'Alloyd 1'!$B$13:$AT$13))</f>
        <v>0</v>
      </c>
      <c r="E21" s="44">
        <f t="array" ref="E21">SUM(IF('Alloyd 1'!$B$2:$AT$2='Resumo Produção'!A21,'Alloyd 1'!$B$4:$AT$4))</f>
        <v>0</v>
      </c>
      <c r="F21" s="44">
        <f t="array" ref="F21">SUM(IF('Alloyd 1'!$B$2:$AT$2='Resumo Produção'!$A21,'Alloyd 1'!$B$16:$AT$16))</f>
        <v>0</v>
      </c>
      <c r="G21" s="44">
        <f t="array" ref="G21">SUM(IF('Alloyd 1'!$B$2:$AT$2='Resumo Produção'!$A21,'Alloyd 1'!$B$15:$AT$15))</f>
        <v>0</v>
      </c>
      <c r="H21" s="44">
        <f t="array" ref="H21">SUM(IF('Alloyd 1'!$B$2:$AT$2='Resumo Produção'!$A21,'Alloyd 1'!$B$17:$AT$17))</f>
        <v>0</v>
      </c>
      <c r="I21" s="44">
        <f t="array" ref="I21">SUM(IF('Alloyd 1'!$B$2:$AT$2='Resumo Produção'!$A21,'Alloyd 1'!$B$18:$AT$18))</f>
        <v>0</v>
      </c>
      <c r="J21" s="44">
        <f t="shared" si="21"/>
        <v>0</v>
      </c>
      <c r="K21" s="67">
        <f t="shared" si="22"/>
        <v>0</v>
      </c>
      <c r="L21" s="91" t="e">
        <f t="array" ref="L21">SUM(IF('Alloyd 1'!#REF!='Resumo Produção'!A21,'Alloyd 1'!#REF!))</f>
        <v>#REF!</v>
      </c>
      <c r="M21" s="46">
        <f t="array" ref="M21">SUM(IF('Alloyd 2'!$B$2:$AW$2='Resumo Produção'!$A21,'Alloyd 2'!$B$4:$AW$4))</f>
        <v>0</v>
      </c>
      <c r="N21" s="47">
        <f t="array" ref="N21">SUM(IF('Alloyd 2'!$B$2:$AW$2='Resumo Produção'!$A21,'Alloyd 2'!$B$16:$AW$16))</f>
        <v>0</v>
      </c>
      <c r="O21" s="47">
        <f t="array" ref="O21">SUM(IF('Alloyd 2'!$B$2:$AW$2='Resumo Produção'!$A21,'Alloyd 2'!$B$15:$AW$15))</f>
        <v>0</v>
      </c>
      <c r="P21" s="47">
        <f t="array" ref="P21">SUM(IF('Alloyd 2'!$B$2:$AW$2='Resumo Produção'!$A21,'Alloyd 2'!$B$17:$AW$17))</f>
        <v>0</v>
      </c>
      <c r="Q21" s="47">
        <f t="array" ref="Q21">SUM(IF('Alloyd 2'!$B$2:$AW$2='Resumo Produção'!$A21,'Alloyd 2'!$B$18:$AW$18))</f>
        <v>0</v>
      </c>
      <c r="R21" s="47">
        <f t="shared" si="23"/>
        <v>0</v>
      </c>
      <c r="S21" s="70">
        <f t="shared" si="24"/>
        <v>0</v>
      </c>
      <c r="T21" s="186" t="e">
        <f t="array" ref="T21">SUM(IF('Alloyd 1'!#REF!='Resumo Produção'!I21,'Alloyd 1'!#REF!))</f>
        <v>#REF!</v>
      </c>
      <c r="U21" s="187">
        <f t="array" ref="U21">SUM(IF('Alloyd 3'!$B$2:$AW$2='Resumo Produção'!$A21,'Alloyd 3'!$B$4:$AW$4))</f>
        <v>0</v>
      </c>
      <c r="V21" s="188">
        <f t="array" ref="V21">SUM(IF('Alloyd 3'!$B$2:$AW$2='Resumo Produção'!$A21,'Alloyd 3'!$B$16:$AW$16))</f>
        <v>0</v>
      </c>
      <c r="W21" s="188">
        <f t="array" ref="W21">SUM(IF('Alloyd 3'!$B$2:$AW$2='Resumo Produção'!$A21,'Alloyd 3'!$B$15:$AW$15))</f>
        <v>0</v>
      </c>
      <c r="X21" s="188">
        <f t="array" ref="X21">SUM(IF('Alloyd 3'!$B$2:$AW$2='Resumo Produção'!$A21,'Alloyd 3'!$B$17:$AW$17))</f>
        <v>0</v>
      </c>
      <c r="Y21" s="188">
        <f t="array" ref="Y21">SUM(IF('Alloyd 3'!$B$2:$AW$2='Resumo Produção'!$A21,'Alloyd 3'!$B$18:$AW$18))</f>
        <v>0</v>
      </c>
      <c r="Z21" s="188">
        <f t="shared" si="4"/>
        <v>0</v>
      </c>
      <c r="AA21" s="189">
        <f t="shared" si="5"/>
        <v>0</v>
      </c>
    </row>
    <row r="22" spans="1:27">
      <c r="A22" s="79" t="s">
        <v>77</v>
      </c>
      <c r="B22" s="84"/>
      <c r="C22" s="84"/>
      <c r="D22" s="44">
        <f t="array" ref="D22">SUM(IF('Alloyd 1'!$B$2:$AT$2='Resumo Produção'!A22,'Alloyd 1'!$B$13:$AT$13))</f>
        <v>0</v>
      </c>
      <c r="E22" s="44">
        <f t="array" ref="E22">SUM(IF('Alloyd 1'!$B$2:$AT$2='Resumo Produção'!A22,'Alloyd 1'!$B$4:$AT$4))</f>
        <v>0</v>
      </c>
      <c r="F22" s="44">
        <f t="array" ref="F22">SUM(IF('Alloyd 1'!$B$2:$AT$2='Resumo Produção'!$A22,'Alloyd 1'!$B$16:$AT$16))</f>
        <v>0</v>
      </c>
      <c r="G22" s="44">
        <f t="array" ref="G22">SUM(IF('Alloyd 1'!$B$2:$AT$2='Resumo Produção'!$A22,'Alloyd 1'!$B$15:$AT$15))</f>
        <v>0</v>
      </c>
      <c r="H22" s="44">
        <f t="array" ref="H22">SUM(IF('Alloyd 1'!$B$2:$AT$2='Resumo Produção'!$A22,'Alloyd 1'!$B$17:$AT$17))</f>
        <v>0</v>
      </c>
      <c r="I22" s="44">
        <f t="array" ref="I22">SUM(IF('Alloyd 1'!$B$2:$AT$2='Resumo Produção'!$A22,'Alloyd 1'!$B$18:$AT$18))</f>
        <v>0</v>
      </c>
      <c r="J22" s="44">
        <f t="shared" ref="J22" si="25">SUM(F22:I22)</f>
        <v>0</v>
      </c>
      <c r="K22" s="67">
        <f t="shared" ref="K22" si="26">IF(ISERR(J22/E22),,J22/E22*1000000)</f>
        <v>0</v>
      </c>
      <c r="L22" s="91" t="e">
        <f t="array" ref="L22">SUM(IF('Alloyd 1'!#REF!='Resumo Produção'!A22,'Alloyd 1'!#REF!))</f>
        <v>#REF!</v>
      </c>
      <c r="M22" s="46">
        <f t="array" ref="M22">SUM(IF('Alloyd 2'!$B$2:$AW$2='Resumo Produção'!$A22,'Alloyd 2'!$B$4:$AW$4))</f>
        <v>0</v>
      </c>
      <c r="N22" s="47">
        <f t="array" ref="N22">SUM(IF('Alloyd 2'!$B$2:$AW$2='Resumo Produção'!$A22,'Alloyd 2'!$B$16:$AW$16))</f>
        <v>0</v>
      </c>
      <c r="O22" s="47">
        <f t="array" ref="O22">SUM(IF('Alloyd 2'!$B$2:$AW$2='Resumo Produção'!$A22,'Alloyd 2'!$B$15:$AW$15))</f>
        <v>0</v>
      </c>
      <c r="P22" s="47">
        <f t="array" ref="P22">SUM(IF('Alloyd 2'!$B$2:$AW$2='Resumo Produção'!$A22,'Alloyd 2'!$B$17:$AW$17))</f>
        <v>0</v>
      </c>
      <c r="Q22" s="47">
        <f t="array" ref="Q22">SUM(IF('Alloyd 2'!$B$2:$AW$2='Resumo Produção'!$A22,'Alloyd 2'!$B$18:$AW$18))</f>
        <v>0</v>
      </c>
      <c r="R22" s="47">
        <f t="shared" ref="R22" si="27">SUM(N22:Q22)</f>
        <v>0</v>
      </c>
      <c r="S22" s="70">
        <f t="shared" ref="S22" si="28">IF(ISERR(R22/M22),,R22/M22*1000000)</f>
        <v>0</v>
      </c>
      <c r="T22" s="186" t="e">
        <f t="array" ref="T22">SUM(IF('Alloyd 1'!#REF!='Resumo Produção'!I22,'Alloyd 1'!#REF!))</f>
        <v>#REF!</v>
      </c>
      <c r="U22" s="187">
        <f t="array" ref="U22">SUM(IF('Alloyd 3'!$B$2:$AW$2='Resumo Produção'!$A22,'Alloyd 3'!$B$4:$AW$4))</f>
        <v>0</v>
      </c>
      <c r="V22" s="188">
        <f t="array" ref="V22">SUM(IF('Alloyd 3'!$B$2:$AW$2='Resumo Produção'!$A22,'Alloyd 3'!$B$16:$AW$16))</f>
        <v>0</v>
      </c>
      <c r="W22" s="188">
        <f t="array" ref="W22">SUM(IF('Alloyd 3'!$B$2:$AW$2='Resumo Produção'!$A22,'Alloyd 3'!$B$15:$AW$15))</f>
        <v>0</v>
      </c>
      <c r="X22" s="188">
        <f t="array" ref="X22">SUM(IF('Alloyd 3'!$B$2:$AW$2='Resumo Produção'!$A22,'Alloyd 3'!$B$17:$AW$17))</f>
        <v>0</v>
      </c>
      <c r="Y22" s="188">
        <f t="array" ref="Y22">SUM(IF('Alloyd 3'!$B$2:$AW$2='Resumo Produção'!$A22,'Alloyd 3'!$B$18:$AW$18))</f>
        <v>0</v>
      </c>
      <c r="Z22" s="188">
        <f t="shared" si="4"/>
        <v>0</v>
      </c>
      <c r="AA22" s="189">
        <f t="shared" si="5"/>
        <v>0</v>
      </c>
    </row>
    <row r="23" spans="1:27">
      <c r="A23" s="79" t="s">
        <v>101</v>
      </c>
      <c r="B23" s="84"/>
      <c r="C23" s="84"/>
      <c r="D23" s="44">
        <f t="array" ref="D23">SUM(IF('Alloyd 1'!$B$2:$AT$2='Resumo Produção'!A23,'Alloyd 1'!$B$13:$AT$13))</f>
        <v>0</v>
      </c>
      <c r="E23" s="44">
        <f t="array" ref="E23">SUM(IF('Alloyd 1'!$B$2:$AT$2='Resumo Produção'!A23,'Alloyd 1'!$B$4:$AT$4))</f>
        <v>0</v>
      </c>
      <c r="F23" s="44">
        <f t="array" ref="F23">SUM(IF('Alloyd 1'!$B$2:$AT$2='Resumo Produção'!$A23,'Alloyd 1'!$B$16:$AT$16))</f>
        <v>0</v>
      </c>
      <c r="G23" s="44">
        <f t="array" ref="G23">SUM(IF('Alloyd 1'!$B$2:$AT$2='Resumo Produção'!$A23,'Alloyd 1'!$B$15:$AT$15))</f>
        <v>0</v>
      </c>
      <c r="H23" s="44">
        <f t="array" ref="H23">SUM(IF('Alloyd 1'!$B$2:$AT$2='Resumo Produção'!$A23,'Alloyd 1'!$B$17:$AT$17))</f>
        <v>0</v>
      </c>
      <c r="I23" s="44">
        <f t="array" ref="I23">SUM(IF('Alloyd 1'!$B$2:$AT$2='Resumo Produção'!$A23,'Alloyd 1'!$B$18:$AT$18))</f>
        <v>0</v>
      </c>
      <c r="J23" s="44">
        <f t="shared" ref="J23:J25" si="29">SUM(F23:I23)</f>
        <v>0</v>
      </c>
      <c r="K23" s="67">
        <f t="shared" ref="K23:K25" si="30">IF(ISERR(J23/E23),,J23/E23*1000000)</f>
        <v>0</v>
      </c>
      <c r="L23" s="91" t="e">
        <f t="array" ref="L23">SUM(IF('Alloyd 1'!#REF!='Resumo Produção'!A23,'Alloyd 1'!#REF!))</f>
        <v>#REF!</v>
      </c>
      <c r="M23" s="46">
        <f t="array" ref="M23">SUM(IF('Alloyd 2'!$B$2:$AW$2='Resumo Produção'!$A23,'Alloyd 2'!$B$4:$AW$4))</f>
        <v>0</v>
      </c>
      <c r="N23" s="47">
        <f t="array" ref="N23">SUM(IF('Alloyd 2'!$B$2:$AW$2='Resumo Produção'!$A23,'Alloyd 2'!$B$16:$AW$16))</f>
        <v>0</v>
      </c>
      <c r="O23" s="47">
        <f t="array" ref="O23">SUM(IF('Alloyd 2'!$B$2:$AW$2='Resumo Produção'!$A23,'Alloyd 2'!$B$15:$AW$15))</f>
        <v>0</v>
      </c>
      <c r="P23" s="47">
        <f t="array" ref="P23">SUM(IF('Alloyd 2'!$B$2:$AW$2='Resumo Produção'!$A23,'Alloyd 2'!$B$17:$AW$17))</f>
        <v>0</v>
      </c>
      <c r="Q23" s="47">
        <f t="array" ref="Q23">SUM(IF('Alloyd 2'!$B$2:$AW$2='Resumo Produção'!$A23,'Alloyd 2'!$B$18:$AW$18))</f>
        <v>0</v>
      </c>
      <c r="R23" s="47">
        <f t="shared" ref="R23:R25" si="31">SUM(N23:Q23)</f>
        <v>0</v>
      </c>
      <c r="S23" s="70">
        <f t="shared" ref="S23:S25" si="32">IF(ISERR(R23/M23),,R23/M23*1000000)</f>
        <v>0</v>
      </c>
      <c r="T23" s="186" t="e">
        <f t="array" ref="T23">SUM(IF('Alloyd 1'!#REF!='Resumo Produção'!I23,'Alloyd 1'!#REF!))</f>
        <v>#REF!</v>
      </c>
      <c r="U23" s="187">
        <f t="array" ref="U23">SUM(IF('Alloyd 3'!$B$2:$AW$2='Resumo Produção'!$A23,'Alloyd 3'!$B$4:$AW$4))</f>
        <v>0</v>
      </c>
      <c r="V23" s="188">
        <f t="array" ref="V23">SUM(IF('Alloyd 3'!$B$2:$AW$2='Resumo Produção'!$A23,'Alloyd 3'!$B$16:$AW$16))</f>
        <v>0</v>
      </c>
      <c r="W23" s="188">
        <f t="array" ref="W23">SUM(IF('Alloyd 3'!$B$2:$AW$2='Resumo Produção'!$A23,'Alloyd 3'!$B$15:$AW$15))</f>
        <v>0</v>
      </c>
      <c r="X23" s="188">
        <f t="array" ref="X23">SUM(IF('Alloyd 3'!$B$2:$AW$2='Resumo Produção'!$A23,'Alloyd 3'!$B$17:$AW$17))</f>
        <v>0</v>
      </c>
      <c r="Y23" s="188">
        <f t="array" ref="Y23">SUM(IF('Alloyd 3'!$B$2:$AW$2='Resumo Produção'!$A23,'Alloyd 3'!$B$18:$AW$18))</f>
        <v>0</v>
      </c>
      <c r="Z23" s="188">
        <f t="shared" ref="Z23:Z25" si="33">SUM(V23:Y23)</f>
        <v>0</v>
      </c>
      <c r="AA23" s="189">
        <f t="shared" ref="AA23:AA25" si="34">IF(ISERR(Z23/U23),,Z23/U23*1000000)</f>
        <v>0</v>
      </c>
    </row>
    <row r="24" spans="1:27">
      <c r="A24" s="79" t="s">
        <v>104</v>
      </c>
      <c r="B24" s="84"/>
      <c r="C24" s="84"/>
      <c r="D24" s="44">
        <f t="array" ref="D24">SUM(IF('Alloyd 1'!$B$2:$AT$2='Resumo Produção'!A24,'Alloyd 1'!$B$13:$AT$13))</f>
        <v>0</v>
      </c>
      <c r="E24" s="44">
        <f t="array" ref="E24">SUM(IF('Alloyd 1'!$B$2:$AT$2='Resumo Produção'!A24,'Alloyd 1'!$B$4:$AT$4))</f>
        <v>0</v>
      </c>
      <c r="F24" s="44">
        <f t="array" ref="F24">SUM(IF('Alloyd 1'!$B$2:$AT$2='Resumo Produção'!$A24,'Alloyd 1'!$B$16:$AT$16))</f>
        <v>0</v>
      </c>
      <c r="G24" s="44">
        <f t="array" ref="G24">SUM(IF('Alloyd 1'!$B$2:$AT$2='Resumo Produção'!$A24,'Alloyd 1'!$B$15:$AT$15))</f>
        <v>0</v>
      </c>
      <c r="H24" s="44">
        <f t="array" ref="H24">SUM(IF('Alloyd 1'!$B$2:$AT$2='Resumo Produção'!$A24,'Alloyd 1'!$B$17:$AT$17))</f>
        <v>0</v>
      </c>
      <c r="I24" s="44">
        <f t="array" ref="I24">SUM(IF('Alloyd 1'!$B$2:$AT$2='Resumo Produção'!$A24,'Alloyd 1'!$B$18:$AT$18))</f>
        <v>0</v>
      </c>
      <c r="J24" s="44">
        <f t="shared" si="29"/>
        <v>0</v>
      </c>
      <c r="K24" s="67">
        <f t="shared" si="30"/>
        <v>0</v>
      </c>
      <c r="L24" s="91" t="e">
        <f t="array" ref="L24">SUM(IF('Alloyd 1'!#REF!='Resumo Produção'!A24,'Alloyd 1'!#REF!))</f>
        <v>#REF!</v>
      </c>
      <c r="M24" s="46">
        <f t="array" ref="M24">SUM(IF('Alloyd 2'!$B$2:$AW$2='Resumo Produção'!$A24,'Alloyd 2'!$B$4:$AW$4))</f>
        <v>0</v>
      </c>
      <c r="N24" s="47">
        <f t="array" ref="N24">SUM(IF('Alloyd 2'!$B$2:$AW$2='Resumo Produção'!$A24,'Alloyd 2'!$B$16:$AW$16))</f>
        <v>0</v>
      </c>
      <c r="O24" s="47">
        <f t="array" ref="O24">SUM(IF('Alloyd 2'!$B$2:$AW$2='Resumo Produção'!$A24,'Alloyd 2'!$B$15:$AW$15))</f>
        <v>0</v>
      </c>
      <c r="P24" s="47">
        <f t="array" ref="P24">SUM(IF('Alloyd 2'!$B$2:$AW$2='Resumo Produção'!$A24,'Alloyd 2'!$B$17:$AW$17))</f>
        <v>0</v>
      </c>
      <c r="Q24" s="47">
        <f t="array" ref="Q24">SUM(IF('Alloyd 2'!$B$2:$AW$2='Resumo Produção'!$A24,'Alloyd 2'!$B$18:$AW$18))</f>
        <v>0</v>
      </c>
      <c r="R24" s="47">
        <f t="shared" si="31"/>
        <v>0</v>
      </c>
      <c r="S24" s="70">
        <f t="shared" si="32"/>
        <v>0</v>
      </c>
      <c r="T24" s="186" t="e">
        <f t="array" ref="T24">SUM(IF('Alloyd 1'!#REF!='Resumo Produção'!I24,'Alloyd 1'!#REF!))</f>
        <v>#REF!</v>
      </c>
      <c r="U24" s="187">
        <f t="array" ref="U24">SUM(IF('Alloyd 3'!$B$2:$AW$2='Resumo Produção'!$A24,'Alloyd 3'!$B$4:$AW$4))</f>
        <v>0</v>
      </c>
      <c r="V24" s="188">
        <f t="array" ref="V24">SUM(IF('Alloyd 3'!$B$2:$AW$2='Resumo Produção'!$A24,'Alloyd 3'!$B$16:$AW$16))</f>
        <v>0</v>
      </c>
      <c r="W24" s="188">
        <f t="array" ref="W24">SUM(IF('Alloyd 3'!$B$2:$AW$2='Resumo Produção'!$A24,'Alloyd 3'!$B$15:$AW$15))</f>
        <v>0</v>
      </c>
      <c r="X24" s="188">
        <f t="array" ref="X24">SUM(IF('Alloyd 3'!$B$2:$AW$2='Resumo Produção'!$A24,'Alloyd 3'!$B$17:$AW$17))</f>
        <v>0</v>
      </c>
      <c r="Y24" s="188">
        <f t="array" ref="Y24">SUM(IF('Alloyd 3'!$B$2:$AW$2='Resumo Produção'!$A24,'Alloyd 3'!$B$18:$AW$18))</f>
        <v>0</v>
      </c>
      <c r="Z24" s="188">
        <f t="shared" si="33"/>
        <v>0</v>
      </c>
      <c r="AA24" s="189">
        <f t="shared" si="34"/>
        <v>0</v>
      </c>
    </row>
    <row r="25" spans="1:27">
      <c r="A25" s="79" t="s">
        <v>49</v>
      </c>
      <c r="B25" s="84"/>
      <c r="C25" s="84"/>
      <c r="D25" s="44">
        <f t="array" ref="D25">SUM(IF('Alloyd 1'!$B$2:$AT$2='Resumo Produção'!A25,'Alloyd 1'!$B$13:$AT$13))</f>
        <v>0</v>
      </c>
      <c r="E25" s="44">
        <f t="array" ref="E25">SUM(IF('Alloyd 1'!$B$2:$AT$2='Resumo Produção'!A25,'Alloyd 1'!$B$4:$AT$4))</f>
        <v>0</v>
      </c>
      <c r="F25" s="44">
        <f t="array" ref="F25">SUM(IF('Alloyd 1'!$B$2:$AT$2='Resumo Produção'!$A25,'Alloyd 1'!$B$16:$AT$16))</f>
        <v>0</v>
      </c>
      <c r="G25" s="44">
        <f t="array" ref="G25">SUM(IF('Alloyd 1'!$B$2:$AT$2='Resumo Produção'!$A25,'Alloyd 1'!$B$15:$AT$15))</f>
        <v>0</v>
      </c>
      <c r="H25" s="44">
        <f t="array" ref="H25">SUM(IF('Alloyd 1'!$B$2:$AT$2='Resumo Produção'!$A25,'Alloyd 1'!$B$17:$AT$17))</f>
        <v>0</v>
      </c>
      <c r="I25" s="44">
        <f t="array" ref="I25">SUM(IF('Alloyd 1'!$B$2:$AT$2='Resumo Produção'!$A25,'Alloyd 1'!$B$18:$AT$18))</f>
        <v>0</v>
      </c>
      <c r="J25" s="44">
        <f t="shared" si="29"/>
        <v>0</v>
      </c>
      <c r="K25" s="67">
        <f t="shared" si="30"/>
        <v>0</v>
      </c>
      <c r="L25" s="91" t="e">
        <f t="array" ref="L25">SUM(IF('Alloyd 1'!#REF!='Resumo Produção'!A25,'Alloyd 1'!#REF!))</f>
        <v>#REF!</v>
      </c>
      <c r="M25" s="46">
        <f t="array" ref="M25">SUM(IF('Alloyd 2'!$B$2:$AW$2='Resumo Produção'!$A25,'Alloyd 2'!$B$4:$AW$4))</f>
        <v>0</v>
      </c>
      <c r="N25" s="47">
        <f t="array" ref="N25">SUM(IF('Alloyd 2'!$B$2:$AW$2='Resumo Produção'!$A25,'Alloyd 2'!$B$16:$AW$16))</f>
        <v>0</v>
      </c>
      <c r="O25" s="47">
        <f t="array" ref="O25">SUM(IF('Alloyd 2'!$B$2:$AW$2='Resumo Produção'!$A25,'Alloyd 2'!$B$15:$AW$15))</f>
        <v>0</v>
      </c>
      <c r="P25" s="47">
        <f t="array" ref="P25">SUM(IF('Alloyd 2'!$B$2:$AW$2='Resumo Produção'!$A25,'Alloyd 2'!$B$17:$AW$17))</f>
        <v>0</v>
      </c>
      <c r="Q25" s="47">
        <f t="array" ref="Q25">SUM(IF('Alloyd 2'!$B$2:$AW$2='Resumo Produção'!$A25,'Alloyd 2'!$B$18:$AW$18))</f>
        <v>0</v>
      </c>
      <c r="R25" s="47">
        <f t="shared" si="31"/>
        <v>0</v>
      </c>
      <c r="S25" s="70">
        <f t="shared" si="32"/>
        <v>0</v>
      </c>
      <c r="T25" s="186" t="e">
        <f t="array" ref="T25">SUM(IF('Alloyd 1'!#REF!='Resumo Produção'!I25,'Alloyd 1'!#REF!))</f>
        <v>#REF!</v>
      </c>
      <c r="U25" s="187">
        <f t="array" ref="U25">SUM(IF('Alloyd 3'!$B$2:$AW$2='Resumo Produção'!$A25,'Alloyd 3'!$B$4:$AW$4))</f>
        <v>0</v>
      </c>
      <c r="V25" s="188">
        <f t="array" ref="V25">SUM(IF('Alloyd 3'!$B$2:$AW$2='Resumo Produção'!$A25,'Alloyd 3'!$B$16:$AW$16))</f>
        <v>0</v>
      </c>
      <c r="W25" s="188">
        <f t="array" ref="W25">SUM(IF('Alloyd 3'!$B$2:$AW$2='Resumo Produção'!$A25,'Alloyd 3'!$B$15:$AW$15))</f>
        <v>0</v>
      </c>
      <c r="X25" s="188">
        <f t="array" ref="X25">SUM(IF('Alloyd 3'!$B$2:$AW$2='Resumo Produção'!$A25,'Alloyd 3'!$B$17:$AW$17))</f>
        <v>0</v>
      </c>
      <c r="Y25" s="188">
        <f t="array" ref="Y25">SUM(IF('Alloyd 3'!$B$2:$AW$2='Resumo Produção'!$A25,'Alloyd 3'!$B$18:$AW$18))</f>
        <v>0</v>
      </c>
      <c r="Z25" s="188">
        <f t="shared" si="33"/>
        <v>0</v>
      </c>
      <c r="AA25" s="189">
        <f t="shared" si="34"/>
        <v>0</v>
      </c>
    </row>
    <row r="26" spans="1:27">
      <c r="A26" s="79" t="s">
        <v>50</v>
      </c>
      <c r="B26" s="84"/>
      <c r="C26" s="84"/>
      <c r="D26" s="44">
        <f t="array" ref="D26">SUM(IF('Alloyd 1'!$B$2:$AT$2='Resumo Produção'!A26,'Alloyd 1'!$B$13:$AT$13))</f>
        <v>0</v>
      </c>
      <c r="E26" s="44">
        <f t="array" ref="E26">SUM(IF('Alloyd 1'!$B$2:$AT$2='Resumo Produção'!A26,'Alloyd 1'!$B$4:$AT$4))</f>
        <v>0</v>
      </c>
      <c r="F26" s="44">
        <f t="array" ref="F26">SUM(IF('Alloyd 1'!$B$2:$AT$2='Resumo Produção'!$A26,'Alloyd 1'!$B$16:$AT$16))</f>
        <v>0</v>
      </c>
      <c r="G26" s="44">
        <f t="array" ref="G26">SUM(IF('Alloyd 1'!$B$2:$AT$2='Resumo Produção'!$A26,'Alloyd 1'!$B$15:$AT$15))</f>
        <v>0</v>
      </c>
      <c r="H26" s="44">
        <f t="array" ref="H26">SUM(IF('Alloyd 1'!$B$2:$AT$2='Resumo Produção'!$A26,'Alloyd 1'!$B$17:$AT$17))</f>
        <v>0</v>
      </c>
      <c r="I26" s="44">
        <f t="array" ref="I26">SUM(IF('Alloyd 1'!$B$2:$AT$2='Resumo Produção'!$A26,'Alloyd 1'!$B$18:$AT$18))</f>
        <v>0</v>
      </c>
      <c r="J26" s="44">
        <f t="shared" si="21"/>
        <v>0</v>
      </c>
      <c r="K26" s="67">
        <f t="shared" si="22"/>
        <v>0</v>
      </c>
      <c r="L26" s="91" t="e">
        <f t="array" ref="L26">SUM(IF('Alloyd 1'!#REF!='Resumo Produção'!A26,'Alloyd 1'!#REF!))</f>
        <v>#REF!</v>
      </c>
      <c r="M26" s="46">
        <f t="array" ref="M26">SUM(IF('Alloyd 2'!$B$2:$AW$2='Resumo Produção'!$A26,'Alloyd 2'!$B$4:$AW$4))</f>
        <v>0</v>
      </c>
      <c r="N26" s="47">
        <f t="array" ref="N26">SUM(IF('Alloyd 2'!$B$2:$AW$2='Resumo Produção'!$A26,'Alloyd 2'!$B$16:$AW$16))</f>
        <v>0</v>
      </c>
      <c r="O26" s="47">
        <f t="array" ref="O26">SUM(IF('Alloyd 2'!$B$2:$AW$2='Resumo Produção'!$A26,'Alloyd 2'!$B$15:$AW$15))</f>
        <v>0</v>
      </c>
      <c r="P26" s="47">
        <f t="array" ref="P26">SUM(IF('Alloyd 2'!$B$2:$AW$2='Resumo Produção'!$A26,'Alloyd 2'!$B$17:$AW$17))</f>
        <v>0</v>
      </c>
      <c r="Q26" s="47">
        <f t="array" ref="Q26">SUM(IF('Alloyd 2'!$B$2:$AW$2='Resumo Produção'!$A26,'Alloyd 2'!$B$18:$AW$18))</f>
        <v>0</v>
      </c>
      <c r="R26" s="47">
        <f t="shared" si="23"/>
        <v>0</v>
      </c>
      <c r="S26" s="70">
        <f t="shared" si="24"/>
        <v>0</v>
      </c>
      <c r="T26" s="186" t="e">
        <f t="array" ref="T26">SUM(IF('Alloyd 1'!#REF!='Resumo Produção'!I26,'Alloyd 1'!#REF!))</f>
        <v>#REF!</v>
      </c>
      <c r="U26" s="187">
        <f t="array" ref="U26">SUM(IF('Alloyd 3'!$B$2:$AW$2='Resumo Produção'!$A26,'Alloyd 3'!$B$4:$AW$4))</f>
        <v>0</v>
      </c>
      <c r="V26" s="188">
        <f t="array" ref="V26">SUM(IF('Alloyd 3'!$B$2:$AW$2='Resumo Produção'!$A26,'Alloyd 3'!$B$16:$AW$16))</f>
        <v>0</v>
      </c>
      <c r="W26" s="188">
        <f t="array" ref="W26">SUM(IF('Alloyd 3'!$B$2:$AW$2='Resumo Produção'!$A26,'Alloyd 3'!$B$15:$AW$15))</f>
        <v>0</v>
      </c>
      <c r="X26" s="188">
        <f t="array" ref="X26">SUM(IF('Alloyd 3'!$B$2:$AW$2='Resumo Produção'!$A26,'Alloyd 3'!$B$17:$AW$17))</f>
        <v>0</v>
      </c>
      <c r="Y26" s="188">
        <f t="array" ref="Y26">SUM(IF('Alloyd 3'!$B$2:$AW$2='Resumo Produção'!$A26,'Alloyd 3'!$B$18:$AW$18))</f>
        <v>0</v>
      </c>
      <c r="Z26" s="188">
        <f t="shared" si="4"/>
        <v>0</v>
      </c>
      <c r="AA26" s="189">
        <f t="shared" si="5"/>
        <v>0</v>
      </c>
    </row>
    <row r="27" spans="1:27">
      <c r="A27" s="79" t="s">
        <v>88</v>
      </c>
      <c r="B27" s="84"/>
      <c r="C27" s="84"/>
      <c r="D27" s="44">
        <f t="array" ref="D27">SUM(IF('Alloyd 1'!$B$2:$AT$2='Resumo Produção'!A27,'Alloyd 1'!$B$13:$AT$13))</f>
        <v>0</v>
      </c>
      <c r="E27" s="44">
        <f t="array" ref="E27">SUM(IF('Alloyd 1'!$B$2:$AT$2='Resumo Produção'!A27,'Alloyd 1'!$B$4:$AT$4))</f>
        <v>0</v>
      </c>
      <c r="F27" s="44">
        <f t="array" ref="F27">SUM(IF('Alloyd 1'!$B$2:$AT$2='Resumo Produção'!$A27,'Alloyd 1'!$B$16:$AT$16))</f>
        <v>0</v>
      </c>
      <c r="G27" s="44">
        <f t="array" ref="G27">SUM(IF('Alloyd 1'!$B$2:$AT$2='Resumo Produção'!$A27,'Alloyd 1'!$B$15:$AT$15))</f>
        <v>0</v>
      </c>
      <c r="H27" s="44">
        <f t="array" ref="H27">SUM(IF('Alloyd 1'!$B$2:$AT$2='Resumo Produção'!$A27,'Alloyd 1'!$B$17:$AT$17))</f>
        <v>0</v>
      </c>
      <c r="I27" s="44">
        <f t="array" ref="I27">SUM(IF('Alloyd 1'!$B$2:$AT$2='Resumo Produção'!$A27,'Alloyd 1'!$B$18:$AT$18))</f>
        <v>0</v>
      </c>
      <c r="J27" s="44">
        <f t="shared" si="21"/>
        <v>0</v>
      </c>
      <c r="K27" s="67">
        <f t="shared" si="22"/>
        <v>0</v>
      </c>
      <c r="L27" s="91" t="e">
        <f t="array" ref="L27">SUM(IF('Alloyd 1'!#REF!='Resumo Produção'!A27,'Alloyd 1'!#REF!))</f>
        <v>#REF!</v>
      </c>
      <c r="M27" s="46">
        <f t="array" ref="M27">SUM(IF('Alloyd 2'!$B$2:$AW$2='Resumo Produção'!$A27,'Alloyd 2'!$B$4:$AW$4))</f>
        <v>0</v>
      </c>
      <c r="N27" s="47">
        <f t="array" ref="N27">SUM(IF('Alloyd 2'!$B$2:$AW$2='Resumo Produção'!$A27,'Alloyd 2'!$B$16:$AW$16))</f>
        <v>0</v>
      </c>
      <c r="O27" s="47">
        <f t="array" ref="O27">SUM(IF('Alloyd 2'!$B$2:$AW$2='Resumo Produção'!$A27,'Alloyd 2'!$B$15:$AW$15))</f>
        <v>0</v>
      </c>
      <c r="P27" s="47">
        <f t="array" ref="P27">SUM(IF('Alloyd 2'!$B$2:$AW$2='Resumo Produção'!$A27,'Alloyd 2'!$B$17:$AW$17))</f>
        <v>0</v>
      </c>
      <c r="Q27" s="47">
        <f t="array" ref="Q27">SUM(IF('Alloyd 2'!$B$2:$AW$2='Resumo Produção'!$A27,'Alloyd 2'!$B$18:$AW$18))</f>
        <v>0</v>
      </c>
      <c r="R27" s="47">
        <f t="shared" si="23"/>
        <v>0</v>
      </c>
      <c r="S27" s="70">
        <f t="shared" si="24"/>
        <v>0</v>
      </c>
      <c r="T27" s="186" t="e">
        <f t="array" ref="T27">SUM(IF('Alloyd 1'!#REF!='Resumo Produção'!I27,'Alloyd 1'!#REF!))</f>
        <v>#REF!</v>
      </c>
      <c r="U27" s="187">
        <f t="array" ref="U27">SUM(IF('Alloyd 3'!$B$2:$AW$2='Resumo Produção'!$A27,'Alloyd 3'!$B$4:$AW$4))</f>
        <v>0</v>
      </c>
      <c r="V27" s="188">
        <f t="array" ref="V27">SUM(IF('Alloyd 3'!$B$2:$AW$2='Resumo Produção'!$A27,'Alloyd 3'!$B$16:$AW$16))</f>
        <v>0</v>
      </c>
      <c r="W27" s="188">
        <f t="array" ref="W27">SUM(IF('Alloyd 3'!$B$2:$AW$2='Resumo Produção'!$A27,'Alloyd 3'!$B$15:$AW$15))</f>
        <v>0</v>
      </c>
      <c r="X27" s="188">
        <f t="array" ref="X27">SUM(IF('Alloyd 3'!$B$2:$AW$2='Resumo Produção'!$A27,'Alloyd 3'!$B$17:$AW$17))</f>
        <v>0</v>
      </c>
      <c r="Y27" s="188">
        <f t="array" ref="Y27">SUM(IF('Alloyd 3'!$B$2:$AW$2='Resumo Produção'!$A27,'Alloyd 3'!$B$18:$AW$18))</f>
        <v>0</v>
      </c>
      <c r="Z27" s="188">
        <f t="shared" si="4"/>
        <v>0</v>
      </c>
      <c r="AA27" s="189">
        <f t="shared" si="5"/>
        <v>0</v>
      </c>
    </row>
    <row r="28" spans="1:27">
      <c r="A28" s="79" t="s">
        <v>11</v>
      </c>
      <c r="B28" s="84"/>
      <c r="C28" s="84"/>
      <c r="D28" s="44">
        <f t="array" ref="D28">SUM(IF('Alloyd 1'!$B$2:$AT$2='Resumo Produção'!A28,'Alloyd 1'!$B$13:$AT$13))</f>
        <v>0</v>
      </c>
      <c r="E28" s="44">
        <f t="array" ref="E28">SUM(IF('Alloyd 1'!$B$2:$AT$2='Resumo Produção'!A28,'Alloyd 1'!$B$4:$AT$4))</f>
        <v>0</v>
      </c>
      <c r="F28" s="44">
        <f t="array" ref="F28">SUM(IF('Alloyd 1'!$B$2:$AT$2='Resumo Produção'!$A28,'Alloyd 1'!$B$16:$AT$16))</f>
        <v>0</v>
      </c>
      <c r="G28" s="44">
        <f t="array" ref="G28">SUM(IF('Alloyd 1'!$B$2:$AT$2='Resumo Produção'!$A28,'Alloyd 1'!$B$15:$AT$15))</f>
        <v>0</v>
      </c>
      <c r="H28" s="44">
        <f t="array" ref="H28">SUM(IF('Alloyd 1'!$B$2:$AT$2='Resumo Produção'!$A28,'Alloyd 1'!$B$17:$AT$17))</f>
        <v>0</v>
      </c>
      <c r="I28" s="44">
        <f t="array" ref="I28">SUM(IF('Alloyd 1'!$B$2:$AT$2='Resumo Produção'!$A28,'Alloyd 1'!$B$18:$AT$18))</f>
        <v>0</v>
      </c>
      <c r="J28" s="44">
        <f t="shared" si="21"/>
        <v>0</v>
      </c>
      <c r="K28" s="67">
        <f t="shared" si="22"/>
        <v>0</v>
      </c>
      <c r="L28" s="91" t="e">
        <f t="array" ref="L28">SUM(IF('Alloyd 1'!#REF!='Resumo Produção'!A28,'Alloyd 1'!#REF!))</f>
        <v>#REF!</v>
      </c>
      <c r="M28" s="46">
        <f t="array" ref="M28">SUM(IF('Alloyd 2'!$B$2:$AW$2='Resumo Produção'!$A28,'Alloyd 2'!$B$4:$AW$4))</f>
        <v>0</v>
      </c>
      <c r="N28" s="47">
        <f t="array" ref="N28">SUM(IF('Alloyd 2'!$B$2:$AW$2='Resumo Produção'!$A28,'Alloyd 2'!$B$16:$AW$16))</f>
        <v>0</v>
      </c>
      <c r="O28" s="47">
        <f t="array" ref="O28">SUM(IF('Alloyd 2'!$B$2:$AW$2='Resumo Produção'!$A28,'Alloyd 2'!$B$15:$AW$15))</f>
        <v>0</v>
      </c>
      <c r="P28" s="47">
        <f t="array" ref="P28">SUM(IF('Alloyd 2'!$B$2:$AW$2='Resumo Produção'!$A28,'Alloyd 2'!$B$17:$AW$17))</f>
        <v>0</v>
      </c>
      <c r="Q28" s="47">
        <f t="array" ref="Q28">SUM(IF('Alloyd 2'!$B$2:$AW$2='Resumo Produção'!$A28,'Alloyd 2'!$B$18:$AW$18))</f>
        <v>0</v>
      </c>
      <c r="R28" s="47">
        <f t="shared" si="23"/>
        <v>0</v>
      </c>
      <c r="S28" s="70">
        <f t="shared" si="24"/>
        <v>0</v>
      </c>
      <c r="T28" s="186" t="e">
        <f t="array" ref="T28">SUM(IF('Alloyd 1'!#REF!='Resumo Produção'!I28,'Alloyd 1'!#REF!))</f>
        <v>#REF!</v>
      </c>
      <c r="U28" s="187">
        <f t="array" ref="U28">SUM(IF('Alloyd 3'!$B$2:$AW$2='Resumo Produção'!$A28,'Alloyd 3'!$B$4:$AW$4))</f>
        <v>0</v>
      </c>
      <c r="V28" s="188">
        <f t="array" ref="V28">SUM(IF('Alloyd 3'!$B$2:$AW$2='Resumo Produção'!$A28,'Alloyd 3'!$B$16:$AW$16))</f>
        <v>0</v>
      </c>
      <c r="W28" s="188">
        <f t="array" ref="W28">SUM(IF('Alloyd 3'!$B$2:$AW$2='Resumo Produção'!$A28,'Alloyd 3'!$B$15:$AW$15))</f>
        <v>0</v>
      </c>
      <c r="X28" s="188">
        <f t="array" ref="X28">SUM(IF('Alloyd 3'!$B$2:$AW$2='Resumo Produção'!$A28,'Alloyd 3'!$B$17:$AW$17))</f>
        <v>0</v>
      </c>
      <c r="Y28" s="188">
        <f t="array" ref="Y28">SUM(IF('Alloyd 3'!$B$2:$AW$2='Resumo Produção'!$A28,'Alloyd 3'!$B$18:$AW$18))</f>
        <v>0</v>
      </c>
      <c r="Z28" s="188">
        <f t="shared" si="4"/>
        <v>0</v>
      </c>
      <c r="AA28" s="189">
        <f t="shared" si="5"/>
        <v>0</v>
      </c>
    </row>
    <row r="29" spans="1:27">
      <c r="A29" s="79" t="s">
        <v>89</v>
      </c>
      <c r="B29" s="84"/>
      <c r="C29" s="84"/>
      <c r="D29" s="44">
        <f t="array" ref="D29">SUM(IF('Alloyd 1'!$B$2:$AT$2='Resumo Produção'!A29,'Alloyd 1'!$B$13:$AT$13))</f>
        <v>0</v>
      </c>
      <c r="E29" s="44">
        <f t="array" ref="E29">SUM(IF('Alloyd 1'!$B$2:$AT$2='Resumo Produção'!A29,'Alloyd 1'!$B$4:$AT$4))</f>
        <v>0</v>
      </c>
      <c r="F29" s="44">
        <f t="array" ref="F29">SUM(IF('Alloyd 1'!$B$2:$AT$2='Resumo Produção'!$A29,'Alloyd 1'!$B$16:$AT$16))</f>
        <v>0</v>
      </c>
      <c r="G29" s="44">
        <f t="array" ref="G29">SUM(IF('Alloyd 1'!$B$2:$AT$2='Resumo Produção'!$A29,'Alloyd 1'!$B$15:$AT$15))</f>
        <v>0</v>
      </c>
      <c r="H29" s="44">
        <f t="array" ref="H29">SUM(IF('Alloyd 1'!$B$2:$AT$2='Resumo Produção'!$A29,'Alloyd 1'!$B$17:$AT$17))</f>
        <v>0</v>
      </c>
      <c r="I29" s="44">
        <f t="array" ref="I29">SUM(IF('Alloyd 1'!$B$2:$AT$2='Resumo Produção'!$A29,'Alloyd 1'!$B$18:$AT$18))</f>
        <v>0</v>
      </c>
      <c r="J29" s="44">
        <f t="shared" si="21"/>
        <v>0</v>
      </c>
      <c r="K29" s="67">
        <f t="shared" si="22"/>
        <v>0</v>
      </c>
      <c r="L29" s="91" t="e">
        <f t="array" ref="L29">SUM(IF('Alloyd 1'!#REF!='Resumo Produção'!A29,'Alloyd 1'!#REF!))</f>
        <v>#REF!</v>
      </c>
      <c r="M29" s="46">
        <f t="array" ref="M29">SUM(IF('Alloyd 2'!$B$2:$AW$2='Resumo Produção'!$A29,'Alloyd 2'!$B$4:$AW$4))</f>
        <v>0</v>
      </c>
      <c r="N29" s="47">
        <f t="array" ref="N29">SUM(IF('Alloyd 2'!$B$2:$AW$2='Resumo Produção'!$A29,'Alloyd 2'!$B$16:$AW$16))</f>
        <v>0</v>
      </c>
      <c r="O29" s="47">
        <f t="array" ref="O29">SUM(IF('Alloyd 2'!$B$2:$AW$2='Resumo Produção'!$A29,'Alloyd 2'!$B$15:$AW$15))</f>
        <v>0</v>
      </c>
      <c r="P29" s="47">
        <f t="array" ref="P29">SUM(IF('Alloyd 2'!$B$2:$AW$2='Resumo Produção'!$A29,'Alloyd 2'!$B$17:$AW$17))</f>
        <v>0</v>
      </c>
      <c r="Q29" s="47">
        <f t="array" ref="Q29">SUM(IF('Alloyd 2'!$B$2:$AW$2='Resumo Produção'!$A29,'Alloyd 2'!$B$18:$AW$18))</f>
        <v>0</v>
      </c>
      <c r="R29" s="47">
        <f t="shared" si="23"/>
        <v>0</v>
      </c>
      <c r="S29" s="70">
        <f t="shared" si="24"/>
        <v>0</v>
      </c>
      <c r="T29" s="186" t="e">
        <f t="array" ref="T29">SUM(IF('Alloyd 1'!#REF!='Resumo Produção'!I29,'Alloyd 1'!#REF!))</f>
        <v>#REF!</v>
      </c>
      <c r="U29" s="187">
        <f t="array" ref="U29">SUM(IF('Alloyd 3'!$B$2:$AW$2='Resumo Produção'!$A29,'Alloyd 3'!$B$4:$AW$4))</f>
        <v>0</v>
      </c>
      <c r="V29" s="188">
        <f t="array" ref="V29">SUM(IF('Alloyd 3'!$B$2:$AW$2='Resumo Produção'!$A29,'Alloyd 3'!$B$16:$AW$16))</f>
        <v>0</v>
      </c>
      <c r="W29" s="188">
        <f t="array" ref="W29">SUM(IF('Alloyd 3'!$B$2:$AW$2='Resumo Produção'!$A29,'Alloyd 3'!$B$15:$AW$15))</f>
        <v>0</v>
      </c>
      <c r="X29" s="188">
        <f t="array" ref="X29">SUM(IF('Alloyd 3'!$B$2:$AW$2='Resumo Produção'!$A29,'Alloyd 3'!$B$17:$AW$17))</f>
        <v>0</v>
      </c>
      <c r="Y29" s="188">
        <f t="array" ref="Y29">SUM(IF('Alloyd 3'!$B$2:$AW$2='Resumo Produção'!$A29,'Alloyd 3'!$B$18:$AW$18))</f>
        <v>0</v>
      </c>
      <c r="Z29" s="188">
        <f t="shared" si="4"/>
        <v>0</v>
      </c>
      <c r="AA29" s="189">
        <f t="shared" si="5"/>
        <v>0</v>
      </c>
    </row>
    <row r="30" spans="1:27">
      <c r="A30" s="79" t="s">
        <v>10</v>
      </c>
      <c r="B30" s="84"/>
      <c r="C30" s="84"/>
      <c r="D30" s="44">
        <f t="array" ref="D30">SUM(IF('Alloyd 1'!$B$2:$AT$2='Resumo Produção'!A30,'Alloyd 1'!$B$13:$AT$13))</f>
        <v>0</v>
      </c>
      <c r="E30" s="44">
        <f t="array" ref="E30">SUM(IF('Alloyd 1'!$B$2:$AT$2='Resumo Produção'!A30,'Alloyd 1'!$B$4:$AT$4))</f>
        <v>0</v>
      </c>
      <c r="F30" s="44">
        <f t="array" ref="F30">SUM(IF('Alloyd 1'!$B$2:$AT$2='Resumo Produção'!$A30,'Alloyd 1'!$B$16:$AT$16))</f>
        <v>0</v>
      </c>
      <c r="G30" s="44">
        <f t="array" ref="G30">SUM(IF('Alloyd 1'!$B$2:$AT$2='Resumo Produção'!$A30,'Alloyd 1'!$B$15:$AT$15))</f>
        <v>0</v>
      </c>
      <c r="H30" s="44">
        <f t="array" ref="H30">SUM(IF('Alloyd 1'!$B$2:$AT$2='Resumo Produção'!$A30,'Alloyd 1'!$B$17:$AT$17))</f>
        <v>0</v>
      </c>
      <c r="I30" s="44">
        <f t="array" ref="I30">SUM(IF('Alloyd 1'!$B$2:$AT$2='Resumo Produção'!$A30,'Alloyd 1'!$B$18:$AT$18))</f>
        <v>0</v>
      </c>
      <c r="J30" s="44">
        <f t="shared" si="21"/>
        <v>0</v>
      </c>
      <c r="K30" s="67">
        <f t="shared" si="22"/>
        <v>0</v>
      </c>
      <c r="L30" s="91" t="e">
        <f t="array" ref="L30">SUM(IF('Alloyd 1'!#REF!='Resumo Produção'!A30,'Alloyd 1'!#REF!))</f>
        <v>#REF!</v>
      </c>
      <c r="M30" s="46">
        <f t="array" ref="M30">SUM(IF('Alloyd 2'!$B$2:$AW$2='Resumo Produção'!$A30,'Alloyd 2'!$B$4:$AW$4))</f>
        <v>0</v>
      </c>
      <c r="N30" s="47">
        <f t="array" ref="N30">SUM(IF('Alloyd 2'!$B$2:$AW$2='Resumo Produção'!$A30,'Alloyd 2'!$B$16:$AW$16))</f>
        <v>0</v>
      </c>
      <c r="O30" s="47">
        <f t="array" ref="O30">SUM(IF('Alloyd 2'!$B$2:$AW$2='Resumo Produção'!$A30,'Alloyd 2'!$B$15:$AW$15))</f>
        <v>0</v>
      </c>
      <c r="P30" s="47">
        <f t="array" ref="P30">SUM(IF('Alloyd 2'!$B$2:$AW$2='Resumo Produção'!$A30,'Alloyd 2'!$B$17:$AW$17))</f>
        <v>0</v>
      </c>
      <c r="Q30" s="47">
        <f t="array" ref="Q30">SUM(IF('Alloyd 2'!$B$2:$AW$2='Resumo Produção'!$A30,'Alloyd 2'!$B$18:$AW$18))</f>
        <v>0</v>
      </c>
      <c r="R30" s="47">
        <f t="shared" si="23"/>
        <v>0</v>
      </c>
      <c r="S30" s="70">
        <f t="shared" si="24"/>
        <v>0</v>
      </c>
      <c r="T30" s="186" t="e">
        <f t="array" ref="T30">SUM(IF('Alloyd 1'!#REF!='Resumo Produção'!I30,'Alloyd 1'!#REF!))</f>
        <v>#REF!</v>
      </c>
      <c r="U30" s="187">
        <f t="array" ref="U30">SUM(IF('Alloyd 3'!$B$2:$AW$2='Resumo Produção'!$A30,'Alloyd 3'!$B$4:$AW$4))</f>
        <v>0</v>
      </c>
      <c r="V30" s="188">
        <f t="array" ref="V30">SUM(IF('Alloyd 3'!$B$2:$AW$2='Resumo Produção'!$A30,'Alloyd 3'!$B$16:$AW$16))</f>
        <v>0</v>
      </c>
      <c r="W30" s="188">
        <f t="array" ref="W30">SUM(IF('Alloyd 3'!$B$2:$AW$2='Resumo Produção'!$A30,'Alloyd 3'!$B$15:$AW$15))</f>
        <v>0</v>
      </c>
      <c r="X30" s="188">
        <f t="array" ref="X30">SUM(IF('Alloyd 3'!$B$2:$AW$2='Resumo Produção'!$A30,'Alloyd 3'!$B$17:$AW$17))</f>
        <v>0</v>
      </c>
      <c r="Y30" s="188">
        <f t="array" ref="Y30">SUM(IF('Alloyd 3'!$B$2:$AW$2='Resumo Produção'!$A30,'Alloyd 3'!$B$18:$AW$18))</f>
        <v>0</v>
      </c>
      <c r="Z30" s="188">
        <f t="shared" si="4"/>
        <v>0</v>
      </c>
      <c r="AA30" s="189">
        <f t="shared" si="5"/>
        <v>0</v>
      </c>
    </row>
    <row r="31" spans="1:27">
      <c r="A31" s="79" t="s">
        <v>39</v>
      </c>
      <c r="B31" s="84"/>
      <c r="C31" s="84"/>
      <c r="D31" s="44">
        <f t="array" ref="D31">SUM(IF('Alloyd 1'!$B$2:$AT$2='Resumo Produção'!A31,'Alloyd 1'!$B$13:$AT$13))</f>
        <v>0</v>
      </c>
      <c r="E31" s="44">
        <f t="array" ref="E31">SUM(IF('Alloyd 1'!$B$2:$AT$2='Resumo Produção'!A31,'Alloyd 1'!$B$4:$AT$4))</f>
        <v>0</v>
      </c>
      <c r="F31" s="44">
        <f t="array" ref="F31">SUM(IF('Alloyd 1'!$B$2:$AT$2='Resumo Produção'!$A31,'Alloyd 1'!$B$16:$AT$16))</f>
        <v>0</v>
      </c>
      <c r="G31" s="44">
        <f t="array" ref="G31">SUM(IF('Alloyd 1'!$B$2:$AT$2='Resumo Produção'!$A31,'Alloyd 1'!$B$15:$AT$15))</f>
        <v>0</v>
      </c>
      <c r="H31" s="44">
        <f t="array" ref="H31">SUM(IF('Alloyd 1'!$B$2:$AT$2='Resumo Produção'!$A31,'Alloyd 1'!$B$17:$AT$17))</f>
        <v>0</v>
      </c>
      <c r="I31" s="44">
        <f t="array" ref="I31">SUM(IF('Alloyd 1'!$B$2:$AT$2='Resumo Produção'!$A31,'Alloyd 1'!$B$18:$AT$18))</f>
        <v>0</v>
      </c>
      <c r="J31" s="44">
        <f t="shared" si="21"/>
        <v>0</v>
      </c>
      <c r="K31" s="67">
        <f t="shared" si="22"/>
        <v>0</v>
      </c>
      <c r="L31" s="91" t="e">
        <f t="array" ref="L31">SUM(IF('Alloyd 1'!#REF!='Resumo Produção'!A31,'Alloyd 1'!#REF!))</f>
        <v>#REF!</v>
      </c>
      <c r="M31" s="46">
        <f t="array" ref="M31">SUM(IF('Alloyd 2'!$B$2:$AW$2='Resumo Produção'!$A31,'Alloyd 2'!$B$4:$AW$4))</f>
        <v>0</v>
      </c>
      <c r="N31" s="47">
        <f t="array" ref="N31">SUM(IF('Alloyd 2'!$B$2:$AW$2='Resumo Produção'!$A31,'Alloyd 2'!$B$16:$AW$16))</f>
        <v>0</v>
      </c>
      <c r="O31" s="47">
        <f t="array" ref="O31">SUM(IF('Alloyd 2'!$B$2:$AW$2='Resumo Produção'!$A31,'Alloyd 2'!$B$15:$AW$15))</f>
        <v>0</v>
      </c>
      <c r="P31" s="47">
        <f t="array" ref="P31">SUM(IF('Alloyd 2'!$B$2:$AW$2='Resumo Produção'!$A31,'Alloyd 2'!$B$17:$AW$17))</f>
        <v>0</v>
      </c>
      <c r="Q31" s="47">
        <f t="array" ref="Q31">SUM(IF('Alloyd 2'!$B$2:$AW$2='Resumo Produção'!$A31,'Alloyd 2'!$B$18:$AW$18))</f>
        <v>0</v>
      </c>
      <c r="R31" s="47">
        <f t="shared" si="23"/>
        <v>0</v>
      </c>
      <c r="S31" s="70">
        <f t="shared" si="24"/>
        <v>0</v>
      </c>
      <c r="T31" s="186" t="e">
        <f t="array" ref="T31">SUM(IF('Alloyd 1'!#REF!='Resumo Produção'!I31,'Alloyd 1'!#REF!))</f>
        <v>#REF!</v>
      </c>
      <c r="U31" s="187">
        <f t="array" ref="U31">SUM(IF('Alloyd 3'!$B$2:$AW$2='Resumo Produção'!$A31,'Alloyd 3'!$B$4:$AW$4))</f>
        <v>0</v>
      </c>
      <c r="V31" s="188">
        <f t="array" ref="V31">SUM(IF('Alloyd 3'!$B$2:$AW$2='Resumo Produção'!$A31,'Alloyd 3'!$B$16:$AW$16))</f>
        <v>0</v>
      </c>
      <c r="W31" s="188">
        <f t="array" ref="W31">SUM(IF('Alloyd 3'!$B$2:$AW$2='Resumo Produção'!$A31,'Alloyd 3'!$B$15:$AW$15))</f>
        <v>0</v>
      </c>
      <c r="X31" s="188">
        <f t="array" ref="X31">SUM(IF('Alloyd 3'!$B$2:$AW$2='Resumo Produção'!$A31,'Alloyd 3'!$B$17:$AW$17))</f>
        <v>0</v>
      </c>
      <c r="Y31" s="188">
        <f t="array" ref="Y31">SUM(IF('Alloyd 3'!$B$2:$AW$2='Resumo Produção'!$A31,'Alloyd 3'!$B$18:$AW$18))</f>
        <v>0</v>
      </c>
      <c r="Z31" s="188">
        <f t="shared" si="4"/>
        <v>0</v>
      </c>
      <c r="AA31" s="189">
        <f t="shared" si="5"/>
        <v>0</v>
      </c>
    </row>
    <row r="32" spans="1:27">
      <c r="A32" s="79" t="s">
        <v>85</v>
      </c>
      <c r="B32" s="84"/>
      <c r="C32" s="84"/>
      <c r="D32" s="44">
        <f t="array" ref="D32">SUM(IF('Alloyd 1'!$B$2:$AT$2='Resumo Produção'!A32,'Alloyd 1'!$B$13:$AT$13))</f>
        <v>0</v>
      </c>
      <c r="E32" s="44">
        <f t="array" ref="E32">SUM(IF('Alloyd 1'!$B$2:$AT$2='Resumo Produção'!A32,'Alloyd 1'!$B$4:$AT$4))</f>
        <v>0</v>
      </c>
      <c r="F32" s="44">
        <f t="array" ref="F32">SUM(IF('Alloyd 1'!$B$2:$AT$2='Resumo Produção'!$A32,'Alloyd 1'!$B$16:$AT$16))</f>
        <v>0</v>
      </c>
      <c r="G32" s="44">
        <f t="array" ref="G32">SUM(IF('Alloyd 1'!$B$2:$AT$2='Resumo Produção'!$A32,'Alloyd 1'!$B$15:$AT$15))</f>
        <v>0</v>
      </c>
      <c r="H32" s="44">
        <f t="array" ref="H32">SUM(IF('Alloyd 1'!$B$2:$AT$2='Resumo Produção'!$A32,'Alloyd 1'!$B$17:$AT$17))</f>
        <v>0</v>
      </c>
      <c r="I32" s="44">
        <f t="array" ref="I32">SUM(IF('Alloyd 1'!$B$2:$AT$2='Resumo Produção'!$A32,'Alloyd 1'!$B$18:$AT$18))</f>
        <v>0</v>
      </c>
      <c r="J32" s="44">
        <f t="shared" si="21"/>
        <v>0</v>
      </c>
      <c r="K32" s="67">
        <f t="shared" si="22"/>
        <v>0</v>
      </c>
      <c r="L32" s="91" t="e">
        <f t="array" ref="L32">SUM(IF('Alloyd 1'!#REF!='Resumo Produção'!A32,'Alloyd 1'!#REF!))</f>
        <v>#REF!</v>
      </c>
      <c r="M32" s="46">
        <f t="array" ref="M32">SUM(IF('Alloyd 2'!$B$2:$AW$2='Resumo Produção'!$A32,'Alloyd 2'!$B$4:$AW$4))</f>
        <v>0</v>
      </c>
      <c r="N32" s="47">
        <f t="array" ref="N32">SUM(IF('Alloyd 2'!$B$2:$AW$2='Resumo Produção'!$A32,'Alloyd 2'!$B$16:$AW$16))</f>
        <v>0</v>
      </c>
      <c r="O32" s="47">
        <f t="array" ref="O32">SUM(IF('Alloyd 2'!$B$2:$AW$2='Resumo Produção'!$A32,'Alloyd 2'!$B$15:$AW$15))</f>
        <v>0</v>
      </c>
      <c r="P32" s="47">
        <f t="array" ref="P32">SUM(IF('Alloyd 2'!$B$2:$AW$2='Resumo Produção'!$A32,'Alloyd 2'!$B$17:$AW$17))</f>
        <v>0</v>
      </c>
      <c r="Q32" s="47">
        <f t="array" ref="Q32">SUM(IF('Alloyd 2'!$B$2:$AW$2='Resumo Produção'!$A32,'Alloyd 2'!$B$18:$AW$18))</f>
        <v>0</v>
      </c>
      <c r="R32" s="47">
        <f t="shared" si="23"/>
        <v>0</v>
      </c>
      <c r="S32" s="70">
        <f t="shared" si="24"/>
        <v>0</v>
      </c>
      <c r="T32" s="186" t="e">
        <f t="array" ref="T32">SUM(IF('Alloyd 1'!#REF!='Resumo Produção'!I32,'Alloyd 1'!#REF!))</f>
        <v>#REF!</v>
      </c>
      <c r="U32" s="187">
        <f t="array" ref="U32">SUM(IF('Alloyd 3'!$B$2:$AW$2='Resumo Produção'!$A32,'Alloyd 3'!$B$4:$AW$4))</f>
        <v>0</v>
      </c>
      <c r="V32" s="188">
        <f t="array" ref="V32">SUM(IF('Alloyd 3'!$B$2:$AW$2='Resumo Produção'!$A32,'Alloyd 3'!$B$16:$AW$16))</f>
        <v>0</v>
      </c>
      <c r="W32" s="188">
        <f t="array" ref="W32">SUM(IF('Alloyd 3'!$B$2:$AW$2='Resumo Produção'!$A32,'Alloyd 3'!$B$15:$AW$15))</f>
        <v>0</v>
      </c>
      <c r="X32" s="188">
        <f t="array" ref="X32">SUM(IF('Alloyd 3'!$B$2:$AW$2='Resumo Produção'!$A32,'Alloyd 3'!$B$17:$AW$17))</f>
        <v>0</v>
      </c>
      <c r="Y32" s="188">
        <f t="array" ref="Y32">SUM(IF('Alloyd 3'!$B$2:$AW$2='Resumo Produção'!$A32,'Alloyd 3'!$B$18:$AW$18))</f>
        <v>0</v>
      </c>
      <c r="Z32" s="188">
        <f t="shared" si="4"/>
        <v>0</v>
      </c>
      <c r="AA32" s="189">
        <f t="shared" si="5"/>
        <v>0</v>
      </c>
    </row>
    <row r="33" spans="1:27">
      <c r="A33" s="79" t="s">
        <v>92</v>
      </c>
      <c r="B33" s="84"/>
      <c r="C33" s="84"/>
      <c r="D33" s="44">
        <f t="array" ref="D33">SUM(IF('Alloyd 1'!$B$2:$AT$2='Resumo Produção'!A33,'Alloyd 1'!$B$13:$AT$13))</f>
        <v>0</v>
      </c>
      <c r="E33" s="44">
        <f t="array" ref="E33">SUM(IF('Alloyd 1'!$B$2:$AT$2='Resumo Produção'!A33,'Alloyd 1'!$B$4:$AT$4))</f>
        <v>0</v>
      </c>
      <c r="F33" s="44">
        <f t="array" ref="F33">SUM(IF('Alloyd 1'!$B$2:$AT$2='Resumo Produção'!$A33,'Alloyd 1'!$B$16:$AT$16))</f>
        <v>0</v>
      </c>
      <c r="G33" s="44">
        <f t="array" ref="G33">SUM(IF('Alloyd 1'!$B$2:$AT$2='Resumo Produção'!$A33,'Alloyd 1'!$B$15:$AT$15))</f>
        <v>0</v>
      </c>
      <c r="H33" s="44">
        <f t="array" ref="H33">SUM(IF('Alloyd 1'!$B$2:$AT$2='Resumo Produção'!$A33,'Alloyd 1'!$B$17:$AT$17))</f>
        <v>0</v>
      </c>
      <c r="I33" s="44">
        <f t="array" ref="I33">SUM(IF('Alloyd 1'!$B$2:$AT$2='Resumo Produção'!$A33,'Alloyd 1'!$B$18:$AT$18))</f>
        <v>0</v>
      </c>
      <c r="J33" s="44">
        <f t="shared" si="21"/>
        <v>0</v>
      </c>
      <c r="K33" s="67">
        <f t="shared" si="22"/>
        <v>0</v>
      </c>
      <c r="L33" s="91" t="e">
        <f t="array" ref="L33">SUM(IF('Alloyd 1'!#REF!='Resumo Produção'!A33,'Alloyd 1'!#REF!))</f>
        <v>#REF!</v>
      </c>
      <c r="M33" s="46">
        <f t="array" ref="M33">SUM(IF('Alloyd 2'!$B$2:$AW$2='Resumo Produção'!$A33,'Alloyd 2'!$B$4:$AW$4))</f>
        <v>0</v>
      </c>
      <c r="N33" s="47">
        <f t="array" ref="N33">SUM(IF('Alloyd 2'!$B$2:$AW$2='Resumo Produção'!$A33,'Alloyd 2'!$B$16:$AW$16))</f>
        <v>0</v>
      </c>
      <c r="O33" s="47">
        <f t="array" ref="O33">SUM(IF('Alloyd 2'!$B$2:$AW$2='Resumo Produção'!$A33,'Alloyd 2'!$B$15:$AW$15))</f>
        <v>0</v>
      </c>
      <c r="P33" s="47">
        <f t="array" ref="P33">SUM(IF('Alloyd 2'!$B$2:$AW$2='Resumo Produção'!$A33,'Alloyd 2'!$B$17:$AW$17))</f>
        <v>0</v>
      </c>
      <c r="Q33" s="47">
        <f t="array" ref="Q33">SUM(IF('Alloyd 2'!$B$2:$AW$2='Resumo Produção'!$A33,'Alloyd 2'!$B$18:$AW$18))</f>
        <v>0</v>
      </c>
      <c r="R33" s="47">
        <f t="shared" si="23"/>
        <v>0</v>
      </c>
      <c r="S33" s="70">
        <f t="shared" si="24"/>
        <v>0</v>
      </c>
      <c r="T33" s="186" t="e">
        <f t="array" ref="T33">SUM(IF('Alloyd 1'!#REF!='Resumo Produção'!I33,'Alloyd 1'!#REF!))</f>
        <v>#REF!</v>
      </c>
      <c r="U33" s="187">
        <f t="array" ref="U33">SUM(IF('Alloyd 3'!$B$2:$AW$2='Resumo Produção'!$A33,'Alloyd 3'!$B$4:$AW$4))</f>
        <v>0</v>
      </c>
      <c r="V33" s="188">
        <f t="array" ref="V33">SUM(IF('Alloyd 3'!$B$2:$AW$2='Resumo Produção'!$A33,'Alloyd 3'!$B$16:$AW$16))</f>
        <v>0</v>
      </c>
      <c r="W33" s="188">
        <f t="array" ref="W33">SUM(IF('Alloyd 3'!$B$2:$AW$2='Resumo Produção'!$A33,'Alloyd 3'!$B$15:$AW$15))</f>
        <v>0</v>
      </c>
      <c r="X33" s="188">
        <f t="array" ref="X33">SUM(IF('Alloyd 3'!$B$2:$AW$2='Resumo Produção'!$A33,'Alloyd 3'!$B$17:$AW$17))</f>
        <v>0</v>
      </c>
      <c r="Y33" s="188">
        <f t="array" ref="Y33">SUM(IF('Alloyd 3'!$B$2:$AW$2='Resumo Produção'!$A33,'Alloyd 3'!$B$18:$AW$18))</f>
        <v>0</v>
      </c>
      <c r="Z33" s="188">
        <f t="shared" si="4"/>
        <v>0</v>
      </c>
      <c r="AA33" s="189">
        <f t="shared" si="5"/>
        <v>0</v>
      </c>
    </row>
    <row r="34" spans="1:27">
      <c r="A34" s="79" t="s">
        <v>86</v>
      </c>
      <c r="B34" s="84"/>
      <c r="C34" s="84"/>
      <c r="D34" s="44">
        <f t="array" ref="D34">SUM(IF('Alloyd 1'!$B$2:$AT$2='Resumo Produção'!A34,'Alloyd 1'!$B$13:$AT$13))</f>
        <v>0</v>
      </c>
      <c r="E34" s="44">
        <f t="array" ref="E34">SUM(IF('Alloyd 1'!$B$2:$AT$2='Resumo Produção'!A34,'Alloyd 1'!$B$4:$AT$4))</f>
        <v>0</v>
      </c>
      <c r="F34" s="44">
        <f t="array" ref="F34">SUM(IF('Alloyd 1'!$B$2:$AT$2='Resumo Produção'!$A34,'Alloyd 1'!$B$16:$AT$16))</f>
        <v>0</v>
      </c>
      <c r="G34" s="44">
        <f t="array" ref="G34">SUM(IF('Alloyd 1'!$B$2:$AT$2='Resumo Produção'!$A34,'Alloyd 1'!$B$15:$AT$15))</f>
        <v>0</v>
      </c>
      <c r="H34" s="44">
        <f t="array" ref="H34">SUM(IF('Alloyd 1'!$B$2:$AT$2='Resumo Produção'!$A34,'Alloyd 1'!$B$17:$AT$17))</f>
        <v>0</v>
      </c>
      <c r="I34" s="44">
        <f t="array" ref="I34">SUM(IF('Alloyd 1'!$B$2:$AT$2='Resumo Produção'!$A34,'Alloyd 1'!$B$18:$AT$18))</f>
        <v>0</v>
      </c>
      <c r="J34" s="44">
        <f t="shared" si="21"/>
        <v>0</v>
      </c>
      <c r="K34" s="67">
        <f t="shared" si="22"/>
        <v>0</v>
      </c>
      <c r="L34" s="91" t="e">
        <f t="array" ref="L34">SUM(IF('Alloyd 1'!#REF!='Resumo Produção'!A34,'Alloyd 1'!#REF!))</f>
        <v>#REF!</v>
      </c>
      <c r="M34" s="46">
        <f t="array" ref="M34">SUM(IF('Alloyd 2'!$B$2:$AW$2='Resumo Produção'!$A34,'Alloyd 2'!$B$4:$AW$4))</f>
        <v>0</v>
      </c>
      <c r="N34" s="47">
        <f t="array" ref="N34">SUM(IF('Alloyd 2'!$B$2:$AW$2='Resumo Produção'!$A34,'Alloyd 2'!$B$16:$AW$16))</f>
        <v>0</v>
      </c>
      <c r="O34" s="47">
        <f t="array" ref="O34">SUM(IF('Alloyd 2'!$B$2:$AW$2='Resumo Produção'!$A34,'Alloyd 2'!$B$15:$AW$15))</f>
        <v>0</v>
      </c>
      <c r="P34" s="47">
        <f t="array" ref="P34">SUM(IF('Alloyd 2'!$B$2:$AW$2='Resumo Produção'!$A34,'Alloyd 2'!$B$17:$AW$17))</f>
        <v>0</v>
      </c>
      <c r="Q34" s="47">
        <f t="array" ref="Q34">SUM(IF('Alloyd 2'!$B$2:$AW$2='Resumo Produção'!$A34,'Alloyd 2'!$B$18:$AW$18))</f>
        <v>0</v>
      </c>
      <c r="R34" s="47">
        <f t="shared" si="23"/>
        <v>0</v>
      </c>
      <c r="S34" s="70">
        <f t="shared" si="24"/>
        <v>0</v>
      </c>
      <c r="T34" s="186" t="e">
        <f t="array" ref="T34">SUM(IF('Alloyd 1'!#REF!='Resumo Produção'!I34,'Alloyd 1'!#REF!))</f>
        <v>#REF!</v>
      </c>
      <c r="U34" s="187">
        <f t="array" ref="U34">SUM(IF('Alloyd 3'!$B$2:$AW$2='Resumo Produção'!$A34,'Alloyd 3'!$B$4:$AW$4))</f>
        <v>0</v>
      </c>
      <c r="V34" s="188">
        <f t="array" ref="V34">SUM(IF('Alloyd 3'!$B$2:$AW$2='Resumo Produção'!$A34,'Alloyd 3'!$B$16:$AW$16))</f>
        <v>0</v>
      </c>
      <c r="W34" s="188">
        <f t="array" ref="W34">SUM(IF('Alloyd 3'!$B$2:$AW$2='Resumo Produção'!$A34,'Alloyd 3'!$B$15:$AW$15))</f>
        <v>0</v>
      </c>
      <c r="X34" s="188">
        <f t="array" ref="X34">SUM(IF('Alloyd 3'!$B$2:$AW$2='Resumo Produção'!$A34,'Alloyd 3'!$B$17:$AW$17))</f>
        <v>0</v>
      </c>
      <c r="Y34" s="188">
        <f t="array" ref="Y34">SUM(IF('Alloyd 3'!$B$2:$AW$2='Resumo Produção'!$A34,'Alloyd 3'!$B$18:$AW$18))</f>
        <v>0</v>
      </c>
      <c r="Z34" s="188">
        <f t="shared" si="4"/>
        <v>0</v>
      </c>
      <c r="AA34" s="189">
        <f t="shared" si="5"/>
        <v>0</v>
      </c>
    </row>
    <row r="35" spans="1:27">
      <c r="A35" s="79" t="s">
        <v>87</v>
      </c>
      <c r="B35" s="84"/>
      <c r="C35" s="84"/>
      <c r="D35" s="44">
        <f t="array" ref="D35">SUM(IF('Alloyd 1'!$B$2:$AT$2='Resumo Produção'!A35,'Alloyd 1'!$B$13:$AT$13))</f>
        <v>0</v>
      </c>
      <c r="E35" s="44">
        <f t="array" ref="E35">SUM(IF('Alloyd 1'!$B$2:$AT$2='Resumo Produção'!A35,'Alloyd 1'!$B$4:$AT$4))</f>
        <v>0</v>
      </c>
      <c r="F35" s="44">
        <f t="array" ref="F35">SUM(IF('Alloyd 1'!$B$2:$AT$2='Resumo Produção'!$A35,'Alloyd 1'!$B$16:$AT$16))</f>
        <v>0</v>
      </c>
      <c r="G35" s="44">
        <f t="array" ref="G35">SUM(IF('Alloyd 1'!$B$2:$AT$2='Resumo Produção'!$A35,'Alloyd 1'!$B$15:$AT$15))</f>
        <v>0</v>
      </c>
      <c r="H35" s="44">
        <f t="array" ref="H35">SUM(IF('Alloyd 1'!$B$2:$AT$2='Resumo Produção'!$A35,'Alloyd 1'!$B$17:$AT$17))</f>
        <v>0</v>
      </c>
      <c r="I35" s="44">
        <f t="array" ref="I35">SUM(IF('Alloyd 1'!$B$2:$AT$2='Resumo Produção'!$A35,'Alloyd 1'!$B$18:$AT$18))</f>
        <v>0</v>
      </c>
      <c r="J35" s="44">
        <f t="shared" si="0"/>
        <v>0</v>
      </c>
      <c r="K35" s="67">
        <f t="shared" si="1"/>
        <v>0</v>
      </c>
      <c r="L35" s="91" t="e">
        <f t="array" ref="L35">SUM(IF('Alloyd 1'!#REF!='Resumo Produção'!A35,'Alloyd 1'!#REF!))</f>
        <v>#REF!</v>
      </c>
      <c r="M35" s="46">
        <f t="array" ref="M35">SUM(IF('Alloyd 2'!$B$2:$AW$2='Resumo Produção'!$A35,'Alloyd 2'!$B$4:$AW$4))</f>
        <v>0</v>
      </c>
      <c r="N35" s="47">
        <f t="array" ref="N35">SUM(IF('Alloyd 2'!$B$2:$AW$2='Resumo Produção'!$A35,'Alloyd 2'!$B$16:$AW$16))</f>
        <v>0</v>
      </c>
      <c r="O35" s="47">
        <f t="array" ref="O35">SUM(IF('Alloyd 2'!$B$2:$AW$2='Resumo Produção'!$A35,'Alloyd 2'!$B$15:$AW$15))</f>
        <v>0</v>
      </c>
      <c r="P35" s="47">
        <f t="array" ref="P35">SUM(IF('Alloyd 2'!$B$2:$AW$2='Resumo Produção'!$A35,'Alloyd 2'!$B$17:$AW$17))</f>
        <v>0</v>
      </c>
      <c r="Q35" s="47">
        <f t="array" ref="Q35">SUM(IF('Alloyd 2'!$B$2:$AW$2='Resumo Produção'!$A35,'Alloyd 2'!$B$18:$AW$18))</f>
        <v>0</v>
      </c>
      <c r="R35" s="47">
        <f t="shared" si="6"/>
        <v>0</v>
      </c>
      <c r="S35" s="70">
        <f t="shared" si="3"/>
        <v>0</v>
      </c>
      <c r="T35" s="186" t="e">
        <f t="array" ref="T35">SUM(IF('Alloyd 1'!#REF!='Resumo Produção'!I35,'Alloyd 1'!#REF!))</f>
        <v>#REF!</v>
      </c>
      <c r="U35" s="187">
        <f t="array" ref="U35">SUM(IF('Alloyd 3'!$B$2:$AW$2='Resumo Produção'!$A35,'Alloyd 3'!$B$4:$AW$4))</f>
        <v>0</v>
      </c>
      <c r="V35" s="188">
        <f t="array" ref="V35">SUM(IF('Alloyd 3'!$B$2:$AW$2='Resumo Produção'!$A35,'Alloyd 3'!$B$16:$AW$16))</f>
        <v>0</v>
      </c>
      <c r="W35" s="188">
        <f t="array" ref="W35">SUM(IF('Alloyd 3'!$B$2:$AW$2='Resumo Produção'!$A35,'Alloyd 3'!$B$15:$AW$15))</f>
        <v>0</v>
      </c>
      <c r="X35" s="188">
        <f t="array" ref="X35">SUM(IF('Alloyd 3'!$B$2:$AW$2='Resumo Produção'!$A35,'Alloyd 3'!$B$17:$AW$17))</f>
        <v>0</v>
      </c>
      <c r="Y35" s="188">
        <f t="array" ref="Y35">SUM(IF('Alloyd 3'!$B$2:$AW$2='Resumo Produção'!$A35,'Alloyd 3'!$B$18:$AW$18))</f>
        <v>0</v>
      </c>
      <c r="Z35" s="188">
        <f t="shared" si="4"/>
        <v>0</v>
      </c>
      <c r="AA35" s="189">
        <f t="shared" si="5"/>
        <v>0</v>
      </c>
    </row>
    <row r="36" spans="1:27">
      <c r="A36" s="79" t="s">
        <v>93</v>
      </c>
      <c r="B36" s="84"/>
      <c r="C36" s="84"/>
      <c r="D36" s="44">
        <f t="array" ref="D36">SUM(IF('Alloyd 1'!$B$2:$AT$2='Resumo Produção'!A36,'Alloyd 1'!$B$13:$AT$13))</f>
        <v>0</v>
      </c>
      <c r="E36" s="44">
        <f t="array" ref="E36">SUM(IF('Alloyd 1'!$B$2:$AT$2='Resumo Produção'!A36,'Alloyd 1'!$B$4:$AT$4))</f>
        <v>0</v>
      </c>
      <c r="F36" s="44">
        <f t="array" ref="F36">SUM(IF('Alloyd 1'!$B$2:$AT$2='Resumo Produção'!$A36,'Alloyd 1'!$B$16:$AT$16))</f>
        <v>0</v>
      </c>
      <c r="G36" s="44">
        <f t="array" ref="G36">SUM(IF('Alloyd 1'!$B$2:$AT$2='Resumo Produção'!$A36,'Alloyd 1'!$B$15:$AT$15))</f>
        <v>0</v>
      </c>
      <c r="H36" s="44">
        <f t="array" ref="H36">SUM(IF('Alloyd 1'!$B$2:$AT$2='Resumo Produção'!$A36,'Alloyd 1'!$B$17:$AT$17))</f>
        <v>0</v>
      </c>
      <c r="I36" s="44">
        <f t="array" ref="I36">SUM(IF('Alloyd 1'!$B$2:$AT$2='Resumo Produção'!$A36,'Alloyd 1'!$B$18:$AT$18))</f>
        <v>0</v>
      </c>
      <c r="J36" s="44">
        <f t="shared" si="0"/>
        <v>0</v>
      </c>
      <c r="K36" s="67">
        <f t="shared" si="1"/>
        <v>0</v>
      </c>
      <c r="L36" s="91" t="e">
        <f t="array" ref="L36">SUM(IF('Alloyd 1'!#REF!='Resumo Produção'!A36,'Alloyd 1'!#REF!))</f>
        <v>#REF!</v>
      </c>
      <c r="M36" s="46">
        <f t="array" ref="M36">SUM(IF('Alloyd 2'!$B$2:$AW$2='Resumo Produção'!$A36,'Alloyd 2'!$B$4:$AW$4))</f>
        <v>0</v>
      </c>
      <c r="N36" s="47">
        <f t="array" ref="N36">SUM(IF('Alloyd 2'!$B$2:$AW$2='Resumo Produção'!$A36,'Alloyd 2'!$B$16:$AW$16))</f>
        <v>0</v>
      </c>
      <c r="O36" s="47">
        <f t="array" ref="O36">SUM(IF('Alloyd 2'!$B$2:$AW$2='Resumo Produção'!$A36,'Alloyd 2'!$B$15:$AW$15))</f>
        <v>0</v>
      </c>
      <c r="P36" s="47">
        <f t="array" ref="P36">SUM(IF('Alloyd 2'!$B$2:$AW$2='Resumo Produção'!$A36,'Alloyd 2'!$B$17:$AW$17))</f>
        <v>0</v>
      </c>
      <c r="Q36" s="47">
        <f t="array" ref="Q36">SUM(IF('Alloyd 2'!$B$2:$AW$2='Resumo Produção'!$A36,'Alloyd 2'!$B$18:$AW$18))</f>
        <v>0</v>
      </c>
      <c r="R36" s="47">
        <f t="shared" si="6"/>
        <v>0</v>
      </c>
      <c r="S36" s="70">
        <f t="shared" si="3"/>
        <v>0</v>
      </c>
      <c r="T36" s="186" t="e">
        <f t="array" ref="T36">SUM(IF('Alloyd 1'!#REF!='Resumo Produção'!I36,'Alloyd 1'!#REF!))</f>
        <v>#REF!</v>
      </c>
      <c r="U36" s="187">
        <f t="array" ref="U36">SUM(IF('Alloyd 3'!$B$2:$AW$2='Resumo Produção'!$A36,'Alloyd 3'!$B$4:$AW$4))</f>
        <v>0</v>
      </c>
      <c r="V36" s="188">
        <f t="array" ref="V36">SUM(IF('Alloyd 3'!$B$2:$AW$2='Resumo Produção'!$A36,'Alloyd 3'!$B$16:$AW$16))</f>
        <v>0</v>
      </c>
      <c r="W36" s="188">
        <f t="array" ref="W36">SUM(IF('Alloyd 3'!$B$2:$AW$2='Resumo Produção'!$A36,'Alloyd 3'!$B$15:$AW$15))</f>
        <v>0</v>
      </c>
      <c r="X36" s="188">
        <f t="array" ref="X36">SUM(IF('Alloyd 3'!$B$2:$AW$2='Resumo Produção'!$A36,'Alloyd 3'!$B$17:$AW$17))</f>
        <v>0</v>
      </c>
      <c r="Y36" s="188">
        <f t="array" ref="Y36">SUM(IF('Alloyd 3'!$B$2:$AW$2='Resumo Produção'!$A36,'Alloyd 3'!$B$18:$AW$18))</f>
        <v>0</v>
      </c>
      <c r="Z36" s="188">
        <f t="shared" si="4"/>
        <v>0</v>
      </c>
      <c r="AA36" s="189">
        <f t="shared" si="5"/>
        <v>0</v>
      </c>
    </row>
    <row r="37" spans="1:27">
      <c r="A37" s="79" t="s">
        <v>35</v>
      </c>
      <c r="B37" s="84"/>
      <c r="C37" s="84"/>
      <c r="D37" s="44">
        <f t="array" ref="D37">SUM(IF('Alloyd 1'!$B$2:$AT$2='Resumo Produção'!A37,'Alloyd 1'!$B$13:$AT$13))</f>
        <v>0</v>
      </c>
      <c r="E37" s="44">
        <f t="array" ref="E37">SUM(IF('Alloyd 1'!$B$2:$AT$2='Resumo Produção'!A37,'Alloyd 1'!$B$4:$AT$4))</f>
        <v>0</v>
      </c>
      <c r="F37" s="44">
        <f t="array" ref="F37">SUM(IF('Alloyd 1'!$B$2:$AT$2='Resumo Produção'!$A37,'Alloyd 1'!$B$16:$AT$16))</f>
        <v>0</v>
      </c>
      <c r="G37" s="44">
        <f t="array" ref="G37">SUM(IF('Alloyd 1'!$B$2:$AT$2='Resumo Produção'!$A37,'Alloyd 1'!$B$15:$AT$15))</f>
        <v>0</v>
      </c>
      <c r="H37" s="44">
        <f t="array" ref="H37">SUM(IF('Alloyd 1'!$B$2:$AT$2='Resumo Produção'!$A37,'Alloyd 1'!$B$17:$AT$17))</f>
        <v>0</v>
      </c>
      <c r="I37" s="44">
        <f t="array" ref="I37">SUM(IF('Alloyd 1'!$B$2:$AT$2='Resumo Produção'!$A37,'Alloyd 1'!$B$18:$AT$18))</f>
        <v>0</v>
      </c>
      <c r="J37" s="44">
        <f t="shared" si="0"/>
        <v>0</v>
      </c>
      <c r="K37" s="67">
        <f t="shared" si="1"/>
        <v>0</v>
      </c>
      <c r="L37" s="91" t="e">
        <f t="array" ref="L37">SUM(IF('Alloyd 1'!#REF!='Resumo Produção'!A37,'Alloyd 1'!#REF!))</f>
        <v>#REF!</v>
      </c>
      <c r="M37" s="46">
        <f t="array" ref="M37">SUM(IF('Alloyd 2'!$B$2:$AW$2='Resumo Produção'!$A37,'Alloyd 2'!$B$4:$AW$4))</f>
        <v>0</v>
      </c>
      <c r="N37" s="47">
        <f t="array" ref="N37">SUM(IF('Alloyd 2'!$B$2:$AW$2='Resumo Produção'!$A37,'Alloyd 2'!$B$16:$AW$16))</f>
        <v>0</v>
      </c>
      <c r="O37" s="47">
        <f t="array" ref="O37">SUM(IF('Alloyd 2'!$B$2:$AW$2='Resumo Produção'!$A37,'Alloyd 2'!$B$15:$AW$15))</f>
        <v>0</v>
      </c>
      <c r="P37" s="47">
        <f t="array" ref="P37">SUM(IF('Alloyd 2'!$B$2:$AW$2='Resumo Produção'!$A37,'Alloyd 2'!$B$17:$AW$17))</f>
        <v>0</v>
      </c>
      <c r="Q37" s="47">
        <f t="array" ref="Q37">SUM(IF('Alloyd 2'!$B$2:$AW$2='Resumo Produção'!$A37,'Alloyd 2'!$B$18:$AW$18))</f>
        <v>0</v>
      </c>
      <c r="R37" s="47">
        <f t="shared" si="6"/>
        <v>0</v>
      </c>
      <c r="S37" s="70">
        <f t="shared" si="3"/>
        <v>0</v>
      </c>
      <c r="T37" s="186" t="e">
        <f t="array" ref="T37">SUM(IF('Alloyd 1'!#REF!='Resumo Produção'!I37,'Alloyd 1'!#REF!))</f>
        <v>#REF!</v>
      </c>
      <c r="U37" s="187">
        <f t="array" ref="U37">SUM(IF('Alloyd 3'!$B$2:$AW$2='Resumo Produção'!$A37,'Alloyd 3'!$B$4:$AW$4))</f>
        <v>0</v>
      </c>
      <c r="V37" s="188">
        <f t="array" ref="V37">SUM(IF('Alloyd 3'!$B$2:$AW$2='Resumo Produção'!$A37,'Alloyd 3'!$B$16:$AW$16))</f>
        <v>0</v>
      </c>
      <c r="W37" s="188">
        <f t="array" ref="W37">SUM(IF('Alloyd 3'!$B$2:$AW$2='Resumo Produção'!$A37,'Alloyd 3'!$B$15:$AW$15))</f>
        <v>0</v>
      </c>
      <c r="X37" s="188">
        <f t="array" ref="X37">SUM(IF('Alloyd 3'!$B$2:$AW$2='Resumo Produção'!$A37,'Alloyd 3'!$B$17:$AW$17))</f>
        <v>0</v>
      </c>
      <c r="Y37" s="188">
        <f t="array" ref="Y37">SUM(IF('Alloyd 3'!$B$2:$AW$2='Resumo Produção'!$A37,'Alloyd 3'!$B$18:$AW$18))</f>
        <v>0</v>
      </c>
      <c r="Z37" s="188">
        <f t="shared" si="4"/>
        <v>0</v>
      </c>
      <c r="AA37" s="189">
        <f t="shared" si="5"/>
        <v>0</v>
      </c>
    </row>
    <row r="38" spans="1:27">
      <c r="A38" s="79" t="s">
        <v>36</v>
      </c>
      <c r="B38" s="84"/>
      <c r="C38" s="84"/>
      <c r="D38" s="44">
        <f t="array" ref="D38">SUM(IF('Alloyd 1'!$B$2:$AT$2='Resumo Produção'!A38,'Alloyd 1'!$B$13:$AT$13))</f>
        <v>0</v>
      </c>
      <c r="E38" s="44">
        <f t="array" ref="E38">SUM(IF('Alloyd 1'!$B$2:$AT$2='Resumo Produção'!A38,'Alloyd 1'!$B$4:$AT$4))</f>
        <v>0</v>
      </c>
      <c r="F38" s="44">
        <f t="array" ref="F38">SUM(IF('Alloyd 1'!$B$2:$AT$2='Resumo Produção'!$A38,'Alloyd 1'!$B$16:$AT$16))</f>
        <v>0</v>
      </c>
      <c r="G38" s="44">
        <f t="array" ref="G38">SUM(IF('Alloyd 1'!$B$2:$AT$2='Resumo Produção'!$A38,'Alloyd 1'!$B$15:$AT$15))</f>
        <v>0</v>
      </c>
      <c r="H38" s="44">
        <f t="array" ref="H38">SUM(IF('Alloyd 1'!$B$2:$AT$2='Resumo Produção'!$A38,'Alloyd 1'!$B$17:$AT$17))</f>
        <v>0</v>
      </c>
      <c r="I38" s="44">
        <f t="array" ref="I38">SUM(IF('Alloyd 1'!$B$2:$AT$2='Resumo Produção'!$A38,'Alloyd 1'!$B$18:$AT$18))</f>
        <v>0</v>
      </c>
      <c r="J38" s="44">
        <f t="shared" si="0"/>
        <v>0</v>
      </c>
      <c r="K38" s="67">
        <f t="shared" si="1"/>
        <v>0</v>
      </c>
      <c r="L38" s="91" t="e">
        <f t="array" ref="L38">SUM(IF('Alloyd 1'!#REF!='Resumo Produção'!A38,'Alloyd 1'!#REF!))</f>
        <v>#REF!</v>
      </c>
      <c r="M38" s="46">
        <f t="array" ref="M38">SUM(IF('Alloyd 2'!$B$2:$AW$2='Resumo Produção'!$A38,'Alloyd 2'!$B$4:$AW$4))</f>
        <v>0</v>
      </c>
      <c r="N38" s="47">
        <f t="array" ref="N38">SUM(IF('Alloyd 2'!$B$2:$AW$2='Resumo Produção'!$A38,'Alloyd 2'!$B$16:$AW$16))</f>
        <v>0</v>
      </c>
      <c r="O38" s="47">
        <f t="array" ref="O38">SUM(IF('Alloyd 2'!$B$2:$AW$2='Resumo Produção'!$A38,'Alloyd 2'!$B$15:$AW$15))</f>
        <v>0</v>
      </c>
      <c r="P38" s="47">
        <f t="array" ref="P38">SUM(IF('Alloyd 2'!$B$2:$AW$2='Resumo Produção'!$A38,'Alloyd 2'!$B$17:$AW$17))</f>
        <v>0</v>
      </c>
      <c r="Q38" s="47">
        <f t="array" ref="Q38">SUM(IF('Alloyd 2'!$B$2:$AW$2='Resumo Produção'!$A38,'Alloyd 2'!$B$18:$AW$18))</f>
        <v>0</v>
      </c>
      <c r="R38" s="47">
        <f t="shared" si="6"/>
        <v>0</v>
      </c>
      <c r="S38" s="70">
        <f t="shared" si="3"/>
        <v>0</v>
      </c>
      <c r="T38" s="186" t="e">
        <f t="array" ref="T38">SUM(IF('Alloyd 1'!#REF!='Resumo Produção'!I38,'Alloyd 1'!#REF!))</f>
        <v>#REF!</v>
      </c>
      <c r="U38" s="187">
        <f t="array" ref="U38">SUM(IF('Alloyd 3'!$B$2:$AW$2='Resumo Produção'!$A38,'Alloyd 3'!$B$4:$AW$4))</f>
        <v>0</v>
      </c>
      <c r="V38" s="188">
        <f t="array" ref="V38">SUM(IF('Alloyd 3'!$B$2:$AW$2='Resumo Produção'!$A38,'Alloyd 3'!$B$16:$AW$16))</f>
        <v>0</v>
      </c>
      <c r="W38" s="188">
        <f t="array" ref="W38">SUM(IF('Alloyd 3'!$B$2:$AW$2='Resumo Produção'!$A38,'Alloyd 3'!$B$15:$AW$15))</f>
        <v>0</v>
      </c>
      <c r="X38" s="188">
        <f t="array" ref="X38">SUM(IF('Alloyd 3'!$B$2:$AW$2='Resumo Produção'!$A38,'Alloyd 3'!$B$17:$AW$17))</f>
        <v>0</v>
      </c>
      <c r="Y38" s="188">
        <f t="array" ref="Y38">SUM(IF('Alloyd 3'!$B$2:$AW$2='Resumo Produção'!$A38,'Alloyd 3'!$B$18:$AW$18))</f>
        <v>0</v>
      </c>
      <c r="Z38" s="188">
        <f t="shared" si="4"/>
        <v>0</v>
      </c>
      <c r="AA38" s="189">
        <f t="shared" si="5"/>
        <v>0</v>
      </c>
    </row>
    <row r="39" spans="1:27">
      <c r="A39" s="79" t="s">
        <v>44</v>
      </c>
      <c r="B39" s="84"/>
      <c r="C39" s="84"/>
      <c r="D39" s="44">
        <f t="array" ref="D39">SUM(IF('Alloyd 1'!$B$2:$AT$2='Resumo Produção'!A39,'Alloyd 1'!$B$13:$AT$13))</f>
        <v>0</v>
      </c>
      <c r="E39" s="44">
        <f t="array" ref="E39">SUM(IF('Alloyd 1'!$B$2:$AT$2='Resumo Produção'!A39,'Alloyd 1'!$B$4:$AT$4))</f>
        <v>0</v>
      </c>
      <c r="F39" s="44">
        <f t="array" ref="F39">SUM(IF('Alloyd 1'!$B$2:$AT$2='Resumo Produção'!$A39,'Alloyd 1'!$B$16:$AT$16))</f>
        <v>0</v>
      </c>
      <c r="G39" s="44">
        <f t="array" ref="G39">SUM(IF('Alloyd 1'!$B$2:$AT$2='Resumo Produção'!$A39,'Alloyd 1'!$B$15:$AT$15))</f>
        <v>0</v>
      </c>
      <c r="H39" s="44">
        <f t="array" ref="H39">SUM(IF('Alloyd 1'!$B$2:$AT$2='Resumo Produção'!$A39,'Alloyd 1'!$B$17:$AT$17))</f>
        <v>0</v>
      </c>
      <c r="I39" s="44">
        <f t="array" ref="I39">SUM(IF('Alloyd 1'!$B$2:$AT$2='Resumo Produção'!$A39,'Alloyd 1'!$B$18:$AT$18))</f>
        <v>0</v>
      </c>
      <c r="J39" s="44">
        <f t="shared" ref="J39" si="35">SUM(F39:I39)</f>
        <v>0</v>
      </c>
      <c r="K39" s="67">
        <f t="shared" ref="K39" si="36">IF(ISERR(J39/E39),,J39/E39*1000000)</f>
        <v>0</v>
      </c>
      <c r="L39" s="91" t="e">
        <f t="array" ref="L39">SUM(IF('Alloyd 1'!#REF!='Resumo Produção'!A39,'Alloyd 1'!#REF!))</f>
        <v>#REF!</v>
      </c>
      <c r="M39" s="46">
        <f t="array" ref="M39">SUM(IF('Alloyd 2'!$B$2:$AW$2='Resumo Produção'!$A39,'Alloyd 2'!$B$4:$AW$4))</f>
        <v>0</v>
      </c>
      <c r="N39" s="47">
        <f t="array" ref="N39">SUM(IF('Alloyd 2'!$B$2:$AW$2='Resumo Produção'!$A39,'Alloyd 2'!$B$16:$AW$16))</f>
        <v>0</v>
      </c>
      <c r="O39" s="47">
        <f t="array" ref="O39">SUM(IF('Alloyd 2'!$B$2:$AW$2='Resumo Produção'!$A39,'Alloyd 2'!$B$15:$AW$15))</f>
        <v>0</v>
      </c>
      <c r="P39" s="47">
        <f t="array" ref="P39">SUM(IF('Alloyd 2'!$B$2:$AW$2='Resumo Produção'!$A39,'Alloyd 2'!$B$17:$AW$17))</f>
        <v>0</v>
      </c>
      <c r="Q39" s="47">
        <f t="array" ref="Q39">SUM(IF('Alloyd 2'!$B$2:$AW$2='Resumo Produção'!$A39,'Alloyd 2'!$B$18:$AW$18))</f>
        <v>0</v>
      </c>
      <c r="R39" s="47">
        <f t="shared" ref="R39" si="37">SUM(N39:Q39)</f>
        <v>0</v>
      </c>
      <c r="S39" s="70">
        <f t="shared" ref="S39" si="38">IF(ISERR(R39/M39),,R39/M39*1000000)</f>
        <v>0</v>
      </c>
      <c r="T39" s="186" t="e">
        <f t="array" ref="T39">SUM(IF('Alloyd 1'!#REF!='Resumo Produção'!I39,'Alloyd 1'!#REF!))</f>
        <v>#REF!</v>
      </c>
      <c r="U39" s="187">
        <f t="array" ref="U39">SUM(IF('Alloyd 3'!$B$2:$AW$2='Resumo Produção'!$A39,'Alloyd 3'!$B$4:$AW$4))</f>
        <v>0</v>
      </c>
      <c r="V39" s="188">
        <f t="array" ref="V39">SUM(IF('Alloyd 3'!$B$2:$AW$2='Resumo Produção'!$A39,'Alloyd 3'!$B$16:$AW$16))</f>
        <v>0</v>
      </c>
      <c r="W39" s="188">
        <f t="array" ref="W39">SUM(IF('Alloyd 3'!$B$2:$AW$2='Resumo Produção'!$A39,'Alloyd 3'!$B$15:$AW$15))</f>
        <v>0</v>
      </c>
      <c r="X39" s="188">
        <f t="array" ref="X39">SUM(IF('Alloyd 3'!$B$2:$AW$2='Resumo Produção'!$A39,'Alloyd 3'!$B$17:$AW$17))</f>
        <v>0</v>
      </c>
      <c r="Y39" s="188">
        <f t="array" ref="Y39">SUM(IF('Alloyd 3'!$B$2:$AW$2='Resumo Produção'!$A39,'Alloyd 3'!$B$18:$AW$18))</f>
        <v>0</v>
      </c>
      <c r="Z39" s="188">
        <f t="shared" si="4"/>
        <v>0</v>
      </c>
      <c r="AA39" s="189">
        <f t="shared" si="5"/>
        <v>0</v>
      </c>
    </row>
    <row r="40" spans="1:27">
      <c r="A40" s="79" t="s">
        <v>102</v>
      </c>
      <c r="B40" s="84"/>
      <c r="C40" s="84"/>
      <c r="D40" s="44">
        <f t="array" ref="D40">SUM(IF('Alloyd 1'!$B$2:$AT$2='Resumo Produção'!A40,'Alloyd 1'!$B$13:$AT$13))</f>
        <v>0</v>
      </c>
      <c r="E40" s="44">
        <f t="array" ref="E40">SUM(IF('Alloyd 1'!$B$2:$AT$2='Resumo Produção'!A40,'Alloyd 1'!$B$4:$AT$4))</f>
        <v>0</v>
      </c>
      <c r="F40" s="44">
        <f t="array" ref="F40">SUM(IF('Alloyd 1'!$B$2:$AT$2='Resumo Produção'!$A40,'Alloyd 1'!$B$16:$AT$16))</f>
        <v>0</v>
      </c>
      <c r="G40" s="44">
        <f t="array" ref="G40">SUM(IF('Alloyd 1'!$B$2:$AT$2='Resumo Produção'!$A40,'Alloyd 1'!$B$15:$AT$15))</f>
        <v>0</v>
      </c>
      <c r="H40" s="44">
        <f t="array" ref="H40">SUM(IF('Alloyd 1'!$B$2:$AT$2='Resumo Produção'!$A40,'Alloyd 1'!$B$17:$AT$17))</f>
        <v>0</v>
      </c>
      <c r="I40" s="44">
        <f t="array" ref="I40">SUM(IF('Alloyd 1'!$B$2:$AT$2='Resumo Produção'!$A40,'Alloyd 1'!$B$18:$AT$18))</f>
        <v>0</v>
      </c>
      <c r="J40" s="44">
        <f t="shared" ref="J40:J42" si="39">SUM(F40:I40)</f>
        <v>0</v>
      </c>
      <c r="K40" s="67">
        <f t="shared" ref="K40:K42" si="40">IF(ISERR(J40/E40),,J40/E40*1000000)</f>
        <v>0</v>
      </c>
      <c r="L40" s="91" t="e">
        <f t="array" ref="L40">SUM(IF('Alloyd 1'!#REF!='Resumo Produção'!A40,'Alloyd 1'!#REF!))</f>
        <v>#REF!</v>
      </c>
      <c r="M40" s="46">
        <f t="array" ref="M40">SUM(IF('Alloyd 2'!$B$2:$AW$2='Resumo Produção'!$A40,'Alloyd 2'!$B$4:$AW$4))</f>
        <v>0</v>
      </c>
      <c r="N40" s="47">
        <f t="array" ref="N40">SUM(IF('Alloyd 2'!$B$2:$AW$2='Resumo Produção'!$A40,'Alloyd 2'!$B$16:$AW$16))</f>
        <v>0</v>
      </c>
      <c r="O40" s="47">
        <f t="array" ref="O40">SUM(IF('Alloyd 2'!$B$2:$AW$2='Resumo Produção'!$A40,'Alloyd 2'!$B$15:$AW$15))</f>
        <v>0</v>
      </c>
      <c r="P40" s="47">
        <f t="array" ref="P40">SUM(IF('Alloyd 2'!$B$2:$AW$2='Resumo Produção'!$A40,'Alloyd 2'!$B$17:$AW$17))</f>
        <v>0</v>
      </c>
      <c r="Q40" s="47">
        <f t="array" ref="Q40">SUM(IF('Alloyd 2'!$B$2:$AW$2='Resumo Produção'!$A40,'Alloyd 2'!$B$18:$AW$18))</f>
        <v>0</v>
      </c>
      <c r="R40" s="47">
        <f t="shared" ref="R40:R42" si="41">SUM(N40:Q40)</f>
        <v>0</v>
      </c>
      <c r="S40" s="70">
        <f t="shared" ref="S40:S42" si="42">IF(ISERR(R40/M40),,R40/M40*1000000)</f>
        <v>0</v>
      </c>
      <c r="T40" s="186" t="e">
        <f t="array" ref="T40">SUM(IF('Alloyd 1'!#REF!='Resumo Produção'!I40,'Alloyd 1'!#REF!))</f>
        <v>#REF!</v>
      </c>
      <c r="U40" s="187">
        <f t="array" ref="U40">SUM(IF('Alloyd 3'!$B$2:$AW$2='Resumo Produção'!$A40,'Alloyd 3'!$B$4:$AW$4))</f>
        <v>0</v>
      </c>
      <c r="V40" s="188">
        <f t="array" ref="V40">SUM(IF('Alloyd 3'!$B$2:$AW$2='Resumo Produção'!$A40,'Alloyd 3'!$B$16:$AW$16))</f>
        <v>0</v>
      </c>
      <c r="W40" s="188">
        <f t="array" ref="W40">SUM(IF('Alloyd 3'!$B$2:$AW$2='Resumo Produção'!$A40,'Alloyd 3'!$B$15:$AW$15))</f>
        <v>0</v>
      </c>
      <c r="X40" s="188">
        <f t="array" ref="X40">SUM(IF('Alloyd 3'!$B$2:$AW$2='Resumo Produção'!$A40,'Alloyd 3'!$B$17:$AW$17))</f>
        <v>0</v>
      </c>
      <c r="Y40" s="188">
        <f t="array" ref="Y40">SUM(IF('Alloyd 3'!$B$2:$AW$2='Resumo Produção'!$A40,'Alloyd 3'!$B$18:$AW$18))</f>
        <v>0</v>
      </c>
      <c r="Z40" s="188">
        <f t="shared" ref="Z40:Z42" si="43">SUM(V40:Y40)</f>
        <v>0</v>
      </c>
      <c r="AA40" s="189">
        <f t="shared" ref="AA40:AA42" si="44">IF(ISERR(Z40/U40),,Z40/U40*1000000)</f>
        <v>0</v>
      </c>
    </row>
    <row r="41" spans="1:27">
      <c r="A41" s="79" t="s">
        <v>103</v>
      </c>
      <c r="B41" s="84"/>
      <c r="C41" s="84"/>
      <c r="D41" s="44">
        <f t="array" ref="D41">SUM(IF('Alloyd 1'!$B$2:$AT$2='Resumo Produção'!A41,'Alloyd 1'!$B$13:$AT$13))</f>
        <v>0</v>
      </c>
      <c r="E41" s="44">
        <f t="array" ref="E41">SUM(IF('Alloyd 1'!$B$2:$AT$2='Resumo Produção'!A41,'Alloyd 1'!$B$4:$AT$4))</f>
        <v>0</v>
      </c>
      <c r="F41" s="44">
        <f t="array" ref="F41">SUM(IF('Alloyd 1'!$B$2:$AT$2='Resumo Produção'!$A41,'Alloyd 1'!$B$16:$AT$16))</f>
        <v>0</v>
      </c>
      <c r="G41" s="44">
        <f t="array" ref="G41">SUM(IF('Alloyd 1'!$B$2:$AT$2='Resumo Produção'!$A41,'Alloyd 1'!$B$15:$AT$15))</f>
        <v>0</v>
      </c>
      <c r="H41" s="44">
        <f t="array" ref="H41">SUM(IF('Alloyd 1'!$B$2:$AT$2='Resumo Produção'!$A41,'Alloyd 1'!$B$17:$AT$17))</f>
        <v>0</v>
      </c>
      <c r="I41" s="44">
        <f t="array" ref="I41">SUM(IF('Alloyd 1'!$B$2:$AT$2='Resumo Produção'!$A41,'Alloyd 1'!$B$18:$AT$18))</f>
        <v>0</v>
      </c>
      <c r="J41" s="44">
        <f t="shared" si="39"/>
        <v>0</v>
      </c>
      <c r="K41" s="67">
        <f t="shared" si="40"/>
        <v>0</v>
      </c>
      <c r="L41" s="91" t="e">
        <f t="array" ref="L41">SUM(IF('Alloyd 1'!#REF!='Resumo Produção'!A41,'Alloyd 1'!#REF!))</f>
        <v>#REF!</v>
      </c>
      <c r="M41" s="46">
        <f t="array" ref="M41">SUM(IF('Alloyd 2'!$B$2:$AW$2='Resumo Produção'!$A41,'Alloyd 2'!$B$4:$AW$4))</f>
        <v>0</v>
      </c>
      <c r="N41" s="47">
        <f t="array" ref="N41">SUM(IF('Alloyd 2'!$B$2:$AW$2='Resumo Produção'!$A41,'Alloyd 2'!$B$16:$AW$16))</f>
        <v>0</v>
      </c>
      <c r="O41" s="47">
        <f t="array" ref="O41">SUM(IF('Alloyd 2'!$B$2:$AW$2='Resumo Produção'!$A41,'Alloyd 2'!$B$15:$AW$15))</f>
        <v>0</v>
      </c>
      <c r="P41" s="47">
        <f t="array" ref="P41">SUM(IF('Alloyd 2'!$B$2:$AW$2='Resumo Produção'!$A41,'Alloyd 2'!$B$17:$AW$17))</f>
        <v>0</v>
      </c>
      <c r="Q41" s="47">
        <f t="array" ref="Q41">SUM(IF('Alloyd 2'!$B$2:$AW$2='Resumo Produção'!$A41,'Alloyd 2'!$B$18:$AW$18))</f>
        <v>0</v>
      </c>
      <c r="R41" s="47">
        <f t="shared" si="41"/>
        <v>0</v>
      </c>
      <c r="S41" s="70">
        <f t="shared" si="42"/>
        <v>0</v>
      </c>
      <c r="T41" s="186" t="e">
        <f t="array" ref="T41">SUM(IF('Alloyd 1'!#REF!='Resumo Produção'!I41,'Alloyd 1'!#REF!))</f>
        <v>#REF!</v>
      </c>
      <c r="U41" s="187">
        <f t="array" ref="U41">SUM(IF('Alloyd 3'!$B$2:$AW$2='Resumo Produção'!$A41,'Alloyd 3'!$B$4:$AW$4))</f>
        <v>0</v>
      </c>
      <c r="V41" s="188">
        <f t="array" ref="V41">SUM(IF('Alloyd 3'!$B$2:$AW$2='Resumo Produção'!$A41,'Alloyd 3'!$B$16:$AW$16))</f>
        <v>0</v>
      </c>
      <c r="W41" s="188">
        <f t="array" ref="W41">SUM(IF('Alloyd 3'!$B$2:$AW$2='Resumo Produção'!$A41,'Alloyd 3'!$B$15:$AW$15))</f>
        <v>0</v>
      </c>
      <c r="X41" s="188">
        <f t="array" ref="X41">SUM(IF('Alloyd 3'!$B$2:$AW$2='Resumo Produção'!$A41,'Alloyd 3'!$B$17:$AW$17))</f>
        <v>0</v>
      </c>
      <c r="Y41" s="188">
        <f t="array" ref="Y41">SUM(IF('Alloyd 3'!$B$2:$AW$2='Resumo Produção'!$A41,'Alloyd 3'!$B$18:$AW$18))</f>
        <v>0</v>
      </c>
      <c r="Z41" s="188">
        <f t="shared" si="43"/>
        <v>0</v>
      </c>
      <c r="AA41" s="189">
        <f t="shared" si="44"/>
        <v>0</v>
      </c>
    </row>
    <row r="42" spans="1:27">
      <c r="A42" s="79" t="s">
        <v>47</v>
      </c>
      <c r="B42" s="84"/>
      <c r="C42" s="84"/>
      <c r="D42" s="44">
        <f t="array" ref="D42">SUM(IF('Alloyd 1'!$B$2:$AT$2='Resumo Produção'!A42,'Alloyd 1'!$B$13:$AT$13))</f>
        <v>0</v>
      </c>
      <c r="E42" s="44">
        <f t="array" ref="E42">SUM(IF('Alloyd 1'!$B$2:$AT$2='Resumo Produção'!A42,'Alloyd 1'!$B$4:$AT$4))</f>
        <v>0</v>
      </c>
      <c r="F42" s="44">
        <f t="array" ref="F42">SUM(IF('Alloyd 1'!$B$2:$AT$2='Resumo Produção'!$A42,'Alloyd 1'!$B$16:$AT$16))</f>
        <v>0</v>
      </c>
      <c r="G42" s="44">
        <f t="array" ref="G42">SUM(IF('Alloyd 1'!$B$2:$AT$2='Resumo Produção'!$A42,'Alloyd 1'!$B$15:$AT$15))</f>
        <v>0</v>
      </c>
      <c r="H42" s="44">
        <f t="array" ref="H42">SUM(IF('Alloyd 1'!$B$2:$AT$2='Resumo Produção'!$A42,'Alloyd 1'!$B$17:$AT$17))</f>
        <v>0</v>
      </c>
      <c r="I42" s="44">
        <f t="array" ref="I42">SUM(IF('Alloyd 1'!$B$2:$AT$2='Resumo Produção'!$A42,'Alloyd 1'!$B$18:$AT$18))</f>
        <v>0</v>
      </c>
      <c r="J42" s="44">
        <f t="shared" si="39"/>
        <v>0</v>
      </c>
      <c r="K42" s="67">
        <f t="shared" si="40"/>
        <v>0</v>
      </c>
      <c r="L42" s="91" t="e">
        <f t="array" ref="L42">SUM(IF('Alloyd 1'!#REF!='Resumo Produção'!A42,'Alloyd 1'!#REF!))</f>
        <v>#REF!</v>
      </c>
      <c r="M42" s="46">
        <f t="array" ref="M42">SUM(IF('Alloyd 2'!$B$2:$AW$2='Resumo Produção'!$A42,'Alloyd 2'!$B$4:$AW$4))</f>
        <v>0</v>
      </c>
      <c r="N42" s="47">
        <f t="array" ref="N42">SUM(IF('Alloyd 2'!$B$2:$AW$2='Resumo Produção'!$A42,'Alloyd 2'!$B$16:$AW$16))</f>
        <v>0</v>
      </c>
      <c r="O42" s="47">
        <f t="array" ref="O42">SUM(IF('Alloyd 2'!$B$2:$AW$2='Resumo Produção'!$A42,'Alloyd 2'!$B$15:$AW$15))</f>
        <v>0</v>
      </c>
      <c r="P42" s="47">
        <f t="array" ref="P42">SUM(IF('Alloyd 2'!$B$2:$AW$2='Resumo Produção'!$A42,'Alloyd 2'!$B$17:$AW$17))</f>
        <v>0</v>
      </c>
      <c r="Q42" s="47">
        <f t="array" ref="Q42">SUM(IF('Alloyd 2'!$B$2:$AW$2='Resumo Produção'!$A42,'Alloyd 2'!$B$18:$AW$18))</f>
        <v>0</v>
      </c>
      <c r="R42" s="47">
        <f t="shared" si="41"/>
        <v>0</v>
      </c>
      <c r="S42" s="70">
        <f t="shared" si="42"/>
        <v>0</v>
      </c>
      <c r="T42" s="186" t="e">
        <f t="array" ref="T42">SUM(IF('Alloyd 1'!#REF!='Resumo Produção'!I42,'Alloyd 1'!#REF!))</f>
        <v>#REF!</v>
      </c>
      <c r="U42" s="187">
        <f t="array" ref="U42">SUM(IF('Alloyd 3'!$B$2:$AW$2='Resumo Produção'!$A42,'Alloyd 3'!$B$4:$AW$4))</f>
        <v>0</v>
      </c>
      <c r="V42" s="188">
        <f t="array" ref="V42">SUM(IF('Alloyd 3'!$B$2:$AW$2='Resumo Produção'!$A42,'Alloyd 3'!$B$16:$AW$16))</f>
        <v>0</v>
      </c>
      <c r="W42" s="188">
        <f t="array" ref="W42">SUM(IF('Alloyd 3'!$B$2:$AW$2='Resumo Produção'!$A42,'Alloyd 3'!$B$15:$AW$15))</f>
        <v>0</v>
      </c>
      <c r="X42" s="188">
        <f t="array" ref="X42">SUM(IF('Alloyd 3'!$B$2:$AW$2='Resumo Produção'!$A42,'Alloyd 3'!$B$17:$AW$17))</f>
        <v>0</v>
      </c>
      <c r="Y42" s="188">
        <f t="array" ref="Y42">SUM(IF('Alloyd 3'!$B$2:$AW$2='Resumo Produção'!$A42,'Alloyd 3'!$B$18:$AW$18))</f>
        <v>0</v>
      </c>
      <c r="Z42" s="188">
        <f t="shared" si="43"/>
        <v>0</v>
      </c>
      <c r="AA42" s="189">
        <f t="shared" si="44"/>
        <v>0</v>
      </c>
    </row>
    <row r="43" spans="1:27">
      <c r="A43" s="79" t="s">
        <v>48</v>
      </c>
      <c r="B43" s="84"/>
      <c r="C43" s="84"/>
      <c r="D43" s="44">
        <f t="array" ref="D43">SUM(IF('Alloyd 1'!$B$2:$AT$2='Resumo Produção'!A43,'Alloyd 1'!$B$13:$AT$13))</f>
        <v>0</v>
      </c>
      <c r="E43" s="44">
        <f t="array" ref="E43">SUM(IF('Alloyd 1'!$B$2:$AT$2='Resumo Produção'!A43,'Alloyd 1'!$B$4:$AT$4))</f>
        <v>0</v>
      </c>
      <c r="F43" s="44">
        <f t="array" ref="F43">SUM(IF('Alloyd 1'!$B$2:$AT$2='Resumo Produção'!$A43,'Alloyd 1'!$B$16:$AT$16))</f>
        <v>0</v>
      </c>
      <c r="G43" s="44">
        <f t="array" ref="G43">SUM(IF('Alloyd 1'!$B$2:$AT$2='Resumo Produção'!$A43,'Alloyd 1'!$B$15:$AT$15))</f>
        <v>0</v>
      </c>
      <c r="H43" s="44">
        <f t="array" ref="H43">SUM(IF('Alloyd 1'!$B$2:$AT$2='Resumo Produção'!$A43,'Alloyd 1'!$B$17:$AT$17))</f>
        <v>0</v>
      </c>
      <c r="I43" s="44">
        <f t="array" ref="I43">SUM(IF('Alloyd 1'!$B$2:$AT$2='Resumo Produção'!$A43,'Alloyd 1'!$B$18:$AT$18))</f>
        <v>0</v>
      </c>
      <c r="J43" s="44">
        <f t="shared" si="0"/>
        <v>0</v>
      </c>
      <c r="K43" s="67">
        <f t="shared" si="1"/>
        <v>0</v>
      </c>
      <c r="L43" s="91" t="e">
        <f t="array" ref="L43">SUM(IF('Alloyd 1'!#REF!='Resumo Produção'!A43,'Alloyd 1'!#REF!))</f>
        <v>#REF!</v>
      </c>
      <c r="M43" s="46">
        <f t="array" ref="M43">SUM(IF('Alloyd 2'!$B$2:$AW$2='Resumo Produção'!$A43,'Alloyd 2'!$B$4:$AW$4))</f>
        <v>0</v>
      </c>
      <c r="N43" s="47">
        <f t="array" ref="N43">SUM(IF('Alloyd 2'!$B$2:$AW$2='Resumo Produção'!$A43,'Alloyd 2'!$B$16:$AW$16))</f>
        <v>0</v>
      </c>
      <c r="O43" s="47">
        <f t="array" ref="O43">SUM(IF('Alloyd 2'!$B$2:$AW$2='Resumo Produção'!$A43,'Alloyd 2'!$B$15:$AW$15))</f>
        <v>0</v>
      </c>
      <c r="P43" s="47">
        <f t="array" ref="P43">SUM(IF('Alloyd 2'!$B$2:$AW$2='Resumo Produção'!$A43,'Alloyd 2'!$B$17:$AW$17))</f>
        <v>0</v>
      </c>
      <c r="Q43" s="47">
        <f t="array" ref="Q43">SUM(IF('Alloyd 2'!$B$2:$AW$2='Resumo Produção'!$A43,'Alloyd 2'!$B$18:$AW$18))</f>
        <v>0</v>
      </c>
      <c r="R43" s="47">
        <f t="shared" si="6"/>
        <v>0</v>
      </c>
      <c r="S43" s="70">
        <f t="shared" si="3"/>
        <v>0</v>
      </c>
      <c r="T43" s="186" t="e">
        <f t="array" ref="T43">SUM(IF('Alloyd 1'!#REF!='Resumo Produção'!I43,'Alloyd 1'!#REF!))</f>
        <v>#REF!</v>
      </c>
      <c r="U43" s="187">
        <f t="array" ref="U43">SUM(IF('Alloyd 3'!$B$2:$AW$2='Resumo Produção'!$A43,'Alloyd 3'!$B$4:$AW$4))</f>
        <v>0</v>
      </c>
      <c r="V43" s="188">
        <f t="array" ref="V43">SUM(IF('Alloyd 3'!$B$2:$AW$2='Resumo Produção'!$A43,'Alloyd 3'!$B$16:$AW$16))</f>
        <v>0</v>
      </c>
      <c r="W43" s="188">
        <f t="array" ref="W43">SUM(IF('Alloyd 3'!$B$2:$AW$2='Resumo Produção'!$A43,'Alloyd 3'!$B$15:$AW$15))</f>
        <v>0</v>
      </c>
      <c r="X43" s="188">
        <f t="array" ref="X43">SUM(IF('Alloyd 3'!$B$2:$AW$2='Resumo Produção'!$A43,'Alloyd 3'!$B$17:$AW$17))</f>
        <v>0</v>
      </c>
      <c r="Y43" s="188">
        <f t="array" ref="Y43">SUM(IF('Alloyd 3'!$B$2:$AW$2='Resumo Produção'!$A43,'Alloyd 3'!$B$18:$AW$18))</f>
        <v>0</v>
      </c>
      <c r="Z43" s="188">
        <f t="shared" si="4"/>
        <v>0</v>
      </c>
      <c r="AA43" s="189">
        <f t="shared" si="5"/>
        <v>0</v>
      </c>
    </row>
    <row r="44" spans="1:27">
      <c r="A44" s="79" t="s">
        <v>46</v>
      </c>
      <c r="B44" s="84"/>
      <c r="C44" s="84"/>
      <c r="D44" s="44">
        <f t="array" ref="D44">SUM(IF('Alloyd 1'!$B$2:$AT$2='Resumo Produção'!A44,'Alloyd 1'!$B$13:$AT$13))</f>
        <v>0</v>
      </c>
      <c r="E44" s="44">
        <f t="array" ref="E44">SUM(IF('Alloyd 1'!$B$2:$AT$2='Resumo Produção'!A44,'Alloyd 1'!$B$4:$AT$4))</f>
        <v>0</v>
      </c>
      <c r="F44" s="44">
        <f t="array" ref="F44">SUM(IF('Alloyd 1'!$B$2:$AT$2='Resumo Produção'!$A44,'Alloyd 1'!$B$16:$AT$16))</f>
        <v>0</v>
      </c>
      <c r="G44" s="44">
        <f t="array" ref="G44">SUM(IF('Alloyd 1'!$B$2:$AT$2='Resumo Produção'!$A44,'Alloyd 1'!$B$15:$AT$15))</f>
        <v>0</v>
      </c>
      <c r="H44" s="44">
        <f t="array" ref="H44">SUM(IF('Alloyd 1'!$B$2:$AT$2='Resumo Produção'!$A44,'Alloyd 1'!$B$17:$AT$17))</f>
        <v>0</v>
      </c>
      <c r="I44" s="44">
        <f t="array" ref="I44">SUM(IF('Alloyd 1'!$B$2:$AT$2='Resumo Produção'!$A44,'Alloyd 1'!$B$18:$AT$18))</f>
        <v>0</v>
      </c>
      <c r="J44" s="44">
        <f t="shared" si="0"/>
        <v>0</v>
      </c>
      <c r="K44" s="67">
        <f t="shared" si="1"/>
        <v>0</v>
      </c>
      <c r="L44" s="91" t="e">
        <f t="array" ref="L44">SUM(IF('Alloyd 1'!#REF!='Resumo Produção'!A44,'Alloyd 1'!#REF!))</f>
        <v>#REF!</v>
      </c>
      <c r="M44" s="46">
        <f t="array" ref="M44">SUM(IF('Alloyd 2'!$B$2:$AW$2='Resumo Produção'!$A44,'Alloyd 2'!$B$4:$AW$4))</f>
        <v>0</v>
      </c>
      <c r="N44" s="47">
        <f t="array" ref="N44">SUM(IF('Alloyd 2'!$B$2:$AW$2='Resumo Produção'!$A44,'Alloyd 2'!$B$16:$AW$16))</f>
        <v>0</v>
      </c>
      <c r="O44" s="47">
        <f t="array" ref="O44">SUM(IF('Alloyd 2'!$B$2:$AW$2='Resumo Produção'!$A44,'Alloyd 2'!$B$15:$AW$15))</f>
        <v>0</v>
      </c>
      <c r="P44" s="47">
        <f t="array" ref="P44">SUM(IF('Alloyd 2'!$B$2:$AW$2='Resumo Produção'!$A44,'Alloyd 2'!$B$17:$AW$17))</f>
        <v>0</v>
      </c>
      <c r="Q44" s="47">
        <f t="array" ref="Q44">SUM(IF('Alloyd 2'!$B$2:$AW$2='Resumo Produção'!$A44,'Alloyd 2'!$B$18:$AW$18))</f>
        <v>0</v>
      </c>
      <c r="R44" s="47">
        <f t="shared" si="6"/>
        <v>0</v>
      </c>
      <c r="S44" s="70">
        <f t="shared" si="3"/>
        <v>0</v>
      </c>
      <c r="T44" s="186" t="e">
        <f t="array" ref="T44">SUM(IF('Alloyd 1'!#REF!='Resumo Produção'!I44,'Alloyd 1'!#REF!))</f>
        <v>#REF!</v>
      </c>
      <c r="U44" s="187">
        <f t="array" ref="U44">SUM(IF('Alloyd 3'!$B$2:$AW$2='Resumo Produção'!$A44,'Alloyd 3'!$B$4:$AW$4))</f>
        <v>0</v>
      </c>
      <c r="V44" s="188">
        <f t="array" ref="V44">SUM(IF('Alloyd 3'!$B$2:$AW$2='Resumo Produção'!$A44,'Alloyd 3'!$B$16:$AW$16))</f>
        <v>0</v>
      </c>
      <c r="W44" s="188">
        <f t="array" ref="W44">SUM(IF('Alloyd 3'!$B$2:$AW$2='Resumo Produção'!$A44,'Alloyd 3'!$B$15:$AW$15))</f>
        <v>0</v>
      </c>
      <c r="X44" s="188">
        <f t="array" ref="X44">SUM(IF('Alloyd 3'!$B$2:$AW$2='Resumo Produção'!$A44,'Alloyd 3'!$B$17:$AW$17))</f>
        <v>0</v>
      </c>
      <c r="Y44" s="188">
        <f t="array" ref="Y44">SUM(IF('Alloyd 3'!$B$2:$AW$2='Resumo Produção'!$A44,'Alloyd 3'!$B$18:$AW$18))</f>
        <v>0</v>
      </c>
      <c r="Z44" s="188">
        <f t="shared" si="4"/>
        <v>0</v>
      </c>
      <c r="AA44" s="189">
        <f t="shared" si="5"/>
        <v>0</v>
      </c>
    </row>
    <row r="45" spans="1:27">
      <c r="A45" s="79" t="s">
        <v>73</v>
      </c>
      <c r="B45" s="84"/>
      <c r="C45" s="84"/>
      <c r="D45" s="44">
        <f t="array" ref="D45">SUM(IF('Alloyd 1'!$B$2:$AT$2='Resumo Produção'!A45,'Alloyd 1'!$B$13:$AT$13))</f>
        <v>0</v>
      </c>
      <c r="E45" s="44">
        <f t="array" ref="E45">SUM(IF('Alloyd 1'!$B$2:$AT$2='Resumo Produção'!A45,'Alloyd 1'!$B$4:$AT$4))</f>
        <v>0</v>
      </c>
      <c r="F45" s="44">
        <f t="array" ref="F45">SUM(IF('Alloyd 1'!$B$2:$AT$2='Resumo Produção'!$A45,'Alloyd 1'!$B$16:$AT$16))</f>
        <v>0</v>
      </c>
      <c r="G45" s="44">
        <f t="array" ref="G45">SUM(IF('Alloyd 1'!$B$2:$AT$2='Resumo Produção'!$A45,'Alloyd 1'!$B$15:$AT$15))</f>
        <v>0</v>
      </c>
      <c r="H45" s="44">
        <f t="array" ref="H45">SUM(IF('Alloyd 1'!$B$2:$AT$2='Resumo Produção'!$A45,'Alloyd 1'!$B$17:$AT$17))</f>
        <v>0</v>
      </c>
      <c r="I45" s="44">
        <f t="array" ref="I45">SUM(IF('Alloyd 1'!$B$2:$AT$2='Resumo Produção'!$A45,'Alloyd 1'!$B$18:$AT$18))</f>
        <v>0</v>
      </c>
      <c r="J45" s="44">
        <f t="shared" si="0"/>
        <v>0</v>
      </c>
      <c r="K45" s="67">
        <f t="shared" si="1"/>
        <v>0</v>
      </c>
      <c r="L45" s="91" t="e">
        <f t="array" ref="L45">SUM(IF('Alloyd 1'!#REF!='Resumo Produção'!A45,'Alloyd 1'!#REF!))</f>
        <v>#REF!</v>
      </c>
      <c r="M45" s="46">
        <f t="array" ref="M45">SUM(IF('Alloyd 2'!$B$2:$AW$2='Resumo Produção'!$A45,'Alloyd 2'!$B$4:$AW$4))</f>
        <v>0</v>
      </c>
      <c r="N45" s="47">
        <f t="array" ref="N45">SUM(IF('Alloyd 2'!$B$2:$AW$2='Resumo Produção'!$A45,'Alloyd 2'!$B$16:$AW$16))</f>
        <v>0</v>
      </c>
      <c r="O45" s="47">
        <f t="array" ref="O45">SUM(IF('Alloyd 2'!$B$2:$AW$2='Resumo Produção'!$A45,'Alloyd 2'!$B$15:$AW$15))</f>
        <v>0</v>
      </c>
      <c r="P45" s="47">
        <f t="array" ref="P45">SUM(IF('Alloyd 2'!$B$2:$AW$2='Resumo Produção'!$A45,'Alloyd 2'!$B$17:$AW$17))</f>
        <v>0</v>
      </c>
      <c r="Q45" s="47">
        <f t="array" ref="Q45">SUM(IF('Alloyd 2'!$B$2:$AW$2='Resumo Produção'!$A45,'Alloyd 2'!$B$18:$AW$18))</f>
        <v>0</v>
      </c>
      <c r="R45" s="47">
        <f t="shared" si="6"/>
        <v>0</v>
      </c>
      <c r="S45" s="70">
        <f t="shared" si="3"/>
        <v>0</v>
      </c>
      <c r="T45" s="186" t="e">
        <f t="array" ref="T45">SUM(IF('Alloyd 1'!#REF!='Resumo Produção'!I45,'Alloyd 1'!#REF!))</f>
        <v>#REF!</v>
      </c>
      <c r="U45" s="187">
        <f t="array" ref="U45">SUM(IF('Alloyd 3'!$B$2:$AW$2='Resumo Produção'!$A45,'Alloyd 3'!$B$4:$AW$4))</f>
        <v>0</v>
      </c>
      <c r="V45" s="188">
        <f t="array" ref="V45">SUM(IF('Alloyd 3'!$B$2:$AW$2='Resumo Produção'!$A45,'Alloyd 3'!$B$16:$AW$16))</f>
        <v>0</v>
      </c>
      <c r="W45" s="188">
        <f t="array" ref="W45">SUM(IF('Alloyd 3'!$B$2:$AW$2='Resumo Produção'!$A45,'Alloyd 3'!$B$15:$AW$15))</f>
        <v>0</v>
      </c>
      <c r="X45" s="188">
        <f t="array" ref="X45">SUM(IF('Alloyd 3'!$B$2:$AW$2='Resumo Produção'!$A45,'Alloyd 3'!$B$17:$AW$17))</f>
        <v>0</v>
      </c>
      <c r="Y45" s="188">
        <f t="array" ref="Y45">SUM(IF('Alloyd 3'!$B$2:$AW$2='Resumo Produção'!$A45,'Alloyd 3'!$B$18:$AW$18))</f>
        <v>0</v>
      </c>
      <c r="Z45" s="188">
        <f t="shared" si="4"/>
        <v>0</v>
      </c>
      <c r="AA45" s="189">
        <f t="shared" si="5"/>
        <v>0</v>
      </c>
    </row>
    <row r="46" spans="1:27">
      <c r="A46" s="79" t="s">
        <v>41</v>
      </c>
      <c r="B46" s="84"/>
      <c r="C46" s="84"/>
      <c r="D46" s="44">
        <f t="array" ref="D46">SUM(IF('Alloyd 1'!$B$2:$AT$2='Resumo Produção'!A46,'Alloyd 1'!$B$13:$AT$13))</f>
        <v>0</v>
      </c>
      <c r="E46" s="44">
        <f t="array" ref="E46">SUM(IF('Alloyd 1'!$B$2:$AT$2='Resumo Produção'!A46,'Alloyd 1'!$B$4:$AT$4))</f>
        <v>0</v>
      </c>
      <c r="F46" s="44">
        <f t="array" ref="F46">SUM(IF('Alloyd 1'!$B$2:$AT$2='Resumo Produção'!$A46,'Alloyd 1'!$B$16:$AT$16))</f>
        <v>0</v>
      </c>
      <c r="G46" s="44">
        <f t="array" ref="G46">SUM(IF('Alloyd 1'!$B$2:$AT$2='Resumo Produção'!$A46,'Alloyd 1'!$B$15:$AT$15))</f>
        <v>0</v>
      </c>
      <c r="H46" s="44">
        <f t="array" ref="H46">SUM(IF('Alloyd 1'!$B$2:$AT$2='Resumo Produção'!$A46,'Alloyd 1'!$B$17:$AT$17))</f>
        <v>0</v>
      </c>
      <c r="I46" s="44">
        <f t="array" ref="I46">SUM(IF('Alloyd 1'!$B$2:$AT$2='Resumo Produção'!$A46,'Alloyd 1'!$B$18:$AT$18))</f>
        <v>0</v>
      </c>
      <c r="J46" s="44">
        <f t="shared" si="0"/>
        <v>0</v>
      </c>
      <c r="K46" s="67">
        <f t="shared" si="1"/>
        <v>0</v>
      </c>
      <c r="L46" s="91" t="e">
        <f t="array" ref="L46">SUM(IF('Alloyd 1'!#REF!='Resumo Produção'!A46,'Alloyd 1'!#REF!))</f>
        <v>#REF!</v>
      </c>
      <c r="M46" s="46">
        <f t="array" ref="M46">SUM(IF('Alloyd 2'!$B$2:$AW$2='Resumo Produção'!$A46,'Alloyd 2'!$B$4:$AW$4))</f>
        <v>0</v>
      </c>
      <c r="N46" s="47">
        <f t="array" ref="N46">SUM(IF('Alloyd 2'!$B$2:$AW$2='Resumo Produção'!$A46,'Alloyd 2'!$B$16:$AW$16))</f>
        <v>0</v>
      </c>
      <c r="O46" s="47">
        <f t="array" ref="O46">SUM(IF('Alloyd 2'!$B$2:$AW$2='Resumo Produção'!$A46,'Alloyd 2'!$B$15:$AW$15))</f>
        <v>0</v>
      </c>
      <c r="P46" s="47">
        <f t="array" ref="P46">SUM(IF('Alloyd 2'!$B$2:$AW$2='Resumo Produção'!$A46,'Alloyd 2'!$B$17:$AW$17))</f>
        <v>0</v>
      </c>
      <c r="Q46" s="47">
        <f t="array" ref="Q46">SUM(IF('Alloyd 2'!$B$2:$AW$2='Resumo Produção'!$A46,'Alloyd 2'!$B$18:$AW$18))</f>
        <v>0</v>
      </c>
      <c r="R46" s="47">
        <f t="shared" si="6"/>
        <v>0</v>
      </c>
      <c r="S46" s="70">
        <f t="shared" si="3"/>
        <v>0</v>
      </c>
      <c r="T46" s="186" t="e">
        <f t="array" ref="T46">SUM(IF('Alloyd 1'!#REF!='Resumo Produção'!I46,'Alloyd 1'!#REF!))</f>
        <v>#REF!</v>
      </c>
      <c r="U46" s="187">
        <f t="array" ref="U46">SUM(IF('Alloyd 3'!$B$2:$AW$2='Resumo Produção'!$A46,'Alloyd 3'!$B$4:$AW$4))</f>
        <v>0</v>
      </c>
      <c r="V46" s="188">
        <f t="array" ref="V46">SUM(IF('Alloyd 3'!$B$2:$AW$2='Resumo Produção'!$A46,'Alloyd 3'!$B$16:$AW$16))</f>
        <v>0</v>
      </c>
      <c r="W46" s="188">
        <f t="array" ref="W46">SUM(IF('Alloyd 3'!$B$2:$AW$2='Resumo Produção'!$A46,'Alloyd 3'!$B$15:$AW$15))</f>
        <v>0</v>
      </c>
      <c r="X46" s="188">
        <f t="array" ref="X46">SUM(IF('Alloyd 3'!$B$2:$AW$2='Resumo Produção'!$A46,'Alloyd 3'!$B$17:$AW$17))</f>
        <v>0</v>
      </c>
      <c r="Y46" s="188">
        <f t="array" ref="Y46">SUM(IF('Alloyd 3'!$B$2:$AW$2='Resumo Produção'!$A46,'Alloyd 3'!$B$18:$AW$18))</f>
        <v>0</v>
      </c>
      <c r="Z46" s="188">
        <f t="shared" si="4"/>
        <v>0</v>
      </c>
      <c r="AA46" s="189">
        <f t="shared" si="5"/>
        <v>0</v>
      </c>
    </row>
    <row r="47" spans="1:27">
      <c r="A47" s="79" t="s">
        <v>34</v>
      </c>
      <c r="B47" s="84"/>
      <c r="C47" s="84"/>
      <c r="D47" s="44">
        <f t="array" ref="D47">SUM(IF('Alloyd 1'!$B$2:$AT$2='Resumo Produção'!A47,'Alloyd 1'!$B$13:$AT$13))</f>
        <v>0</v>
      </c>
      <c r="E47" s="44">
        <f t="array" ref="E47">SUM(IF('Alloyd 1'!$B$2:$AT$2='Resumo Produção'!A47,'Alloyd 1'!$B$4:$AT$4))</f>
        <v>0</v>
      </c>
      <c r="F47" s="44">
        <f t="array" ref="F47">SUM(IF('Alloyd 1'!$B$2:$AT$2='Resumo Produção'!$A47,'Alloyd 1'!$B$16:$AT$16))</f>
        <v>0</v>
      </c>
      <c r="G47" s="44">
        <f t="array" ref="G47">SUM(IF('Alloyd 1'!$B$2:$AT$2='Resumo Produção'!$A47,'Alloyd 1'!$B$15:$AT$15))</f>
        <v>0</v>
      </c>
      <c r="H47" s="44">
        <f t="array" ref="H47">SUM(IF('Alloyd 1'!$B$2:$AT$2='Resumo Produção'!$A47,'Alloyd 1'!$B$17:$AT$17))</f>
        <v>0</v>
      </c>
      <c r="I47" s="44">
        <f t="array" ref="I47">SUM(IF('Alloyd 1'!$B$2:$AT$2='Resumo Produção'!$A47,'Alloyd 1'!$B$18:$AT$18))</f>
        <v>0</v>
      </c>
      <c r="J47" s="44">
        <f t="shared" si="0"/>
        <v>0</v>
      </c>
      <c r="K47" s="67">
        <f t="shared" si="1"/>
        <v>0</v>
      </c>
      <c r="L47" s="91" t="e">
        <f t="array" ref="L47">SUM(IF('Alloyd 1'!#REF!='Resumo Produção'!A47,'Alloyd 1'!#REF!))</f>
        <v>#REF!</v>
      </c>
      <c r="M47" s="46">
        <f t="array" ref="M47">SUM(IF('Alloyd 2'!$B$2:$AW$2='Resumo Produção'!$A47,'Alloyd 2'!$B$4:$AW$4))</f>
        <v>0</v>
      </c>
      <c r="N47" s="47">
        <f t="array" ref="N47">SUM(IF('Alloyd 2'!$B$2:$AW$2='Resumo Produção'!$A47,'Alloyd 2'!$B$16:$AW$16))</f>
        <v>0</v>
      </c>
      <c r="O47" s="47">
        <f t="array" ref="O47">SUM(IF('Alloyd 2'!$B$2:$AW$2='Resumo Produção'!$A47,'Alloyd 2'!$B$15:$AW$15))</f>
        <v>0</v>
      </c>
      <c r="P47" s="47">
        <f t="array" ref="P47">SUM(IF('Alloyd 2'!$B$2:$AW$2='Resumo Produção'!$A47,'Alloyd 2'!$B$17:$AW$17))</f>
        <v>0</v>
      </c>
      <c r="Q47" s="47">
        <f t="array" ref="Q47">SUM(IF('Alloyd 2'!$B$2:$AW$2='Resumo Produção'!$A47,'Alloyd 2'!$B$18:$AW$18))</f>
        <v>0</v>
      </c>
      <c r="R47" s="47">
        <f t="shared" si="6"/>
        <v>0</v>
      </c>
      <c r="S47" s="70">
        <f t="shared" si="3"/>
        <v>0</v>
      </c>
      <c r="T47" s="186" t="e">
        <f t="array" ref="T47">SUM(IF('Alloyd 1'!#REF!='Resumo Produção'!I47,'Alloyd 1'!#REF!))</f>
        <v>#REF!</v>
      </c>
      <c r="U47" s="187">
        <f t="array" ref="U47">SUM(IF('Alloyd 3'!$B$2:$AW$2='Resumo Produção'!$A47,'Alloyd 3'!$B$4:$AW$4))</f>
        <v>0</v>
      </c>
      <c r="V47" s="188">
        <f t="array" ref="V47">SUM(IF('Alloyd 3'!$B$2:$AW$2='Resumo Produção'!$A47,'Alloyd 3'!$B$16:$AW$16))</f>
        <v>0</v>
      </c>
      <c r="W47" s="188">
        <f t="array" ref="W47">SUM(IF('Alloyd 3'!$B$2:$AW$2='Resumo Produção'!$A47,'Alloyd 3'!$B$15:$AW$15))</f>
        <v>0</v>
      </c>
      <c r="X47" s="188">
        <f t="array" ref="X47">SUM(IF('Alloyd 3'!$B$2:$AW$2='Resumo Produção'!$A47,'Alloyd 3'!$B$17:$AW$17))</f>
        <v>0</v>
      </c>
      <c r="Y47" s="188">
        <f t="array" ref="Y47">SUM(IF('Alloyd 3'!$B$2:$AW$2='Resumo Produção'!$A47,'Alloyd 3'!$B$18:$AW$18))</f>
        <v>0</v>
      </c>
      <c r="Z47" s="188">
        <f t="shared" si="4"/>
        <v>0</v>
      </c>
      <c r="AA47" s="189">
        <f t="shared" si="5"/>
        <v>0</v>
      </c>
    </row>
    <row r="48" spans="1:27">
      <c r="A48" s="79" t="s">
        <v>42</v>
      </c>
      <c r="B48" s="84"/>
      <c r="C48" s="84"/>
      <c r="D48" s="44">
        <f t="array" ref="D48">SUM(IF('Alloyd 1'!$B$2:$AT$2='Resumo Produção'!A48,'Alloyd 1'!$B$13:$AT$13))</f>
        <v>0</v>
      </c>
      <c r="E48" s="44">
        <f t="array" ref="E48">SUM(IF('Alloyd 1'!$B$2:$AT$2='Resumo Produção'!A48,'Alloyd 1'!$B$4:$AT$4))</f>
        <v>0</v>
      </c>
      <c r="F48" s="44">
        <f t="array" ref="F48">SUM(IF('Alloyd 1'!$B$2:$AT$2='Resumo Produção'!$A48,'Alloyd 1'!$B$16:$AT$16))</f>
        <v>0</v>
      </c>
      <c r="G48" s="44">
        <f t="array" ref="G48">SUM(IF('Alloyd 1'!$B$2:$AT$2='Resumo Produção'!$A48,'Alloyd 1'!$B$15:$AT$15))</f>
        <v>0</v>
      </c>
      <c r="H48" s="44">
        <f t="array" ref="H48">SUM(IF('Alloyd 1'!$B$2:$AT$2='Resumo Produção'!$A48,'Alloyd 1'!$B$17:$AT$17))</f>
        <v>0</v>
      </c>
      <c r="I48" s="44">
        <f t="array" ref="I48">SUM(IF('Alloyd 1'!$B$2:$AT$2='Resumo Produção'!$A48,'Alloyd 1'!$B$18:$AT$18))</f>
        <v>0</v>
      </c>
      <c r="J48" s="44">
        <f t="shared" si="0"/>
        <v>0</v>
      </c>
      <c r="K48" s="67">
        <f t="shared" si="1"/>
        <v>0</v>
      </c>
      <c r="L48" s="91" t="e">
        <f t="array" ref="L48">SUM(IF('Alloyd 1'!#REF!='Resumo Produção'!A48,'Alloyd 1'!#REF!))</f>
        <v>#REF!</v>
      </c>
      <c r="M48" s="46">
        <f t="array" ref="M48">SUM(IF('Alloyd 2'!$B$2:$AW$2='Resumo Produção'!$A48,'Alloyd 2'!$B$4:$AW$4))</f>
        <v>0</v>
      </c>
      <c r="N48" s="47">
        <f t="array" ref="N48">SUM(IF('Alloyd 2'!$B$2:$AW$2='Resumo Produção'!$A48,'Alloyd 2'!$B$16:$AW$16))</f>
        <v>0</v>
      </c>
      <c r="O48" s="47">
        <f t="array" ref="O48">SUM(IF('Alloyd 2'!$B$2:$AW$2='Resumo Produção'!$A48,'Alloyd 2'!$B$15:$AW$15))</f>
        <v>0</v>
      </c>
      <c r="P48" s="47">
        <f t="array" ref="P48">SUM(IF('Alloyd 2'!$B$2:$AW$2='Resumo Produção'!$A48,'Alloyd 2'!$B$17:$AW$17))</f>
        <v>0</v>
      </c>
      <c r="Q48" s="47">
        <f t="array" ref="Q48">SUM(IF('Alloyd 2'!$B$2:$AW$2='Resumo Produção'!$A48,'Alloyd 2'!$B$18:$AW$18))</f>
        <v>0</v>
      </c>
      <c r="R48" s="47">
        <f t="shared" si="6"/>
        <v>0</v>
      </c>
      <c r="S48" s="70">
        <f t="shared" si="3"/>
        <v>0</v>
      </c>
      <c r="T48" s="186" t="e">
        <f t="array" ref="T48">SUM(IF('Alloyd 1'!#REF!='Resumo Produção'!I48,'Alloyd 1'!#REF!))</f>
        <v>#REF!</v>
      </c>
      <c r="U48" s="187">
        <f t="array" ref="U48">SUM(IF('Alloyd 3'!$B$2:$AW$2='Resumo Produção'!$A48,'Alloyd 3'!$B$4:$AW$4))</f>
        <v>0</v>
      </c>
      <c r="V48" s="188">
        <f t="array" ref="V48">SUM(IF('Alloyd 3'!$B$2:$AW$2='Resumo Produção'!$A48,'Alloyd 3'!$B$16:$AW$16))</f>
        <v>0</v>
      </c>
      <c r="W48" s="188">
        <f t="array" ref="W48">SUM(IF('Alloyd 3'!$B$2:$AW$2='Resumo Produção'!$A48,'Alloyd 3'!$B$15:$AW$15))</f>
        <v>0</v>
      </c>
      <c r="X48" s="188">
        <f t="array" ref="X48">SUM(IF('Alloyd 3'!$B$2:$AW$2='Resumo Produção'!$A48,'Alloyd 3'!$B$17:$AW$17))</f>
        <v>0</v>
      </c>
      <c r="Y48" s="188">
        <f t="array" ref="Y48">SUM(IF('Alloyd 3'!$B$2:$AW$2='Resumo Produção'!$A48,'Alloyd 3'!$B$18:$AW$18))</f>
        <v>0</v>
      </c>
      <c r="Z48" s="188">
        <f t="shared" si="4"/>
        <v>0</v>
      </c>
      <c r="AA48" s="189">
        <f t="shared" si="5"/>
        <v>0</v>
      </c>
    </row>
    <row r="49" spans="1:27">
      <c r="A49" s="79" t="s">
        <v>95</v>
      </c>
      <c r="B49" s="84"/>
      <c r="C49" s="84"/>
      <c r="D49" s="44">
        <f t="array" ref="D49">SUM(IF('Alloyd 1'!$B$2:$AT$2='Resumo Produção'!A49,'Alloyd 1'!$B$13:$AT$13))</f>
        <v>0</v>
      </c>
      <c r="E49" s="44">
        <f t="array" ref="E49">SUM(IF('Alloyd 1'!$B$2:$AT$2='Resumo Produção'!A49,'Alloyd 1'!$B$4:$AT$4))</f>
        <v>0</v>
      </c>
      <c r="F49" s="44">
        <f t="array" ref="F49">SUM(IF('Alloyd 1'!$B$2:$AT$2='Resumo Produção'!$A49,'Alloyd 1'!$B$16:$AT$16))</f>
        <v>0</v>
      </c>
      <c r="G49" s="44">
        <f t="array" ref="G49">SUM(IF('Alloyd 1'!$B$2:$AT$2='Resumo Produção'!$A49,'Alloyd 1'!$B$15:$AT$15))</f>
        <v>0</v>
      </c>
      <c r="H49" s="44">
        <f t="array" ref="H49">SUM(IF('Alloyd 1'!$B$2:$AT$2='Resumo Produção'!$A49,'Alloyd 1'!$B$17:$AT$17))</f>
        <v>0</v>
      </c>
      <c r="I49" s="44">
        <f t="array" ref="I49">SUM(IF('Alloyd 1'!$B$2:$AT$2='Resumo Produção'!$A49,'Alloyd 1'!$B$18:$AT$18))</f>
        <v>0</v>
      </c>
      <c r="J49" s="44">
        <f t="shared" ref="J49:J52" si="45">SUM(F49:I49)</f>
        <v>0</v>
      </c>
      <c r="K49" s="67">
        <f t="shared" ref="K49:K52" si="46">IF(ISERR(J49/E49),,J49/E49*1000000)</f>
        <v>0</v>
      </c>
      <c r="L49" s="91" t="e">
        <f t="array" ref="L49">SUM(IF('Alloyd 1'!#REF!='Resumo Produção'!A49,'Alloyd 1'!#REF!))</f>
        <v>#REF!</v>
      </c>
      <c r="M49" s="46">
        <f t="array" ref="M49">SUM(IF('Alloyd 2'!$B$2:$AW$2='Resumo Produção'!$A49,'Alloyd 2'!$B$4:$AW$4))</f>
        <v>0</v>
      </c>
      <c r="N49" s="47">
        <f t="array" ref="N49">SUM(IF('Alloyd 2'!$B$2:$AW$2='Resumo Produção'!$A49,'Alloyd 2'!$B$16:$AW$16))</f>
        <v>0</v>
      </c>
      <c r="O49" s="47">
        <f t="array" ref="O49">SUM(IF('Alloyd 2'!$B$2:$AW$2='Resumo Produção'!$A49,'Alloyd 2'!$B$15:$AW$15))</f>
        <v>0</v>
      </c>
      <c r="P49" s="47">
        <f t="array" ref="P49">SUM(IF('Alloyd 2'!$B$2:$AW$2='Resumo Produção'!$A49,'Alloyd 2'!$B$17:$AW$17))</f>
        <v>0</v>
      </c>
      <c r="Q49" s="47">
        <f t="array" ref="Q49">SUM(IF('Alloyd 2'!$B$2:$AW$2='Resumo Produção'!$A49,'Alloyd 2'!$B$18:$AW$18))</f>
        <v>0</v>
      </c>
      <c r="R49" s="47">
        <f t="shared" ref="R49:R52" si="47">SUM(N49:Q49)</f>
        <v>0</v>
      </c>
      <c r="S49" s="70">
        <f t="shared" ref="S49:S52" si="48">IF(ISERR(R49/M49),,R49/M49*1000000)</f>
        <v>0</v>
      </c>
      <c r="T49" s="186" t="e">
        <f t="array" ref="T49">SUM(IF('Alloyd 1'!#REF!='Resumo Produção'!I49,'Alloyd 1'!#REF!))</f>
        <v>#REF!</v>
      </c>
      <c r="U49" s="187">
        <f t="array" ref="U49">SUM(IF('Alloyd 3'!$B$2:$AW$2='Resumo Produção'!$A49,'Alloyd 3'!$B$4:$AW$4))</f>
        <v>0</v>
      </c>
      <c r="V49" s="188">
        <f t="array" ref="V49">SUM(IF('Alloyd 3'!$B$2:$AW$2='Resumo Produção'!$A49,'Alloyd 3'!$B$16:$AW$16))</f>
        <v>0</v>
      </c>
      <c r="W49" s="188">
        <f t="array" ref="W49">SUM(IF('Alloyd 3'!$B$2:$AW$2='Resumo Produção'!$A49,'Alloyd 3'!$B$15:$AW$15))</f>
        <v>0</v>
      </c>
      <c r="X49" s="188">
        <f t="array" ref="X49">SUM(IF('Alloyd 3'!$B$2:$AW$2='Resumo Produção'!$A49,'Alloyd 3'!$B$17:$AW$17))</f>
        <v>0</v>
      </c>
      <c r="Y49" s="188">
        <f t="array" ref="Y49">SUM(IF('Alloyd 3'!$B$2:$AW$2='Resumo Produção'!$A49,'Alloyd 3'!$B$18:$AW$18))</f>
        <v>0</v>
      </c>
      <c r="Z49" s="188">
        <f t="shared" si="4"/>
        <v>0</v>
      </c>
      <c r="AA49" s="189">
        <f t="shared" si="5"/>
        <v>0</v>
      </c>
    </row>
    <row r="50" spans="1:27">
      <c r="A50" s="79" t="s">
        <v>43</v>
      </c>
      <c r="B50" s="84"/>
      <c r="C50" s="84"/>
      <c r="D50" s="44">
        <f t="array" ref="D50">SUM(IF('Alloyd 1'!$B$2:$AT$2='Resumo Produção'!A50,'Alloyd 1'!$B$13:$AT$13))</f>
        <v>0</v>
      </c>
      <c r="E50" s="44">
        <f t="array" ref="E50">SUM(IF('Alloyd 1'!$B$2:$AT$2='Resumo Produção'!A50,'Alloyd 1'!$B$4:$AT$4))</f>
        <v>0</v>
      </c>
      <c r="F50" s="44">
        <f t="array" ref="F50">SUM(IF('Alloyd 1'!$B$2:$AT$2='Resumo Produção'!$A50,'Alloyd 1'!$B$16:$AT$16))</f>
        <v>0</v>
      </c>
      <c r="G50" s="44">
        <f t="array" ref="G50">SUM(IF('Alloyd 1'!$B$2:$AT$2='Resumo Produção'!$A50,'Alloyd 1'!$B$15:$AT$15))</f>
        <v>0</v>
      </c>
      <c r="H50" s="44">
        <f t="array" ref="H50">SUM(IF('Alloyd 1'!$B$2:$AT$2='Resumo Produção'!$A50,'Alloyd 1'!$B$17:$AT$17))</f>
        <v>0</v>
      </c>
      <c r="I50" s="44">
        <f t="array" ref="I50">SUM(IF('Alloyd 1'!$B$2:$AT$2='Resumo Produção'!$A50,'Alloyd 1'!$B$18:$AT$18))</f>
        <v>0</v>
      </c>
      <c r="J50" s="44">
        <f t="shared" si="45"/>
        <v>0</v>
      </c>
      <c r="K50" s="67">
        <f t="shared" si="46"/>
        <v>0</v>
      </c>
      <c r="L50" s="91" t="e">
        <f t="array" ref="L50">SUM(IF('Alloyd 1'!#REF!='Resumo Produção'!A50,'Alloyd 1'!#REF!))</f>
        <v>#REF!</v>
      </c>
      <c r="M50" s="46">
        <f t="array" ref="M50">SUM(IF('Alloyd 2'!$B$2:$AW$2='Resumo Produção'!$A50,'Alloyd 2'!$B$4:$AW$4))</f>
        <v>0</v>
      </c>
      <c r="N50" s="47">
        <f t="array" ref="N50">SUM(IF('Alloyd 2'!$B$2:$AW$2='Resumo Produção'!$A50,'Alloyd 2'!$B$16:$AW$16))</f>
        <v>0</v>
      </c>
      <c r="O50" s="47">
        <f t="array" ref="O50">SUM(IF('Alloyd 2'!$B$2:$AW$2='Resumo Produção'!$A50,'Alloyd 2'!$B$15:$AW$15))</f>
        <v>0</v>
      </c>
      <c r="P50" s="47">
        <f t="array" ref="P50">SUM(IF('Alloyd 2'!$B$2:$AW$2='Resumo Produção'!$A50,'Alloyd 2'!$B$17:$AW$17))</f>
        <v>0</v>
      </c>
      <c r="Q50" s="47">
        <f t="array" ref="Q50">SUM(IF('Alloyd 2'!$B$2:$AW$2='Resumo Produção'!$A50,'Alloyd 2'!$B$18:$AW$18))</f>
        <v>0</v>
      </c>
      <c r="R50" s="47">
        <f t="shared" si="47"/>
        <v>0</v>
      </c>
      <c r="S50" s="70">
        <f t="shared" si="48"/>
        <v>0</v>
      </c>
      <c r="T50" s="186" t="e">
        <f t="array" ref="T50">SUM(IF('Alloyd 1'!#REF!='Resumo Produção'!I50,'Alloyd 1'!#REF!))</f>
        <v>#REF!</v>
      </c>
      <c r="U50" s="187">
        <f t="array" ref="U50">SUM(IF('Alloyd 3'!$B$2:$AW$2='Resumo Produção'!$A50,'Alloyd 3'!$B$4:$AW$4))</f>
        <v>0</v>
      </c>
      <c r="V50" s="188">
        <f t="array" ref="V50">SUM(IF('Alloyd 3'!$B$2:$AW$2='Resumo Produção'!$A50,'Alloyd 3'!$B$16:$AW$16))</f>
        <v>0</v>
      </c>
      <c r="W50" s="188">
        <f t="array" ref="W50">SUM(IF('Alloyd 3'!$B$2:$AW$2='Resumo Produção'!$A50,'Alloyd 3'!$B$15:$AW$15))</f>
        <v>0</v>
      </c>
      <c r="X50" s="188">
        <f t="array" ref="X50">SUM(IF('Alloyd 3'!$B$2:$AW$2='Resumo Produção'!$A50,'Alloyd 3'!$B$17:$AW$17))</f>
        <v>0</v>
      </c>
      <c r="Y50" s="188">
        <f t="array" ref="Y50">SUM(IF('Alloyd 3'!$B$2:$AW$2='Resumo Produção'!$A50,'Alloyd 3'!$B$18:$AW$18))</f>
        <v>0</v>
      </c>
      <c r="Z50" s="188">
        <f t="shared" si="4"/>
        <v>0</v>
      </c>
      <c r="AA50" s="189">
        <f t="shared" si="5"/>
        <v>0</v>
      </c>
    </row>
    <row r="51" spans="1:27">
      <c r="A51" s="79" t="s">
        <v>6</v>
      </c>
      <c r="B51" s="84"/>
      <c r="C51" s="84"/>
      <c r="D51" s="44">
        <f t="array" ref="D51">SUM(IF('Alloyd 1'!$B$2:$AT$2='Resumo Produção'!A51,'Alloyd 1'!$B$13:$AT$13))</f>
        <v>0</v>
      </c>
      <c r="E51" s="44">
        <f t="array" ref="E51">SUM(IF('Alloyd 1'!$B$2:$AT$2='Resumo Produção'!A51,'Alloyd 1'!$B$4:$AT$4))</f>
        <v>0</v>
      </c>
      <c r="F51" s="44">
        <f t="array" ref="F51">SUM(IF('Alloyd 1'!$B$2:$AT$2='Resumo Produção'!$A51,'Alloyd 1'!$B$16:$AT$16))</f>
        <v>0</v>
      </c>
      <c r="G51" s="44">
        <f t="array" ref="G51">SUM(IF('Alloyd 1'!$B$2:$AT$2='Resumo Produção'!$A51,'Alloyd 1'!$B$15:$AT$15))</f>
        <v>0</v>
      </c>
      <c r="H51" s="44">
        <f t="array" ref="H51">SUM(IF('Alloyd 1'!$B$2:$AT$2='Resumo Produção'!$A51,'Alloyd 1'!$B$17:$AT$17))</f>
        <v>0</v>
      </c>
      <c r="I51" s="44">
        <f t="array" ref="I51">SUM(IF('Alloyd 1'!$B$2:$AT$2='Resumo Produção'!$A51,'Alloyd 1'!$B$18:$AT$18))</f>
        <v>0</v>
      </c>
      <c r="J51" s="44">
        <f t="shared" si="45"/>
        <v>0</v>
      </c>
      <c r="K51" s="67">
        <f t="shared" si="46"/>
        <v>0</v>
      </c>
      <c r="L51" s="91" t="e">
        <f t="array" ref="L51">SUM(IF('Alloyd 1'!#REF!='Resumo Produção'!A51,'Alloyd 1'!#REF!))</f>
        <v>#REF!</v>
      </c>
      <c r="M51" s="46">
        <f t="array" ref="M51">SUM(IF('Alloyd 2'!$B$2:$AW$2='Resumo Produção'!$A51,'Alloyd 2'!$B$4:$AW$4))</f>
        <v>0</v>
      </c>
      <c r="N51" s="47">
        <f t="array" ref="N51">SUM(IF('Alloyd 2'!$B$2:$AW$2='Resumo Produção'!$A51,'Alloyd 2'!$B$16:$AW$16))</f>
        <v>0</v>
      </c>
      <c r="O51" s="47">
        <f t="array" ref="O51">SUM(IF('Alloyd 2'!$B$2:$AW$2='Resumo Produção'!$A51,'Alloyd 2'!$B$15:$AW$15))</f>
        <v>0</v>
      </c>
      <c r="P51" s="47">
        <f t="array" ref="P51">SUM(IF('Alloyd 2'!$B$2:$AW$2='Resumo Produção'!$A51,'Alloyd 2'!$B$17:$AW$17))</f>
        <v>0</v>
      </c>
      <c r="Q51" s="47">
        <f t="array" ref="Q51">SUM(IF('Alloyd 2'!$B$2:$AW$2='Resumo Produção'!$A51,'Alloyd 2'!$B$18:$AW$18))</f>
        <v>0</v>
      </c>
      <c r="R51" s="47">
        <f t="shared" si="47"/>
        <v>0</v>
      </c>
      <c r="S51" s="70">
        <f t="shared" si="48"/>
        <v>0</v>
      </c>
      <c r="T51" s="186" t="e">
        <f t="array" ref="T51">SUM(IF('Alloyd 1'!#REF!='Resumo Produção'!I51,'Alloyd 1'!#REF!))</f>
        <v>#REF!</v>
      </c>
      <c r="U51" s="187">
        <f t="array" ref="U51">SUM(IF('Alloyd 3'!$B$2:$AW$2='Resumo Produção'!$A51,'Alloyd 3'!$B$4:$AW$4))</f>
        <v>0</v>
      </c>
      <c r="V51" s="188">
        <f t="array" ref="V51">SUM(IF('Alloyd 3'!$B$2:$AW$2='Resumo Produção'!$A51,'Alloyd 3'!$B$16:$AW$16))</f>
        <v>0</v>
      </c>
      <c r="W51" s="188">
        <f t="array" ref="W51">SUM(IF('Alloyd 3'!$B$2:$AW$2='Resumo Produção'!$A51,'Alloyd 3'!$B$15:$AW$15))</f>
        <v>0</v>
      </c>
      <c r="X51" s="188">
        <f t="array" ref="X51">SUM(IF('Alloyd 3'!$B$2:$AW$2='Resumo Produção'!$A51,'Alloyd 3'!$B$17:$AW$17))</f>
        <v>0</v>
      </c>
      <c r="Y51" s="188">
        <f t="array" ref="Y51">SUM(IF('Alloyd 3'!$B$2:$AW$2='Resumo Produção'!$A51,'Alloyd 3'!$B$18:$AW$18))</f>
        <v>0</v>
      </c>
      <c r="Z51" s="188">
        <f t="shared" si="4"/>
        <v>0</v>
      </c>
      <c r="AA51" s="189">
        <f t="shared" si="5"/>
        <v>0</v>
      </c>
    </row>
    <row r="52" spans="1:27">
      <c r="A52" s="79" t="s">
        <v>96</v>
      </c>
      <c r="B52" s="84"/>
      <c r="C52" s="84"/>
      <c r="D52" s="44">
        <f t="array" ref="D52">SUM(IF('Alloyd 1'!$B$2:$AT$2='Resumo Produção'!A52,'Alloyd 1'!$B$13:$AT$13))</f>
        <v>0</v>
      </c>
      <c r="E52" s="44">
        <f t="array" ref="E52">SUM(IF('Alloyd 1'!$B$2:$AT$2='Resumo Produção'!A52,'Alloyd 1'!$B$4:$AT$4))</f>
        <v>0</v>
      </c>
      <c r="F52" s="44">
        <f t="array" ref="F52">SUM(IF('Alloyd 1'!$B$2:$AT$2='Resumo Produção'!$A52,'Alloyd 1'!$B$16:$AT$16))</f>
        <v>0</v>
      </c>
      <c r="G52" s="44">
        <f t="array" ref="G52">SUM(IF('Alloyd 1'!$B$2:$AT$2='Resumo Produção'!$A52,'Alloyd 1'!$B$15:$AT$15))</f>
        <v>0</v>
      </c>
      <c r="H52" s="44">
        <f t="array" ref="H52">SUM(IF('Alloyd 1'!$B$2:$AT$2='Resumo Produção'!$A52,'Alloyd 1'!$B$17:$AT$17))</f>
        <v>0</v>
      </c>
      <c r="I52" s="44">
        <f t="array" ref="I52">SUM(IF('Alloyd 1'!$B$2:$AT$2='Resumo Produção'!$A52,'Alloyd 1'!$B$18:$AT$18))</f>
        <v>0</v>
      </c>
      <c r="J52" s="44">
        <f t="shared" si="45"/>
        <v>0</v>
      </c>
      <c r="K52" s="67">
        <f t="shared" si="46"/>
        <v>0</v>
      </c>
      <c r="L52" s="91" t="e">
        <f t="array" ref="L52">SUM(IF('Alloyd 1'!#REF!='Resumo Produção'!A52,'Alloyd 1'!#REF!))</f>
        <v>#REF!</v>
      </c>
      <c r="M52" s="46">
        <f t="array" ref="M52">SUM(IF('Alloyd 2'!$B$2:$AW$2='Resumo Produção'!$A52,'Alloyd 2'!$B$4:$AW$4))</f>
        <v>0</v>
      </c>
      <c r="N52" s="47">
        <f t="array" ref="N52">SUM(IF('Alloyd 2'!$B$2:$AW$2='Resumo Produção'!$A52,'Alloyd 2'!$B$16:$AW$16))</f>
        <v>0</v>
      </c>
      <c r="O52" s="47">
        <f t="array" ref="O52">SUM(IF('Alloyd 2'!$B$2:$AW$2='Resumo Produção'!$A52,'Alloyd 2'!$B$15:$AW$15))</f>
        <v>0</v>
      </c>
      <c r="P52" s="47">
        <f t="array" ref="P52">SUM(IF('Alloyd 2'!$B$2:$AW$2='Resumo Produção'!$A52,'Alloyd 2'!$B$17:$AW$17))</f>
        <v>0</v>
      </c>
      <c r="Q52" s="47">
        <f t="array" ref="Q52">SUM(IF('Alloyd 2'!$B$2:$AW$2='Resumo Produção'!$A52,'Alloyd 2'!$B$18:$AW$18))</f>
        <v>0</v>
      </c>
      <c r="R52" s="47">
        <f t="shared" si="47"/>
        <v>0</v>
      </c>
      <c r="S52" s="70">
        <f t="shared" si="48"/>
        <v>0</v>
      </c>
      <c r="T52" s="186" t="e">
        <f t="array" ref="T52">SUM(IF('Alloyd 1'!#REF!='Resumo Produção'!I52,'Alloyd 1'!#REF!))</f>
        <v>#REF!</v>
      </c>
      <c r="U52" s="187">
        <f t="array" ref="U52">SUM(IF('Alloyd 3'!$B$2:$AW$2='Resumo Produção'!$A52,'Alloyd 3'!$B$4:$AW$4))</f>
        <v>0</v>
      </c>
      <c r="V52" s="188">
        <f t="array" ref="V52">SUM(IF('Alloyd 3'!$B$2:$AW$2='Resumo Produção'!$A52,'Alloyd 3'!$B$16:$AW$16))</f>
        <v>0</v>
      </c>
      <c r="W52" s="188">
        <f t="array" ref="W52">SUM(IF('Alloyd 3'!$B$2:$AW$2='Resumo Produção'!$A52,'Alloyd 3'!$B$15:$AW$15))</f>
        <v>0</v>
      </c>
      <c r="X52" s="188">
        <f t="array" ref="X52">SUM(IF('Alloyd 3'!$B$2:$AW$2='Resumo Produção'!$A52,'Alloyd 3'!$B$17:$AW$17))</f>
        <v>0</v>
      </c>
      <c r="Y52" s="188">
        <f t="array" ref="Y52">SUM(IF('Alloyd 3'!$B$2:$AW$2='Resumo Produção'!$A52,'Alloyd 3'!$B$18:$AW$18))</f>
        <v>0</v>
      </c>
      <c r="Z52" s="188">
        <f t="shared" si="4"/>
        <v>0</v>
      </c>
      <c r="AA52" s="189">
        <f t="shared" si="5"/>
        <v>0</v>
      </c>
    </row>
    <row r="53" spans="1:27" ht="13.5" thickBot="1">
      <c r="A53" s="79" t="s">
        <v>76</v>
      </c>
      <c r="B53" s="84"/>
      <c r="C53" s="84"/>
      <c r="D53" s="44">
        <f t="array" ref="D53">SUM(IF('Alloyd 1'!$B$2:$AT$2='Resumo Produção'!A53,'Alloyd 1'!$B$13:$AT$13))</f>
        <v>0</v>
      </c>
      <c r="E53" s="44">
        <f t="array" ref="E53">SUM(IF('Alloyd 1'!$B$2:$AT$2='Resumo Produção'!A53,'Alloyd 1'!$B$4:$AT$4))</f>
        <v>0</v>
      </c>
      <c r="F53" s="44">
        <f t="array" ref="F53">SUM(IF('Alloyd 1'!$B$2:$AT$2='Resumo Produção'!$A53,'Alloyd 1'!$B$16:$AT$16))</f>
        <v>0</v>
      </c>
      <c r="G53" s="44">
        <f t="array" ref="G53">SUM(IF('Alloyd 1'!$B$2:$AT$2='Resumo Produção'!$A53,'Alloyd 1'!$B$15:$AT$15))</f>
        <v>0</v>
      </c>
      <c r="H53" s="44">
        <f t="array" ref="H53">SUM(IF('Alloyd 1'!$B$2:$AT$2='Resumo Produção'!$A53,'Alloyd 1'!$B$17:$AT$17))</f>
        <v>0</v>
      </c>
      <c r="I53" s="44">
        <f t="array" ref="I53">SUM(IF('Alloyd 1'!$B$2:$AT$2='Resumo Produção'!$A53,'Alloyd 1'!$B$18:$AT$18))</f>
        <v>0</v>
      </c>
      <c r="J53" s="44">
        <f t="shared" si="0"/>
        <v>0</v>
      </c>
      <c r="K53" s="67">
        <f t="shared" si="1"/>
        <v>0</v>
      </c>
      <c r="L53" s="91" t="e">
        <f t="array" ref="L53">SUM(IF('Alloyd 1'!#REF!='Resumo Produção'!A53,'Alloyd 1'!#REF!))</f>
        <v>#REF!</v>
      </c>
      <c r="M53" s="46">
        <f t="array" ref="M53">SUM(IF('Alloyd 2'!$B$2:$AW$2='Resumo Produção'!$A53,'Alloyd 2'!$B$4:$AW$4))</f>
        <v>0</v>
      </c>
      <c r="N53" s="47">
        <f t="array" ref="N53">SUM(IF('Alloyd 2'!$B$2:$AW$2='Resumo Produção'!$A53,'Alloyd 2'!$B$16:$AW$16))</f>
        <v>0</v>
      </c>
      <c r="O53" s="47">
        <f t="array" ref="O53">SUM(IF('Alloyd 2'!$B$2:$AW$2='Resumo Produção'!$A53,'Alloyd 2'!$B$15:$AW$15))</f>
        <v>0</v>
      </c>
      <c r="P53" s="47">
        <f t="array" ref="P53">SUM(IF('Alloyd 2'!$B$2:$AW$2='Resumo Produção'!$A53,'Alloyd 2'!$B$17:$AW$17))</f>
        <v>0</v>
      </c>
      <c r="Q53" s="47">
        <f t="array" ref="Q53">SUM(IF('Alloyd 2'!$B$2:$AW$2='Resumo Produção'!$A53,'Alloyd 2'!$B$18:$AW$18))</f>
        <v>0</v>
      </c>
      <c r="R53" s="47">
        <f t="shared" si="6"/>
        <v>0</v>
      </c>
      <c r="S53" s="70">
        <f t="shared" si="3"/>
        <v>0</v>
      </c>
      <c r="T53" s="186" t="e">
        <f t="array" ref="T53">SUM(IF('Alloyd 1'!#REF!='Resumo Produção'!I53,'Alloyd 1'!#REF!))</f>
        <v>#REF!</v>
      </c>
      <c r="U53" s="187">
        <f t="array" ref="U53">SUM(IF('Alloyd 3'!$B$2:$AW$2='Resumo Produção'!$A53,'Alloyd 3'!$B$4:$AW$4))</f>
        <v>0</v>
      </c>
      <c r="V53" s="188">
        <f t="array" ref="V53">SUM(IF('Alloyd 3'!$B$2:$AW$2='Resumo Produção'!$A53,'Alloyd 3'!$B$16:$AW$16))</f>
        <v>0</v>
      </c>
      <c r="W53" s="188">
        <f t="array" ref="W53">SUM(IF('Alloyd 3'!$B$2:$AW$2='Resumo Produção'!$A53,'Alloyd 3'!$B$15:$AW$15))</f>
        <v>0</v>
      </c>
      <c r="X53" s="188">
        <f t="array" ref="X53">SUM(IF('Alloyd 3'!$B$2:$AW$2='Resumo Produção'!$A53,'Alloyd 3'!$B$17:$AW$17))</f>
        <v>0</v>
      </c>
      <c r="Y53" s="188">
        <f t="array" ref="Y53">SUM(IF('Alloyd 3'!$B$2:$AW$2='Resumo Produção'!$A53,'Alloyd 3'!$B$18:$AW$18))</f>
        <v>0</v>
      </c>
      <c r="Z53" s="188">
        <f t="shared" si="4"/>
        <v>0</v>
      </c>
      <c r="AA53" s="189">
        <f t="shared" si="5"/>
        <v>0</v>
      </c>
    </row>
    <row r="54" spans="1:27" ht="13.5" thickBot="1">
      <c r="A54" s="8" t="s">
        <v>12</v>
      </c>
      <c r="B54" s="85"/>
      <c r="C54" s="85"/>
      <c r="D54" s="85"/>
      <c r="E54" s="45">
        <f t="shared" ref="E54:J54" si="49">SUM(E3:E53)</f>
        <v>0</v>
      </c>
      <c r="F54" s="45">
        <f t="shared" si="49"/>
        <v>0</v>
      </c>
      <c r="G54" s="45">
        <f t="shared" si="49"/>
        <v>0</v>
      </c>
      <c r="H54" s="45">
        <f t="shared" si="49"/>
        <v>0</v>
      </c>
      <c r="I54" s="45">
        <f t="shared" si="49"/>
        <v>0</v>
      </c>
      <c r="J54" s="68">
        <f t="shared" si="49"/>
        <v>0</v>
      </c>
      <c r="K54" s="69">
        <f t="shared" ref="K54" si="50">IF(ISERR(J54/E54),,J54/E54*1000000)</f>
        <v>0</v>
      </c>
      <c r="L54" s="92"/>
      <c r="M54" s="48">
        <f t="shared" ref="M54:R54" si="51">SUM(M3:M53)</f>
        <v>0</v>
      </c>
      <c r="N54" s="48">
        <f t="shared" si="51"/>
        <v>0</v>
      </c>
      <c r="O54" s="48">
        <f t="shared" si="51"/>
        <v>0</v>
      </c>
      <c r="P54" s="48">
        <f t="shared" si="51"/>
        <v>0</v>
      </c>
      <c r="Q54" s="48">
        <f t="shared" si="51"/>
        <v>0</v>
      </c>
      <c r="R54" s="48">
        <f t="shared" si="51"/>
        <v>0</v>
      </c>
      <c r="S54" s="211">
        <f>IF(ISERR(R54/M54),,R54/M54*1000000)</f>
        <v>0</v>
      </c>
      <c r="T54" s="190"/>
      <c r="U54" s="191">
        <f t="shared" ref="U54:Z54" si="52">SUM(U3:U53)</f>
        <v>0</v>
      </c>
      <c r="V54" s="191">
        <f t="shared" si="52"/>
        <v>0</v>
      </c>
      <c r="W54" s="191">
        <f t="shared" si="52"/>
        <v>0</v>
      </c>
      <c r="X54" s="191">
        <f t="shared" si="52"/>
        <v>0</v>
      </c>
      <c r="Y54" s="191">
        <f t="shared" si="52"/>
        <v>0</v>
      </c>
      <c r="Z54" s="191">
        <f t="shared" si="52"/>
        <v>0</v>
      </c>
      <c r="AA54" s="212">
        <f>IF(ISERR(Z54/U54),,Z54/U54*1000000)</f>
        <v>0</v>
      </c>
    </row>
    <row r="55" spans="1:27">
      <c r="A55" s="22" t="s">
        <v>20</v>
      </c>
      <c r="B55" s="86"/>
      <c r="C55" s="86"/>
      <c r="D55" s="86"/>
      <c r="E55" s="141">
        <f>SUM('Alloyd 1'!$B4:$AT4)</f>
        <v>0</v>
      </c>
      <c r="F55" s="142">
        <f>SUM('Alloyd 1'!$B16:$AT16)</f>
        <v>0</v>
      </c>
      <c r="G55" s="142">
        <f>SUM('Alloyd 1'!$B15:$AT15)</f>
        <v>0</v>
      </c>
      <c r="H55" s="142">
        <f>SUM('Alloyd 1'!$B17:$AT17)</f>
        <v>0</v>
      </c>
      <c r="I55" s="142">
        <f>SUM('Alloyd 1'!$B18:$AT18)</f>
        <v>0</v>
      </c>
      <c r="J55" s="20"/>
      <c r="K55" s="21"/>
      <c r="L55" s="21"/>
      <c r="M55" s="141">
        <f>SUM('Alloyd 2'!$B4:$AT4)</f>
        <v>0</v>
      </c>
      <c r="N55" s="142">
        <f>SUM('Alloyd 2'!$B16:$AK16)</f>
        <v>0</v>
      </c>
      <c r="O55" s="142">
        <f>SUM('Alloyd 2'!$B15:$AT15)</f>
        <v>0</v>
      </c>
      <c r="P55" s="142">
        <f>SUM('Alloyd 2'!$B17:$AT17)</f>
        <v>0</v>
      </c>
      <c r="Q55" s="142">
        <f>SUM('Alloyd 2'!$B18:$AK18)</f>
        <v>0</v>
      </c>
      <c r="R55" s="20"/>
      <c r="S55" s="21"/>
      <c r="T55" s="192"/>
      <c r="U55" s="193">
        <f>SUM('Alloyd 3'!$B4:$AT4)</f>
        <v>0</v>
      </c>
      <c r="V55" s="194">
        <f>SUM('Alloyd 3'!$B16:$AK16)</f>
        <v>0</v>
      </c>
      <c r="W55" s="194">
        <f>SUM('Alloyd 3'!$B15:$AT15)</f>
        <v>0</v>
      </c>
      <c r="X55" s="194">
        <f>SUM('Alloyd 3'!$B17:$AT17)</f>
        <v>0</v>
      </c>
      <c r="Y55" s="194">
        <f>SUM('Alloyd 3'!$B18:$AK18)</f>
        <v>0</v>
      </c>
      <c r="Z55" s="195"/>
      <c r="AA55" s="192"/>
    </row>
    <row r="56" spans="1:27">
      <c r="B56" s="2" t="s">
        <v>61</v>
      </c>
      <c r="M56" s="49">
        <f>M54-M55</f>
        <v>0</v>
      </c>
    </row>
    <row r="57" spans="1:27" ht="25.5">
      <c r="B57" s="96" t="s">
        <v>51</v>
      </c>
      <c r="C57" s="97" t="s">
        <v>62</v>
      </c>
      <c r="E57" s="49">
        <f>E54-1407746</f>
        <v>-1407746</v>
      </c>
    </row>
    <row r="58" spans="1:27">
      <c r="B58" s="96" t="s">
        <v>53</v>
      </c>
      <c r="C58" s="96">
        <f t="array" ref="C58">SUM(IF(B$3:B$53=B58,C$3:C$53))</f>
        <v>0</v>
      </c>
    </row>
    <row r="59" spans="1:27">
      <c r="B59" s="96" t="s">
        <v>55</v>
      </c>
      <c r="C59" s="96">
        <f t="array" ref="C59">SUM(IF(B$3:B$53=B59,C$3:C$53))</f>
        <v>0</v>
      </c>
    </row>
    <row r="60" spans="1:27">
      <c r="B60" s="96" t="s">
        <v>56</v>
      </c>
      <c r="C60" s="96">
        <f t="array" ref="C60">SUM(IF(B$3:B$53=B60,C$3:C$53))</f>
        <v>0</v>
      </c>
    </row>
    <row r="61" spans="1:27">
      <c r="B61" s="96" t="s">
        <v>57</v>
      </c>
      <c r="C61" s="96">
        <f t="array" ref="C61">SUM(IF(B$3:B$53=B61,C$3:C$53))</f>
        <v>0</v>
      </c>
    </row>
    <row r="62" spans="1:27">
      <c r="B62" s="96" t="s">
        <v>12</v>
      </c>
      <c r="C62" s="96">
        <f>SUM(C58:C61)</f>
        <v>0</v>
      </c>
    </row>
    <row r="64" spans="1:27">
      <c r="A64" s="87"/>
      <c r="C64"/>
      <c r="D64"/>
      <c r="J64" s="5"/>
      <c r="K64"/>
      <c r="L64"/>
      <c r="R64" s="5"/>
      <c r="S64"/>
    </row>
    <row r="65" spans="1:19">
      <c r="A65" s="87"/>
      <c r="C65"/>
      <c r="D65"/>
      <c r="J65" s="5"/>
      <c r="K65"/>
      <c r="L65"/>
      <c r="R65" s="5"/>
      <c r="S65"/>
    </row>
    <row r="66" spans="1:19">
      <c r="A66" s="87"/>
      <c r="C66"/>
      <c r="D66"/>
      <c r="J66" s="5"/>
      <c r="K66"/>
      <c r="L66"/>
      <c r="R66" s="5"/>
      <c r="S66"/>
    </row>
    <row r="67" spans="1:19">
      <c r="A67" s="87"/>
      <c r="C67"/>
      <c r="D67"/>
      <c r="J67" s="5"/>
      <c r="K67"/>
      <c r="L67"/>
      <c r="R67" s="5"/>
      <c r="S67"/>
    </row>
    <row r="68" spans="1:19">
      <c r="A68" s="87"/>
      <c r="C68"/>
      <c r="D68"/>
      <c r="J68" s="5"/>
      <c r="K68"/>
      <c r="L68"/>
      <c r="R68" s="5"/>
      <c r="S68"/>
    </row>
    <row r="69" spans="1:19">
      <c r="A69" s="87"/>
      <c r="C69"/>
      <c r="D69"/>
      <c r="J69" s="5"/>
      <c r="K69"/>
      <c r="L69"/>
      <c r="R69" s="5"/>
      <c r="S69"/>
    </row>
    <row r="70" spans="1:19">
      <c r="A70" s="87"/>
      <c r="C70"/>
      <c r="D70"/>
      <c r="J70" s="5"/>
      <c r="K70"/>
      <c r="L70"/>
      <c r="R70" s="5"/>
      <c r="S70"/>
    </row>
    <row r="71" spans="1:19">
      <c r="A71" s="87"/>
      <c r="C71"/>
      <c r="D71"/>
      <c r="J71" s="5"/>
      <c r="K71"/>
      <c r="L71"/>
      <c r="R71" s="5"/>
      <c r="S71"/>
    </row>
    <row r="72" spans="1:19">
      <c r="A72" s="87"/>
      <c r="C72"/>
      <c r="D72"/>
      <c r="J72" s="5"/>
      <c r="K72"/>
      <c r="L72"/>
      <c r="R72" s="5"/>
      <c r="S72"/>
    </row>
    <row r="73" spans="1:19">
      <c r="A73" s="87"/>
      <c r="C73"/>
      <c r="D73"/>
      <c r="J73" s="5"/>
      <c r="K73"/>
      <c r="L73"/>
      <c r="R73" s="5"/>
      <c r="S73"/>
    </row>
    <row r="74" spans="1:19">
      <c r="A74" s="87"/>
      <c r="C74"/>
      <c r="D74"/>
      <c r="J74" s="5"/>
      <c r="K74"/>
      <c r="L74"/>
      <c r="R74" s="5"/>
      <c r="S74"/>
    </row>
    <row r="75" spans="1:19">
      <c r="A75" s="87"/>
      <c r="C75"/>
      <c r="D75"/>
      <c r="J75" s="5"/>
      <c r="K75"/>
      <c r="L75"/>
      <c r="R75" s="5"/>
      <c r="S75"/>
    </row>
    <row r="76" spans="1:19">
      <c r="A76" s="87"/>
      <c r="C76"/>
      <c r="D76"/>
      <c r="J76" s="5"/>
      <c r="K76"/>
      <c r="L76"/>
      <c r="R76" s="5"/>
      <c r="S76"/>
    </row>
    <row r="77" spans="1:19">
      <c r="A77" s="87"/>
      <c r="C77"/>
      <c r="D77"/>
      <c r="J77" s="5"/>
      <c r="K77"/>
      <c r="L77"/>
      <c r="R77" s="5"/>
      <c r="S77"/>
    </row>
    <row r="78" spans="1:19">
      <c r="A78" s="87"/>
      <c r="C78"/>
      <c r="D78"/>
      <c r="J78" s="5"/>
      <c r="K78"/>
      <c r="L78"/>
      <c r="R78" s="5"/>
      <c r="S78"/>
    </row>
    <row r="79" spans="1:19">
      <c r="A79" s="87"/>
      <c r="C79"/>
      <c r="D79"/>
      <c r="J79" s="5"/>
      <c r="K79"/>
      <c r="L79"/>
      <c r="R79" s="5"/>
      <c r="S79"/>
    </row>
    <row r="80" spans="1:19">
      <c r="A80" s="87"/>
      <c r="C80"/>
      <c r="D80"/>
      <c r="J80" s="5"/>
      <c r="K80"/>
      <c r="L80"/>
      <c r="R80" s="5"/>
      <c r="S80"/>
    </row>
    <row r="81" spans="1:19">
      <c r="A81" s="87"/>
      <c r="C81"/>
      <c r="D81"/>
      <c r="J81" s="5"/>
      <c r="K81"/>
      <c r="L81"/>
      <c r="R81" s="5"/>
      <c r="S81"/>
    </row>
    <row r="82" spans="1:19">
      <c r="A82" s="87"/>
      <c r="C82"/>
      <c r="D82"/>
      <c r="J82" s="5"/>
      <c r="K82"/>
      <c r="L82"/>
      <c r="R82" s="5"/>
      <c r="S82"/>
    </row>
    <row r="83" spans="1:19">
      <c r="A83" s="87"/>
      <c r="C83"/>
      <c r="D83"/>
      <c r="J83" s="5"/>
      <c r="K83"/>
      <c r="L83"/>
      <c r="R83" s="5"/>
      <c r="S83"/>
    </row>
    <row r="84" spans="1:19">
      <c r="A84" s="87"/>
      <c r="C84"/>
      <c r="D84"/>
      <c r="J84" s="5"/>
      <c r="K84"/>
      <c r="L84"/>
      <c r="R84" s="5"/>
      <c r="S84"/>
    </row>
    <row r="85" spans="1:19">
      <c r="A85" s="87"/>
      <c r="C85"/>
      <c r="D85"/>
      <c r="J85" s="5"/>
      <c r="K85"/>
      <c r="L85"/>
      <c r="R85" s="5"/>
      <c r="S85"/>
    </row>
    <row r="86" spans="1:19">
      <c r="A86" s="87"/>
      <c r="C86"/>
      <c r="D86"/>
      <c r="J86" s="5"/>
      <c r="K86"/>
      <c r="L86"/>
      <c r="R86" s="5"/>
      <c r="S86"/>
    </row>
    <row r="87" spans="1:19">
      <c r="A87" s="87"/>
      <c r="C87"/>
      <c r="D87"/>
      <c r="J87" s="5"/>
      <c r="K87"/>
      <c r="L87"/>
      <c r="R87" s="5"/>
      <c r="S87"/>
    </row>
    <row r="88" spans="1:19">
      <c r="A88" s="87"/>
      <c r="C88"/>
      <c r="D88"/>
      <c r="J88" s="5"/>
      <c r="K88"/>
      <c r="L88"/>
      <c r="R88" s="5"/>
      <c r="S88"/>
    </row>
    <row r="89" spans="1:19">
      <c r="A89" s="87"/>
      <c r="C89"/>
      <c r="D89"/>
      <c r="J89" s="5"/>
      <c r="K89"/>
      <c r="L89"/>
      <c r="R89" s="5"/>
      <c r="S89"/>
    </row>
    <row r="90" spans="1:19">
      <c r="A90" s="87"/>
      <c r="C90"/>
      <c r="D90"/>
      <c r="J90" s="5"/>
      <c r="K90"/>
      <c r="L90"/>
      <c r="R90" s="5"/>
      <c r="S90"/>
    </row>
    <row r="91" spans="1:19">
      <c r="A91" s="87"/>
      <c r="C91"/>
      <c r="D91"/>
      <c r="J91" s="5"/>
      <c r="K91"/>
      <c r="L91"/>
      <c r="R91" s="5"/>
      <c r="S91"/>
    </row>
    <row r="92" spans="1:19">
      <c r="A92" s="87"/>
      <c r="C92"/>
      <c r="D92"/>
      <c r="J92" s="5"/>
      <c r="K92"/>
      <c r="L92"/>
      <c r="R92" s="5"/>
      <c r="S92"/>
    </row>
    <row r="93" spans="1:19">
      <c r="A93" s="87"/>
      <c r="C93"/>
      <c r="D93"/>
      <c r="J93" s="5"/>
      <c r="K93"/>
      <c r="L93"/>
      <c r="R93" s="5"/>
      <c r="S93"/>
    </row>
    <row r="94" spans="1:19">
      <c r="A94" s="87"/>
      <c r="C94"/>
      <c r="D94"/>
      <c r="J94" s="5"/>
      <c r="K94"/>
      <c r="L94"/>
      <c r="R94" s="5"/>
      <c r="S94"/>
    </row>
    <row r="95" spans="1:19">
      <c r="A95" s="87"/>
      <c r="C95"/>
      <c r="D95"/>
      <c r="J95" s="5"/>
      <c r="K95"/>
      <c r="L95"/>
      <c r="R95" s="5"/>
      <c r="S95"/>
    </row>
    <row r="96" spans="1:19">
      <c r="A96" s="87"/>
      <c r="C96"/>
      <c r="D96"/>
      <c r="J96" s="5"/>
      <c r="K96"/>
      <c r="L96"/>
      <c r="R96" s="5"/>
      <c r="S96"/>
    </row>
    <row r="97" spans="1:19">
      <c r="A97" s="87"/>
      <c r="C97"/>
      <c r="D97"/>
      <c r="J97" s="5"/>
      <c r="K97"/>
      <c r="L97"/>
      <c r="R97" s="5"/>
      <c r="S97"/>
    </row>
    <row r="98" spans="1:19">
      <c r="A98" s="87"/>
      <c r="C98"/>
      <c r="D98"/>
      <c r="J98" s="5"/>
      <c r="K98"/>
      <c r="L98"/>
      <c r="R98" s="5"/>
      <c r="S98"/>
    </row>
    <row r="99" spans="1:19">
      <c r="A99" s="87"/>
      <c r="C99"/>
      <c r="D99"/>
      <c r="J99" s="5"/>
      <c r="K99"/>
      <c r="L99"/>
      <c r="R99" s="5"/>
      <c r="S99"/>
    </row>
    <row r="100" spans="1:19">
      <c r="A100" s="87"/>
      <c r="C100"/>
      <c r="D100"/>
      <c r="J100" s="5"/>
      <c r="K100"/>
      <c r="L100"/>
      <c r="R100" s="5"/>
      <c r="S100"/>
    </row>
    <row r="101" spans="1:19">
      <c r="A101" s="87"/>
      <c r="C101"/>
      <c r="D101"/>
      <c r="J101" s="5"/>
      <c r="K101"/>
      <c r="L101"/>
      <c r="R101" s="5"/>
      <c r="S101"/>
    </row>
    <row r="102" spans="1:19">
      <c r="A102" s="87"/>
      <c r="C102"/>
      <c r="D102"/>
      <c r="J102" s="5"/>
      <c r="K102"/>
      <c r="L102"/>
      <c r="R102" s="5"/>
      <c r="S102"/>
    </row>
    <row r="103" spans="1:19">
      <c r="A103" s="87"/>
      <c r="C103"/>
      <c r="D103"/>
      <c r="J103" s="5"/>
      <c r="K103"/>
      <c r="L103"/>
      <c r="R103" s="5"/>
      <c r="S103"/>
    </row>
    <row r="104" spans="1:19">
      <c r="A104" s="87"/>
      <c r="C104"/>
      <c r="D104"/>
      <c r="J104" s="5"/>
      <c r="K104"/>
      <c r="L104"/>
      <c r="R104" s="5"/>
      <c r="S104"/>
    </row>
    <row r="105" spans="1:19">
      <c r="A105" s="87"/>
      <c r="C105"/>
      <c r="D105"/>
      <c r="J105" s="5"/>
      <c r="K105"/>
      <c r="L105"/>
      <c r="R105" s="5"/>
      <c r="S105"/>
    </row>
    <row r="106" spans="1:19">
      <c r="A106" s="87"/>
      <c r="C106"/>
      <c r="D106"/>
      <c r="J106" s="5"/>
      <c r="K106"/>
      <c r="L106"/>
      <c r="R106" s="5"/>
      <c r="S106"/>
    </row>
    <row r="107" spans="1:19">
      <c r="A107" s="87"/>
      <c r="C107"/>
      <c r="D107"/>
      <c r="J107" s="5"/>
      <c r="K107"/>
      <c r="L107"/>
      <c r="R107" s="5"/>
      <c r="S107"/>
    </row>
    <row r="108" spans="1:19">
      <c r="A108" s="87"/>
      <c r="C108"/>
      <c r="D108"/>
      <c r="J108" s="5"/>
      <c r="K108"/>
      <c r="L108"/>
      <c r="R108" s="5"/>
      <c r="S108"/>
    </row>
    <row r="109" spans="1:19">
      <c r="A109" s="87"/>
      <c r="C109"/>
      <c r="D109"/>
      <c r="J109" s="5"/>
      <c r="K109"/>
      <c r="L109"/>
      <c r="R109" s="5"/>
      <c r="S109"/>
    </row>
    <row r="110" spans="1:19">
      <c r="A110" s="87"/>
      <c r="C110"/>
      <c r="D110"/>
      <c r="J110" s="5"/>
      <c r="K110"/>
      <c r="L110"/>
      <c r="R110" s="5"/>
      <c r="S110"/>
    </row>
    <row r="111" spans="1:19">
      <c r="A111" s="87"/>
      <c r="C111"/>
      <c r="D111"/>
      <c r="J111" s="5"/>
      <c r="K111"/>
      <c r="L111"/>
      <c r="R111" s="5"/>
      <c r="S111"/>
    </row>
    <row r="112" spans="1:19">
      <c r="A112" s="87"/>
      <c r="C112"/>
      <c r="D112"/>
      <c r="J112" s="5"/>
      <c r="K112"/>
      <c r="L112"/>
      <c r="R112" s="5"/>
      <c r="S112"/>
    </row>
    <row r="113" spans="1:19">
      <c r="A113" s="87"/>
      <c r="C113"/>
      <c r="D113"/>
      <c r="J113" s="5"/>
      <c r="K113"/>
      <c r="L113"/>
      <c r="R113" s="5"/>
      <c r="S113"/>
    </row>
    <row r="114" spans="1:19">
      <c r="A114" s="87"/>
      <c r="C114"/>
      <c r="D114"/>
      <c r="J114" s="5"/>
      <c r="K114"/>
      <c r="L114"/>
      <c r="R114" s="5"/>
      <c r="S114"/>
    </row>
    <row r="115" spans="1:19">
      <c r="A115" s="87"/>
      <c r="C115"/>
      <c r="D115"/>
      <c r="J115" s="5"/>
      <c r="K115"/>
      <c r="L115"/>
      <c r="R115" s="5"/>
      <c r="S115"/>
    </row>
    <row r="116" spans="1:19">
      <c r="A116" s="87"/>
      <c r="C116"/>
      <c r="D116"/>
      <c r="J116" s="5"/>
      <c r="K116"/>
      <c r="L116"/>
      <c r="R116" s="5"/>
      <c r="S116"/>
    </row>
    <row r="117" spans="1:19">
      <c r="A117" s="87"/>
      <c r="C117"/>
      <c r="D117"/>
      <c r="J117" s="5"/>
      <c r="K117"/>
      <c r="L117"/>
      <c r="R117" s="5"/>
      <c r="S117"/>
    </row>
    <row r="118" spans="1:19">
      <c r="A118" s="87"/>
      <c r="C118"/>
      <c r="D118"/>
      <c r="J118" s="5"/>
      <c r="K118"/>
      <c r="L118"/>
      <c r="R118" s="5"/>
      <c r="S118"/>
    </row>
    <row r="119" spans="1:19">
      <c r="A119" s="87"/>
      <c r="C119"/>
      <c r="D119"/>
      <c r="J119" s="5"/>
      <c r="K119"/>
      <c r="L119"/>
      <c r="R119" s="5"/>
      <c r="S119"/>
    </row>
    <row r="120" spans="1:19">
      <c r="A120" s="87"/>
      <c r="C120"/>
      <c r="D120"/>
      <c r="J120" s="5"/>
      <c r="K120"/>
      <c r="L120"/>
      <c r="R120" s="5"/>
      <c r="S120"/>
    </row>
    <row r="121" spans="1:19">
      <c r="A121" s="87"/>
      <c r="C121"/>
      <c r="D121"/>
      <c r="J121" s="5"/>
      <c r="K121"/>
      <c r="L121"/>
      <c r="R121" s="5"/>
      <c r="S121"/>
    </row>
    <row r="122" spans="1:19">
      <c r="A122" s="87"/>
      <c r="C122"/>
      <c r="D122"/>
      <c r="J122" s="5"/>
      <c r="K122"/>
      <c r="L122"/>
      <c r="R122" s="5"/>
      <c r="S122"/>
    </row>
    <row r="123" spans="1:19">
      <c r="A123" s="87"/>
      <c r="C123"/>
      <c r="D123"/>
      <c r="J123" s="5"/>
      <c r="K123"/>
      <c r="L123"/>
      <c r="R123" s="5"/>
      <c r="S123"/>
    </row>
    <row r="124" spans="1:19">
      <c r="A124" s="87"/>
      <c r="C124"/>
      <c r="D124"/>
      <c r="J124" s="5"/>
      <c r="K124"/>
      <c r="L124"/>
      <c r="R124" s="5"/>
      <c r="S124"/>
    </row>
    <row r="125" spans="1:19">
      <c r="A125" s="87"/>
      <c r="C125"/>
      <c r="D125"/>
      <c r="J125" s="5"/>
      <c r="K125"/>
      <c r="L125"/>
      <c r="R125" s="5"/>
      <c r="S125"/>
    </row>
    <row r="126" spans="1:19">
      <c r="A126" s="87"/>
      <c r="C126"/>
      <c r="D126"/>
      <c r="J126" s="5"/>
      <c r="K126"/>
      <c r="L126"/>
      <c r="R126" s="5"/>
      <c r="S126"/>
    </row>
    <row r="127" spans="1:19">
      <c r="A127" s="87"/>
      <c r="C127"/>
      <c r="D127"/>
      <c r="J127" s="5"/>
      <c r="K127"/>
      <c r="L127"/>
      <c r="R127" s="5"/>
      <c r="S127"/>
    </row>
    <row r="128" spans="1:19">
      <c r="A128" s="87"/>
      <c r="C128"/>
      <c r="D128"/>
      <c r="J128" s="5"/>
      <c r="K128"/>
      <c r="L128"/>
      <c r="R128" s="5"/>
      <c r="S128"/>
    </row>
    <row r="129" spans="1:19">
      <c r="A129" s="87"/>
      <c r="C129"/>
      <c r="D129"/>
      <c r="J129" s="5"/>
      <c r="K129"/>
      <c r="L129"/>
      <c r="R129" s="5"/>
      <c r="S129"/>
    </row>
    <row r="130" spans="1:19">
      <c r="A130" s="87"/>
      <c r="C130"/>
      <c r="D130"/>
      <c r="J130" s="5"/>
      <c r="K130"/>
      <c r="L130"/>
      <c r="R130" s="5"/>
      <c r="S130"/>
    </row>
    <row r="131" spans="1:19">
      <c r="A131" s="87"/>
      <c r="C131"/>
      <c r="D131"/>
      <c r="J131" s="5"/>
      <c r="K131"/>
      <c r="L131"/>
      <c r="R131" s="5"/>
      <c r="S131"/>
    </row>
    <row r="132" spans="1:19">
      <c r="A132" s="87"/>
      <c r="C132"/>
      <c r="D132"/>
      <c r="J132" s="5"/>
      <c r="K132"/>
      <c r="L132"/>
      <c r="R132" s="5"/>
      <c r="S132"/>
    </row>
    <row r="133" spans="1:19">
      <c r="A133" s="87"/>
      <c r="C133"/>
      <c r="D133"/>
      <c r="J133" s="5"/>
      <c r="K133"/>
      <c r="L133"/>
      <c r="R133" s="5"/>
      <c r="S133"/>
    </row>
    <row r="134" spans="1:19">
      <c r="A134" s="87"/>
      <c r="C134"/>
      <c r="D134"/>
      <c r="J134" s="5"/>
      <c r="K134"/>
      <c r="L134"/>
      <c r="R134" s="5"/>
      <c r="S134"/>
    </row>
    <row r="135" spans="1:19">
      <c r="A135" s="87"/>
      <c r="C135"/>
      <c r="D135"/>
      <c r="J135" s="5"/>
      <c r="K135"/>
      <c r="L135"/>
      <c r="R135" s="5"/>
      <c r="S135"/>
    </row>
    <row r="136" spans="1:19">
      <c r="A136" s="87"/>
      <c r="C136"/>
      <c r="D136"/>
      <c r="J136" s="5"/>
      <c r="K136"/>
      <c r="L136"/>
      <c r="R136" s="5"/>
      <c r="S136"/>
    </row>
    <row r="137" spans="1:19">
      <c r="A137" s="87"/>
      <c r="C137"/>
      <c r="D137"/>
      <c r="J137" s="5"/>
      <c r="K137"/>
      <c r="L137"/>
      <c r="R137" s="5"/>
      <c r="S137"/>
    </row>
    <row r="138" spans="1:19">
      <c r="A138" s="87"/>
      <c r="C138"/>
      <c r="D138"/>
      <c r="J138" s="5"/>
      <c r="K138"/>
      <c r="L138"/>
      <c r="R138" s="5"/>
      <c r="S138"/>
    </row>
    <row r="139" spans="1:19">
      <c r="A139" s="87"/>
      <c r="C139"/>
      <c r="D139"/>
      <c r="J139" s="5"/>
      <c r="K139"/>
      <c r="L139"/>
      <c r="R139" s="5"/>
      <c r="S139"/>
    </row>
    <row r="140" spans="1:19">
      <c r="A140" s="87"/>
      <c r="C140"/>
      <c r="D140"/>
      <c r="J140" s="5"/>
      <c r="K140"/>
      <c r="L140"/>
      <c r="R140" s="5"/>
      <c r="S140"/>
    </row>
    <row r="141" spans="1:19">
      <c r="A141" s="87"/>
      <c r="C141"/>
      <c r="D141"/>
      <c r="J141" s="5"/>
      <c r="K141"/>
      <c r="L141"/>
      <c r="R141" s="5"/>
      <c r="S141"/>
    </row>
    <row r="142" spans="1:19">
      <c r="A142" s="87"/>
      <c r="C142"/>
      <c r="D142"/>
      <c r="J142" s="5"/>
      <c r="K142"/>
      <c r="L142"/>
      <c r="R142" s="5"/>
      <c r="S142"/>
    </row>
    <row r="143" spans="1:19">
      <c r="A143" s="87"/>
      <c r="C143"/>
      <c r="D143"/>
      <c r="J143" s="5"/>
      <c r="K143"/>
      <c r="L143"/>
      <c r="R143" s="5"/>
      <c r="S143"/>
    </row>
    <row r="144" spans="1:19">
      <c r="A144" s="87"/>
      <c r="C144"/>
      <c r="D144"/>
      <c r="J144" s="5"/>
      <c r="K144"/>
      <c r="L144"/>
      <c r="R144" s="5"/>
      <c r="S144"/>
    </row>
    <row r="145" spans="1:19">
      <c r="A145" s="87"/>
      <c r="C145"/>
      <c r="D145"/>
      <c r="J145" s="5"/>
      <c r="K145"/>
      <c r="L145"/>
      <c r="R145" s="5"/>
      <c r="S145"/>
    </row>
    <row r="146" spans="1:19">
      <c r="A146" s="87"/>
      <c r="C146"/>
      <c r="D146"/>
      <c r="J146" s="5"/>
      <c r="K146"/>
      <c r="L146"/>
      <c r="R146" s="5"/>
      <c r="S146"/>
    </row>
    <row r="147" spans="1:19">
      <c r="A147" s="87"/>
      <c r="C147"/>
      <c r="D147"/>
      <c r="J147" s="5"/>
      <c r="K147"/>
      <c r="L147"/>
      <c r="R147" s="5"/>
      <c r="S147"/>
    </row>
    <row r="148" spans="1:19">
      <c r="A148" s="87"/>
      <c r="C148"/>
      <c r="D148"/>
      <c r="J148" s="5"/>
      <c r="K148"/>
      <c r="L148"/>
      <c r="R148" s="5"/>
      <c r="S148"/>
    </row>
    <row r="149" spans="1:19">
      <c r="A149" s="87"/>
      <c r="C149"/>
      <c r="D149"/>
      <c r="J149" s="5"/>
      <c r="K149"/>
      <c r="L149"/>
      <c r="R149" s="5"/>
      <c r="S149"/>
    </row>
    <row r="150" spans="1:19">
      <c r="A150" s="87"/>
      <c r="C150"/>
      <c r="D150"/>
      <c r="J150" s="5"/>
      <c r="K150"/>
      <c r="L150"/>
      <c r="R150" s="5"/>
      <c r="S150"/>
    </row>
    <row r="151" spans="1:19">
      <c r="A151" s="87"/>
      <c r="C151"/>
      <c r="D151"/>
      <c r="J151" s="5"/>
      <c r="K151"/>
      <c r="L151"/>
      <c r="R151" s="5"/>
      <c r="S151"/>
    </row>
    <row r="152" spans="1:19">
      <c r="A152" s="87"/>
      <c r="C152"/>
      <c r="D152"/>
      <c r="J152" s="5"/>
      <c r="K152"/>
      <c r="L152"/>
      <c r="R152" s="5"/>
      <c r="S152"/>
    </row>
    <row r="153" spans="1:19">
      <c r="A153" s="87"/>
      <c r="C153"/>
      <c r="D153"/>
      <c r="J153" s="5"/>
      <c r="K153"/>
      <c r="L153"/>
      <c r="R153" s="5"/>
      <c r="S153"/>
    </row>
    <row r="154" spans="1:19">
      <c r="A154" s="87"/>
      <c r="C154"/>
      <c r="D154"/>
      <c r="J154" s="5"/>
      <c r="K154"/>
      <c r="L154"/>
      <c r="R154" s="5"/>
      <c r="S154"/>
    </row>
    <row r="155" spans="1:19">
      <c r="A155" s="87"/>
      <c r="C155"/>
      <c r="D155"/>
      <c r="J155" s="5"/>
      <c r="K155"/>
      <c r="L155"/>
      <c r="R155" s="5"/>
      <c r="S155"/>
    </row>
    <row r="156" spans="1:19">
      <c r="A156" s="87"/>
      <c r="C156"/>
      <c r="D156"/>
      <c r="J156" s="5"/>
      <c r="K156"/>
      <c r="L156"/>
      <c r="R156" s="5"/>
      <c r="S156"/>
    </row>
    <row r="157" spans="1:19">
      <c r="A157" s="87"/>
      <c r="C157"/>
      <c r="D157"/>
      <c r="J157" s="5"/>
      <c r="K157"/>
      <c r="L157"/>
      <c r="R157" s="5"/>
      <c r="S157"/>
    </row>
    <row r="158" spans="1:19">
      <c r="A158" s="87"/>
      <c r="C158"/>
      <c r="D158"/>
      <c r="J158" s="5"/>
      <c r="K158"/>
      <c r="L158"/>
      <c r="R158" s="5"/>
      <c r="S158"/>
    </row>
    <row r="159" spans="1:19">
      <c r="A159" s="87"/>
      <c r="C159"/>
      <c r="D159"/>
      <c r="J159" s="5"/>
      <c r="K159"/>
      <c r="L159"/>
      <c r="R159" s="5"/>
      <c r="S159"/>
    </row>
    <row r="160" spans="1:19">
      <c r="A160" s="87"/>
      <c r="C160"/>
      <c r="D160"/>
      <c r="J160" s="5"/>
      <c r="K160"/>
      <c r="L160"/>
      <c r="R160" s="5"/>
      <c r="S160"/>
    </row>
    <row r="161" spans="1:19">
      <c r="A161" s="87"/>
      <c r="C161"/>
      <c r="D161"/>
      <c r="J161" s="5"/>
      <c r="K161"/>
      <c r="L161"/>
      <c r="R161" s="5"/>
      <c r="S161"/>
    </row>
    <row r="162" spans="1:19">
      <c r="A162" s="87"/>
      <c r="C162"/>
      <c r="D162"/>
      <c r="J162" s="5"/>
      <c r="K162"/>
      <c r="L162"/>
      <c r="R162" s="5"/>
      <c r="S162"/>
    </row>
    <row r="163" spans="1:19">
      <c r="A163" s="87"/>
      <c r="C163"/>
      <c r="D163"/>
      <c r="J163" s="5"/>
      <c r="K163"/>
      <c r="L163"/>
      <c r="R163" s="5"/>
      <c r="S163"/>
    </row>
    <row r="164" spans="1:19">
      <c r="A164" s="87"/>
      <c r="C164"/>
      <c r="D164"/>
      <c r="J164" s="5"/>
      <c r="K164"/>
      <c r="L164"/>
      <c r="R164" s="5"/>
      <c r="S164"/>
    </row>
    <row r="165" spans="1:19">
      <c r="A165" s="87"/>
      <c r="C165"/>
      <c r="D165"/>
      <c r="J165" s="5"/>
      <c r="K165"/>
      <c r="L165"/>
      <c r="R165" s="5"/>
      <c r="S165"/>
    </row>
    <row r="166" spans="1:19">
      <c r="A166" s="87"/>
      <c r="C166"/>
      <c r="D166"/>
      <c r="J166" s="5"/>
      <c r="K166"/>
      <c r="L166"/>
      <c r="R166" s="5"/>
      <c r="S166"/>
    </row>
    <row r="167" spans="1:19">
      <c r="A167" s="87"/>
      <c r="C167"/>
      <c r="D167"/>
      <c r="J167" s="5"/>
      <c r="K167"/>
      <c r="L167"/>
      <c r="R167" s="5"/>
      <c r="S167"/>
    </row>
    <row r="168" spans="1:19">
      <c r="A168" s="87"/>
      <c r="C168"/>
      <c r="D168"/>
      <c r="J168" s="5"/>
      <c r="K168"/>
      <c r="L168"/>
      <c r="R168" s="5"/>
      <c r="S168"/>
    </row>
    <row r="169" spans="1:19">
      <c r="A169" s="87"/>
      <c r="C169"/>
      <c r="D169"/>
      <c r="J169" s="5"/>
      <c r="K169"/>
      <c r="L169"/>
      <c r="R169" s="5"/>
      <c r="S169"/>
    </row>
    <row r="170" spans="1:19">
      <c r="A170" s="87"/>
      <c r="C170"/>
      <c r="D170"/>
      <c r="J170" s="5"/>
      <c r="K170"/>
      <c r="L170"/>
      <c r="R170" s="5"/>
      <c r="S170"/>
    </row>
    <row r="171" spans="1:19">
      <c r="A171" s="87"/>
      <c r="C171"/>
      <c r="D171"/>
      <c r="J171" s="5"/>
      <c r="K171"/>
      <c r="L171"/>
      <c r="R171" s="5"/>
      <c r="S171"/>
    </row>
    <row r="172" spans="1:19">
      <c r="A172" s="87"/>
      <c r="C172"/>
      <c r="D172"/>
      <c r="J172" s="5"/>
      <c r="K172"/>
      <c r="L172"/>
      <c r="R172" s="5"/>
      <c r="S172"/>
    </row>
    <row r="173" spans="1:19">
      <c r="A173" s="87"/>
      <c r="C173"/>
      <c r="D173"/>
      <c r="J173" s="5"/>
      <c r="K173"/>
      <c r="L173"/>
      <c r="R173" s="5"/>
      <c r="S173"/>
    </row>
    <row r="174" spans="1:19">
      <c r="A174" s="87"/>
      <c r="C174"/>
      <c r="D174"/>
      <c r="J174" s="5"/>
      <c r="K174"/>
      <c r="L174"/>
      <c r="R174" s="5"/>
      <c r="S174"/>
    </row>
    <row r="175" spans="1:19">
      <c r="A175" s="87"/>
      <c r="C175"/>
      <c r="D175"/>
      <c r="J175" s="5"/>
      <c r="K175"/>
      <c r="L175"/>
      <c r="R175" s="5"/>
      <c r="S175"/>
    </row>
    <row r="176" spans="1:19">
      <c r="A176" s="87"/>
      <c r="C176"/>
      <c r="D176"/>
      <c r="J176" s="5"/>
      <c r="K176"/>
      <c r="L176"/>
      <c r="R176" s="5"/>
      <c r="S176"/>
    </row>
    <row r="177" spans="1:19">
      <c r="A177" s="87"/>
      <c r="C177"/>
      <c r="D177"/>
      <c r="J177" s="5"/>
      <c r="K177"/>
      <c r="L177"/>
      <c r="R177" s="5"/>
      <c r="S177"/>
    </row>
    <row r="178" spans="1:19">
      <c r="A178" s="87"/>
      <c r="C178"/>
      <c r="D178"/>
      <c r="J178" s="5"/>
      <c r="K178"/>
      <c r="L178"/>
      <c r="R178" s="5"/>
      <c r="S178"/>
    </row>
    <row r="179" spans="1:19">
      <c r="A179" s="87"/>
      <c r="C179"/>
      <c r="D179"/>
      <c r="J179" s="5"/>
      <c r="K179"/>
      <c r="L179"/>
      <c r="R179" s="5"/>
      <c r="S179"/>
    </row>
    <row r="180" spans="1:19">
      <c r="A180" s="87"/>
      <c r="C180"/>
      <c r="D180"/>
      <c r="J180" s="5"/>
      <c r="K180"/>
      <c r="L180"/>
      <c r="R180" s="5"/>
      <c r="S180"/>
    </row>
    <row r="181" spans="1:19">
      <c r="A181" s="87"/>
      <c r="C181"/>
      <c r="D181"/>
      <c r="J181" s="5"/>
      <c r="K181"/>
      <c r="L181"/>
      <c r="R181" s="5"/>
      <c r="S181"/>
    </row>
    <row r="182" spans="1:19">
      <c r="A182" s="87"/>
      <c r="C182"/>
      <c r="D182"/>
      <c r="J182" s="5"/>
      <c r="K182"/>
      <c r="L182"/>
      <c r="R182" s="5"/>
      <c r="S182"/>
    </row>
    <row r="183" spans="1:19">
      <c r="A183" s="87"/>
      <c r="C183"/>
      <c r="D183"/>
      <c r="J183" s="5"/>
      <c r="K183"/>
      <c r="L183"/>
      <c r="R183" s="5"/>
      <c r="S183"/>
    </row>
    <row r="184" spans="1:19">
      <c r="A184" s="87"/>
      <c r="C184"/>
      <c r="D184"/>
      <c r="J184" s="5"/>
      <c r="K184"/>
      <c r="L184"/>
      <c r="R184" s="5"/>
      <c r="S184"/>
    </row>
    <row r="185" spans="1:19">
      <c r="A185" s="87"/>
      <c r="C185"/>
      <c r="D185"/>
      <c r="J185" s="5"/>
      <c r="K185"/>
      <c r="L185"/>
      <c r="R185" s="5"/>
      <c r="S185"/>
    </row>
    <row r="186" spans="1:19">
      <c r="A186" s="87"/>
      <c r="C186"/>
      <c r="D186"/>
      <c r="J186" s="5"/>
      <c r="K186"/>
      <c r="L186"/>
      <c r="R186" s="5"/>
      <c r="S186"/>
    </row>
    <row r="187" spans="1:19">
      <c r="A187" s="87"/>
      <c r="C187"/>
      <c r="D187"/>
      <c r="J187" s="5"/>
      <c r="K187"/>
      <c r="L187"/>
      <c r="R187" s="5"/>
      <c r="S187"/>
    </row>
    <row r="188" spans="1:19">
      <c r="A188" s="87"/>
      <c r="C188"/>
      <c r="D188"/>
      <c r="J188" s="5"/>
      <c r="K188"/>
      <c r="L188"/>
      <c r="R188" s="5"/>
      <c r="S188"/>
    </row>
    <row r="189" spans="1:19">
      <c r="A189" s="87"/>
      <c r="C189"/>
      <c r="D189"/>
      <c r="J189" s="5"/>
      <c r="K189"/>
      <c r="L189"/>
      <c r="R189" s="5"/>
      <c r="S189"/>
    </row>
    <row r="190" spans="1:19">
      <c r="A190" s="87"/>
      <c r="C190"/>
      <c r="D190"/>
      <c r="J190" s="5"/>
      <c r="K190"/>
      <c r="L190"/>
      <c r="R190" s="5"/>
      <c r="S190"/>
    </row>
    <row r="191" spans="1:19">
      <c r="A191" s="87"/>
      <c r="C191"/>
      <c r="D191"/>
      <c r="J191" s="5"/>
      <c r="K191"/>
      <c r="L191"/>
      <c r="R191" s="5"/>
      <c r="S191"/>
    </row>
    <row r="192" spans="1:19">
      <c r="A192" s="87"/>
      <c r="C192"/>
      <c r="D192"/>
      <c r="J192" s="5"/>
      <c r="K192"/>
      <c r="L192"/>
      <c r="R192" s="5"/>
      <c r="S192"/>
    </row>
    <row r="193" spans="1:19">
      <c r="A193" s="87"/>
      <c r="C193"/>
      <c r="D193"/>
      <c r="J193" s="5"/>
      <c r="K193"/>
      <c r="L193"/>
      <c r="R193" s="5"/>
      <c r="S193"/>
    </row>
    <row r="194" spans="1:19">
      <c r="A194" s="87"/>
      <c r="C194"/>
      <c r="D194"/>
      <c r="J194" s="5"/>
      <c r="K194"/>
      <c r="L194"/>
      <c r="R194" s="5"/>
      <c r="S194"/>
    </row>
  </sheetData>
  <sheetProtection algorithmName="SHA-512" hashValue="gl/R+ETPkVZi0qRPMKnaRTQ09G+j8d8i8JfctULxMu6hcmUCtPMvb3R4mb4csK7Garauw4Rz45cd91+q4FOzrw==" saltValue="QJOY+KtNmCxmldzhqxoAWQ==" spinCount="100000" sheet="1" objects="1" scenarios="1"/>
  <sortState xmlns:xlrd2="http://schemas.microsoft.com/office/spreadsheetml/2017/richdata2" ref="A3:A51">
    <sortCondition ref="A3:A51"/>
  </sortState>
  <mergeCells count="4">
    <mergeCell ref="E1:K1"/>
    <mergeCell ref="B1:C1"/>
    <mergeCell ref="L1:S1"/>
    <mergeCell ref="T1:AA1"/>
  </mergeCells>
  <phoneticPr fontId="0" type="noConversion"/>
  <conditionalFormatting sqref="E54:I54 M54:Q54">
    <cfRule type="cellIs" dxfId="8" priority="4" stopIfTrue="1" operator="notEqual">
      <formula>E$55</formula>
    </cfRule>
  </conditionalFormatting>
  <conditionalFormatting sqref="L54">
    <cfRule type="cellIs" dxfId="7" priority="3" stopIfTrue="1" operator="notEqual">
      <formula>L$55</formula>
    </cfRule>
  </conditionalFormatting>
  <conditionalFormatting sqref="T54">
    <cfRule type="cellIs" dxfId="6" priority="1" stopIfTrue="1" operator="notEqual">
      <formula>T$55</formula>
    </cfRule>
  </conditionalFormatting>
  <conditionalFormatting sqref="U54:Y54">
    <cfRule type="cellIs" dxfId="5" priority="2" stopIfTrue="1" operator="notEqual">
      <formula>U$55</formula>
    </cfRule>
  </conditionalFormatting>
  <printOptions horizontalCentered="1"/>
  <pageMargins left="0.59055118110236227" right="0.59055118110236227" top="0.98425196850393704" bottom="0.59055118110236227" header="0.51181102362204722" footer="0.51181102362204722"/>
  <pageSetup paperSize="9" scale="81" orientation="portrait" r:id="rId1"/>
  <headerFooter alignWithMargins="0">
    <oddHeader>&amp;LRESUMO DE FALHAS DO SUPERMERCADO
PILHAS MANGANÊS</oddHeader>
    <oddFooter>&amp;L&amp;A&amp;R&amp;F</oddFooter>
  </headerFooter>
  <colBreaks count="1" manualBreakCount="1">
    <brk id="12" max="68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7">
    <pageSetUpPr fitToPage="1"/>
  </sheetPr>
  <dimension ref="A1:AF73"/>
  <sheetViews>
    <sheetView zoomScaleNormal="100" zoomScaleSheetLayoutView="85" workbookViewId="0">
      <pane xSplit="1" ySplit="2" topLeftCell="M48" activePane="bottomRight" state="frozen"/>
      <selection pane="topRight" activeCell="B1" sqref="B1"/>
      <selection pane="bottomLeft" activeCell="A3" sqref="A3"/>
      <selection pane="bottomRight" activeCell="O109" sqref="O109"/>
    </sheetView>
  </sheetViews>
  <sheetFormatPr defaultRowHeight="12.75"/>
  <cols>
    <col min="1" max="1" width="23.5703125" style="2" bestFit="1" customWidth="1"/>
    <col min="2" max="2" width="11.7109375" bestFit="1" customWidth="1"/>
    <col min="3" max="3" width="10.5703125" bestFit="1" customWidth="1"/>
    <col min="4" max="4" width="11" bestFit="1" customWidth="1"/>
    <col min="5" max="5" width="11.140625" bestFit="1" customWidth="1"/>
    <col min="6" max="6" width="13.7109375" bestFit="1" customWidth="1"/>
    <col min="7" max="7" width="12.42578125" bestFit="1" customWidth="1"/>
    <col min="8" max="8" width="13.5703125" style="19" bestFit="1" customWidth="1"/>
    <col min="9" max="10" width="13.5703125" style="5" customWidth="1"/>
    <col min="11" max="11" width="11.7109375" bestFit="1" customWidth="1"/>
    <col min="12" max="14" width="10.7109375" customWidth="1"/>
    <col min="15" max="15" width="12.42578125" customWidth="1"/>
    <col min="16" max="16" width="10.7109375" customWidth="1"/>
    <col min="17" max="17" width="10.7109375" style="19" customWidth="1"/>
    <col min="18" max="18" width="11.85546875" bestFit="1" customWidth="1"/>
    <col min="19" max="28" width="11.28515625" customWidth="1"/>
    <col min="29" max="29" width="13.85546875" customWidth="1"/>
    <col min="32" max="32" width="11.140625" bestFit="1" customWidth="1"/>
  </cols>
  <sheetData>
    <row r="1" spans="1:32" ht="15.75">
      <c r="A1" s="10" t="s">
        <v>15</v>
      </c>
      <c r="B1" s="233" t="s">
        <v>14</v>
      </c>
      <c r="C1" s="241"/>
      <c r="D1" s="241"/>
      <c r="E1" s="241"/>
      <c r="F1" s="241"/>
      <c r="G1" s="241"/>
      <c r="H1" s="241"/>
      <c r="I1" s="241"/>
      <c r="J1" s="242"/>
      <c r="K1" s="243" t="s">
        <v>16</v>
      </c>
      <c r="L1" s="244"/>
      <c r="M1" s="244"/>
      <c r="N1" s="244"/>
      <c r="O1" s="244"/>
      <c r="P1" s="244"/>
      <c r="Q1" s="244"/>
      <c r="R1" s="244"/>
      <c r="S1" s="245"/>
      <c r="T1" s="249" t="s">
        <v>98</v>
      </c>
      <c r="U1" s="250"/>
      <c r="V1" s="250"/>
      <c r="W1" s="250"/>
      <c r="X1" s="250"/>
      <c r="Y1" s="250"/>
      <c r="Z1" s="250"/>
      <c r="AA1" s="250"/>
      <c r="AB1" s="251"/>
      <c r="AC1" s="246" t="s">
        <v>21</v>
      </c>
      <c r="AD1" s="247"/>
      <c r="AE1" s="247"/>
      <c r="AF1" s="248"/>
    </row>
    <row r="2" spans="1:32" ht="26.25" thickBot="1">
      <c r="A2" s="12" t="s">
        <v>13</v>
      </c>
      <c r="B2" s="13" t="s">
        <v>24</v>
      </c>
      <c r="C2" s="164" t="s">
        <v>31</v>
      </c>
      <c r="D2" s="164" t="s">
        <v>25</v>
      </c>
      <c r="E2" s="14" t="s">
        <v>26</v>
      </c>
      <c r="F2" s="14" t="s">
        <v>33</v>
      </c>
      <c r="G2" s="13" t="s">
        <v>12</v>
      </c>
      <c r="H2" s="15" t="s">
        <v>27</v>
      </c>
      <c r="I2" s="16" t="s">
        <v>28</v>
      </c>
      <c r="J2" s="18" t="s">
        <v>29</v>
      </c>
      <c r="K2" s="17" t="s">
        <v>24</v>
      </c>
      <c r="L2" s="164" t="s">
        <v>31</v>
      </c>
      <c r="M2" s="164" t="s">
        <v>25</v>
      </c>
      <c r="N2" s="14" t="s">
        <v>26</v>
      </c>
      <c r="O2" s="14" t="s">
        <v>33</v>
      </c>
      <c r="P2" s="13" t="s">
        <v>12</v>
      </c>
      <c r="Q2" s="16" t="s">
        <v>27</v>
      </c>
      <c r="R2" s="16" t="s">
        <v>28</v>
      </c>
      <c r="S2" s="165" t="s">
        <v>29</v>
      </c>
      <c r="T2" s="17" t="s">
        <v>24</v>
      </c>
      <c r="U2" s="164" t="s">
        <v>31</v>
      </c>
      <c r="V2" s="164" t="s">
        <v>25</v>
      </c>
      <c r="W2" s="14" t="s">
        <v>26</v>
      </c>
      <c r="X2" s="14" t="s">
        <v>33</v>
      </c>
      <c r="Y2" s="13" t="s">
        <v>12</v>
      </c>
      <c r="Z2" s="16" t="s">
        <v>27</v>
      </c>
      <c r="AA2" s="196" t="s">
        <v>28</v>
      </c>
      <c r="AB2" s="165" t="s">
        <v>29</v>
      </c>
      <c r="AC2" s="73" t="s">
        <v>24</v>
      </c>
      <c r="AD2" s="31" t="s">
        <v>28</v>
      </c>
      <c r="AE2" s="75" t="s">
        <v>29</v>
      </c>
      <c r="AF2" s="74" t="s">
        <v>33</v>
      </c>
    </row>
    <row r="3" spans="1:32">
      <c r="A3" s="11" t="s">
        <v>75</v>
      </c>
      <c r="B3" s="23">
        <f>INDEX('Resumo Produção'!E$3:E$53,MATCH($A3,[0]!PRODUTOS,0),1)+INDEX('[2]Resumo Produção'!E$3:E$53,MATCH($A3,[3]!PRODUTOS,0),1)</f>
        <v>0</v>
      </c>
      <c r="C3" s="23">
        <f>INDEX('Resumo Produção'!F$3:F$53,MATCH($A3,[0]!PRODUTOS,0),1)+INDEX('[2]Resumo Produção'!F$3:F$53,MATCH($A3,[3]!PRODUTOS,0),1)</f>
        <v>0</v>
      </c>
      <c r="D3" s="23">
        <f>INDEX('Resumo Produção'!G$3:G$53,MATCH($A3,[0]!PRODUTOS,0),1)+INDEX('[2]Resumo Produção'!G$3:G$53,MATCH($A3,[3]!PRODUTOS,0),1)</f>
        <v>0</v>
      </c>
      <c r="E3" s="23">
        <f>INDEX('Resumo Produção'!H$3:H$53,MATCH($A3,[0]!PRODUTOS,0),1)+INDEX('[2]Resumo Produção'!H$3:H$53,MATCH($A3,[3]!PRODUTOS,0),1)</f>
        <v>0</v>
      </c>
      <c r="F3" s="23">
        <f>INDEX('Resumo Produção'!I$3:I$53,MATCH($A3,[0]!PRODUTOS,0),1)+INDEX('[2]Resumo Produção'!I$3:I$53,MATCH($A3,[3]!PRODUTOS,0),1)</f>
        <v>0</v>
      </c>
      <c r="G3" s="23">
        <f>SUM(C3:F3)</f>
        <v>0</v>
      </c>
      <c r="H3" s="23">
        <f>IF(ISERR(G3/B3),0,G3/B3*1000000)</f>
        <v>0</v>
      </c>
      <c r="I3" s="24">
        <f t="shared" ref="I3:I59" si="0">D3+E3</f>
        <v>0</v>
      </c>
      <c r="J3" s="25">
        <f t="shared" ref="J3:J59" si="1">C3+E3</f>
        <v>0</v>
      </c>
      <c r="K3" s="26">
        <f>INDEX('Resumo Produção'!M$3:M$53,MATCH($A3,[0]!PRODUTOS,0),1)+INDEX('[2]Resumo Produção'!M$3:M$55,MATCH($A3,[3]!PRODUTOS,0),1)</f>
        <v>0</v>
      </c>
      <c r="L3" s="27">
        <f>INDEX('Resumo Produção'!N$3:N$53,MATCH($A3,[0]!PRODUTOS,0),1)+INDEX('[2]Resumo Produção'!N$3:N$55,MATCH($A3,[3]!PRODUTOS,0),1)</f>
        <v>0</v>
      </c>
      <c r="M3" s="27">
        <f>INDEX('Resumo Produção'!O$3:O$53,MATCH($A3,[0]!PRODUTOS,0),1)+INDEX('[2]Resumo Produção'!O$3:O$55,MATCH($A3,[3]!PRODUTOS,0),1)</f>
        <v>0</v>
      </c>
      <c r="N3" s="27">
        <f>INDEX('Resumo Produção'!P$3:P$53,MATCH($A3,[0]!PRODUTOS,0),1)+INDEX('[2]Resumo Produção'!P$3:P$55,MATCH($A3,[3]!PRODUTOS,0),1)</f>
        <v>0</v>
      </c>
      <c r="O3" s="27">
        <f>INDEX('Resumo Produção'!Q$3:Q$53,MATCH($A3,[0]!PRODUTOS,0),1)+INDEX('[2]Resumo Produção'!Q$3:Q$55,MATCH($A3,[3]!PRODUTOS,0),1)</f>
        <v>0</v>
      </c>
      <c r="P3" s="27">
        <f>SUM(L3:O3)</f>
        <v>0</v>
      </c>
      <c r="Q3" s="27">
        <f t="shared" ref="Q3:Q61" si="2">(IF(ISERR(P3/K3),,P3/K3*100))*10000</f>
        <v>0</v>
      </c>
      <c r="R3" s="27">
        <f t="shared" ref="R3:R59" si="3">M3+N3</f>
        <v>0</v>
      </c>
      <c r="S3" s="166">
        <f t="shared" ref="S3:S59" si="4">L3+N3</f>
        <v>0</v>
      </c>
      <c r="T3" s="197">
        <f>INDEX('Resumo Produção'!U$3:U$53,MATCH($A3,[0]!PRODUTOS,0),1)+INDEX('[2]Resumo Produção'!U$3:U$53,MATCH($A3,[3]!PRODUTOS,0),1)</f>
        <v>0</v>
      </c>
      <c r="U3" s="198">
        <f>INDEX('Resumo Produção'!V$3:V$53,MATCH($A3,[0]!PRODUTOS,0),1)+INDEX('[2]Resumo Produção'!V$3:V$53,MATCH($A3,[3]!PRODUTOS,0),1)</f>
        <v>0</v>
      </c>
      <c r="V3" s="198">
        <f>INDEX('Resumo Produção'!W$3:W$53,MATCH($A3,[0]!PRODUTOS,0),1)+INDEX('[2]Resumo Produção'!W$3:W$53,MATCH($A3,[3]!PRODUTOS,0),1)</f>
        <v>0</v>
      </c>
      <c r="W3" s="198">
        <f>INDEX('Resumo Produção'!X$3:X$53,MATCH($A3,[0]!PRODUTOS,0),1)+INDEX('[2]Resumo Produção'!X$3:X$53,MATCH($A3,[3]!PRODUTOS,0),1)</f>
        <v>0</v>
      </c>
      <c r="X3" s="198">
        <f>INDEX('Resumo Produção'!Y$3:Y$53,MATCH($A3,[0]!PRODUTOS,0),1)+INDEX('[2]Resumo Produção'!Y$3:Y$53,MATCH($A3,[3]!PRODUTOS,0),1)</f>
        <v>0</v>
      </c>
      <c r="Y3" s="198">
        <f>INDEX('Resumo Produção'!Z$3:Z$53,MATCH($A3,[0]!PRODUTOS,0),1)+INDEX('[2]Resumo Produção'!Z$3:Z$53,MATCH($A3,[3]!PRODUTOS,0),1)</f>
        <v>0</v>
      </c>
      <c r="Z3" s="198">
        <f t="shared" ref="Z3:Z61" si="5">(IF(ISERR(Y3/T3),,Y3/T3*100))*10000</f>
        <v>0</v>
      </c>
      <c r="AA3" s="198">
        <f t="shared" ref="AA3:AA59" si="6">V3+W3</f>
        <v>0</v>
      </c>
      <c r="AB3" s="199">
        <f t="shared" ref="AB3:AB59" si="7">U3+W3</f>
        <v>0</v>
      </c>
      <c r="AC3" s="28">
        <f>K3+B3+T3</f>
        <v>0</v>
      </c>
      <c r="AD3" s="29">
        <f t="shared" ref="AD3:AD28" si="8">R3+I3+AA3</f>
        <v>0</v>
      </c>
      <c r="AE3" s="76">
        <f t="shared" ref="AE3:AE28" si="9">S3+J3+AB3</f>
        <v>0</v>
      </c>
      <c r="AF3" s="30">
        <f t="shared" ref="AF3:AF28" si="10">O3+F3+X3</f>
        <v>0</v>
      </c>
    </row>
    <row r="4" spans="1:32">
      <c r="A4" s="11" t="s">
        <v>95</v>
      </c>
      <c r="B4" s="23">
        <f>INDEX('Resumo Produção'!E$3:E$53,MATCH($A4,[0]!PRODUTOS,0),1)+INDEX('[2]Resumo Produção'!E$3:E$53,MATCH($A4,[3]!PRODUTOS,0),1)</f>
        <v>0</v>
      </c>
      <c r="C4" s="23">
        <f>INDEX('Resumo Produção'!F$3:F$53,MATCH($A4,[0]!PRODUTOS,0),1)+INDEX('[2]Resumo Produção'!F$3:F$53,MATCH($A4,[3]!PRODUTOS,0),1)</f>
        <v>0</v>
      </c>
      <c r="D4" s="23">
        <f>INDEX('Resumo Produção'!G$3:G$53,MATCH($A4,[0]!PRODUTOS,0),1)+INDEX('[2]Resumo Produção'!G$3:G$53,MATCH($A4,[3]!PRODUTOS,0),1)</f>
        <v>0</v>
      </c>
      <c r="E4" s="23">
        <f>INDEX('Resumo Produção'!H$3:H$53,MATCH($A4,[0]!PRODUTOS,0),1)+INDEX('[2]Resumo Produção'!H$3:H$53,MATCH($A4,[3]!PRODUTOS,0),1)</f>
        <v>0</v>
      </c>
      <c r="F4" s="23">
        <f>INDEX('Resumo Produção'!I$3:I$53,MATCH($A4,[0]!PRODUTOS,0),1)+INDEX('[2]Resumo Produção'!I$3:I$53,MATCH($A4,[3]!PRODUTOS,0),1)</f>
        <v>0</v>
      </c>
      <c r="G4" s="23">
        <f t="shared" ref="G4" si="11">SUM(C4:F4)</f>
        <v>0</v>
      </c>
      <c r="H4" s="23">
        <f t="shared" ref="H4" si="12">IF(ISERR(G4/B4),0,G4/B4*1000000)</f>
        <v>0</v>
      </c>
      <c r="I4" s="24">
        <f t="shared" si="0"/>
        <v>0</v>
      </c>
      <c r="J4" s="25">
        <f t="shared" si="1"/>
        <v>0</v>
      </c>
      <c r="K4" s="26">
        <f>INDEX('Resumo Produção'!M$3:M$53,MATCH($A4,[0]!PRODUTOS,0),1)+INDEX('[2]Resumo Produção'!M$3:M$55,MATCH($A4,[3]!PRODUTOS,0),1)</f>
        <v>0</v>
      </c>
      <c r="L4" s="27">
        <f>INDEX('Resumo Produção'!N$3:N$53,MATCH($A4,[0]!PRODUTOS,0),1)+INDEX('[2]Resumo Produção'!N$3:N$55,MATCH($A4,[3]!PRODUTOS,0),1)</f>
        <v>0</v>
      </c>
      <c r="M4" s="27">
        <f>INDEX('Resumo Produção'!O$3:O$53,MATCH($A4,[0]!PRODUTOS,0),1)+INDEX('[2]Resumo Produção'!O$3:O$55,MATCH($A4,[3]!PRODUTOS,0),1)</f>
        <v>0</v>
      </c>
      <c r="N4" s="27">
        <f>INDEX('Resumo Produção'!P$3:P$53,MATCH($A4,[0]!PRODUTOS,0),1)+INDEX('[2]Resumo Produção'!P$3:P$55,MATCH($A4,[3]!PRODUTOS,0),1)</f>
        <v>0</v>
      </c>
      <c r="O4" s="27">
        <f>INDEX('Resumo Produção'!Q$3:Q$53,MATCH($A4,[0]!PRODUTOS,0),1)+INDEX('[2]Resumo Produção'!Q$3:Q$55,MATCH($A4,[3]!PRODUTOS,0),1)</f>
        <v>0</v>
      </c>
      <c r="P4" s="27">
        <f t="shared" ref="P4" si="13">SUM(L4:O4)</f>
        <v>0</v>
      </c>
      <c r="Q4" s="27">
        <f t="shared" ref="Q4" si="14">(IF(ISERR(P4/K4),,P4/K4*100))*10000</f>
        <v>0</v>
      </c>
      <c r="R4" s="27">
        <f t="shared" si="3"/>
        <v>0</v>
      </c>
      <c r="S4" s="166">
        <f t="shared" si="4"/>
        <v>0</v>
      </c>
      <c r="T4" s="183">
        <f>INDEX('Resumo Produção'!U$3:U$53,MATCH($A4,[0]!PRODUTOS,0),1)+INDEX('[2]Resumo Produção'!U$3:U$53,MATCH($A4,[3]!PRODUTOS,0),1)</f>
        <v>0</v>
      </c>
      <c r="U4" s="184">
        <f>INDEX('Resumo Produção'!V$3:V$53,MATCH($A4,[0]!PRODUTOS,0),1)+INDEX('[2]Resumo Produção'!V$3:V$53,MATCH($A4,[3]!PRODUTOS,0),1)</f>
        <v>0</v>
      </c>
      <c r="V4" s="184">
        <f>INDEX('Resumo Produção'!W$3:W$53,MATCH($A4,[0]!PRODUTOS,0),1)+INDEX('[2]Resumo Produção'!W$3:W$53,MATCH($A4,[3]!PRODUTOS,0),1)</f>
        <v>0</v>
      </c>
      <c r="W4" s="184">
        <f>INDEX('Resumo Produção'!X$3:X$53,MATCH($A4,[0]!PRODUTOS,0),1)+INDEX('[2]Resumo Produção'!X$3:X$53,MATCH($A4,[3]!PRODUTOS,0),1)</f>
        <v>0</v>
      </c>
      <c r="X4" s="184">
        <f>INDEX('Resumo Produção'!Y$3:Y$53,MATCH($A4,[0]!PRODUTOS,0),1)+INDEX('[2]Resumo Produção'!Y$3:Y$53,MATCH($A4,[3]!PRODUTOS,0),1)</f>
        <v>0</v>
      </c>
      <c r="Y4" s="184">
        <f>INDEX('Resumo Produção'!Z$3:Z$53,MATCH($A4,[0]!PRODUTOS,0),1)+INDEX('[2]Resumo Produção'!Z$3:Z$53,MATCH($A4,[3]!PRODUTOS,0),1)</f>
        <v>0</v>
      </c>
      <c r="Z4" s="184">
        <f t="shared" si="5"/>
        <v>0</v>
      </c>
      <c r="AA4" s="184">
        <f t="shared" si="6"/>
        <v>0</v>
      </c>
      <c r="AB4" s="185">
        <f t="shared" si="7"/>
        <v>0</v>
      </c>
      <c r="AC4" s="28">
        <f>K4+B4+T4</f>
        <v>0</v>
      </c>
      <c r="AD4" s="29">
        <f t="shared" si="8"/>
        <v>0</v>
      </c>
      <c r="AE4" s="76">
        <f t="shared" si="9"/>
        <v>0</v>
      </c>
      <c r="AF4" s="30">
        <f t="shared" si="10"/>
        <v>0</v>
      </c>
    </row>
    <row r="5" spans="1:32">
      <c r="A5" s="11" t="s">
        <v>42</v>
      </c>
      <c r="B5" s="23">
        <f>INDEX('Resumo Produção'!E$3:E$53,MATCH($A5,[0]!PRODUTOS,0),1)+INDEX('[2]Resumo Produção'!E$3:E$53,MATCH($A5,[3]!PRODUTOS,0),1)</f>
        <v>0</v>
      </c>
      <c r="C5" s="23">
        <f>INDEX('Resumo Produção'!F$3:F$53,MATCH($A5,[0]!PRODUTOS,0),1)+INDEX('[2]Resumo Produção'!F$3:F$53,MATCH($A5,[3]!PRODUTOS,0),1)</f>
        <v>0</v>
      </c>
      <c r="D5" s="23">
        <f>INDEX('Resumo Produção'!G$3:G$53,MATCH($A5,[0]!PRODUTOS,0),1)+INDEX('[2]Resumo Produção'!G$3:G$53,MATCH($A5,[3]!PRODUTOS,0),1)</f>
        <v>0</v>
      </c>
      <c r="E5" s="23">
        <f>INDEX('Resumo Produção'!H$3:H$53,MATCH($A5,[0]!PRODUTOS,0),1)+INDEX('[2]Resumo Produção'!H$3:H$53,MATCH($A5,[3]!PRODUTOS,0),1)</f>
        <v>0</v>
      </c>
      <c r="F5" s="23">
        <f>INDEX('Resumo Produção'!I$3:I$53,MATCH($A5,[0]!PRODUTOS,0),1)+INDEX('[2]Resumo Produção'!I$3:I$53,MATCH($A5,[3]!PRODUTOS,0),1)</f>
        <v>0</v>
      </c>
      <c r="G5" s="23">
        <f t="shared" ref="G5:G60" si="15">SUM(C5:F5)</f>
        <v>0</v>
      </c>
      <c r="H5" s="23">
        <f t="shared" ref="H5:H61" si="16">IF(ISERR(G5/B5),0,G5/B5*1000000)</f>
        <v>0</v>
      </c>
      <c r="I5" s="24">
        <f t="shared" si="0"/>
        <v>0</v>
      </c>
      <c r="J5" s="25">
        <f t="shared" si="1"/>
        <v>0</v>
      </c>
      <c r="K5" s="26">
        <f>INDEX('Resumo Produção'!M$3:M$53,MATCH($A5,[0]!PRODUTOS,0),1)+INDEX('[2]Resumo Produção'!M$3:M$55,MATCH($A5,[3]!PRODUTOS,0),1)</f>
        <v>7680</v>
      </c>
      <c r="L5" s="27">
        <f>INDEX('Resumo Produção'!N$3:N$53,MATCH($A5,[0]!PRODUTOS,0),1)+INDEX('[2]Resumo Produção'!N$3:N$55,MATCH($A5,[3]!PRODUTOS,0),1)</f>
        <v>0</v>
      </c>
      <c r="M5" s="27">
        <f>INDEX('Resumo Produção'!O$3:O$53,MATCH($A5,[0]!PRODUTOS,0),1)+INDEX('[2]Resumo Produção'!O$3:O$55,MATCH($A5,[3]!PRODUTOS,0),1)</f>
        <v>0</v>
      </c>
      <c r="N5" s="27">
        <f>INDEX('Resumo Produção'!P$3:P$53,MATCH($A5,[0]!PRODUTOS,0),1)+INDEX('[2]Resumo Produção'!P$3:P$55,MATCH($A5,[3]!PRODUTOS,0),1)</f>
        <v>11</v>
      </c>
      <c r="O5" s="27">
        <f>INDEX('Resumo Produção'!Q$3:Q$53,MATCH($A5,[0]!PRODUTOS,0),1)+INDEX('[2]Resumo Produção'!Q$3:Q$55,MATCH($A5,[3]!PRODUTOS,0),1)</f>
        <v>0</v>
      </c>
      <c r="P5" s="27">
        <f t="shared" ref="P5:P60" si="17">SUM(L5:O5)</f>
        <v>11</v>
      </c>
      <c r="Q5" s="27">
        <f t="shared" si="2"/>
        <v>1432.2916666666665</v>
      </c>
      <c r="R5" s="27">
        <f t="shared" si="3"/>
        <v>11</v>
      </c>
      <c r="S5" s="166">
        <f t="shared" si="4"/>
        <v>11</v>
      </c>
      <c r="T5" s="183">
        <f>INDEX('Resumo Produção'!U$3:U$53,MATCH($A5,[0]!PRODUTOS,0),1)+INDEX('[2]Resumo Produção'!U$3:U$53,MATCH($A5,[3]!PRODUTOS,0),1)</f>
        <v>0</v>
      </c>
      <c r="U5" s="184">
        <f>INDEX('Resumo Produção'!V$3:V$53,MATCH($A5,[0]!PRODUTOS,0),1)+INDEX('[2]Resumo Produção'!V$3:V$53,MATCH($A5,[3]!PRODUTOS,0),1)</f>
        <v>0</v>
      </c>
      <c r="V5" s="184">
        <f>INDEX('Resumo Produção'!W$3:W$53,MATCH($A5,[0]!PRODUTOS,0),1)+INDEX('[2]Resumo Produção'!W$3:W$53,MATCH($A5,[3]!PRODUTOS,0),1)</f>
        <v>0</v>
      </c>
      <c r="W5" s="184">
        <f>INDEX('Resumo Produção'!X$3:X$53,MATCH($A5,[0]!PRODUTOS,0),1)+INDEX('[2]Resumo Produção'!X$3:X$53,MATCH($A5,[3]!PRODUTOS,0),1)</f>
        <v>0</v>
      </c>
      <c r="X5" s="184">
        <f>INDEX('Resumo Produção'!Y$3:Y$53,MATCH($A5,[0]!PRODUTOS,0),1)+INDEX('[2]Resumo Produção'!Y$3:Y$53,MATCH($A5,[3]!PRODUTOS,0),1)</f>
        <v>0</v>
      </c>
      <c r="Y5" s="184">
        <f>INDEX('Resumo Produção'!Z$3:Z$53,MATCH($A5,[0]!PRODUTOS,0),1)+INDEX('[2]Resumo Produção'!Z$3:Z$53,MATCH($A5,[3]!PRODUTOS,0),1)</f>
        <v>0</v>
      </c>
      <c r="Z5" s="184">
        <f t="shared" si="5"/>
        <v>0</v>
      </c>
      <c r="AA5" s="184">
        <f t="shared" si="6"/>
        <v>0</v>
      </c>
      <c r="AB5" s="185">
        <f t="shared" si="7"/>
        <v>0</v>
      </c>
      <c r="AC5" s="28">
        <f>K5+B5+T5</f>
        <v>7680</v>
      </c>
      <c r="AD5" s="29">
        <f t="shared" si="8"/>
        <v>11</v>
      </c>
      <c r="AE5" s="76">
        <f t="shared" si="9"/>
        <v>11</v>
      </c>
      <c r="AF5" s="30">
        <f t="shared" si="10"/>
        <v>0</v>
      </c>
    </row>
    <row r="6" spans="1:32" s="1" customFormat="1">
      <c r="A6" s="32" t="s">
        <v>18</v>
      </c>
      <c r="B6" s="33">
        <f>SUBTOTAL(9,B3:B5)</f>
        <v>0</v>
      </c>
      <c r="C6" s="33">
        <f t="shared" ref="C6:AF6" si="18">SUBTOTAL(9,C3:C5)</f>
        <v>0</v>
      </c>
      <c r="D6" s="33">
        <f t="shared" si="18"/>
        <v>0</v>
      </c>
      <c r="E6" s="33">
        <f t="shared" si="18"/>
        <v>0</v>
      </c>
      <c r="F6" s="33">
        <f t="shared" si="18"/>
        <v>0</v>
      </c>
      <c r="G6" s="33">
        <f t="shared" si="18"/>
        <v>0</v>
      </c>
      <c r="H6" s="33">
        <f t="shared" si="18"/>
        <v>0</v>
      </c>
      <c r="I6" s="33">
        <f t="shared" si="0"/>
        <v>0</v>
      </c>
      <c r="J6" s="34">
        <f t="shared" si="1"/>
        <v>0</v>
      </c>
      <c r="K6" s="35">
        <f t="shared" si="18"/>
        <v>7680</v>
      </c>
      <c r="L6" s="33">
        <f t="shared" si="18"/>
        <v>0</v>
      </c>
      <c r="M6" s="33">
        <f t="shared" si="18"/>
        <v>0</v>
      </c>
      <c r="N6" s="33">
        <f t="shared" si="18"/>
        <v>11</v>
      </c>
      <c r="O6" s="33">
        <f t="shared" si="18"/>
        <v>0</v>
      </c>
      <c r="P6" s="33">
        <f t="shared" si="18"/>
        <v>11</v>
      </c>
      <c r="Q6" s="33">
        <f t="shared" si="18"/>
        <v>1432.2916666666665</v>
      </c>
      <c r="R6" s="33">
        <f t="shared" si="3"/>
        <v>11</v>
      </c>
      <c r="S6" s="34">
        <f t="shared" si="4"/>
        <v>11</v>
      </c>
      <c r="T6" s="200">
        <f t="shared" si="18"/>
        <v>0</v>
      </c>
      <c r="U6" s="201">
        <f t="shared" si="18"/>
        <v>0</v>
      </c>
      <c r="V6" s="201">
        <f t="shared" si="18"/>
        <v>0</v>
      </c>
      <c r="W6" s="201">
        <f t="shared" si="18"/>
        <v>0</v>
      </c>
      <c r="X6" s="201">
        <f t="shared" si="18"/>
        <v>0</v>
      </c>
      <c r="Y6" s="201">
        <f t="shared" si="18"/>
        <v>0</v>
      </c>
      <c r="Z6" s="201">
        <f t="shared" si="18"/>
        <v>0</v>
      </c>
      <c r="AA6" s="201">
        <f t="shared" si="6"/>
        <v>0</v>
      </c>
      <c r="AB6" s="202">
        <f t="shared" si="7"/>
        <v>0</v>
      </c>
      <c r="AC6" s="35">
        <f t="shared" si="18"/>
        <v>7680</v>
      </c>
      <c r="AD6" s="33">
        <f t="shared" si="18"/>
        <v>11</v>
      </c>
      <c r="AE6" s="71">
        <f t="shared" si="18"/>
        <v>11</v>
      </c>
      <c r="AF6" s="34">
        <f t="shared" si="18"/>
        <v>0</v>
      </c>
    </row>
    <row r="7" spans="1:32">
      <c r="A7" s="11" t="s">
        <v>43</v>
      </c>
      <c r="B7" s="23">
        <f>INDEX('Resumo Produção'!E$3:E$53,MATCH($A7,[0]!PRODUTOS,0),1)+INDEX('[2]Resumo Produção'!E$3:E$53,MATCH($A7,[3]!PRODUTOS,0),1)</f>
        <v>0</v>
      </c>
      <c r="C7" s="23">
        <f>INDEX('Resumo Produção'!F$3:F$53,MATCH($A7,[0]!PRODUTOS,0),1)+INDEX('[2]Resumo Produção'!F$3:F$53,MATCH($A7,[3]!PRODUTOS,0),1)</f>
        <v>0</v>
      </c>
      <c r="D7" s="23">
        <f>INDEX('Resumo Produção'!G$3:G$53,MATCH($A7,[0]!PRODUTOS,0),1)+INDEX('[2]Resumo Produção'!G$3:G$53,MATCH($A7,[3]!PRODUTOS,0),1)</f>
        <v>0</v>
      </c>
      <c r="E7" s="23">
        <f>INDEX('Resumo Produção'!H$3:H$53,MATCH($A7,[0]!PRODUTOS,0),1)+INDEX('[2]Resumo Produção'!H$3:H$53,MATCH($A7,[3]!PRODUTOS,0),1)</f>
        <v>0</v>
      </c>
      <c r="F7" s="23">
        <f>INDEX('Resumo Produção'!I$3:I$53,MATCH($A7,[0]!PRODUTOS,0),1)+INDEX('[2]Resumo Produção'!I$3:I$53,MATCH($A7,[3]!PRODUTOS,0),1)</f>
        <v>0</v>
      </c>
      <c r="G7" s="23">
        <f t="shared" si="15"/>
        <v>0</v>
      </c>
      <c r="H7" s="23">
        <f t="shared" si="16"/>
        <v>0</v>
      </c>
      <c r="I7" s="24">
        <f t="shared" si="0"/>
        <v>0</v>
      </c>
      <c r="J7" s="25">
        <f t="shared" si="1"/>
        <v>0</v>
      </c>
      <c r="K7" s="26">
        <f>INDEX('Resumo Produção'!M$3:M$53,MATCH($A7,[0]!PRODUTOS,0),1)+INDEX('[2]Resumo Produção'!M$3:M$55,MATCH($A7,[3]!PRODUTOS,0),1)</f>
        <v>0</v>
      </c>
      <c r="L7" s="27">
        <f>INDEX('Resumo Produção'!N$3:N$53,MATCH($A7,[0]!PRODUTOS,0),1)+INDEX('[2]Resumo Produção'!N$3:N$55,MATCH($A7,[3]!PRODUTOS,0),1)</f>
        <v>0</v>
      </c>
      <c r="M7" s="27">
        <f>INDEX('Resumo Produção'!O$3:O$53,MATCH($A7,[0]!PRODUTOS,0),1)+INDEX('[2]Resumo Produção'!O$3:O$55,MATCH($A7,[3]!PRODUTOS,0),1)</f>
        <v>0</v>
      </c>
      <c r="N7" s="27">
        <f>INDEX('Resumo Produção'!P$3:P$53,MATCH($A7,[0]!PRODUTOS,0),1)+INDEX('[2]Resumo Produção'!P$3:P$55,MATCH($A7,[3]!PRODUTOS,0),1)</f>
        <v>0</v>
      </c>
      <c r="O7" s="27">
        <f>INDEX('Resumo Produção'!Q$3:Q$53,MATCH($A7,[0]!PRODUTOS,0),1)+INDEX('[2]Resumo Produção'!Q$3:Q$55,MATCH($A7,[3]!PRODUTOS,0),1)</f>
        <v>0</v>
      </c>
      <c r="P7" s="27">
        <f t="shared" si="17"/>
        <v>0</v>
      </c>
      <c r="Q7" s="27">
        <f t="shared" si="2"/>
        <v>0</v>
      </c>
      <c r="R7" s="27">
        <f t="shared" si="3"/>
        <v>0</v>
      </c>
      <c r="S7" s="166">
        <f t="shared" si="4"/>
        <v>0</v>
      </c>
      <c r="T7" s="183">
        <f>INDEX('Resumo Produção'!U$3:U$53,MATCH($A7,[0]!PRODUTOS,0),1)+INDEX('[2]Resumo Produção'!U$3:U$53,MATCH($A7,[3]!PRODUTOS,0),1)</f>
        <v>0</v>
      </c>
      <c r="U7" s="184">
        <f>INDEX('Resumo Produção'!V$3:V$53,MATCH($A7,[0]!PRODUTOS,0),1)+INDEX('[2]Resumo Produção'!V$3:V$53,MATCH($A7,[3]!PRODUTOS,0),1)</f>
        <v>0</v>
      </c>
      <c r="V7" s="184">
        <f>INDEX('Resumo Produção'!W$3:W$53,MATCH($A7,[0]!PRODUTOS,0),1)+INDEX('[2]Resumo Produção'!W$3:W$53,MATCH($A7,[3]!PRODUTOS,0),1)</f>
        <v>0</v>
      </c>
      <c r="W7" s="184">
        <f>INDEX('Resumo Produção'!X$3:X$53,MATCH($A7,[0]!PRODUTOS,0),1)+INDEX('[2]Resumo Produção'!X$3:X$53,MATCH($A7,[3]!PRODUTOS,0),1)</f>
        <v>0</v>
      </c>
      <c r="X7" s="184">
        <f>INDEX('Resumo Produção'!Y$3:Y$53,MATCH($A7,[0]!PRODUTOS,0),1)+INDEX('[2]Resumo Produção'!Y$3:Y$53,MATCH($A7,[3]!PRODUTOS,0),1)</f>
        <v>0</v>
      </c>
      <c r="Y7" s="184">
        <f>INDEX('Resumo Produção'!Z$3:Z$53,MATCH($A7,[0]!PRODUTOS,0),1)+INDEX('[2]Resumo Produção'!Z$3:Z$53,MATCH($A7,[3]!PRODUTOS,0),1)</f>
        <v>0</v>
      </c>
      <c r="Z7" s="184">
        <f t="shared" si="5"/>
        <v>0</v>
      </c>
      <c r="AA7" s="184">
        <f t="shared" si="6"/>
        <v>0</v>
      </c>
      <c r="AB7" s="185">
        <f t="shared" si="7"/>
        <v>0</v>
      </c>
      <c r="AC7" s="28">
        <f>K7+B7+T7</f>
        <v>0</v>
      </c>
      <c r="AD7" s="29">
        <f t="shared" si="8"/>
        <v>0</v>
      </c>
      <c r="AE7" s="76">
        <f t="shared" si="9"/>
        <v>0</v>
      </c>
      <c r="AF7" s="30">
        <f t="shared" si="10"/>
        <v>0</v>
      </c>
    </row>
    <row r="8" spans="1:32" s="1" customFormat="1">
      <c r="A8" s="32" t="s">
        <v>18</v>
      </c>
      <c r="B8" s="33">
        <f>SUBTOTAL(9,B7)</f>
        <v>0</v>
      </c>
      <c r="C8" s="33">
        <f t="shared" ref="C8:AF8" si="19">SUBTOTAL(9,C7)</f>
        <v>0</v>
      </c>
      <c r="D8" s="33">
        <f t="shared" si="19"/>
        <v>0</v>
      </c>
      <c r="E8" s="33">
        <f t="shared" si="19"/>
        <v>0</v>
      </c>
      <c r="F8" s="33">
        <f t="shared" si="19"/>
        <v>0</v>
      </c>
      <c r="G8" s="33">
        <f t="shared" si="19"/>
        <v>0</v>
      </c>
      <c r="H8" s="33">
        <f t="shared" si="19"/>
        <v>0</v>
      </c>
      <c r="I8" s="33">
        <f t="shared" si="0"/>
        <v>0</v>
      </c>
      <c r="J8" s="34">
        <f t="shared" si="1"/>
        <v>0</v>
      </c>
      <c r="K8" s="35">
        <f t="shared" si="19"/>
        <v>0</v>
      </c>
      <c r="L8" s="33">
        <f t="shared" si="19"/>
        <v>0</v>
      </c>
      <c r="M8" s="33">
        <f t="shared" si="19"/>
        <v>0</v>
      </c>
      <c r="N8" s="33">
        <f t="shared" si="19"/>
        <v>0</v>
      </c>
      <c r="O8" s="33">
        <f t="shared" si="19"/>
        <v>0</v>
      </c>
      <c r="P8" s="33">
        <f t="shared" si="19"/>
        <v>0</v>
      </c>
      <c r="Q8" s="33">
        <f t="shared" si="19"/>
        <v>0</v>
      </c>
      <c r="R8" s="33">
        <f t="shared" si="3"/>
        <v>0</v>
      </c>
      <c r="S8" s="34">
        <f t="shared" si="4"/>
        <v>0</v>
      </c>
      <c r="T8" s="200">
        <f t="shared" si="19"/>
        <v>0</v>
      </c>
      <c r="U8" s="201">
        <f t="shared" si="19"/>
        <v>0</v>
      </c>
      <c r="V8" s="201">
        <f t="shared" si="19"/>
        <v>0</v>
      </c>
      <c r="W8" s="201">
        <f t="shared" si="19"/>
        <v>0</v>
      </c>
      <c r="X8" s="201">
        <f t="shared" si="19"/>
        <v>0</v>
      </c>
      <c r="Y8" s="201">
        <f t="shared" si="19"/>
        <v>0</v>
      </c>
      <c r="Z8" s="201">
        <f t="shared" si="19"/>
        <v>0</v>
      </c>
      <c r="AA8" s="201">
        <f t="shared" si="6"/>
        <v>0</v>
      </c>
      <c r="AB8" s="202">
        <f t="shared" si="7"/>
        <v>0</v>
      </c>
      <c r="AC8" s="35">
        <f t="shared" si="19"/>
        <v>0</v>
      </c>
      <c r="AD8" s="33">
        <f t="shared" si="19"/>
        <v>0</v>
      </c>
      <c r="AE8" s="71">
        <f t="shared" si="19"/>
        <v>0</v>
      </c>
      <c r="AF8" s="34">
        <f t="shared" si="19"/>
        <v>0</v>
      </c>
    </row>
    <row r="9" spans="1:32">
      <c r="A9" s="11" t="s">
        <v>74</v>
      </c>
      <c r="B9" s="23">
        <f>INDEX('Resumo Produção'!E$3:E$53,MATCH($A9,[0]!PRODUTOS,0),1)+INDEX('[2]Resumo Produção'!E$3:E$53,MATCH($A9,[3]!PRODUTOS,0),1)</f>
        <v>0</v>
      </c>
      <c r="C9" s="23">
        <f>INDEX('Resumo Produção'!F$3:F$53,MATCH($A9,[0]!PRODUTOS,0),1)+INDEX('[2]Resumo Produção'!F$3:F$53,MATCH($A9,[3]!PRODUTOS,0),1)</f>
        <v>0</v>
      </c>
      <c r="D9" s="23">
        <f>INDEX('Resumo Produção'!G$3:G$53,MATCH($A9,[0]!PRODUTOS,0),1)+INDEX('[2]Resumo Produção'!G$3:G$53,MATCH($A9,[3]!PRODUTOS,0),1)</f>
        <v>0</v>
      </c>
      <c r="E9" s="23">
        <f>INDEX('Resumo Produção'!H$3:H$53,MATCH($A9,[0]!PRODUTOS,0),1)+INDEX('[2]Resumo Produção'!H$3:H$53,MATCH($A9,[3]!PRODUTOS,0),1)</f>
        <v>0</v>
      </c>
      <c r="F9" s="23">
        <f>INDEX('Resumo Produção'!I$3:I$53,MATCH($A9,[0]!PRODUTOS,0),1)+INDEX('[2]Resumo Produção'!I$3:I$53,MATCH($A9,[3]!PRODUTOS,0),1)</f>
        <v>0</v>
      </c>
      <c r="G9" s="23">
        <f t="shared" si="15"/>
        <v>0</v>
      </c>
      <c r="H9" s="23">
        <f t="shared" si="16"/>
        <v>0</v>
      </c>
      <c r="I9" s="24">
        <f t="shared" si="0"/>
        <v>0</v>
      </c>
      <c r="J9" s="25">
        <f t="shared" si="1"/>
        <v>0</v>
      </c>
      <c r="K9" s="26">
        <f>INDEX('Resumo Produção'!M$3:M$53,MATCH($A9,[0]!PRODUTOS,0),1)+INDEX('[2]Resumo Produção'!M$3:M$55,MATCH($A9,[3]!PRODUTOS,0),1)</f>
        <v>0</v>
      </c>
      <c r="L9" s="27">
        <f>INDEX('Resumo Produção'!N$3:N$53,MATCH($A9,[0]!PRODUTOS,0),1)+INDEX('[2]Resumo Produção'!N$3:N$55,MATCH($A9,[3]!PRODUTOS,0),1)</f>
        <v>0</v>
      </c>
      <c r="M9" s="27">
        <f>INDEX('Resumo Produção'!O$3:O$53,MATCH($A9,[0]!PRODUTOS,0),1)+INDEX('[2]Resumo Produção'!O$3:O$55,MATCH($A9,[3]!PRODUTOS,0),1)</f>
        <v>0</v>
      </c>
      <c r="N9" s="27">
        <f>INDEX('Resumo Produção'!P$3:P$53,MATCH($A9,[0]!PRODUTOS,0),1)+INDEX('[2]Resumo Produção'!P$3:P$55,MATCH($A9,[3]!PRODUTOS,0),1)</f>
        <v>0</v>
      </c>
      <c r="O9" s="27">
        <f>INDEX('Resumo Produção'!Q$3:Q$53,MATCH($A9,[0]!PRODUTOS,0),1)+INDEX('[2]Resumo Produção'!Q$3:Q$55,MATCH($A9,[3]!PRODUTOS,0),1)</f>
        <v>0</v>
      </c>
      <c r="P9" s="27">
        <f t="shared" si="17"/>
        <v>0</v>
      </c>
      <c r="Q9" s="27">
        <f t="shared" si="2"/>
        <v>0</v>
      </c>
      <c r="R9" s="27">
        <f t="shared" si="3"/>
        <v>0</v>
      </c>
      <c r="S9" s="166">
        <f t="shared" si="4"/>
        <v>0</v>
      </c>
      <c r="T9" s="183">
        <f>INDEX('Resumo Produção'!U$3:U$53,MATCH($A9,[0]!PRODUTOS,0),1)+INDEX('[2]Resumo Produção'!U$3:U$53,MATCH($A9,[3]!PRODUTOS,0),1)</f>
        <v>0</v>
      </c>
      <c r="U9" s="184">
        <f>INDEX('Resumo Produção'!V$3:V$53,MATCH($A9,[0]!PRODUTOS,0),1)+INDEX('[2]Resumo Produção'!V$3:V$53,MATCH($A9,[3]!PRODUTOS,0),1)</f>
        <v>0</v>
      </c>
      <c r="V9" s="184">
        <f>INDEX('Resumo Produção'!W$3:W$53,MATCH($A9,[0]!PRODUTOS,0),1)+INDEX('[2]Resumo Produção'!W$3:W$53,MATCH($A9,[3]!PRODUTOS,0),1)</f>
        <v>0</v>
      </c>
      <c r="W9" s="184">
        <f>INDEX('Resumo Produção'!X$3:X$53,MATCH($A9,[0]!PRODUTOS,0),1)+INDEX('[2]Resumo Produção'!X$3:X$53,MATCH($A9,[3]!PRODUTOS,0),1)</f>
        <v>0</v>
      </c>
      <c r="X9" s="184">
        <f>INDEX('Resumo Produção'!Y$3:Y$53,MATCH($A9,[0]!PRODUTOS,0),1)+INDEX('[2]Resumo Produção'!Y$3:Y$53,MATCH($A9,[3]!PRODUTOS,0),1)</f>
        <v>0</v>
      </c>
      <c r="Y9" s="184">
        <f>INDEX('Resumo Produção'!Z$3:Z$53,MATCH($A9,[0]!PRODUTOS,0),1)+INDEX('[2]Resumo Produção'!Z$3:Z$53,MATCH($A9,[3]!PRODUTOS,0),1)</f>
        <v>0</v>
      </c>
      <c r="Z9" s="184">
        <f t="shared" si="5"/>
        <v>0</v>
      </c>
      <c r="AA9" s="184">
        <f t="shared" si="6"/>
        <v>0</v>
      </c>
      <c r="AB9" s="185">
        <f t="shared" si="7"/>
        <v>0</v>
      </c>
      <c r="AC9" s="28">
        <f>K9+B9+T9</f>
        <v>0</v>
      </c>
      <c r="AD9" s="29">
        <f t="shared" si="8"/>
        <v>0</v>
      </c>
      <c r="AE9" s="76">
        <f t="shared" si="9"/>
        <v>0</v>
      </c>
      <c r="AF9" s="30">
        <f t="shared" si="10"/>
        <v>0</v>
      </c>
    </row>
    <row r="10" spans="1:32">
      <c r="A10" s="11" t="s">
        <v>6</v>
      </c>
      <c r="B10" s="23">
        <f>INDEX('Resumo Produção'!E$3:E$53,MATCH($A10,[0]!PRODUTOS,0),1)+INDEX('[2]Resumo Produção'!E$3:E$53,MATCH($A10,[3]!PRODUTOS,0),1)</f>
        <v>92880</v>
      </c>
      <c r="C10" s="23">
        <f>INDEX('Resumo Produção'!F$3:F$53,MATCH($A10,[0]!PRODUTOS,0),1)+INDEX('[2]Resumo Produção'!F$3:F$53,MATCH($A10,[3]!PRODUTOS,0),1)</f>
        <v>0</v>
      </c>
      <c r="D10" s="23">
        <f>INDEX('Resumo Produção'!G$3:G$53,MATCH($A10,[0]!PRODUTOS,0),1)+INDEX('[2]Resumo Produção'!G$3:G$53,MATCH($A10,[3]!PRODUTOS,0),1)</f>
        <v>0</v>
      </c>
      <c r="E10" s="23">
        <f>INDEX('Resumo Produção'!H$3:H$53,MATCH($A10,[0]!PRODUTOS,0),1)+INDEX('[2]Resumo Produção'!H$3:H$53,MATCH($A10,[3]!PRODUTOS,0),1)</f>
        <v>124</v>
      </c>
      <c r="F10" s="23">
        <f>INDEX('Resumo Produção'!I$3:I$53,MATCH($A10,[0]!PRODUTOS,0),1)+INDEX('[2]Resumo Produção'!I$3:I$53,MATCH($A10,[3]!PRODUTOS,0),1)</f>
        <v>0</v>
      </c>
      <c r="G10" s="23">
        <f t="shared" si="15"/>
        <v>124</v>
      </c>
      <c r="H10" s="23">
        <f t="shared" si="16"/>
        <v>1335.055986218777</v>
      </c>
      <c r="I10" s="24">
        <f t="shared" si="0"/>
        <v>124</v>
      </c>
      <c r="J10" s="25">
        <f t="shared" si="1"/>
        <v>124</v>
      </c>
      <c r="K10" s="26">
        <f>INDEX('Resumo Produção'!M$3:M$53,MATCH($A10,[0]!PRODUTOS,0),1)+INDEX('[2]Resumo Produção'!M$3:M$55,MATCH($A10,[3]!PRODUTOS,0),1)</f>
        <v>0</v>
      </c>
      <c r="L10" s="27">
        <f>INDEX('Resumo Produção'!N$3:N$53,MATCH($A10,[0]!PRODUTOS,0),1)+INDEX('[2]Resumo Produção'!N$3:N$55,MATCH($A10,[3]!PRODUTOS,0),1)</f>
        <v>0</v>
      </c>
      <c r="M10" s="27">
        <f>INDEX('Resumo Produção'!O$3:O$53,MATCH($A10,[0]!PRODUTOS,0),1)+INDEX('[2]Resumo Produção'!O$3:O$55,MATCH($A10,[3]!PRODUTOS,0),1)</f>
        <v>0</v>
      </c>
      <c r="N10" s="27">
        <f>INDEX('Resumo Produção'!P$3:P$53,MATCH($A10,[0]!PRODUTOS,0),1)+INDEX('[2]Resumo Produção'!P$3:P$55,MATCH($A10,[3]!PRODUTOS,0),1)</f>
        <v>0</v>
      </c>
      <c r="O10" s="27">
        <f>INDEX('Resumo Produção'!Q$3:Q$53,MATCH($A10,[0]!PRODUTOS,0),1)+INDEX('[2]Resumo Produção'!Q$3:Q$55,MATCH($A10,[3]!PRODUTOS,0),1)</f>
        <v>0</v>
      </c>
      <c r="P10" s="27">
        <f t="shared" si="17"/>
        <v>0</v>
      </c>
      <c r="Q10" s="27">
        <f t="shared" si="2"/>
        <v>0</v>
      </c>
      <c r="R10" s="27">
        <f t="shared" si="3"/>
        <v>0</v>
      </c>
      <c r="S10" s="166">
        <f t="shared" si="4"/>
        <v>0</v>
      </c>
      <c r="T10" s="183">
        <f>INDEX('Resumo Produção'!U$3:U$53,MATCH($A10,[0]!PRODUTOS,0),1)+INDEX('[2]Resumo Produção'!U$3:U$53,MATCH($A10,[3]!PRODUTOS,0),1)</f>
        <v>0</v>
      </c>
      <c r="U10" s="184">
        <f>INDEX('Resumo Produção'!V$3:V$53,MATCH($A10,[0]!PRODUTOS,0),1)+INDEX('[2]Resumo Produção'!V$3:V$53,MATCH($A10,[3]!PRODUTOS,0),1)</f>
        <v>0</v>
      </c>
      <c r="V10" s="184">
        <f>INDEX('Resumo Produção'!W$3:W$53,MATCH($A10,[0]!PRODUTOS,0),1)+INDEX('[2]Resumo Produção'!W$3:W$53,MATCH($A10,[3]!PRODUTOS,0),1)</f>
        <v>0</v>
      </c>
      <c r="W10" s="184">
        <f>INDEX('Resumo Produção'!X$3:X$53,MATCH($A10,[0]!PRODUTOS,0),1)+INDEX('[2]Resumo Produção'!X$3:X$53,MATCH($A10,[3]!PRODUTOS,0),1)</f>
        <v>0</v>
      </c>
      <c r="X10" s="184">
        <f>INDEX('Resumo Produção'!Y$3:Y$53,MATCH($A10,[0]!PRODUTOS,0),1)+INDEX('[2]Resumo Produção'!Y$3:Y$53,MATCH($A10,[3]!PRODUTOS,0),1)</f>
        <v>0</v>
      </c>
      <c r="Y10" s="184">
        <f>INDEX('Resumo Produção'!Z$3:Z$53,MATCH($A10,[0]!PRODUTOS,0),1)+INDEX('[2]Resumo Produção'!Z$3:Z$53,MATCH($A10,[3]!PRODUTOS,0),1)</f>
        <v>0</v>
      </c>
      <c r="Z10" s="184">
        <f t="shared" si="5"/>
        <v>0</v>
      </c>
      <c r="AA10" s="184">
        <f t="shared" si="6"/>
        <v>0</v>
      </c>
      <c r="AB10" s="185">
        <f t="shared" si="7"/>
        <v>0</v>
      </c>
      <c r="AC10" s="28">
        <f>K10+B10+T10</f>
        <v>92880</v>
      </c>
      <c r="AD10" s="29">
        <f t="shared" si="8"/>
        <v>124</v>
      </c>
      <c r="AE10" s="76">
        <f t="shared" si="9"/>
        <v>124</v>
      </c>
      <c r="AF10" s="30">
        <f t="shared" si="10"/>
        <v>0</v>
      </c>
    </row>
    <row r="11" spans="1:32">
      <c r="A11" s="11" t="s">
        <v>96</v>
      </c>
      <c r="B11" s="23">
        <f>INDEX('Resumo Produção'!E$3:E$53,MATCH($A11,[0]!PRODUTOS,0),1)+INDEX('[2]Resumo Produção'!E$3:E$53,MATCH($A11,[3]!PRODUTOS,0),1)</f>
        <v>0</v>
      </c>
      <c r="C11" s="23">
        <f>INDEX('Resumo Produção'!F$3:F$53,MATCH($A11,[0]!PRODUTOS,0),1)+INDEX('[2]Resumo Produção'!F$3:F$53,MATCH($A11,[3]!PRODUTOS,0),1)</f>
        <v>0</v>
      </c>
      <c r="D11" s="23">
        <f>INDEX('Resumo Produção'!G$3:G$53,MATCH($A11,[0]!PRODUTOS,0),1)+INDEX('[2]Resumo Produção'!G$3:G$53,MATCH($A11,[3]!PRODUTOS,0),1)</f>
        <v>0</v>
      </c>
      <c r="E11" s="23">
        <f>INDEX('Resumo Produção'!H$3:H$53,MATCH($A11,[0]!PRODUTOS,0),1)+INDEX('[2]Resumo Produção'!H$3:H$53,MATCH($A11,[3]!PRODUTOS,0),1)</f>
        <v>0</v>
      </c>
      <c r="F11" s="23">
        <f>INDEX('Resumo Produção'!I$3:I$53,MATCH($A11,[0]!PRODUTOS,0),1)+INDEX('[2]Resumo Produção'!I$3:I$53,MATCH($A11,[3]!PRODUTOS,0),1)</f>
        <v>0</v>
      </c>
      <c r="G11" s="23">
        <f t="shared" ref="G11" si="20">SUM(C11:F11)</f>
        <v>0</v>
      </c>
      <c r="H11" s="23">
        <f t="shared" ref="H11" si="21">IF(ISERR(G11/B11),0,G11/B11*1000000)</f>
        <v>0</v>
      </c>
      <c r="I11" s="24">
        <f t="shared" si="0"/>
        <v>0</v>
      </c>
      <c r="J11" s="25">
        <f t="shared" si="1"/>
        <v>0</v>
      </c>
      <c r="K11" s="26">
        <f>INDEX('Resumo Produção'!M$3:M$53,MATCH($A11,[0]!PRODUTOS,0),1)+INDEX('[2]Resumo Produção'!M$3:M$55,MATCH($A11,[3]!PRODUTOS,0),1)</f>
        <v>0</v>
      </c>
      <c r="L11" s="27">
        <f>INDEX('Resumo Produção'!N$3:N$53,MATCH($A11,[0]!PRODUTOS,0),1)+INDEX('[2]Resumo Produção'!N$3:N$55,MATCH($A11,[3]!PRODUTOS,0),1)</f>
        <v>0</v>
      </c>
      <c r="M11" s="27">
        <f>INDEX('Resumo Produção'!O$3:O$53,MATCH($A11,[0]!PRODUTOS,0),1)+INDEX('[2]Resumo Produção'!O$3:O$55,MATCH($A11,[3]!PRODUTOS,0),1)</f>
        <v>0</v>
      </c>
      <c r="N11" s="27">
        <f>INDEX('Resumo Produção'!P$3:P$53,MATCH($A11,[0]!PRODUTOS,0),1)+INDEX('[2]Resumo Produção'!P$3:P$55,MATCH($A11,[3]!PRODUTOS,0),1)</f>
        <v>0</v>
      </c>
      <c r="O11" s="27">
        <f>INDEX('Resumo Produção'!Q$3:Q$53,MATCH($A11,[0]!PRODUTOS,0),1)+INDEX('[2]Resumo Produção'!Q$3:Q$55,MATCH($A11,[3]!PRODUTOS,0),1)</f>
        <v>0</v>
      </c>
      <c r="P11" s="27">
        <f t="shared" ref="P11" si="22">SUM(L11:O11)</f>
        <v>0</v>
      </c>
      <c r="Q11" s="27">
        <f t="shared" ref="Q11" si="23">(IF(ISERR(P11/K11),,P11/K11*100))*10000</f>
        <v>0</v>
      </c>
      <c r="R11" s="27">
        <f t="shared" si="3"/>
        <v>0</v>
      </c>
      <c r="S11" s="166">
        <f t="shared" si="4"/>
        <v>0</v>
      </c>
      <c r="T11" s="183">
        <f>INDEX('Resumo Produção'!U$3:U$53,MATCH($A11,[0]!PRODUTOS,0),1)+INDEX('[2]Resumo Produção'!U$3:U$53,MATCH($A11,[3]!PRODUTOS,0),1)</f>
        <v>0</v>
      </c>
      <c r="U11" s="184">
        <f>INDEX('Resumo Produção'!V$3:V$53,MATCH($A11,[0]!PRODUTOS,0),1)+INDEX('[2]Resumo Produção'!V$3:V$53,MATCH($A11,[3]!PRODUTOS,0),1)</f>
        <v>0</v>
      </c>
      <c r="V11" s="184">
        <f>INDEX('Resumo Produção'!W$3:W$53,MATCH($A11,[0]!PRODUTOS,0),1)+INDEX('[2]Resumo Produção'!W$3:W$53,MATCH($A11,[3]!PRODUTOS,0),1)</f>
        <v>0</v>
      </c>
      <c r="W11" s="184">
        <f>INDEX('Resumo Produção'!X$3:X$53,MATCH($A11,[0]!PRODUTOS,0),1)+INDEX('[2]Resumo Produção'!X$3:X$53,MATCH($A11,[3]!PRODUTOS,0),1)</f>
        <v>0</v>
      </c>
      <c r="X11" s="184">
        <f>INDEX('Resumo Produção'!Y$3:Y$53,MATCH($A11,[0]!PRODUTOS,0),1)+INDEX('[2]Resumo Produção'!Y$3:Y$53,MATCH($A11,[3]!PRODUTOS,0),1)</f>
        <v>0</v>
      </c>
      <c r="Y11" s="184">
        <f>INDEX('Resumo Produção'!Z$3:Z$53,MATCH($A11,[0]!PRODUTOS,0),1)+INDEX('[2]Resumo Produção'!Z$3:Z$53,MATCH($A11,[3]!PRODUTOS,0),1)</f>
        <v>0</v>
      </c>
      <c r="Z11" s="184">
        <f t="shared" si="5"/>
        <v>0</v>
      </c>
      <c r="AA11" s="184">
        <f t="shared" si="6"/>
        <v>0</v>
      </c>
      <c r="AB11" s="185">
        <f t="shared" si="7"/>
        <v>0</v>
      </c>
      <c r="AC11" s="28">
        <f>K11+B11+T11</f>
        <v>0</v>
      </c>
      <c r="AD11" s="29">
        <f t="shared" si="8"/>
        <v>0</v>
      </c>
      <c r="AE11" s="76">
        <f t="shared" si="9"/>
        <v>0</v>
      </c>
      <c r="AF11" s="30">
        <f t="shared" si="10"/>
        <v>0</v>
      </c>
    </row>
    <row r="12" spans="1:32">
      <c r="A12" s="11" t="s">
        <v>76</v>
      </c>
      <c r="B12" s="23">
        <f>INDEX('Resumo Produção'!E$3:E$53,MATCH($A12,[0]!PRODUTOS,0),1)+INDEX('[2]Resumo Produção'!E$3:E$53,MATCH($A12,[3]!PRODUTOS,0),1)</f>
        <v>66684</v>
      </c>
      <c r="C12" s="23">
        <f>INDEX('Resumo Produção'!F$3:F$53,MATCH($A12,[0]!PRODUTOS,0),1)+INDEX('[2]Resumo Produção'!F$3:F$53,MATCH($A12,[3]!PRODUTOS,0),1)</f>
        <v>0</v>
      </c>
      <c r="D12" s="23">
        <f>INDEX('Resumo Produção'!G$3:G$53,MATCH($A12,[0]!PRODUTOS,0),1)+INDEX('[2]Resumo Produção'!G$3:G$53,MATCH($A12,[3]!PRODUTOS,0),1)</f>
        <v>0</v>
      </c>
      <c r="E12" s="23">
        <f>INDEX('Resumo Produção'!H$3:H$53,MATCH($A12,[0]!PRODUTOS,0),1)+INDEX('[2]Resumo Produção'!H$3:H$53,MATCH($A12,[3]!PRODUTOS,0),1)</f>
        <v>172</v>
      </c>
      <c r="F12" s="23">
        <f>INDEX('Resumo Produção'!I$3:I$53,MATCH($A12,[0]!PRODUTOS,0),1)+INDEX('[2]Resumo Produção'!I$3:I$53,MATCH($A12,[3]!PRODUTOS,0),1)</f>
        <v>0</v>
      </c>
      <c r="G12" s="23">
        <f t="shared" si="15"/>
        <v>172</v>
      </c>
      <c r="H12" s="23">
        <f t="shared" si="16"/>
        <v>2579.3293743626659</v>
      </c>
      <c r="I12" s="24">
        <f t="shared" si="0"/>
        <v>172</v>
      </c>
      <c r="J12" s="25">
        <f t="shared" si="1"/>
        <v>172</v>
      </c>
      <c r="K12" s="26">
        <f>INDEX('Resumo Produção'!M$3:M$53,MATCH($A12,[0]!PRODUTOS,0),1)+INDEX('[2]Resumo Produção'!M$3:M$55,MATCH($A12,[3]!PRODUTOS,0),1)</f>
        <v>0</v>
      </c>
      <c r="L12" s="27">
        <f>INDEX('Resumo Produção'!N$3:N$53,MATCH($A12,[0]!PRODUTOS,0),1)+INDEX('[2]Resumo Produção'!N$3:N$55,MATCH($A12,[3]!PRODUTOS,0),1)</f>
        <v>0</v>
      </c>
      <c r="M12" s="27">
        <f>INDEX('Resumo Produção'!O$3:O$53,MATCH($A12,[0]!PRODUTOS,0),1)+INDEX('[2]Resumo Produção'!O$3:O$55,MATCH($A12,[3]!PRODUTOS,0),1)</f>
        <v>0</v>
      </c>
      <c r="N12" s="27">
        <f>INDEX('Resumo Produção'!P$3:P$53,MATCH($A12,[0]!PRODUTOS,0),1)+INDEX('[2]Resumo Produção'!P$3:P$55,MATCH($A12,[3]!PRODUTOS,0),1)</f>
        <v>0</v>
      </c>
      <c r="O12" s="27">
        <f>INDEX('Resumo Produção'!Q$3:Q$53,MATCH($A12,[0]!PRODUTOS,0),1)+INDEX('[2]Resumo Produção'!Q$3:Q$55,MATCH($A12,[3]!PRODUTOS,0),1)</f>
        <v>0</v>
      </c>
      <c r="P12" s="27">
        <f t="shared" si="17"/>
        <v>0</v>
      </c>
      <c r="Q12" s="27">
        <f t="shared" si="2"/>
        <v>0</v>
      </c>
      <c r="R12" s="27">
        <f t="shared" si="3"/>
        <v>0</v>
      </c>
      <c r="S12" s="166">
        <f t="shared" si="4"/>
        <v>0</v>
      </c>
      <c r="T12" s="183">
        <f>INDEX('Resumo Produção'!U$3:U$53,MATCH($A12,[0]!PRODUTOS,0),1)+INDEX('[2]Resumo Produção'!U$3:U$53,MATCH($A12,[3]!PRODUTOS,0),1)</f>
        <v>0</v>
      </c>
      <c r="U12" s="184">
        <f>INDEX('Resumo Produção'!V$3:V$53,MATCH($A12,[0]!PRODUTOS,0),1)+INDEX('[2]Resumo Produção'!V$3:V$53,MATCH($A12,[3]!PRODUTOS,0),1)</f>
        <v>0</v>
      </c>
      <c r="V12" s="184">
        <f>INDEX('Resumo Produção'!W$3:W$53,MATCH($A12,[0]!PRODUTOS,0),1)+INDEX('[2]Resumo Produção'!W$3:W$53,MATCH($A12,[3]!PRODUTOS,0),1)</f>
        <v>0</v>
      </c>
      <c r="W12" s="184">
        <f>INDEX('Resumo Produção'!X$3:X$53,MATCH($A12,[0]!PRODUTOS,0),1)+INDEX('[2]Resumo Produção'!X$3:X$53,MATCH($A12,[3]!PRODUTOS,0),1)</f>
        <v>0</v>
      </c>
      <c r="X12" s="184">
        <f>INDEX('Resumo Produção'!Y$3:Y$53,MATCH($A12,[0]!PRODUTOS,0),1)+INDEX('[2]Resumo Produção'!Y$3:Y$53,MATCH($A12,[3]!PRODUTOS,0),1)</f>
        <v>0</v>
      </c>
      <c r="Y12" s="184">
        <f>INDEX('Resumo Produção'!Z$3:Z$53,MATCH($A12,[0]!PRODUTOS,0),1)+INDEX('[2]Resumo Produção'!Z$3:Z$53,MATCH($A12,[3]!PRODUTOS,0),1)</f>
        <v>0</v>
      </c>
      <c r="Z12" s="184">
        <f t="shared" si="5"/>
        <v>0</v>
      </c>
      <c r="AA12" s="184">
        <f t="shared" si="6"/>
        <v>0</v>
      </c>
      <c r="AB12" s="185">
        <f t="shared" si="7"/>
        <v>0</v>
      </c>
      <c r="AC12" s="28">
        <f>K12+B12+T12</f>
        <v>66684</v>
      </c>
      <c r="AD12" s="29">
        <f t="shared" si="8"/>
        <v>172</v>
      </c>
      <c r="AE12" s="76">
        <f t="shared" si="9"/>
        <v>172</v>
      </c>
      <c r="AF12" s="30">
        <f t="shared" si="10"/>
        <v>0</v>
      </c>
    </row>
    <row r="13" spans="1:32" s="1" customFormat="1">
      <c r="A13" s="32" t="s">
        <v>18</v>
      </c>
      <c r="B13" s="33">
        <f>SUBTOTAL(9,B9:B12)</f>
        <v>159564</v>
      </c>
      <c r="C13" s="33">
        <f t="shared" ref="C13:AF13" si="24">SUBTOTAL(9,C9:C12)</f>
        <v>0</v>
      </c>
      <c r="D13" s="33">
        <f t="shared" si="24"/>
        <v>0</v>
      </c>
      <c r="E13" s="33">
        <f t="shared" si="24"/>
        <v>296</v>
      </c>
      <c r="F13" s="33">
        <f t="shared" si="24"/>
        <v>0</v>
      </c>
      <c r="G13" s="33">
        <f t="shared" si="24"/>
        <v>296</v>
      </c>
      <c r="H13" s="33">
        <f t="shared" si="24"/>
        <v>3914.3853605814429</v>
      </c>
      <c r="I13" s="33">
        <f t="shared" si="0"/>
        <v>296</v>
      </c>
      <c r="J13" s="34">
        <f t="shared" si="1"/>
        <v>296</v>
      </c>
      <c r="K13" s="35">
        <f t="shared" si="24"/>
        <v>0</v>
      </c>
      <c r="L13" s="33">
        <f t="shared" si="24"/>
        <v>0</v>
      </c>
      <c r="M13" s="33">
        <f t="shared" si="24"/>
        <v>0</v>
      </c>
      <c r="N13" s="33">
        <f t="shared" si="24"/>
        <v>0</v>
      </c>
      <c r="O13" s="33">
        <f t="shared" si="24"/>
        <v>0</v>
      </c>
      <c r="P13" s="33">
        <f t="shared" si="24"/>
        <v>0</v>
      </c>
      <c r="Q13" s="33">
        <f t="shared" si="24"/>
        <v>0</v>
      </c>
      <c r="R13" s="33">
        <f t="shared" si="3"/>
        <v>0</v>
      </c>
      <c r="S13" s="34">
        <f t="shared" si="4"/>
        <v>0</v>
      </c>
      <c r="T13" s="200">
        <f t="shared" si="24"/>
        <v>0</v>
      </c>
      <c r="U13" s="201">
        <f t="shared" si="24"/>
        <v>0</v>
      </c>
      <c r="V13" s="201">
        <f t="shared" si="24"/>
        <v>0</v>
      </c>
      <c r="W13" s="201">
        <f t="shared" si="24"/>
        <v>0</v>
      </c>
      <c r="X13" s="201">
        <f t="shared" si="24"/>
        <v>0</v>
      </c>
      <c r="Y13" s="201">
        <f t="shared" si="24"/>
        <v>0</v>
      </c>
      <c r="Z13" s="201">
        <f t="shared" si="24"/>
        <v>0</v>
      </c>
      <c r="AA13" s="201">
        <f t="shared" si="6"/>
        <v>0</v>
      </c>
      <c r="AB13" s="202">
        <f t="shared" si="7"/>
        <v>0</v>
      </c>
      <c r="AC13" s="35">
        <f t="shared" si="24"/>
        <v>159564</v>
      </c>
      <c r="AD13" s="33">
        <f t="shared" si="24"/>
        <v>296</v>
      </c>
      <c r="AE13" s="71">
        <f t="shared" si="24"/>
        <v>296</v>
      </c>
      <c r="AF13" s="34">
        <f t="shared" si="24"/>
        <v>0</v>
      </c>
    </row>
    <row r="14" spans="1:32">
      <c r="A14" s="11" t="s">
        <v>35</v>
      </c>
      <c r="B14" s="23">
        <f>INDEX('Resumo Produção'!E$3:E$53,MATCH($A14,[0]!PRODUTOS,0),1)+INDEX('[2]Resumo Produção'!E$3:E$53,MATCH($A14,[3]!PRODUTOS,0),1)</f>
        <v>0</v>
      </c>
      <c r="C14" s="23">
        <f>INDEX('Resumo Produção'!F$3:F$53,MATCH($A14,[0]!PRODUTOS,0),1)+INDEX('[2]Resumo Produção'!F$3:F$53,MATCH($A14,[3]!PRODUTOS,0),1)</f>
        <v>0</v>
      </c>
      <c r="D14" s="23">
        <f>INDEX('Resumo Produção'!G$3:G$53,MATCH($A14,[0]!PRODUTOS,0),1)+INDEX('[2]Resumo Produção'!G$3:G$53,MATCH($A14,[3]!PRODUTOS,0),1)</f>
        <v>0</v>
      </c>
      <c r="E14" s="23">
        <f>INDEX('Resumo Produção'!H$3:H$53,MATCH($A14,[0]!PRODUTOS,0),1)+INDEX('[2]Resumo Produção'!H$3:H$53,MATCH($A14,[3]!PRODUTOS,0),1)</f>
        <v>0</v>
      </c>
      <c r="F14" s="23">
        <f>INDEX('Resumo Produção'!I$3:I$53,MATCH($A14,[0]!PRODUTOS,0),1)+INDEX('[2]Resumo Produção'!I$3:I$53,MATCH($A14,[3]!PRODUTOS,0),1)</f>
        <v>0</v>
      </c>
      <c r="G14" s="23">
        <f t="shared" si="15"/>
        <v>0</v>
      </c>
      <c r="H14" s="23">
        <f t="shared" si="16"/>
        <v>0</v>
      </c>
      <c r="I14" s="24">
        <f t="shared" si="0"/>
        <v>0</v>
      </c>
      <c r="J14" s="25">
        <f t="shared" si="1"/>
        <v>0</v>
      </c>
      <c r="K14" s="26">
        <f>INDEX('Resumo Produção'!M$3:M$53,MATCH($A14,[0]!PRODUTOS,0),1)+INDEX('[2]Resumo Produção'!M$3:M$55,MATCH($A14,[3]!PRODUTOS,0),1)</f>
        <v>37728</v>
      </c>
      <c r="L14" s="27">
        <f>INDEX('Resumo Produção'!N$3:N$53,MATCH($A14,[0]!PRODUTOS,0),1)+INDEX('[2]Resumo Produção'!N$3:N$55,MATCH($A14,[3]!PRODUTOS,0),1)</f>
        <v>0</v>
      </c>
      <c r="M14" s="27">
        <f>INDEX('Resumo Produção'!O$3:O$53,MATCH($A14,[0]!PRODUTOS,0),1)+INDEX('[2]Resumo Produção'!O$3:O$55,MATCH($A14,[3]!PRODUTOS,0),1)</f>
        <v>0</v>
      </c>
      <c r="N14" s="27">
        <f>INDEX('Resumo Produção'!P$3:P$53,MATCH($A14,[0]!PRODUTOS,0),1)+INDEX('[2]Resumo Produção'!P$3:P$55,MATCH($A14,[3]!PRODUTOS,0),1)</f>
        <v>12</v>
      </c>
      <c r="O14" s="27">
        <f>INDEX('Resumo Produção'!Q$3:Q$53,MATCH($A14,[0]!PRODUTOS,0),1)+INDEX('[2]Resumo Produção'!Q$3:Q$55,MATCH($A14,[3]!PRODUTOS,0),1)</f>
        <v>0</v>
      </c>
      <c r="P14" s="27">
        <f t="shared" si="17"/>
        <v>12</v>
      </c>
      <c r="Q14" s="27">
        <f t="shared" si="2"/>
        <v>318.06615776081424</v>
      </c>
      <c r="R14" s="27">
        <f t="shared" si="3"/>
        <v>12</v>
      </c>
      <c r="S14" s="166">
        <f t="shared" si="4"/>
        <v>12</v>
      </c>
      <c r="T14" s="183">
        <f>INDEX('Resumo Produção'!U$3:U$53,MATCH($A14,[0]!PRODUTOS,0),1)+INDEX('[2]Resumo Produção'!U$3:U$53,MATCH($A14,[3]!PRODUTOS,0),1)</f>
        <v>98592</v>
      </c>
      <c r="U14" s="184">
        <f>INDEX('Resumo Produção'!V$3:V$53,MATCH($A14,[0]!PRODUTOS,0),1)+INDEX('[2]Resumo Produção'!V$3:V$53,MATCH($A14,[3]!PRODUTOS,0),1)</f>
        <v>0</v>
      </c>
      <c r="V14" s="184">
        <f>INDEX('Resumo Produção'!W$3:W$53,MATCH($A14,[0]!PRODUTOS,0),1)+INDEX('[2]Resumo Produção'!W$3:W$53,MATCH($A14,[3]!PRODUTOS,0),1)</f>
        <v>0</v>
      </c>
      <c r="W14" s="184">
        <f>INDEX('Resumo Produção'!X$3:X$53,MATCH($A14,[0]!PRODUTOS,0),1)+INDEX('[2]Resumo Produção'!X$3:X$53,MATCH($A14,[3]!PRODUTOS,0),1)</f>
        <v>62</v>
      </c>
      <c r="X14" s="184">
        <f>INDEX('Resumo Produção'!Y$3:Y$53,MATCH($A14,[0]!PRODUTOS,0),1)+INDEX('[2]Resumo Produção'!Y$3:Y$53,MATCH($A14,[3]!PRODUTOS,0),1)</f>
        <v>0</v>
      </c>
      <c r="Y14" s="184">
        <f>INDEX('Resumo Produção'!Z$3:Z$53,MATCH($A14,[0]!PRODUTOS,0),1)+INDEX('[2]Resumo Produção'!Z$3:Z$53,MATCH($A14,[3]!PRODUTOS,0),1)</f>
        <v>62</v>
      </c>
      <c r="Z14" s="184">
        <f t="shared" si="5"/>
        <v>628.8542680947744</v>
      </c>
      <c r="AA14" s="184">
        <f t="shared" si="6"/>
        <v>62</v>
      </c>
      <c r="AB14" s="185">
        <f t="shared" si="7"/>
        <v>62</v>
      </c>
      <c r="AC14" s="28">
        <f t="shared" ref="AC14:AC22" si="25">K14+B14+T14</f>
        <v>136320</v>
      </c>
      <c r="AD14" s="29">
        <f t="shared" si="8"/>
        <v>74</v>
      </c>
      <c r="AE14" s="76">
        <f t="shared" si="9"/>
        <v>74</v>
      </c>
      <c r="AF14" s="30">
        <f t="shared" si="10"/>
        <v>0</v>
      </c>
    </row>
    <row r="15" spans="1:32">
      <c r="A15" s="11" t="s">
        <v>36</v>
      </c>
      <c r="B15" s="23">
        <f>INDEX('Resumo Produção'!E$3:E$53,MATCH($A15,[0]!PRODUTOS,0),1)+INDEX('[2]Resumo Produção'!E$3:E$53,MATCH($A15,[3]!PRODUTOS,0),1)</f>
        <v>29136</v>
      </c>
      <c r="C15" s="23">
        <f>INDEX('Resumo Produção'!F$3:F$53,MATCH($A15,[0]!PRODUTOS,0),1)+INDEX('[2]Resumo Produção'!F$3:F$53,MATCH($A15,[3]!PRODUTOS,0),1)</f>
        <v>0</v>
      </c>
      <c r="D15" s="23">
        <f>INDEX('Resumo Produção'!G$3:G$53,MATCH($A15,[0]!PRODUTOS,0),1)+INDEX('[2]Resumo Produção'!G$3:G$53,MATCH($A15,[3]!PRODUTOS,0),1)</f>
        <v>0</v>
      </c>
      <c r="E15" s="23">
        <f>INDEX('Resumo Produção'!H$3:H$53,MATCH($A15,[0]!PRODUTOS,0),1)+INDEX('[2]Resumo Produção'!H$3:H$53,MATCH($A15,[3]!PRODUTOS,0),1)</f>
        <v>37</v>
      </c>
      <c r="F15" s="23">
        <f>INDEX('Resumo Produção'!I$3:I$53,MATCH($A15,[0]!PRODUTOS,0),1)+INDEX('[2]Resumo Produção'!I$3:I$53,MATCH($A15,[3]!PRODUTOS,0),1)</f>
        <v>0</v>
      </c>
      <c r="G15" s="23">
        <f t="shared" si="15"/>
        <v>37</v>
      </c>
      <c r="H15" s="23">
        <f t="shared" si="16"/>
        <v>1269.906644700714</v>
      </c>
      <c r="I15" s="24">
        <f t="shared" si="0"/>
        <v>37</v>
      </c>
      <c r="J15" s="25">
        <f t="shared" si="1"/>
        <v>37</v>
      </c>
      <c r="K15" s="26">
        <f>INDEX('Resumo Produção'!M$3:M$53,MATCH($A15,[0]!PRODUTOS,0),1)+INDEX('[2]Resumo Produção'!M$3:M$55,MATCH($A15,[3]!PRODUTOS,0),1)</f>
        <v>0</v>
      </c>
      <c r="L15" s="27">
        <f>INDEX('Resumo Produção'!N$3:N$53,MATCH($A15,[0]!PRODUTOS,0),1)+INDEX('[2]Resumo Produção'!N$3:N$55,MATCH($A15,[3]!PRODUTOS,0),1)</f>
        <v>0</v>
      </c>
      <c r="M15" s="27">
        <f>INDEX('Resumo Produção'!O$3:O$53,MATCH($A15,[0]!PRODUTOS,0),1)+INDEX('[2]Resumo Produção'!O$3:O$55,MATCH($A15,[3]!PRODUTOS,0),1)</f>
        <v>0</v>
      </c>
      <c r="N15" s="27">
        <f>INDEX('Resumo Produção'!P$3:P$53,MATCH($A15,[0]!PRODUTOS,0),1)+INDEX('[2]Resumo Produção'!P$3:P$55,MATCH($A15,[3]!PRODUTOS,0),1)</f>
        <v>0</v>
      </c>
      <c r="O15" s="27">
        <f>INDEX('Resumo Produção'!Q$3:Q$53,MATCH($A15,[0]!PRODUTOS,0),1)+INDEX('[2]Resumo Produção'!Q$3:Q$55,MATCH($A15,[3]!PRODUTOS,0),1)</f>
        <v>0</v>
      </c>
      <c r="P15" s="27">
        <f t="shared" si="17"/>
        <v>0</v>
      </c>
      <c r="Q15" s="27">
        <f t="shared" si="2"/>
        <v>0</v>
      </c>
      <c r="R15" s="27">
        <f t="shared" si="3"/>
        <v>0</v>
      </c>
      <c r="S15" s="166">
        <f t="shared" si="4"/>
        <v>0</v>
      </c>
      <c r="T15" s="183">
        <f>INDEX('Resumo Produção'!U$3:U$53,MATCH($A15,[0]!PRODUTOS,0),1)+INDEX('[2]Resumo Produção'!U$3:U$53,MATCH($A15,[3]!PRODUTOS,0),1)</f>
        <v>0</v>
      </c>
      <c r="U15" s="184">
        <f>INDEX('Resumo Produção'!V$3:V$53,MATCH($A15,[0]!PRODUTOS,0),1)+INDEX('[2]Resumo Produção'!V$3:V$53,MATCH($A15,[3]!PRODUTOS,0),1)</f>
        <v>0</v>
      </c>
      <c r="V15" s="184">
        <f>INDEX('Resumo Produção'!W$3:W$53,MATCH($A15,[0]!PRODUTOS,0),1)+INDEX('[2]Resumo Produção'!W$3:W$53,MATCH($A15,[3]!PRODUTOS,0),1)</f>
        <v>0</v>
      </c>
      <c r="W15" s="184">
        <f>INDEX('Resumo Produção'!X$3:X$53,MATCH($A15,[0]!PRODUTOS,0),1)+INDEX('[2]Resumo Produção'!X$3:X$53,MATCH($A15,[3]!PRODUTOS,0),1)</f>
        <v>0</v>
      </c>
      <c r="X15" s="184">
        <f>INDEX('Resumo Produção'!Y$3:Y$53,MATCH($A15,[0]!PRODUTOS,0),1)+INDEX('[2]Resumo Produção'!Y$3:Y$53,MATCH($A15,[3]!PRODUTOS,0),1)</f>
        <v>0</v>
      </c>
      <c r="Y15" s="184">
        <f>INDEX('Resumo Produção'!Z$3:Z$53,MATCH($A15,[0]!PRODUTOS,0),1)+INDEX('[2]Resumo Produção'!Z$3:Z$53,MATCH($A15,[3]!PRODUTOS,0),1)</f>
        <v>0</v>
      </c>
      <c r="Z15" s="184">
        <f t="shared" si="5"/>
        <v>0</v>
      </c>
      <c r="AA15" s="184">
        <f t="shared" si="6"/>
        <v>0</v>
      </c>
      <c r="AB15" s="185">
        <f t="shared" si="7"/>
        <v>0</v>
      </c>
      <c r="AC15" s="28">
        <f t="shared" si="25"/>
        <v>29136</v>
      </c>
      <c r="AD15" s="29">
        <f t="shared" si="8"/>
        <v>37</v>
      </c>
      <c r="AE15" s="76">
        <f t="shared" si="9"/>
        <v>37</v>
      </c>
      <c r="AF15" s="30">
        <f t="shared" si="10"/>
        <v>0</v>
      </c>
    </row>
    <row r="16" spans="1:32">
      <c r="A16" s="80" t="s">
        <v>39</v>
      </c>
      <c r="B16" s="23">
        <f>INDEX('Resumo Produção'!E$3:E$53,MATCH($A16,[0]!PRODUTOS,0),1)+INDEX('[2]Resumo Produção'!E$3:E$53,MATCH($A16,[3]!PRODUTOS,0),1)</f>
        <v>0</v>
      </c>
      <c r="C16" s="23">
        <f>INDEX('Resumo Produção'!F$3:F$53,MATCH($A16,[0]!PRODUTOS,0),1)+INDEX('[2]Resumo Produção'!F$3:F$53,MATCH($A16,[3]!PRODUTOS,0),1)</f>
        <v>0</v>
      </c>
      <c r="D16" s="23">
        <f>INDEX('Resumo Produção'!G$3:G$53,MATCH($A16,[0]!PRODUTOS,0),1)+INDEX('[2]Resumo Produção'!G$3:G$53,MATCH($A16,[3]!PRODUTOS,0),1)</f>
        <v>0</v>
      </c>
      <c r="E16" s="23">
        <f>INDEX('Resumo Produção'!H$3:H$53,MATCH($A16,[0]!PRODUTOS,0),1)+INDEX('[2]Resumo Produção'!H$3:H$53,MATCH($A16,[3]!PRODUTOS,0),1)</f>
        <v>0</v>
      </c>
      <c r="F16" s="23">
        <f>INDEX('Resumo Produção'!I$3:I$53,MATCH($A16,[0]!PRODUTOS,0),1)+INDEX('[2]Resumo Produção'!I$3:I$53,MATCH($A16,[3]!PRODUTOS,0),1)</f>
        <v>0</v>
      </c>
      <c r="G16" s="23">
        <f t="shared" si="15"/>
        <v>0</v>
      </c>
      <c r="H16" s="23">
        <f t="shared" si="16"/>
        <v>0</v>
      </c>
      <c r="I16" s="24">
        <f t="shared" si="0"/>
        <v>0</v>
      </c>
      <c r="J16" s="25">
        <f t="shared" si="1"/>
        <v>0</v>
      </c>
      <c r="K16" s="26">
        <f>INDEX('Resumo Produção'!M$3:M$53,MATCH($A16,[0]!PRODUTOS,0),1)+INDEX('[2]Resumo Produção'!M$3:M$55,MATCH($A16,[3]!PRODUTOS,0),1)</f>
        <v>13896</v>
      </c>
      <c r="L16" s="27">
        <f>INDEX('Resumo Produção'!N$3:N$53,MATCH($A16,[0]!PRODUTOS,0),1)+INDEX('[2]Resumo Produção'!N$3:N$55,MATCH($A16,[3]!PRODUTOS,0),1)</f>
        <v>0</v>
      </c>
      <c r="M16" s="27">
        <f>INDEX('Resumo Produção'!O$3:O$53,MATCH($A16,[0]!PRODUTOS,0),1)+INDEX('[2]Resumo Produção'!O$3:O$55,MATCH($A16,[3]!PRODUTOS,0),1)</f>
        <v>0</v>
      </c>
      <c r="N16" s="27">
        <f>INDEX('Resumo Produção'!P$3:P$53,MATCH($A16,[0]!PRODUTOS,0),1)+INDEX('[2]Resumo Produção'!P$3:P$55,MATCH($A16,[3]!PRODUTOS,0),1)</f>
        <v>23</v>
      </c>
      <c r="O16" s="27">
        <f>INDEX('Resumo Produção'!Q$3:Q$53,MATCH($A16,[0]!PRODUTOS,0),1)+INDEX('[2]Resumo Produção'!Q$3:Q$55,MATCH($A16,[3]!PRODUTOS,0),1)</f>
        <v>0</v>
      </c>
      <c r="P16" s="27">
        <f t="shared" si="17"/>
        <v>23</v>
      </c>
      <c r="Q16" s="27">
        <f t="shared" si="2"/>
        <v>1655.1525618883131</v>
      </c>
      <c r="R16" s="27">
        <f t="shared" si="3"/>
        <v>23</v>
      </c>
      <c r="S16" s="166">
        <f t="shared" si="4"/>
        <v>23</v>
      </c>
      <c r="T16" s="183">
        <f>INDEX('Resumo Produção'!U$3:U$53,MATCH($A16,[0]!PRODUTOS,0),1)+INDEX('[2]Resumo Produção'!U$3:U$53,MATCH($A16,[3]!PRODUTOS,0),1)</f>
        <v>0</v>
      </c>
      <c r="U16" s="184">
        <f>INDEX('Resumo Produção'!V$3:V$53,MATCH($A16,[0]!PRODUTOS,0),1)+INDEX('[2]Resumo Produção'!V$3:V$53,MATCH($A16,[3]!PRODUTOS,0),1)</f>
        <v>0</v>
      </c>
      <c r="V16" s="184">
        <f>INDEX('Resumo Produção'!W$3:W$53,MATCH($A16,[0]!PRODUTOS,0),1)+INDEX('[2]Resumo Produção'!W$3:W$53,MATCH($A16,[3]!PRODUTOS,0),1)</f>
        <v>0</v>
      </c>
      <c r="W16" s="184">
        <f>INDEX('Resumo Produção'!X$3:X$53,MATCH($A16,[0]!PRODUTOS,0),1)+INDEX('[2]Resumo Produção'!X$3:X$53,MATCH($A16,[3]!PRODUTOS,0),1)</f>
        <v>0</v>
      </c>
      <c r="X16" s="184">
        <f>INDEX('Resumo Produção'!Y$3:Y$53,MATCH($A16,[0]!PRODUTOS,0),1)+INDEX('[2]Resumo Produção'!Y$3:Y$53,MATCH($A16,[3]!PRODUTOS,0),1)</f>
        <v>0</v>
      </c>
      <c r="Y16" s="184">
        <f>INDEX('Resumo Produção'!Z$3:Z$53,MATCH($A16,[0]!PRODUTOS,0),1)+INDEX('[2]Resumo Produção'!Z$3:Z$53,MATCH($A16,[3]!PRODUTOS,0),1)</f>
        <v>0</v>
      </c>
      <c r="Z16" s="184">
        <f t="shared" si="5"/>
        <v>0</v>
      </c>
      <c r="AA16" s="184">
        <f t="shared" si="6"/>
        <v>0</v>
      </c>
      <c r="AB16" s="185">
        <f t="shared" si="7"/>
        <v>0</v>
      </c>
      <c r="AC16" s="28">
        <f t="shared" si="25"/>
        <v>13896</v>
      </c>
      <c r="AD16" s="29">
        <f t="shared" si="8"/>
        <v>23</v>
      </c>
      <c r="AE16" s="76">
        <f t="shared" si="9"/>
        <v>23</v>
      </c>
      <c r="AF16" s="30">
        <f t="shared" si="10"/>
        <v>0</v>
      </c>
    </row>
    <row r="17" spans="1:32">
      <c r="A17" s="11" t="s">
        <v>44</v>
      </c>
      <c r="B17" s="23">
        <f>INDEX('Resumo Produção'!E$3:E$53,MATCH($A17,[0]!PRODUTOS,0),1)+INDEX('[2]Resumo Produção'!E$3:E$53,MATCH($A17,[3]!PRODUTOS,0),1)</f>
        <v>0</v>
      </c>
      <c r="C17" s="23">
        <f>INDEX('Resumo Produção'!F$3:F$53,MATCH($A17,[0]!PRODUTOS,0),1)+INDEX('[2]Resumo Produção'!F$3:F$53,MATCH($A17,[3]!PRODUTOS,0),1)</f>
        <v>0</v>
      </c>
      <c r="D17" s="23">
        <f>INDEX('Resumo Produção'!G$3:G$53,MATCH($A17,[0]!PRODUTOS,0),1)+INDEX('[2]Resumo Produção'!G$3:G$53,MATCH($A17,[3]!PRODUTOS,0),1)</f>
        <v>0</v>
      </c>
      <c r="E17" s="23">
        <f>INDEX('Resumo Produção'!H$3:H$53,MATCH($A17,[0]!PRODUTOS,0),1)+INDEX('[2]Resumo Produção'!H$3:H$53,MATCH($A17,[3]!PRODUTOS,0),1)</f>
        <v>0</v>
      </c>
      <c r="F17" s="23">
        <f>INDEX('Resumo Produção'!I$3:I$53,MATCH($A17,[0]!PRODUTOS,0),1)+INDEX('[2]Resumo Produção'!I$3:I$53,MATCH($A17,[3]!PRODUTOS,0),1)</f>
        <v>0</v>
      </c>
      <c r="G17" s="23">
        <f t="shared" si="15"/>
        <v>0</v>
      </c>
      <c r="H17" s="23">
        <f t="shared" si="16"/>
        <v>0</v>
      </c>
      <c r="I17" s="24">
        <f t="shared" si="0"/>
        <v>0</v>
      </c>
      <c r="J17" s="25">
        <f t="shared" si="1"/>
        <v>0</v>
      </c>
      <c r="K17" s="26">
        <f>INDEX('Resumo Produção'!M$3:M$53,MATCH($A17,[0]!PRODUTOS,0),1)+INDEX('[2]Resumo Produção'!M$3:M$55,MATCH($A17,[3]!PRODUTOS,0),1)</f>
        <v>11520</v>
      </c>
      <c r="L17" s="27">
        <f>INDEX('Resumo Produção'!N$3:N$53,MATCH($A17,[0]!PRODUTOS,0),1)+INDEX('[2]Resumo Produção'!N$3:N$55,MATCH($A17,[3]!PRODUTOS,0),1)</f>
        <v>0</v>
      </c>
      <c r="M17" s="27">
        <f>INDEX('Resumo Produção'!O$3:O$53,MATCH($A17,[0]!PRODUTOS,0),1)+INDEX('[2]Resumo Produção'!O$3:O$55,MATCH($A17,[3]!PRODUTOS,0),1)</f>
        <v>0</v>
      </c>
      <c r="N17" s="27">
        <f>INDEX('Resumo Produção'!P$3:P$53,MATCH($A17,[0]!PRODUTOS,0),1)+INDEX('[2]Resumo Produção'!P$3:P$55,MATCH($A17,[3]!PRODUTOS,0),1)</f>
        <v>8</v>
      </c>
      <c r="O17" s="27">
        <f>INDEX('Resumo Produção'!Q$3:Q$53,MATCH($A17,[0]!PRODUTOS,0),1)+INDEX('[2]Resumo Produção'!Q$3:Q$55,MATCH($A17,[3]!PRODUTOS,0),1)</f>
        <v>0</v>
      </c>
      <c r="P17" s="27">
        <f t="shared" si="17"/>
        <v>8</v>
      </c>
      <c r="Q17" s="27">
        <f t="shared" si="2"/>
        <v>694.44444444444446</v>
      </c>
      <c r="R17" s="27">
        <f t="shared" si="3"/>
        <v>8</v>
      </c>
      <c r="S17" s="166">
        <f t="shared" si="4"/>
        <v>8</v>
      </c>
      <c r="T17" s="183">
        <f>INDEX('Resumo Produção'!U$3:U$53,MATCH($A17,[0]!PRODUTOS,0),1)+INDEX('[2]Resumo Produção'!U$3:U$53,MATCH($A17,[3]!PRODUTOS,0),1)</f>
        <v>0</v>
      </c>
      <c r="U17" s="184">
        <f>INDEX('Resumo Produção'!V$3:V$53,MATCH($A17,[0]!PRODUTOS,0),1)+INDEX('[2]Resumo Produção'!V$3:V$53,MATCH($A17,[3]!PRODUTOS,0),1)</f>
        <v>0</v>
      </c>
      <c r="V17" s="184">
        <f>INDEX('Resumo Produção'!W$3:W$53,MATCH($A17,[0]!PRODUTOS,0),1)+INDEX('[2]Resumo Produção'!W$3:W$53,MATCH($A17,[3]!PRODUTOS,0),1)</f>
        <v>0</v>
      </c>
      <c r="W17" s="184">
        <f>INDEX('Resumo Produção'!X$3:X$53,MATCH($A17,[0]!PRODUTOS,0),1)+INDEX('[2]Resumo Produção'!X$3:X$53,MATCH($A17,[3]!PRODUTOS,0),1)</f>
        <v>0</v>
      </c>
      <c r="X17" s="184">
        <f>INDEX('Resumo Produção'!Y$3:Y$53,MATCH($A17,[0]!PRODUTOS,0),1)+INDEX('[2]Resumo Produção'!Y$3:Y$53,MATCH($A17,[3]!PRODUTOS,0),1)</f>
        <v>0</v>
      </c>
      <c r="Y17" s="184">
        <f>INDEX('Resumo Produção'!Z$3:Z$53,MATCH($A17,[0]!PRODUTOS,0),1)+INDEX('[2]Resumo Produção'!Z$3:Z$53,MATCH($A17,[3]!PRODUTOS,0),1)</f>
        <v>0</v>
      </c>
      <c r="Z17" s="184">
        <f t="shared" si="5"/>
        <v>0</v>
      </c>
      <c r="AA17" s="184">
        <f t="shared" si="6"/>
        <v>0</v>
      </c>
      <c r="AB17" s="185">
        <f t="shared" si="7"/>
        <v>0</v>
      </c>
      <c r="AC17" s="28">
        <f t="shared" si="25"/>
        <v>11520</v>
      </c>
      <c r="AD17" s="29">
        <f t="shared" si="8"/>
        <v>8</v>
      </c>
      <c r="AE17" s="76">
        <f t="shared" si="9"/>
        <v>8</v>
      </c>
      <c r="AF17" s="30">
        <f t="shared" si="10"/>
        <v>0</v>
      </c>
    </row>
    <row r="18" spans="1:32">
      <c r="A18" s="80" t="s">
        <v>102</v>
      </c>
      <c r="B18" s="23">
        <f>INDEX('Resumo Produção'!E$3:E$53,MATCH($A18,[0]!PRODUTOS,0),1)+INDEX('[2]Resumo Produção'!E$3:E$53,MATCH($A18,[3]!PRODUTOS,0),1)</f>
        <v>42576</v>
      </c>
      <c r="C18" s="23">
        <f>INDEX('Resumo Produção'!F$3:F$53,MATCH($A18,[0]!PRODUTOS,0),1)+INDEX('[2]Resumo Produção'!F$3:F$53,MATCH($A18,[3]!PRODUTOS,0),1)</f>
        <v>0</v>
      </c>
      <c r="D18" s="23">
        <f>INDEX('Resumo Produção'!G$3:G$53,MATCH($A18,[0]!PRODUTOS,0),1)+INDEX('[2]Resumo Produção'!G$3:G$53,MATCH($A18,[3]!PRODUTOS,0),1)</f>
        <v>0</v>
      </c>
      <c r="E18" s="23">
        <f>INDEX('Resumo Produção'!H$3:H$53,MATCH($A18,[0]!PRODUTOS,0),1)+INDEX('[2]Resumo Produção'!H$3:H$53,MATCH($A18,[3]!PRODUTOS,0),1)</f>
        <v>29</v>
      </c>
      <c r="F18" s="23">
        <f>INDEX('Resumo Produção'!I$3:I$53,MATCH($A18,[0]!PRODUTOS,0),1)+INDEX('[2]Resumo Produção'!I$3:I$53,MATCH($A18,[3]!PRODUTOS,0),1)</f>
        <v>0</v>
      </c>
      <c r="G18" s="23">
        <f t="shared" ref="G18" si="26">SUM(C18:F18)</f>
        <v>29</v>
      </c>
      <c r="H18" s="23">
        <f t="shared" ref="H18" si="27">IF(ISERR(G18/B18),0,G18/B18*1000000)</f>
        <v>681.1349116873356</v>
      </c>
      <c r="I18" s="24">
        <f t="shared" si="0"/>
        <v>29</v>
      </c>
      <c r="J18" s="25">
        <f t="shared" si="1"/>
        <v>29</v>
      </c>
      <c r="K18" s="26">
        <f>INDEX('Resumo Produção'!M$3:M$53,MATCH($A18,[0]!PRODUTOS,0),1)+INDEX('[2]Resumo Produção'!M$3:M$55,MATCH($A18,[3]!PRODUTOS,0),1)</f>
        <v>0</v>
      </c>
      <c r="L18" s="27">
        <f>INDEX('Resumo Produção'!N$3:N$53,MATCH($A18,[0]!PRODUTOS,0),1)+INDEX('[2]Resumo Produção'!N$3:N$55,MATCH($A18,[3]!PRODUTOS,0),1)</f>
        <v>0</v>
      </c>
      <c r="M18" s="27">
        <f>INDEX('Resumo Produção'!O$3:O$53,MATCH($A18,[0]!PRODUTOS,0),1)+INDEX('[2]Resumo Produção'!O$3:O$55,MATCH($A18,[3]!PRODUTOS,0),1)</f>
        <v>0</v>
      </c>
      <c r="N18" s="27">
        <f>INDEX('Resumo Produção'!P$3:P$53,MATCH($A18,[0]!PRODUTOS,0),1)+INDEX('[2]Resumo Produção'!P$3:P$55,MATCH($A18,[3]!PRODUTOS,0),1)</f>
        <v>0</v>
      </c>
      <c r="O18" s="27">
        <f>INDEX('Resumo Produção'!Q$3:Q$53,MATCH($A18,[0]!PRODUTOS,0),1)+INDEX('[2]Resumo Produção'!Q$3:Q$55,MATCH($A18,[3]!PRODUTOS,0),1)</f>
        <v>0</v>
      </c>
      <c r="P18" s="27">
        <f t="shared" ref="P18" si="28">SUM(L18:O18)</f>
        <v>0</v>
      </c>
      <c r="Q18" s="27">
        <f t="shared" ref="Q18" si="29">(IF(ISERR(P18/K18),,P18/K18*100))*10000</f>
        <v>0</v>
      </c>
      <c r="R18" s="27">
        <f t="shared" si="3"/>
        <v>0</v>
      </c>
      <c r="S18" s="166">
        <f t="shared" si="4"/>
        <v>0</v>
      </c>
      <c r="T18" s="183">
        <f>INDEX('Resumo Produção'!U$3:U$53,MATCH($A18,[0]!PRODUTOS,0),1)+INDEX('[2]Resumo Produção'!U$3:U$53,MATCH($A18,[3]!PRODUTOS,0),1)</f>
        <v>0</v>
      </c>
      <c r="U18" s="184">
        <f>INDEX('Resumo Produção'!V$3:V$53,MATCH($A18,[0]!PRODUTOS,0),1)+INDEX('[2]Resumo Produção'!V$3:V$53,MATCH($A18,[3]!PRODUTOS,0),1)</f>
        <v>0</v>
      </c>
      <c r="V18" s="184">
        <f>INDEX('Resumo Produção'!W$3:W$53,MATCH($A18,[0]!PRODUTOS,0),1)+INDEX('[2]Resumo Produção'!W$3:W$53,MATCH($A18,[3]!PRODUTOS,0),1)</f>
        <v>0</v>
      </c>
      <c r="W18" s="184">
        <f>INDEX('Resumo Produção'!X$3:X$53,MATCH($A18,[0]!PRODUTOS,0),1)+INDEX('[2]Resumo Produção'!X$3:X$53,MATCH($A18,[3]!PRODUTOS,0),1)</f>
        <v>0</v>
      </c>
      <c r="X18" s="184">
        <f>INDEX('Resumo Produção'!Y$3:Y$53,MATCH($A18,[0]!PRODUTOS,0),1)+INDEX('[2]Resumo Produção'!Y$3:Y$53,MATCH($A18,[3]!PRODUTOS,0),1)</f>
        <v>0</v>
      </c>
      <c r="Y18" s="184">
        <f>INDEX('Resumo Produção'!Z$3:Z$53,MATCH($A18,[0]!PRODUTOS,0),1)+INDEX('[2]Resumo Produção'!Z$3:Z$53,MATCH($A18,[3]!PRODUTOS,0),1)</f>
        <v>0</v>
      </c>
      <c r="Z18" s="184">
        <f t="shared" ref="Z18" si="30">(IF(ISERR(Y18/T18),,Y18/T18*100))*10000</f>
        <v>0</v>
      </c>
      <c r="AA18" s="184">
        <f t="shared" si="6"/>
        <v>0</v>
      </c>
      <c r="AB18" s="185">
        <f t="shared" si="7"/>
        <v>0</v>
      </c>
      <c r="AC18" s="28">
        <f t="shared" ref="AC18" si="31">K18+B18+T18</f>
        <v>42576</v>
      </c>
      <c r="AD18" s="29">
        <f t="shared" ref="AD18" si="32">R18+I18+AA18</f>
        <v>29</v>
      </c>
      <c r="AE18" s="76">
        <f t="shared" ref="AE18" si="33">S18+J18+AB18</f>
        <v>29</v>
      </c>
      <c r="AF18" s="30">
        <f t="shared" ref="AF18" si="34">O18+F18+X18</f>
        <v>0</v>
      </c>
    </row>
    <row r="19" spans="1:32">
      <c r="A19" s="80" t="s">
        <v>103</v>
      </c>
      <c r="B19" s="23">
        <f>INDEX('Resumo Produção'!E$3:E$53,MATCH($A19,[0]!PRODUTOS,0),1)+INDEX('[2]Resumo Produção'!E$3:E$53,MATCH($A19,[3]!PRODUTOS,0),1)</f>
        <v>0</v>
      </c>
      <c r="C19" s="23">
        <f>INDEX('Resumo Produção'!F$3:F$53,MATCH($A19,[0]!PRODUTOS,0),1)+INDEX('[2]Resumo Produção'!F$3:F$53,MATCH($A19,[3]!PRODUTOS,0),1)</f>
        <v>0</v>
      </c>
      <c r="D19" s="23">
        <f>INDEX('Resumo Produção'!G$3:G$53,MATCH($A19,[0]!PRODUTOS,0),1)+INDEX('[2]Resumo Produção'!G$3:G$53,MATCH($A19,[3]!PRODUTOS,0),1)</f>
        <v>0</v>
      </c>
      <c r="E19" s="23">
        <f>INDEX('Resumo Produção'!H$3:H$53,MATCH($A19,[0]!PRODUTOS,0),1)+INDEX('[2]Resumo Produção'!H$3:H$53,MATCH($A19,[3]!PRODUTOS,0),1)</f>
        <v>0</v>
      </c>
      <c r="F19" s="23">
        <f>INDEX('Resumo Produção'!I$3:I$53,MATCH($A19,[0]!PRODUTOS,0),1)+INDEX('[2]Resumo Produção'!I$3:I$53,MATCH($A19,[3]!PRODUTOS,0),1)</f>
        <v>0</v>
      </c>
      <c r="G19" s="23">
        <f t="shared" ref="G19:G20" si="35">SUM(C19:F19)</f>
        <v>0</v>
      </c>
      <c r="H19" s="23">
        <f t="shared" ref="H19:H20" si="36">IF(ISERR(G19/B19),0,G19/B19*1000000)</f>
        <v>0</v>
      </c>
      <c r="I19" s="24">
        <f t="shared" si="0"/>
        <v>0</v>
      </c>
      <c r="J19" s="25">
        <f t="shared" si="1"/>
        <v>0</v>
      </c>
      <c r="K19" s="26">
        <f>INDEX('Resumo Produção'!M$3:M$53,MATCH($A19,[0]!PRODUTOS,0),1)+INDEX('[2]Resumo Produção'!M$3:M$55,MATCH($A19,[3]!PRODUTOS,0),1)</f>
        <v>0</v>
      </c>
      <c r="L19" s="27">
        <f>INDEX('Resumo Produção'!N$3:N$53,MATCH($A19,[0]!PRODUTOS,0),1)+INDEX('[2]Resumo Produção'!N$3:N$55,MATCH($A19,[3]!PRODUTOS,0),1)</f>
        <v>0</v>
      </c>
      <c r="M19" s="27">
        <f>INDEX('Resumo Produção'!O$3:O$53,MATCH($A19,[0]!PRODUTOS,0),1)+INDEX('[2]Resumo Produção'!O$3:O$55,MATCH($A19,[3]!PRODUTOS,0),1)</f>
        <v>0</v>
      </c>
      <c r="N19" s="27">
        <f>INDEX('Resumo Produção'!P$3:P$53,MATCH($A19,[0]!PRODUTOS,0),1)+INDEX('[2]Resumo Produção'!P$3:P$55,MATCH($A19,[3]!PRODUTOS,0),1)</f>
        <v>0</v>
      </c>
      <c r="O19" s="27">
        <f>INDEX('Resumo Produção'!Q$3:Q$53,MATCH($A19,[0]!PRODUTOS,0),1)+INDEX('[2]Resumo Produção'!Q$3:Q$55,MATCH($A19,[3]!PRODUTOS,0),1)</f>
        <v>0</v>
      </c>
      <c r="P19" s="27">
        <f t="shared" ref="P19:P20" si="37">SUM(L19:O19)</f>
        <v>0</v>
      </c>
      <c r="Q19" s="27">
        <f t="shared" ref="Q19:Q20" si="38">(IF(ISERR(P19/K19),,P19/K19*100))*10000</f>
        <v>0</v>
      </c>
      <c r="R19" s="27">
        <f t="shared" si="3"/>
        <v>0</v>
      </c>
      <c r="S19" s="166">
        <f t="shared" si="4"/>
        <v>0</v>
      </c>
      <c r="T19" s="183">
        <f>INDEX('Resumo Produção'!U$3:U$53,MATCH($A19,[0]!PRODUTOS,0),1)+INDEX('[2]Resumo Produção'!U$3:U$53,MATCH($A19,[3]!PRODUTOS,0),1)</f>
        <v>0</v>
      </c>
      <c r="U19" s="184">
        <f>INDEX('Resumo Produção'!V$3:V$53,MATCH($A19,[0]!PRODUTOS,0),1)+INDEX('[2]Resumo Produção'!V$3:V$53,MATCH($A19,[3]!PRODUTOS,0),1)</f>
        <v>0</v>
      </c>
      <c r="V19" s="184">
        <f>INDEX('Resumo Produção'!W$3:W$53,MATCH($A19,[0]!PRODUTOS,0),1)+INDEX('[2]Resumo Produção'!W$3:W$53,MATCH($A19,[3]!PRODUTOS,0),1)</f>
        <v>0</v>
      </c>
      <c r="W19" s="184">
        <f>INDEX('Resumo Produção'!X$3:X$53,MATCH($A19,[0]!PRODUTOS,0),1)+INDEX('[2]Resumo Produção'!X$3:X$53,MATCH($A19,[3]!PRODUTOS,0),1)</f>
        <v>0</v>
      </c>
      <c r="X19" s="184">
        <f>INDEX('Resumo Produção'!Y$3:Y$53,MATCH($A19,[0]!PRODUTOS,0),1)+INDEX('[2]Resumo Produção'!Y$3:Y$53,MATCH($A19,[3]!PRODUTOS,0),1)</f>
        <v>0</v>
      </c>
      <c r="Y19" s="184">
        <f>INDEX('Resumo Produção'!Z$3:Z$53,MATCH($A19,[0]!PRODUTOS,0),1)+INDEX('[2]Resumo Produção'!Z$3:Z$53,MATCH($A19,[3]!PRODUTOS,0),1)</f>
        <v>0</v>
      </c>
      <c r="Z19" s="184">
        <f t="shared" ref="Z19:Z20" si="39">(IF(ISERR(Y19/T19),,Y19/T19*100))*10000</f>
        <v>0</v>
      </c>
      <c r="AA19" s="184">
        <f t="shared" si="6"/>
        <v>0</v>
      </c>
      <c r="AB19" s="185">
        <f t="shared" si="7"/>
        <v>0</v>
      </c>
      <c r="AC19" s="28">
        <f t="shared" ref="AC19:AC20" si="40">K19+B19+T19</f>
        <v>0</v>
      </c>
      <c r="AD19" s="29">
        <f t="shared" ref="AD19:AD20" si="41">R19+I19+AA19</f>
        <v>0</v>
      </c>
      <c r="AE19" s="76">
        <f t="shared" ref="AE19:AE20" si="42">S19+J19+AB19</f>
        <v>0</v>
      </c>
      <c r="AF19" s="30">
        <f t="shared" ref="AF19:AF20" si="43">O19+F19+X19</f>
        <v>0</v>
      </c>
    </row>
    <row r="20" spans="1:32">
      <c r="A20" s="11" t="s">
        <v>93</v>
      </c>
      <c r="B20" s="23">
        <f>INDEX('Resumo Produção'!E$3:E$53,MATCH($A20,[0]!PRODUTOS,0),1)+INDEX('[2]Resumo Produção'!E$3:E$53,MATCH($A20,[3]!PRODUTOS,0),1)</f>
        <v>12552</v>
      </c>
      <c r="C20" s="23">
        <f>INDEX('Resumo Produção'!F$3:F$53,MATCH($A20,[0]!PRODUTOS,0),1)+INDEX('[2]Resumo Produção'!F$3:F$53,MATCH($A20,[3]!PRODUTOS,0),1)</f>
        <v>0</v>
      </c>
      <c r="D20" s="23">
        <f>INDEX('Resumo Produção'!G$3:G$53,MATCH($A20,[0]!PRODUTOS,0),1)+INDEX('[2]Resumo Produção'!G$3:G$53,MATCH($A20,[3]!PRODUTOS,0),1)</f>
        <v>0</v>
      </c>
      <c r="E20" s="23">
        <f>INDEX('Resumo Produção'!H$3:H$53,MATCH($A20,[0]!PRODUTOS,0),1)+INDEX('[2]Resumo Produção'!H$3:H$53,MATCH($A20,[3]!PRODUTOS,0),1)</f>
        <v>32</v>
      </c>
      <c r="F20" s="23">
        <f>INDEX('Resumo Produção'!I$3:I$53,MATCH($A20,[0]!PRODUTOS,0),1)+INDEX('[2]Resumo Produção'!I$3:I$53,MATCH($A20,[3]!PRODUTOS,0),1)</f>
        <v>0</v>
      </c>
      <c r="G20" s="23">
        <f t="shared" si="35"/>
        <v>32</v>
      </c>
      <c r="H20" s="23">
        <f t="shared" si="36"/>
        <v>2549.3945188017847</v>
      </c>
      <c r="I20" s="24">
        <f t="shared" si="0"/>
        <v>32</v>
      </c>
      <c r="J20" s="25">
        <f t="shared" si="1"/>
        <v>32</v>
      </c>
      <c r="K20" s="26">
        <f>INDEX('Resumo Produção'!M$3:M$53,MATCH($A20,[0]!PRODUTOS,0),1)+INDEX('[2]Resumo Produção'!M$3:M$55,MATCH($A20,[3]!PRODUTOS,0),1)</f>
        <v>0</v>
      </c>
      <c r="L20" s="27">
        <f>INDEX('Resumo Produção'!N$3:N$53,MATCH($A20,[0]!PRODUTOS,0),1)+INDEX('[2]Resumo Produção'!N$3:N$55,MATCH($A20,[3]!PRODUTOS,0),1)</f>
        <v>0</v>
      </c>
      <c r="M20" s="27">
        <f>INDEX('Resumo Produção'!O$3:O$53,MATCH($A20,[0]!PRODUTOS,0),1)+INDEX('[2]Resumo Produção'!O$3:O$55,MATCH($A20,[3]!PRODUTOS,0),1)</f>
        <v>0</v>
      </c>
      <c r="N20" s="27">
        <f>INDEX('Resumo Produção'!P$3:P$53,MATCH($A20,[0]!PRODUTOS,0),1)+INDEX('[2]Resumo Produção'!P$3:P$55,MATCH($A20,[3]!PRODUTOS,0),1)</f>
        <v>0</v>
      </c>
      <c r="O20" s="27">
        <f>INDEX('Resumo Produção'!Q$3:Q$53,MATCH($A20,[0]!PRODUTOS,0),1)+INDEX('[2]Resumo Produção'!Q$3:Q$55,MATCH($A20,[3]!PRODUTOS,0),1)</f>
        <v>0</v>
      </c>
      <c r="P20" s="27">
        <f t="shared" si="37"/>
        <v>0</v>
      </c>
      <c r="Q20" s="27">
        <f t="shared" si="38"/>
        <v>0</v>
      </c>
      <c r="R20" s="27">
        <f t="shared" si="3"/>
        <v>0</v>
      </c>
      <c r="S20" s="166">
        <f t="shared" si="4"/>
        <v>0</v>
      </c>
      <c r="T20" s="183">
        <f>INDEX('Resumo Produção'!U$3:U$53,MATCH($A20,[0]!PRODUTOS,0),1)+INDEX('[2]Resumo Produção'!U$3:U$53,MATCH($A20,[3]!PRODUTOS,0),1)</f>
        <v>0</v>
      </c>
      <c r="U20" s="184">
        <f>INDEX('Resumo Produção'!V$3:V$53,MATCH($A20,[0]!PRODUTOS,0),1)+INDEX('[2]Resumo Produção'!V$3:V$53,MATCH($A20,[3]!PRODUTOS,0),1)</f>
        <v>0</v>
      </c>
      <c r="V20" s="184">
        <f>INDEX('Resumo Produção'!W$3:W$53,MATCH($A20,[0]!PRODUTOS,0),1)+INDEX('[2]Resumo Produção'!W$3:W$53,MATCH($A20,[3]!PRODUTOS,0),1)</f>
        <v>0</v>
      </c>
      <c r="W20" s="184">
        <f>INDEX('Resumo Produção'!X$3:X$53,MATCH($A20,[0]!PRODUTOS,0),1)+INDEX('[2]Resumo Produção'!X$3:X$53,MATCH($A20,[3]!PRODUTOS,0),1)</f>
        <v>0</v>
      </c>
      <c r="X20" s="184">
        <f>INDEX('Resumo Produção'!Y$3:Y$53,MATCH($A20,[0]!PRODUTOS,0),1)+INDEX('[2]Resumo Produção'!Y$3:Y$53,MATCH($A20,[3]!PRODUTOS,0),1)</f>
        <v>0</v>
      </c>
      <c r="Y20" s="184">
        <f>INDEX('Resumo Produção'!Z$3:Z$53,MATCH($A20,[0]!PRODUTOS,0),1)+INDEX('[2]Resumo Produção'!Z$3:Z$53,MATCH($A20,[3]!PRODUTOS,0),1)</f>
        <v>0</v>
      </c>
      <c r="Z20" s="184">
        <f t="shared" si="39"/>
        <v>0</v>
      </c>
      <c r="AA20" s="184">
        <f t="shared" si="6"/>
        <v>0</v>
      </c>
      <c r="AB20" s="185">
        <f t="shared" si="7"/>
        <v>0</v>
      </c>
      <c r="AC20" s="28">
        <f t="shared" si="40"/>
        <v>12552</v>
      </c>
      <c r="AD20" s="29">
        <f t="shared" si="41"/>
        <v>32</v>
      </c>
      <c r="AE20" s="76">
        <f t="shared" si="42"/>
        <v>32</v>
      </c>
      <c r="AF20" s="30">
        <f t="shared" si="43"/>
        <v>0</v>
      </c>
    </row>
    <row r="21" spans="1:32">
      <c r="A21" s="11" t="s">
        <v>47</v>
      </c>
      <c r="B21" s="23">
        <f>INDEX('Resumo Produção'!E$3:E$53,MATCH($A21,[0]!PRODUTOS,0),1)+INDEX('[2]Resumo Produção'!E$3:E$53,MATCH($A21,[3]!PRODUTOS,0),1)</f>
        <v>0</v>
      </c>
      <c r="C21" s="23">
        <f>INDEX('Resumo Produção'!F$3:F$53,MATCH($A21,[0]!PRODUTOS,0),1)+INDEX('[2]Resumo Produção'!F$3:F$53,MATCH($A21,[3]!PRODUTOS,0),1)</f>
        <v>0</v>
      </c>
      <c r="D21" s="23">
        <f>INDEX('Resumo Produção'!G$3:G$53,MATCH($A21,[0]!PRODUTOS,0),1)+INDEX('[2]Resumo Produção'!G$3:G$53,MATCH($A21,[3]!PRODUTOS,0),1)</f>
        <v>0</v>
      </c>
      <c r="E21" s="23">
        <f>INDEX('Resumo Produção'!H$3:H$53,MATCH($A21,[0]!PRODUTOS,0),1)+INDEX('[2]Resumo Produção'!H$3:H$53,MATCH($A21,[3]!PRODUTOS,0),1)</f>
        <v>0</v>
      </c>
      <c r="F21" s="23">
        <f>INDEX('Resumo Produção'!I$3:I$53,MATCH($A21,[0]!PRODUTOS,0),1)+INDEX('[2]Resumo Produção'!I$3:I$53,MATCH($A21,[3]!PRODUTOS,0),1)</f>
        <v>0</v>
      </c>
      <c r="G21" s="23">
        <f t="shared" si="15"/>
        <v>0</v>
      </c>
      <c r="H21" s="23">
        <f t="shared" si="16"/>
        <v>0</v>
      </c>
      <c r="I21" s="24">
        <f t="shared" si="0"/>
        <v>0</v>
      </c>
      <c r="J21" s="25">
        <f t="shared" si="1"/>
        <v>0</v>
      </c>
      <c r="K21" s="26">
        <f>INDEX('Resumo Produção'!M$3:M$53,MATCH($A21,[0]!PRODUTOS,0),1)+INDEX('[2]Resumo Produção'!M$3:M$55,MATCH($A21,[3]!PRODUTOS,0),1)</f>
        <v>0</v>
      </c>
      <c r="L21" s="27">
        <f>INDEX('Resumo Produção'!N$3:N$53,MATCH($A21,[0]!PRODUTOS,0),1)+INDEX('[2]Resumo Produção'!N$3:N$55,MATCH($A21,[3]!PRODUTOS,0),1)</f>
        <v>0</v>
      </c>
      <c r="M21" s="27">
        <f>INDEX('Resumo Produção'!O$3:O$53,MATCH($A21,[0]!PRODUTOS,0),1)+INDEX('[2]Resumo Produção'!O$3:O$55,MATCH($A21,[3]!PRODUTOS,0),1)</f>
        <v>0</v>
      </c>
      <c r="N21" s="27">
        <f>INDEX('Resumo Produção'!P$3:P$53,MATCH($A21,[0]!PRODUTOS,0),1)+INDEX('[2]Resumo Produção'!P$3:P$55,MATCH($A21,[3]!PRODUTOS,0),1)</f>
        <v>0</v>
      </c>
      <c r="O21" s="27">
        <f>INDEX('Resumo Produção'!Q$3:Q$53,MATCH($A21,[0]!PRODUTOS,0),1)+INDEX('[2]Resumo Produção'!Q$3:Q$55,MATCH($A21,[3]!PRODUTOS,0),1)</f>
        <v>0</v>
      </c>
      <c r="P21" s="27">
        <f t="shared" si="17"/>
        <v>0</v>
      </c>
      <c r="Q21" s="27">
        <f t="shared" si="2"/>
        <v>0</v>
      </c>
      <c r="R21" s="27">
        <f t="shared" si="3"/>
        <v>0</v>
      </c>
      <c r="S21" s="166">
        <f t="shared" si="4"/>
        <v>0</v>
      </c>
      <c r="T21" s="183">
        <f>INDEX('Resumo Produção'!U$3:U$53,MATCH($A21,[0]!PRODUTOS,0),1)+INDEX('[2]Resumo Produção'!U$3:U$53,MATCH($A21,[3]!PRODUTOS,0),1)</f>
        <v>0</v>
      </c>
      <c r="U21" s="184">
        <f>INDEX('Resumo Produção'!V$3:V$53,MATCH($A21,[0]!PRODUTOS,0),1)+INDEX('[2]Resumo Produção'!V$3:V$53,MATCH($A21,[3]!PRODUTOS,0),1)</f>
        <v>0</v>
      </c>
      <c r="V21" s="184">
        <f>INDEX('Resumo Produção'!W$3:W$53,MATCH($A21,[0]!PRODUTOS,0),1)+INDEX('[2]Resumo Produção'!W$3:W$53,MATCH($A21,[3]!PRODUTOS,0),1)</f>
        <v>0</v>
      </c>
      <c r="W21" s="184">
        <f>INDEX('Resumo Produção'!X$3:X$53,MATCH($A21,[0]!PRODUTOS,0),1)+INDEX('[2]Resumo Produção'!X$3:X$53,MATCH($A21,[3]!PRODUTOS,0),1)</f>
        <v>0</v>
      </c>
      <c r="X21" s="184">
        <f>INDEX('Resumo Produção'!Y$3:Y$53,MATCH($A21,[0]!PRODUTOS,0),1)+INDEX('[2]Resumo Produção'!Y$3:Y$53,MATCH($A21,[3]!PRODUTOS,0),1)</f>
        <v>0</v>
      </c>
      <c r="Y21" s="184">
        <f>INDEX('Resumo Produção'!Z$3:Z$53,MATCH($A21,[0]!PRODUTOS,0),1)+INDEX('[2]Resumo Produção'!Z$3:Z$53,MATCH($A21,[3]!PRODUTOS,0),1)</f>
        <v>0</v>
      </c>
      <c r="Z21" s="184">
        <f t="shared" si="5"/>
        <v>0</v>
      </c>
      <c r="AA21" s="184">
        <f t="shared" si="6"/>
        <v>0</v>
      </c>
      <c r="AB21" s="185">
        <f t="shared" si="7"/>
        <v>0</v>
      </c>
      <c r="AC21" s="28">
        <f t="shared" si="25"/>
        <v>0</v>
      </c>
      <c r="AD21" s="29">
        <f t="shared" si="8"/>
        <v>0</v>
      </c>
      <c r="AE21" s="76">
        <f t="shared" si="9"/>
        <v>0</v>
      </c>
      <c r="AF21" s="30">
        <f t="shared" si="10"/>
        <v>0</v>
      </c>
    </row>
    <row r="22" spans="1:32">
      <c r="A22" s="11" t="s">
        <v>48</v>
      </c>
      <c r="B22" s="23">
        <f>INDEX('Resumo Produção'!E$3:E$53,MATCH($A22,[0]!PRODUTOS,0),1)+INDEX('[2]Resumo Produção'!E$3:E$53,MATCH($A22,[3]!PRODUTOS,0),1)</f>
        <v>0</v>
      </c>
      <c r="C22" s="23">
        <f>INDEX('Resumo Produção'!F$3:F$53,MATCH($A22,[0]!PRODUTOS,0),1)+INDEX('[2]Resumo Produção'!F$3:F$53,MATCH($A22,[3]!PRODUTOS,0),1)</f>
        <v>0</v>
      </c>
      <c r="D22" s="23">
        <f>INDEX('Resumo Produção'!G$3:G$53,MATCH($A22,[0]!PRODUTOS,0),1)+INDEX('[2]Resumo Produção'!G$3:G$53,MATCH($A22,[3]!PRODUTOS,0),1)</f>
        <v>0</v>
      </c>
      <c r="E22" s="23">
        <f>INDEX('Resumo Produção'!H$3:H$53,MATCH($A22,[0]!PRODUTOS,0),1)+INDEX('[2]Resumo Produção'!H$3:H$53,MATCH($A22,[3]!PRODUTOS,0),1)</f>
        <v>0</v>
      </c>
      <c r="F22" s="23">
        <f>INDEX('Resumo Produção'!I$3:I$53,MATCH($A22,[0]!PRODUTOS,0),1)+INDEX('[2]Resumo Produção'!I$3:I$53,MATCH($A22,[3]!PRODUTOS,0),1)</f>
        <v>0</v>
      </c>
      <c r="G22" s="23">
        <f t="shared" si="15"/>
        <v>0</v>
      </c>
      <c r="H22" s="23">
        <f t="shared" si="16"/>
        <v>0</v>
      </c>
      <c r="I22" s="24">
        <f t="shared" si="0"/>
        <v>0</v>
      </c>
      <c r="J22" s="25">
        <f t="shared" si="1"/>
        <v>0</v>
      </c>
      <c r="K22" s="26">
        <f>INDEX('Resumo Produção'!M$3:M$53,MATCH($A22,[0]!PRODUTOS,0),1)+INDEX('[2]Resumo Produção'!M$3:M$55,MATCH($A22,[3]!PRODUTOS,0),1)</f>
        <v>0</v>
      </c>
      <c r="L22" s="27">
        <f>INDEX('Resumo Produção'!N$3:N$53,MATCH($A22,[0]!PRODUTOS,0),1)+INDEX('[2]Resumo Produção'!N$3:N$55,MATCH($A22,[3]!PRODUTOS,0),1)</f>
        <v>0</v>
      </c>
      <c r="M22" s="27">
        <f>INDEX('Resumo Produção'!O$3:O$53,MATCH($A22,[0]!PRODUTOS,0),1)+INDEX('[2]Resumo Produção'!O$3:O$55,MATCH($A22,[3]!PRODUTOS,0),1)</f>
        <v>0</v>
      </c>
      <c r="N22" s="27">
        <f>INDEX('Resumo Produção'!P$3:P$53,MATCH($A22,[0]!PRODUTOS,0),1)+INDEX('[2]Resumo Produção'!P$3:P$55,MATCH($A22,[3]!PRODUTOS,0),1)</f>
        <v>0</v>
      </c>
      <c r="O22" s="27">
        <f>INDEX('Resumo Produção'!Q$3:Q$53,MATCH($A22,[0]!PRODUTOS,0),1)+INDEX('[2]Resumo Produção'!Q$3:Q$55,MATCH($A22,[3]!PRODUTOS,0),1)</f>
        <v>0</v>
      </c>
      <c r="P22" s="27">
        <f t="shared" si="17"/>
        <v>0</v>
      </c>
      <c r="Q22" s="27">
        <f t="shared" si="2"/>
        <v>0</v>
      </c>
      <c r="R22" s="27">
        <f t="shared" si="3"/>
        <v>0</v>
      </c>
      <c r="S22" s="166">
        <f t="shared" si="4"/>
        <v>0</v>
      </c>
      <c r="T22" s="183">
        <f>INDEX('Resumo Produção'!U$3:U$53,MATCH($A22,[0]!PRODUTOS,0),1)+INDEX('[2]Resumo Produção'!U$3:U$53,MATCH($A22,[3]!PRODUTOS,0),1)</f>
        <v>0</v>
      </c>
      <c r="U22" s="184">
        <f>INDEX('Resumo Produção'!V$3:V$53,MATCH($A22,[0]!PRODUTOS,0),1)+INDEX('[2]Resumo Produção'!V$3:V$53,MATCH($A22,[3]!PRODUTOS,0),1)</f>
        <v>0</v>
      </c>
      <c r="V22" s="184">
        <f>INDEX('Resumo Produção'!W$3:W$53,MATCH($A22,[0]!PRODUTOS,0),1)+INDEX('[2]Resumo Produção'!W$3:W$53,MATCH($A22,[3]!PRODUTOS,0),1)</f>
        <v>0</v>
      </c>
      <c r="W22" s="184">
        <f>INDEX('Resumo Produção'!X$3:X$53,MATCH($A22,[0]!PRODUTOS,0),1)+INDEX('[2]Resumo Produção'!X$3:X$53,MATCH($A22,[3]!PRODUTOS,0),1)</f>
        <v>0</v>
      </c>
      <c r="X22" s="184">
        <f>INDEX('Resumo Produção'!Y$3:Y$53,MATCH($A22,[0]!PRODUTOS,0),1)+INDEX('[2]Resumo Produção'!Y$3:Y$53,MATCH($A22,[3]!PRODUTOS,0),1)</f>
        <v>0</v>
      </c>
      <c r="Y22" s="184">
        <f>INDEX('Resumo Produção'!Z$3:Z$53,MATCH($A22,[0]!PRODUTOS,0),1)+INDEX('[2]Resumo Produção'!Z$3:Z$53,MATCH($A22,[3]!PRODUTOS,0),1)</f>
        <v>0</v>
      </c>
      <c r="Z22" s="184">
        <f t="shared" si="5"/>
        <v>0</v>
      </c>
      <c r="AA22" s="184">
        <f t="shared" si="6"/>
        <v>0</v>
      </c>
      <c r="AB22" s="185">
        <f t="shared" si="7"/>
        <v>0</v>
      </c>
      <c r="AC22" s="28">
        <f t="shared" si="25"/>
        <v>0</v>
      </c>
      <c r="AD22" s="29">
        <f t="shared" si="8"/>
        <v>0</v>
      </c>
      <c r="AE22" s="76">
        <f t="shared" si="9"/>
        <v>0</v>
      </c>
      <c r="AF22" s="30">
        <f t="shared" si="10"/>
        <v>0</v>
      </c>
    </row>
    <row r="23" spans="1:32" s="1" customFormat="1">
      <c r="A23" s="32" t="s">
        <v>18</v>
      </c>
      <c r="B23" s="33">
        <f>SUBTOTAL(9,B14:B22)</f>
        <v>84264</v>
      </c>
      <c r="C23" s="33">
        <f t="shared" ref="C23:AF23" si="44">SUBTOTAL(9,C14:C22)</f>
        <v>0</v>
      </c>
      <c r="D23" s="33">
        <f t="shared" si="44"/>
        <v>0</v>
      </c>
      <c r="E23" s="33">
        <f t="shared" si="44"/>
        <v>98</v>
      </c>
      <c r="F23" s="33">
        <f t="shared" si="44"/>
        <v>0</v>
      </c>
      <c r="G23" s="33">
        <f t="shared" si="44"/>
        <v>98</v>
      </c>
      <c r="H23" s="33">
        <f t="shared" si="44"/>
        <v>4500.4360751898348</v>
      </c>
      <c r="I23" s="33">
        <f t="shared" si="0"/>
        <v>98</v>
      </c>
      <c r="J23" s="34">
        <f t="shared" si="1"/>
        <v>98</v>
      </c>
      <c r="K23" s="35">
        <f t="shared" si="44"/>
        <v>63144</v>
      </c>
      <c r="L23" s="33">
        <f t="shared" si="44"/>
        <v>0</v>
      </c>
      <c r="M23" s="33">
        <f t="shared" si="44"/>
        <v>0</v>
      </c>
      <c r="N23" s="33">
        <f t="shared" si="44"/>
        <v>43</v>
      </c>
      <c r="O23" s="33">
        <f t="shared" si="44"/>
        <v>0</v>
      </c>
      <c r="P23" s="33">
        <f t="shared" si="44"/>
        <v>43</v>
      </c>
      <c r="Q23" s="33">
        <f t="shared" si="44"/>
        <v>2667.6631640935716</v>
      </c>
      <c r="R23" s="33">
        <f t="shared" si="3"/>
        <v>43</v>
      </c>
      <c r="S23" s="34">
        <f t="shared" si="4"/>
        <v>43</v>
      </c>
      <c r="T23" s="200">
        <f t="shared" si="44"/>
        <v>98592</v>
      </c>
      <c r="U23" s="201">
        <f t="shared" si="44"/>
        <v>0</v>
      </c>
      <c r="V23" s="201">
        <f t="shared" si="44"/>
        <v>0</v>
      </c>
      <c r="W23" s="201">
        <f t="shared" si="44"/>
        <v>62</v>
      </c>
      <c r="X23" s="201">
        <f t="shared" si="44"/>
        <v>0</v>
      </c>
      <c r="Y23" s="201">
        <f t="shared" si="44"/>
        <v>62</v>
      </c>
      <c r="Z23" s="201">
        <f t="shared" si="44"/>
        <v>628.8542680947744</v>
      </c>
      <c r="AA23" s="201">
        <f t="shared" si="6"/>
        <v>62</v>
      </c>
      <c r="AB23" s="202">
        <f t="shared" si="7"/>
        <v>62</v>
      </c>
      <c r="AC23" s="35">
        <f t="shared" si="44"/>
        <v>246000</v>
      </c>
      <c r="AD23" s="33">
        <f t="shared" si="44"/>
        <v>203</v>
      </c>
      <c r="AE23" s="71">
        <f t="shared" si="44"/>
        <v>203</v>
      </c>
      <c r="AF23" s="34">
        <f t="shared" si="44"/>
        <v>0</v>
      </c>
    </row>
    <row r="24" spans="1:32">
      <c r="A24" s="11" t="s">
        <v>10</v>
      </c>
      <c r="B24" s="23">
        <f>INDEX('Resumo Produção'!E$3:E$53,MATCH($A24,[0]!PRODUTOS,0),1)+INDEX('[2]Resumo Produção'!E$3:E$53,MATCH($A24,[3]!PRODUTOS,0),1)</f>
        <v>0</v>
      </c>
      <c r="C24" s="23">
        <f>INDEX('Resumo Produção'!F$3:F$53,MATCH($A24,[0]!PRODUTOS,0),1)+INDEX('[2]Resumo Produção'!F$3:F$53,MATCH($A24,[3]!PRODUTOS,0),1)</f>
        <v>0</v>
      </c>
      <c r="D24" s="23">
        <f>INDEX('Resumo Produção'!G$3:G$53,MATCH($A24,[0]!PRODUTOS,0),1)+INDEX('[2]Resumo Produção'!G$3:G$53,MATCH($A24,[3]!PRODUTOS,0),1)</f>
        <v>0</v>
      </c>
      <c r="E24" s="23">
        <f>INDEX('Resumo Produção'!H$3:H$53,MATCH($A24,[0]!PRODUTOS,0),1)+INDEX('[2]Resumo Produção'!H$3:H$53,MATCH($A24,[3]!PRODUTOS,0),1)</f>
        <v>0</v>
      </c>
      <c r="F24" s="23">
        <f>INDEX('Resumo Produção'!I$3:I$53,MATCH($A24,[0]!PRODUTOS,0),1)+INDEX('[2]Resumo Produção'!I$3:I$53,MATCH($A24,[3]!PRODUTOS,0),1)</f>
        <v>0</v>
      </c>
      <c r="G24" s="23">
        <f t="shared" si="15"/>
        <v>0</v>
      </c>
      <c r="H24" s="23">
        <f t="shared" si="16"/>
        <v>0</v>
      </c>
      <c r="I24" s="24">
        <f t="shared" si="0"/>
        <v>0</v>
      </c>
      <c r="J24" s="25">
        <f t="shared" si="1"/>
        <v>0</v>
      </c>
      <c r="K24" s="26">
        <f>INDEX('Resumo Produção'!M$3:M$53,MATCH($A24,[0]!PRODUTOS,0),1)+INDEX('[2]Resumo Produção'!M$3:M$55,MATCH($A24,[3]!PRODUTOS,0),1)</f>
        <v>1608</v>
      </c>
      <c r="L24" s="27">
        <f>INDEX('Resumo Produção'!N$3:N$53,MATCH($A24,[0]!PRODUTOS,0),1)+INDEX('[2]Resumo Produção'!N$3:N$55,MATCH($A24,[3]!PRODUTOS,0),1)</f>
        <v>0</v>
      </c>
      <c r="M24" s="27">
        <f>INDEX('Resumo Produção'!O$3:O$53,MATCH($A24,[0]!PRODUTOS,0),1)+INDEX('[2]Resumo Produção'!O$3:O$55,MATCH($A24,[3]!PRODUTOS,0),1)</f>
        <v>0</v>
      </c>
      <c r="N24" s="27">
        <f>INDEX('Resumo Produção'!P$3:P$53,MATCH($A24,[0]!PRODUTOS,0),1)+INDEX('[2]Resumo Produção'!P$3:P$55,MATCH($A24,[3]!PRODUTOS,0),1)</f>
        <v>1</v>
      </c>
      <c r="O24" s="27">
        <f>INDEX('Resumo Produção'!Q$3:Q$53,MATCH($A24,[0]!PRODUTOS,0),1)+INDEX('[2]Resumo Produção'!Q$3:Q$55,MATCH($A24,[3]!PRODUTOS,0),1)</f>
        <v>0</v>
      </c>
      <c r="P24" s="27">
        <f t="shared" si="17"/>
        <v>1</v>
      </c>
      <c r="Q24" s="27">
        <f t="shared" si="2"/>
        <v>621.89054726368158</v>
      </c>
      <c r="R24" s="27">
        <f t="shared" si="3"/>
        <v>1</v>
      </c>
      <c r="S24" s="166">
        <f t="shared" si="4"/>
        <v>1</v>
      </c>
      <c r="T24" s="183">
        <f>INDEX('Resumo Produção'!U$3:U$53,MATCH($A24,[0]!PRODUTOS,0),1)+INDEX('[2]Resumo Produção'!U$3:U$53,MATCH($A24,[3]!PRODUTOS,0),1)</f>
        <v>0</v>
      </c>
      <c r="U24" s="184">
        <f>INDEX('Resumo Produção'!V$3:V$53,MATCH($A24,[0]!PRODUTOS,0),1)+INDEX('[2]Resumo Produção'!V$3:V$53,MATCH($A24,[3]!PRODUTOS,0),1)</f>
        <v>0</v>
      </c>
      <c r="V24" s="184">
        <f>INDEX('Resumo Produção'!W$3:W$53,MATCH($A24,[0]!PRODUTOS,0),1)+INDEX('[2]Resumo Produção'!W$3:W$53,MATCH($A24,[3]!PRODUTOS,0),1)</f>
        <v>0</v>
      </c>
      <c r="W24" s="184">
        <f>INDEX('Resumo Produção'!X$3:X$53,MATCH($A24,[0]!PRODUTOS,0),1)+INDEX('[2]Resumo Produção'!X$3:X$53,MATCH($A24,[3]!PRODUTOS,0),1)</f>
        <v>0</v>
      </c>
      <c r="X24" s="184">
        <f>INDEX('Resumo Produção'!Y$3:Y$53,MATCH($A24,[0]!PRODUTOS,0),1)+INDEX('[2]Resumo Produção'!Y$3:Y$53,MATCH($A24,[3]!PRODUTOS,0),1)</f>
        <v>0</v>
      </c>
      <c r="Y24" s="184">
        <f>INDEX('Resumo Produção'!Z$3:Z$53,MATCH($A24,[0]!PRODUTOS,0),1)+INDEX('[2]Resumo Produção'!Z$3:Z$53,MATCH($A24,[3]!PRODUTOS,0),1)</f>
        <v>0</v>
      </c>
      <c r="Z24" s="184">
        <f t="shared" si="5"/>
        <v>0</v>
      </c>
      <c r="AA24" s="184">
        <f t="shared" si="6"/>
        <v>0</v>
      </c>
      <c r="AB24" s="185">
        <f t="shared" si="7"/>
        <v>0</v>
      </c>
      <c r="AC24" s="28">
        <f>K24+B24+T24</f>
        <v>1608</v>
      </c>
      <c r="AD24" s="29">
        <f t="shared" si="8"/>
        <v>1</v>
      </c>
      <c r="AE24" s="76">
        <f t="shared" si="9"/>
        <v>1</v>
      </c>
      <c r="AF24" s="30">
        <f t="shared" si="10"/>
        <v>0</v>
      </c>
    </row>
    <row r="25" spans="1:32">
      <c r="A25" s="80" t="s">
        <v>89</v>
      </c>
      <c r="B25" s="23">
        <f>INDEX('Resumo Produção'!E$3:E$53,MATCH($A25,[0]!PRODUTOS,0),1)+INDEX('[2]Resumo Produção'!E$3:E$53,MATCH($A25,[3]!PRODUTOS,0),1)</f>
        <v>0</v>
      </c>
      <c r="C25" s="23">
        <f>INDEX('Resumo Produção'!F$3:F$53,MATCH($A25,[0]!PRODUTOS,0),1)+INDEX('[2]Resumo Produção'!F$3:F$53,MATCH($A25,[3]!PRODUTOS,0),1)</f>
        <v>0</v>
      </c>
      <c r="D25" s="23">
        <f>INDEX('Resumo Produção'!G$3:G$53,MATCH($A25,[0]!PRODUTOS,0),1)+INDEX('[2]Resumo Produção'!G$3:G$53,MATCH($A25,[3]!PRODUTOS,0),1)</f>
        <v>0</v>
      </c>
      <c r="E25" s="23">
        <f>INDEX('Resumo Produção'!H$3:H$53,MATCH($A25,[0]!PRODUTOS,0),1)+INDEX('[2]Resumo Produção'!H$3:H$53,MATCH($A25,[3]!PRODUTOS,0),1)</f>
        <v>0</v>
      </c>
      <c r="F25" s="23">
        <f>INDEX('Resumo Produção'!I$3:I$53,MATCH($A25,[0]!PRODUTOS,0),1)+INDEX('[2]Resumo Produção'!I$3:I$53,MATCH($A25,[3]!PRODUTOS,0),1)</f>
        <v>0</v>
      </c>
      <c r="G25" s="23">
        <f t="shared" si="15"/>
        <v>0</v>
      </c>
      <c r="H25" s="23">
        <f t="shared" si="16"/>
        <v>0</v>
      </c>
      <c r="I25" s="24">
        <f t="shared" si="0"/>
        <v>0</v>
      </c>
      <c r="J25" s="25">
        <f t="shared" si="1"/>
        <v>0</v>
      </c>
      <c r="K25" s="26">
        <f>INDEX('Resumo Produção'!M$3:M$53,MATCH($A25,[0]!PRODUTOS,0),1)+INDEX('[2]Resumo Produção'!M$3:M$55,MATCH($A25,[3]!PRODUTOS,0),1)</f>
        <v>0</v>
      </c>
      <c r="L25" s="27">
        <f>INDEX('Resumo Produção'!N$3:N$53,MATCH($A25,[0]!PRODUTOS,0),1)+INDEX('[2]Resumo Produção'!N$3:N$55,MATCH($A25,[3]!PRODUTOS,0),1)</f>
        <v>0</v>
      </c>
      <c r="M25" s="27">
        <f>INDEX('Resumo Produção'!O$3:O$53,MATCH($A25,[0]!PRODUTOS,0),1)+INDEX('[2]Resumo Produção'!O$3:O$55,MATCH($A25,[3]!PRODUTOS,0),1)</f>
        <v>0</v>
      </c>
      <c r="N25" s="27">
        <f>INDEX('Resumo Produção'!P$3:P$53,MATCH($A25,[0]!PRODUTOS,0),1)+INDEX('[2]Resumo Produção'!P$3:P$55,MATCH($A25,[3]!PRODUTOS,0),1)</f>
        <v>0</v>
      </c>
      <c r="O25" s="27">
        <f>INDEX('Resumo Produção'!Q$3:Q$53,MATCH($A25,[0]!PRODUTOS,0),1)+INDEX('[2]Resumo Produção'!Q$3:Q$55,MATCH($A25,[3]!PRODUTOS,0),1)</f>
        <v>0</v>
      </c>
      <c r="P25" s="27">
        <f t="shared" si="17"/>
        <v>0</v>
      </c>
      <c r="Q25" s="27">
        <f t="shared" si="2"/>
        <v>0</v>
      </c>
      <c r="R25" s="27">
        <f t="shared" si="3"/>
        <v>0</v>
      </c>
      <c r="S25" s="166">
        <f t="shared" si="4"/>
        <v>0</v>
      </c>
      <c r="T25" s="183">
        <f>INDEX('Resumo Produção'!U$3:U$53,MATCH($A25,[0]!PRODUTOS,0),1)+INDEX('[2]Resumo Produção'!U$3:U$53,MATCH($A25,[3]!PRODUTOS,0),1)</f>
        <v>0</v>
      </c>
      <c r="U25" s="184">
        <f>INDEX('Resumo Produção'!V$3:V$53,MATCH($A25,[0]!PRODUTOS,0),1)+INDEX('[2]Resumo Produção'!V$3:V$53,MATCH($A25,[3]!PRODUTOS,0),1)</f>
        <v>0</v>
      </c>
      <c r="V25" s="184">
        <f>INDEX('Resumo Produção'!W$3:W$53,MATCH($A25,[0]!PRODUTOS,0),1)+INDEX('[2]Resumo Produção'!W$3:W$53,MATCH($A25,[3]!PRODUTOS,0),1)</f>
        <v>0</v>
      </c>
      <c r="W25" s="184">
        <f>INDEX('Resumo Produção'!X$3:X$53,MATCH($A25,[0]!PRODUTOS,0),1)+INDEX('[2]Resumo Produção'!X$3:X$53,MATCH($A25,[3]!PRODUTOS,0),1)</f>
        <v>0</v>
      </c>
      <c r="X25" s="184">
        <f>INDEX('Resumo Produção'!Y$3:Y$53,MATCH($A25,[0]!PRODUTOS,0),1)+INDEX('[2]Resumo Produção'!Y$3:Y$53,MATCH($A25,[3]!PRODUTOS,0),1)</f>
        <v>0</v>
      </c>
      <c r="Y25" s="184">
        <f>INDEX('Resumo Produção'!Z$3:Z$53,MATCH($A25,[0]!PRODUTOS,0),1)+INDEX('[2]Resumo Produção'!Z$3:Z$53,MATCH($A25,[3]!PRODUTOS,0),1)</f>
        <v>0</v>
      </c>
      <c r="Z25" s="184">
        <f t="shared" si="5"/>
        <v>0</v>
      </c>
      <c r="AA25" s="184">
        <f t="shared" si="6"/>
        <v>0</v>
      </c>
      <c r="AB25" s="185">
        <f t="shared" si="7"/>
        <v>0</v>
      </c>
      <c r="AC25" s="28">
        <f>K25+B25+T25</f>
        <v>0</v>
      </c>
      <c r="AD25" s="29">
        <f t="shared" si="8"/>
        <v>0</v>
      </c>
      <c r="AE25" s="76">
        <f t="shared" si="9"/>
        <v>0</v>
      </c>
      <c r="AF25" s="30">
        <f t="shared" si="10"/>
        <v>0</v>
      </c>
    </row>
    <row r="26" spans="1:32" s="1" customFormat="1">
      <c r="A26" s="32" t="s">
        <v>18</v>
      </c>
      <c r="B26" s="33">
        <f>SUBTOTAL(9,B24:B25)</f>
        <v>0</v>
      </c>
      <c r="C26" s="33">
        <f t="shared" ref="C26:AF26" si="45">SUBTOTAL(9,C24:C25)</f>
        <v>0</v>
      </c>
      <c r="D26" s="33">
        <f t="shared" si="45"/>
        <v>0</v>
      </c>
      <c r="E26" s="33">
        <f t="shared" si="45"/>
        <v>0</v>
      </c>
      <c r="F26" s="33">
        <f t="shared" si="45"/>
        <v>0</v>
      </c>
      <c r="G26" s="33">
        <f t="shared" si="45"/>
        <v>0</v>
      </c>
      <c r="H26" s="33">
        <f t="shared" si="45"/>
        <v>0</v>
      </c>
      <c r="I26" s="33">
        <f t="shared" si="0"/>
        <v>0</v>
      </c>
      <c r="J26" s="34">
        <f t="shared" si="1"/>
        <v>0</v>
      </c>
      <c r="K26" s="35">
        <f t="shared" si="45"/>
        <v>1608</v>
      </c>
      <c r="L26" s="33">
        <f t="shared" si="45"/>
        <v>0</v>
      </c>
      <c r="M26" s="33">
        <f t="shared" si="45"/>
        <v>0</v>
      </c>
      <c r="N26" s="33">
        <f t="shared" si="45"/>
        <v>1</v>
      </c>
      <c r="O26" s="33">
        <f t="shared" si="45"/>
        <v>0</v>
      </c>
      <c r="P26" s="33">
        <f t="shared" si="45"/>
        <v>1</v>
      </c>
      <c r="Q26" s="33">
        <f t="shared" si="45"/>
        <v>621.89054726368158</v>
      </c>
      <c r="R26" s="33">
        <f t="shared" si="3"/>
        <v>1</v>
      </c>
      <c r="S26" s="34">
        <f t="shared" si="4"/>
        <v>1</v>
      </c>
      <c r="T26" s="200">
        <f t="shared" si="45"/>
        <v>0</v>
      </c>
      <c r="U26" s="201">
        <f t="shared" si="45"/>
        <v>0</v>
      </c>
      <c r="V26" s="201">
        <f t="shared" si="45"/>
        <v>0</v>
      </c>
      <c r="W26" s="201">
        <f t="shared" si="45"/>
        <v>0</v>
      </c>
      <c r="X26" s="201">
        <f t="shared" si="45"/>
        <v>0</v>
      </c>
      <c r="Y26" s="201">
        <f t="shared" si="45"/>
        <v>0</v>
      </c>
      <c r="Z26" s="201">
        <f t="shared" si="45"/>
        <v>0</v>
      </c>
      <c r="AA26" s="201">
        <f t="shared" si="6"/>
        <v>0</v>
      </c>
      <c r="AB26" s="202">
        <f t="shared" si="7"/>
        <v>0</v>
      </c>
      <c r="AC26" s="35">
        <f t="shared" si="45"/>
        <v>1608</v>
      </c>
      <c r="AD26" s="33">
        <f t="shared" si="45"/>
        <v>1</v>
      </c>
      <c r="AE26" s="71">
        <f t="shared" si="45"/>
        <v>1</v>
      </c>
      <c r="AF26" s="34">
        <f t="shared" si="45"/>
        <v>0</v>
      </c>
    </row>
    <row r="27" spans="1:32">
      <c r="A27" s="11" t="s">
        <v>11</v>
      </c>
      <c r="B27" s="23">
        <f>INDEX('Resumo Produção'!E$3:E$53,MATCH($A27,[0]!PRODUTOS,0),1)+INDEX('[2]Resumo Produção'!E$3:E$53,MATCH($A27,[3]!PRODUTOS,0),1)</f>
        <v>0</v>
      </c>
      <c r="C27" s="23">
        <f>INDEX('Resumo Produção'!F$3:F$53,MATCH($A27,[0]!PRODUTOS,0),1)+INDEX('[2]Resumo Produção'!F$3:F$53,MATCH($A27,[3]!PRODUTOS,0),1)</f>
        <v>0</v>
      </c>
      <c r="D27" s="23">
        <f>INDEX('Resumo Produção'!G$3:G$53,MATCH($A27,[0]!PRODUTOS,0),1)+INDEX('[2]Resumo Produção'!G$3:G$53,MATCH($A27,[3]!PRODUTOS,0),1)</f>
        <v>0</v>
      </c>
      <c r="E27" s="23">
        <f>INDEX('Resumo Produção'!H$3:H$53,MATCH($A27,[0]!PRODUTOS,0),1)+INDEX('[2]Resumo Produção'!H$3:H$53,MATCH($A27,[3]!PRODUTOS,0),1)</f>
        <v>0</v>
      </c>
      <c r="F27" s="23">
        <f>INDEX('Resumo Produção'!I$3:I$53,MATCH($A27,[0]!PRODUTOS,0),1)+INDEX('[2]Resumo Produção'!I$3:I$53,MATCH($A27,[3]!PRODUTOS,0),1)</f>
        <v>0</v>
      </c>
      <c r="G27" s="23">
        <f t="shared" si="15"/>
        <v>0</v>
      </c>
      <c r="H27" s="23">
        <f t="shared" si="16"/>
        <v>0</v>
      </c>
      <c r="I27" s="24">
        <f t="shared" si="0"/>
        <v>0</v>
      </c>
      <c r="J27" s="25">
        <f t="shared" si="1"/>
        <v>0</v>
      </c>
      <c r="K27" s="26">
        <f>INDEX('Resumo Produção'!M$3:M$53,MATCH($A27,[0]!PRODUTOS,0),1)+INDEX('[2]Resumo Produção'!M$3:M$55,MATCH($A27,[3]!PRODUTOS,0),1)</f>
        <v>72</v>
      </c>
      <c r="L27" s="27">
        <f>INDEX('Resumo Produção'!N$3:N$53,MATCH($A27,[0]!PRODUTOS,0),1)+INDEX('[2]Resumo Produção'!N$3:N$55,MATCH($A27,[3]!PRODUTOS,0),1)</f>
        <v>0</v>
      </c>
      <c r="M27" s="27">
        <f>INDEX('Resumo Produção'!O$3:O$53,MATCH($A27,[0]!PRODUTOS,0),1)+INDEX('[2]Resumo Produção'!O$3:O$55,MATCH($A27,[3]!PRODUTOS,0),1)</f>
        <v>0</v>
      </c>
      <c r="N27" s="27">
        <f>INDEX('Resumo Produção'!P$3:P$53,MATCH($A27,[0]!PRODUTOS,0),1)+INDEX('[2]Resumo Produção'!P$3:P$55,MATCH($A27,[3]!PRODUTOS,0),1)</f>
        <v>0</v>
      </c>
      <c r="O27" s="27">
        <f>INDEX('Resumo Produção'!Q$3:Q$53,MATCH($A27,[0]!PRODUTOS,0),1)+INDEX('[2]Resumo Produção'!Q$3:Q$55,MATCH($A27,[3]!PRODUTOS,0),1)</f>
        <v>0</v>
      </c>
      <c r="P27" s="27">
        <f t="shared" si="17"/>
        <v>0</v>
      </c>
      <c r="Q27" s="27">
        <f t="shared" si="2"/>
        <v>0</v>
      </c>
      <c r="R27" s="27">
        <f t="shared" si="3"/>
        <v>0</v>
      </c>
      <c r="S27" s="166">
        <f t="shared" si="4"/>
        <v>0</v>
      </c>
      <c r="T27" s="183">
        <f>INDEX('Resumo Produção'!U$3:U$53,MATCH($A27,[0]!PRODUTOS,0),1)+INDEX('[2]Resumo Produção'!U$3:U$53,MATCH($A27,[3]!PRODUTOS,0),1)</f>
        <v>0</v>
      </c>
      <c r="U27" s="184">
        <f>INDEX('Resumo Produção'!V$3:V$53,MATCH($A27,[0]!PRODUTOS,0),1)+INDEX('[2]Resumo Produção'!V$3:V$53,MATCH($A27,[3]!PRODUTOS,0),1)</f>
        <v>0</v>
      </c>
      <c r="V27" s="184">
        <f>INDEX('Resumo Produção'!W$3:W$53,MATCH($A27,[0]!PRODUTOS,0),1)+INDEX('[2]Resumo Produção'!W$3:W$53,MATCH($A27,[3]!PRODUTOS,0),1)</f>
        <v>0</v>
      </c>
      <c r="W27" s="184">
        <f>INDEX('Resumo Produção'!X$3:X$53,MATCH($A27,[0]!PRODUTOS,0),1)+INDEX('[2]Resumo Produção'!X$3:X$53,MATCH($A27,[3]!PRODUTOS,0),1)</f>
        <v>0</v>
      </c>
      <c r="X27" s="184">
        <f>INDEX('Resumo Produção'!Y$3:Y$53,MATCH($A27,[0]!PRODUTOS,0),1)+INDEX('[2]Resumo Produção'!Y$3:Y$53,MATCH($A27,[3]!PRODUTOS,0),1)</f>
        <v>0</v>
      </c>
      <c r="Y27" s="184">
        <f>INDEX('Resumo Produção'!Z$3:Z$53,MATCH($A27,[0]!PRODUTOS,0),1)+INDEX('[2]Resumo Produção'!Z$3:Z$53,MATCH($A27,[3]!PRODUTOS,0),1)</f>
        <v>0</v>
      </c>
      <c r="Z27" s="184">
        <f t="shared" si="5"/>
        <v>0</v>
      </c>
      <c r="AA27" s="184">
        <f t="shared" si="6"/>
        <v>0</v>
      </c>
      <c r="AB27" s="185">
        <f t="shared" si="7"/>
        <v>0</v>
      </c>
      <c r="AC27" s="28">
        <f>K27+B27+T27</f>
        <v>72</v>
      </c>
      <c r="AD27" s="29">
        <f t="shared" si="8"/>
        <v>0</v>
      </c>
      <c r="AE27" s="76">
        <f t="shared" si="9"/>
        <v>0</v>
      </c>
      <c r="AF27" s="30">
        <f t="shared" si="10"/>
        <v>0</v>
      </c>
    </row>
    <row r="28" spans="1:32">
      <c r="A28" s="80" t="s">
        <v>88</v>
      </c>
      <c r="B28" s="23">
        <f>INDEX('Resumo Produção'!E$3:E$53,MATCH($A28,[0]!PRODUTOS,0),1)+INDEX('[2]Resumo Produção'!E$3:E$53,MATCH($A28,[3]!PRODUTOS,0),1)</f>
        <v>0</v>
      </c>
      <c r="C28" s="23">
        <f>INDEX('Resumo Produção'!F$3:F$53,MATCH($A28,[0]!PRODUTOS,0),1)+INDEX('[2]Resumo Produção'!F$3:F$53,MATCH($A28,[3]!PRODUTOS,0),1)</f>
        <v>0</v>
      </c>
      <c r="D28" s="23">
        <f>INDEX('Resumo Produção'!G$3:G$53,MATCH($A28,[0]!PRODUTOS,0),1)+INDEX('[2]Resumo Produção'!G$3:G$53,MATCH($A28,[3]!PRODUTOS,0),1)</f>
        <v>0</v>
      </c>
      <c r="E28" s="23">
        <f>INDEX('Resumo Produção'!H$3:H$53,MATCH($A28,[0]!PRODUTOS,0),1)+INDEX('[2]Resumo Produção'!H$3:H$53,MATCH($A28,[3]!PRODUTOS,0),1)</f>
        <v>0</v>
      </c>
      <c r="F28" s="23">
        <f>INDEX('Resumo Produção'!I$3:I$53,MATCH($A28,[0]!PRODUTOS,0),1)+INDEX('[2]Resumo Produção'!I$3:I$53,MATCH($A28,[3]!PRODUTOS,0),1)</f>
        <v>0</v>
      </c>
      <c r="G28" s="23">
        <f t="shared" si="15"/>
        <v>0</v>
      </c>
      <c r="H28" s="23">
        <f t="shared" si="16"/>
        <v>0</v>
      </c>
      <c r="I28" s="24">
        <f t="shared" si="0"/>
        <v>0</v>
      </c>
      <c r="J28" s="25">
        <f t="shared" si="1"/>
        <v>0</v>
      </c>
      <c r="K28" s="26">
        <f>INDEX('Resumo Produção'!M$3:M$53,MATCH($A28,[0]!PRODUTOS,0),1)+INDEX('[2]Resumo Produção'!M$3:M$55,MATCH($A28,[3]!PRODUTOS,0),1)</f>
        <v>0</v>
      </c>
      <c r="L28" s="27">
        <f>INDEX('Resumo Produção'!N$3:N$53,MATCH($A28,[0]!PRODUTOS,0),1)+INDEX('[2]Resumo Produção'!N$3:N$55,MATCH($A28,[3]!PRODUTOS,0),1)</f>
        <v>0</v>
      </c>
      <c r="M28" s="27">
        <f>INDEX('Resumo Produção'!O$3:O$53,MATCH($A28,[0]!PRODUTOS,0),1)+INDEX('[2]Resumo Produção'!O$3:O$55,MATCH($A28,[3]!PRODUTOS,0),1)</f>
        <v>0</v>
      </c>
      <c r="N28" s="27">
        <f>INDEX('Resumo Produção'!P$3:P$53,MATCH($A28,[0]!PRODUTOS,0),1)+INDEX('[2]Resumo Produção'!P$3:P$55,MATCH($A28,[3]!PRODUTOS,0),1)</f>
        <v>0</v>
      </c>
      <c r="O28" s="27">
        <f>INDEX('Resumo Produção'!Q$3:Q$53,MATCH($A28,[0]!PRODUTOS,0),1)+INDEX('[2]Resumo Produção'!Q$3:Q$55,MATCH($A28,[3]!PRODUTOS,0),1)</f>
        <v>0</v>
      </c>
      <c r="P28" s="27">
        <f t="shared" si="17"/>
        <v>0</v>
      </c>
      <c r="Q28" s="27">
        <f t="shared" si="2"/>
        <v>0</v>
      </c>
      <c r="R28" s="27">
        <f t="shared" si="3"/>
        <v>0</v>
      </c>
      <c r="S28" s="166">
        <f t="shared" si="4"/>
        <v>0</v>
      </c>
      <c r="T28" s="183">
        <f>INDEX('Resumo Produção'!U$3:U$53,MATCH($A28,[0]!PRODUTOS,0),1)+INDEX('[2]Resumo Produção'!U$3:U$53,MATCH($A28,[3]!PRODUTOS,0),1)</f>
        <v>0</v>
      </c>
      <c r="U28" s="184">
        <f>INDEX('Resumo Produção'!V$3:V$53,MATCH($A28,[0]!PRODUTOS,0),1)+INDEX('[2]Resumo Produção'!V$3:V$53,MATCH($A28,[3]!PRODUTOS,0),1)</f>
        <v>0</v>
      </c>
      <c r="V28" s="184">
        <f>INDEX('Resumo Produção'!W$3:W$53,MATCH($A28,[0]!PRODUTOS,0),1)+INDEX('[2]Resumo Produção'!W$3:W$53,MATCH($A28,[3]!PRODUTOS,0),1)</f>
        <v>0</v>
      </c>
      <c r="W28" s="184">
        <f>INDEX('Resumo Produção'!X$3:X$53,MATCH($A28,[0]!PRODUTOS,0),1)+INDEX('[2]Resumo Produção'!X$3:X$53,MATCH($A28,[3]!PRODUTOS,0),1)</f>
        <v>0</v>
      </c>
      <c r="X28" s="184">
        <f>INDEX('Resumo Produção'!Y$3:Y$53,MATCH($A28,[0]!PRODUTOS,0),1)+INDEX('[2]Resumo Produção'!Y$3:Y$53,MATCH($A28,[3]!PRODUTOS,0),1)</f>
        <v>0</v>
      </c>
      <c r="Y28" s="184">
        <f>INDEX('Resumo Produção'!Z$3:Z$53,MATCH($A28,[0]!PRODUTOS,0),1)+INDEX('[2]Resumo Produção'!Z$3:Z$53,MATCH($A28,[3]!PRODUTOS,0),1)</f>
        <v>0</v>
      </c>
      <c r="Z28" s="184">
        <f t="shared" si="5"/>
        <v>0</v>
      </c>
      <c r="AA28" s="184">
        <f t="shared" si="6"/>
        <v>0</v>
      </c>
      <c r="AB28" s="185">
        <f t="shared" si="7"/>
        <v>0</v>
      </c>
      <c r="AC28" s="28">
        <f>K28+B28+T28</f>
        <v>0</v>
      </c>
      <c r="AD28" s="29">
        <f t="shared" si="8"/>
        <v>0</v>
      </c>
      <c r="AE28" s="76">
        <f t="shared" si="9"/>
        <v>0</v>
      </c>
      <c r="AF28" s="30">
        <f t="shared" si="10"/>
        <v>0</v>
      </c>
    </row>
    <row r="29" spans="1:32">
      <c r="A29" s="32" t="s">
        <v>18</v>
      </c>
      <c r="B29" s="33">
        <f>SUBTOTAL(9,B27:B28)</f>
        <v>0</v>
      </c>
      <c r="C29" s="33">
        <f t="shared" ref="C29" si="46">SUBTOTAL(9,C27:C28)</f>
        <v>0</v>
      </c>
      <c r="D29" s="33">
        <f t="shared" ref="D29" si="47">SUBTOTAL(9,D27:D28)</f>
        <v>0</v>
      </c>
      <c r="E29" s="33">
        <f t="shared" ref="E29" si="48">SUBTOTAL(9,E27:E28)</f>
        <v>0</v>
      </c>
      <c r="F29" s="33">
        <f t="shared" ref="F29" si="49">SUBTOTAL(9,F27:F28)</f>
        <v>0</v>
      </c>
      <c r="G29" s="33">
        <f t="shared" ref="G29" si="50">SUBTOTAL(9,G27:G28)</f>
        <v>0</v>
      </c>
      <c r="H29" s="33">
        <f t="shared" ref="H29" si="51">SUBTOTAL(9,H27:H28)</f>
        <v>0</v>
      </c>
      <c r="I29" s="33">
        <f t="shared" si="0"/>
        <v>0</v>
      </c>
      <c r="J29" s="34">
        <f t="shared" si="1"/>
        <v>0</v>
      </c>
      <c r="K29" s="35">
        <f t="shared" ref="K29" si="52">SUBTOTAL(9,K27:K28)</f>
        <v>72</v>
      </c>
      <c r="L29" s="33">
        <f t="shared" ref="L29" si="53">SUBTOTAL(9,L27:L28)</f>
        <v>0</v>
      </c>
      <c r="M29" s="33">
        <f t="shared" ref="M29" si="54">SUBTOTAL(9,M27:M28)</f>
        <v>0</v>
      </c>
      <c r="N29" s="33">
        <f t="shared" ref="N29" si="55">SUBTOTAL(9,N27:N28)</f>
        <v>0</v>
      </c>
      <c r="O29" s="33">
        <f t="shared" ref="O29" si="56">SUBTOTAL(9,O27:O28)</f>
        <v>0</v>
      </c>
      <c r="P29" s="33">
        <f t="shared" ref="P29" si="57">SUBTOTAL(9,P27:P28)</f>
        <v>0</v>
      </c>
      <c r="Q29" s="33">
        <f t="shared" ref="Q29" si="58">SUBTOTAL(9,Q27:Q28)</f>
        <v>0</v>
      </c>
      <c r="R29" s="33">
        <f t="shared" si="3"/>
        <v>0</v>
      </c>
      <c r="S29" s="34">
        <f t="shared" si="4"/>
        <v>0</v>
      </c>
      <c r="T29" s="200">
        <f t="shared" ref="T29" si="59">SUBTOTAL(9,T27:T28)</f>
        <v>0</v>
      </c>
      <c r="U29" s="201">
        <f t="shared" ref="U29" si="60">SUBTOTAL(9,U27:U28)</f>
        <v>0</v>
      </c>
      <c r="V29" s="201">
        <f t="shared" ref="V29" si="61">SUBTOTAL(9,V27:V28)</f>
        <v>0</v>
      </c>
      <c r="W29" s="201">
        <f t="shared" ref="W29" si="62">SUBTOTAL(9,W27:W28)</f>
        <v>0</v>
      </c>
      <c r="X29" s="201">
        <f t="shared" ref="X29" si="63">SUBTOTAL(9,X27:X28)</f>
        <v>0</v>
      </c>
      <c r="Y29" s="201">
        <f t="shared" ref="Y29" si="64">SUBTOTAL(9,Y27:Y28)</f>
        <v>0</v>
      </c>
      <c r="Z29" s="201">
        <f t="shared" ref="Z29" si="65">SUBTOTAL(9,Z27:Z28)</f>
        <v>0</v>
      </c>
      <c r="AA29" s="201">
        <f t="shared" si="6"/>
        <v>0</v>
      </c>
      <c r="AB29" s="202">
        <f t="shared" si="7"/>
        <v>0</v>
      </c>
      <c r="AC29" s="35">
        <f t="shared" ref="AC29" si="66">SUBTOTAL(9,AC27:AC28)</f>
        <v>72</v>
      </c>
      <c r="AD29" s="33">
        <f t="shared" ref="AD29" si="67">SUBTOTAL(9,AD27:AD28)</f>
        <v>0</v>
      </c>
      <c r="AE29" s="71">
        <f t="shared" ref="AE29" si="68">SUBTOTAL(9,AE27:AE28)</f>
        <v>0</v>
      </c>
      <c r="AF29" s="34">
        <f t="shared" ref="AF29" si="69">SUBTOTAL(9,AF27:AF28)</f>
        <v>0</v>
      </c>
    </row>
    <row r="30" spans="1:32">
      <c r="A30" s="32" t="s">
        <v>17</v>
      </c>
      <c r="B30" s="33">
        <f>SUBTOTAL(9,B14:B29)</f>
        <v>84264</v>
      </c>
      <c r="C30" s="33">
        <f t="shared" ref="C30:AF30" si="70">SUBTOTAL(9,C14:C29)</f>
        <v>0</v>
      </c>
      <c r="D30" s="33">
        <f t="shared" si="70"/>
        <v>0</v>
      </c>
      <c r="E30" s="33">
        <f t="shared" si="70"/>
        <v>98</v>
      </c>
      <c r="F30" s="33">
        <f t="shared" si="70"/>
        <v>0</v>
      </c>
      <c r="G30" s="33">
        <f t="shared" si="70"/>
        <v>98</v>
      </c>
      <c r="H30" s="33">
        <f t="shared" si="70"/>
        <v>4500.4360751898348</v>
      </c>
      <c r="I30" s="33">
        <f t="shared" si="0"/>
        <v>98</v>
      </c>
      <c r="J30" s="34">
        <f t="shared" si="1"/>
        <v>98</v>
      </c>
      <c r="K30" s="35">
        <f t="shared" si="70"/>
        <v>64824</v>
      </c>
      <c r="L30" s="33">
        <f t="shared" si="70"/>
        <v>0</v>
      </c>
      <c r="M30" s="33">
        <f t="shared" si="70"/>
        <v>0</v>
      </c>
      <c r="N30" s="33">
        <f t="shared" si="70"/>
        <v>44</v>
      </c>
      <c r="O30" s="33">
        <f t="shared" si="70"/>
        <v>0</v>
      </c>
      <c r="P30" s="33">
        <f t="shared" si="70"/>
        <v>44</v>
      </c>
      <c r="Q30" s="33">
        <f t="shared" si="70"/>
        <v>3289.5537113572532</v>
      </c>
      <c r="R30" s="33">
        <f t="shared" si="3"/>
        <v>44</v>
      </c>
      <c r="S30" s="34">
        <f t="shared" si="4"/>
        <v>44</v>
      </c>
      <c r="T30" s="200">
        <f t="shared" si="70"/>
        <v>98592</v>
      </c>
      <c r="U30" s="201">
        <f t="shared" si="70"/>
        <v>0</v>
      </c>
      <c r="V30" s="201">
        <f t="shared" si="70"/>
        <v>0</v>
      </c>
      <c r="W30" s="201">
        <f t="shared" si="70"/>
        <v>62</v>
      </c>
      <c r="X30" s="201">
        <f t="shared" si="70"/>
        <v>0</v>
      </c>
      <c r="Y30" s="201">
        <f t="shared" si="70"/>
        <v>62</v>
      </c>
      <c r="Z30" s="201">
        <f t="shared" si="70"/>
        <v>628.8542680947744</v>
      </c>
      <c r="AA30" s="201">
        <f t="shared" si="6"/>
        <v>62</v>
      </c>
      <c r="AB30" s="202">
        <f t="shared" si="7"/>
        <v>62</v>
      </c>
      <c r="AC30" s="35">
        <f t="shared" si="70"/>
        <v>247680</v>
      </c>
      <c r="AD30" s="33">
        <f t="shared" si="70"/>
        <v>204</v>
      </c>
      <c r="AE30" s="71">
        <f t="shared" si="70"/>
        <v>204</v>
      </c>
      <c r="AF30" s="34">
        <f t="shared" si="70"/>
        <v>0</v>
      </c>
    </row>
    <row r="31" spans="1:32">
      <c r="A31" s="11" t="s">
        <v>64</v>
      </c>
      <c r="B31" s="23">
        <f>INDEX('Resumo Produção'!E$3:E$53,MATCH($A31,[0]!PRODUTOS,0),1)+INDEX('[2]Resumo Produção'!E$3:E$53,MATCH($A31,[3]!PRODUTOS,0),1)</f>
        <v>0</v>
      </c>
      <c r="C31" s="23">
        <f>INDEX('Resumo Produção'!F$3:F$53,MATCH($A31,[0]!PRODUTOS,0),1)+INDEX('[2]Resumo Produção'!F$3:F$53,MATCH($A31,[3]!PRODUTOS,0),1)</f>
        <v>0</v>
      </c>
      <c r="D31" s="23">
        <f>INDEX('Resumo Produção'!G$3:G$53,MATCH($A31,[0]!PRODUTOS,0),1)+INDEX('[2]Resumo Produção'!G$3:G$53,MATCH($A31,[3]!PRODUTOS,0),1)</f>
        <v>0</v>
      </c>
      <c r="E31" s="23">
        <f>INDEX('Resumo Produção'!H$3:H$53,MATCH($A31,[0]!PRODUTOS,0),1)+INDEX('[2]Resumo Produção'!H$3:H$53,MATCH($A31,[3]!PRODUTOS,0),1)</f>
        <v>0</v>
      </c>
      <c r="F31" s="23">
        <f>INDEX('Resumo Produção'!I$3:I$53,MATCH($A31,[0]!PRODUTOS,0),1)+INDEX('[2]Resumo Produção'!I$3:I$53,MATCH($A31,[3]!PRODUTOS,0),1)</f>
        <v>0</v>
      </c>
      <c r="G31" s="23">
        <f t="shared" si="15"/>
        <v>0</v>
      </c>
      <c r="H31" s="23">
        <f t="shared" si="16"/>
        <v>0</v>
      </c>
      <c r="I31" s="24">
        <f t="shared" si="0"/>
        <v>0</v>
      </c>
      <c r="J31" s="25">
        <f t="shared" si="1"/>
        <v>0</v>
      </c>
      <c r="K31" s="26">
        <f>INDEX('Resumo Produção'!M$3:M$53,MATCH($A31,[0]!PRODUTOS,0),1)+INDEX('[2]Resumo Produção'!M$3:M$55,MATCH($A31,[3]!PRODUTOS,0),1)</f>
        <v>0</v>
      </c>
      <c r="L31" s="27">
        <f>INDEX('Resumo Produção'!N$3:N$53,MATCH($A31,[0]!PRODUTOS,0),1)+INDEX('[2]Resumo Produção'!N$3:N$55,MATCH($A31,[3]!PRODUTOS,0),1)</f>
        <v>0</v>
      </c>
      <c r="M31" s="27">
        <f>INDEX('Resumo Produção'!O$3:O$53,MATCH($A31,[0]!PRODUTOS,0),1)+INDEX('[2]Resumo Produção'!O$3:O$55,MATCH($A31,[3]!PRODUTOS,0),1)</f>
        <v>0</v>
      </c>
      <c r="N31" s="27">
        <f>INDEX('Resumo Produção'!P$3:P$53,MATCH($A31,[0]!PRODUTOS,0),1)+INDEX('[2]Resumo Produção'!P$3:P$55,MATCH($A31,[3]!PRODUTOS,0),1)</f>
        <v>0</v>
      </c>
      <c r="O31" s="27">
        <f>INDEX('Resumo Produção'!Q$3:Q$53,MATCH($A31,[0]!PRODUTOS,0),1)+INDEX('[2]Resumo Produção'!Q$3:Q$55,MATCH($A31,[3]!PRODUTOS,0),1)</f>
        <v>0</v>
      </c>
      <c r="P31" s="27">
        <f t="shared" si="17"/>
        <v>0</v>
      </c>
      <c r="Q31" s="27">
        <f t="shared" si="2"/>
        <v>0</v>
      </c>
      <c r="R31" s="27">
        <f t="shared" si="3"/>
        <v>0</v>
      </c>
      <c r="S31" s="166">
        <f t="shared" si="4"/>
        <v>0</v>
      </c>
      <c r="T31" s="183">
        <f>INDEX('Resumo Produção'!U$3:U$53,MATCH($A31,[0]!PRODUTOS,0),1)+INDEX('[2]Resumo Produção'!U$3:U$53,MATCH($A31,[3]!PRODUTOS,0),1)</f>
        <v>0</v>
      </c>
      <c r="U31" s="184">
        <f>INDEX('Resumo Produção'!V$3:V$53,MATCH($A31,[0]!PRODUTOS,0),1)+INDEX('[2]Resumo Produção'!V$3:V$53,MATCH($A31,[3]!PRODUTOS,0),1)</f>
        <v>0</v>
      </c>
      <c r="V31" s="184">
        <f>INDEX('Resumo Produção'!W$3:W$53,MATCH($A31,[0]!PRODUTOS,0),1)+INDEX('[2]Resumo Produção'!W$3:W$53,MATCH($A31,[3]!PRODUTOS,0),1)</f>
        <v>0</v>
      </c>
      <c r="W31" s="184">
        <f>INDEX('Resumo Produção'!X$3:X$53,MATCH($A31,[0]!PRODUTOS,0),1)+INDEX('[2]Resumo Produção'!X$3:X$53,MATCH($A31,[3]!PRODUTOS,0),1)</f>
        <v>0</v>
      </c>
      <c r="X31" s="184">
        <f>INDEX('Resumo Produção'!Y$3:Y$53,MATCH($A31,[0]!PRODUTOS,0),1)+INDEX('[2]Resumo Produção'!Y$3:Y$53,MATCH($A31,[3]!PRODUTOS,0),1)</f>
        <v>0</v>
      </c>
      <c r="Y31" s="184">
        <f>INDEX('Resumo Produção'!Z$3:Z$53,MATCH($A31,[0]!PRODUTOS,0),1)+INDEX('[2]Resumo Produção'!Z$3:Z$53,MATCH($A31,[3]!PRODUTOS,0),1)</f>
        <v>0</v>
      </c>
      <c r="Z31" s="184">
        <f t="shared" si="5"/>
        <v>0</v>
      </c>
      <c r="AA31" s="184">
        <f t="shared" si="6"/>
        <v>0</v>
      </c>
      <c r="AB31" s="185">
        <f t="shared" si="7"/>
        <v>0</v>
      </c>
      <c r="AC31" s="28">
        <f t="shared" ref="AC31:AC60" si="71">K31+B31+T31</f>
        <v>0</v>
      </c>
      <c r="AD31" s="29">
        <f t="shared" ref="AD31:AD60" si="72">R31+I31+AA31</f>
        <v>0</v>
      </c>
      <c r="AE31" s="76">
        <f t="shared" ref="AE31:AE60" si="73">S31+J31+AB31</f>
        <v>0</v>
      </c>
      <c r="AF31" s="30">
        <f t="shared" ref="AF31:AF60" si="74">O31+F31+X31</f>
        <v>0</v>
      </c>
    </row>
    <row r="32" spans="1:32">
      <c r="A32" s="80" t="s">
        <v>65</v>
      </c>
      <c r="B32" s="23">
        <f>INDEX('Resumo Produção'!E$3:E$53,MATCH($A32,[0]!PRODUTOS,0),1)+INDEX('[2]Resumo Produção'!E$3:E$53,MATCH($A32,[3]!PRODUTOS,0),1)</f>
        <v>0</v>
      </c>
      <c r="C32" s="23">
        <f>INDEX('Resumo Produção'!F$3:F$53,MATCH($A32,[0]!PRODUTOS,0),1)+INDEX('[2]Resumo Produção'!F$3:F$53,MATCH($A32,[3]!PRODUTOS,0),1)</f>
        <v>0</v>
      </c>
      <c r="D32" s="23">
        <f>INDEX('Resumo Produção'!G$3:G$53,MATCH($A32,[0]!PRODUTOS,0),1)+INDEX('[2]Resumo Produção'!G$3:G$53,MATCH($A32,[3]!PRODUTOS,0),1)</f>
        <v>0</v>
      </c>
      <c r="E32" s="23">
        <f>INDEX('Resumo Produção'!H$3:H$53,MATCH($A32,[0]!PRODUTOS,0),1)+INDEX('[2]Resumo Produção'!H$3:H$53,MATCH($A32,[3]!PRODUTOS,0),1)</f>
        <v>0</v>
      </c>
      <c r="F32" s="23">
        <f>INDEX('Resumo Produção'!I$3:I$53,MATCH($A32,[0]!PRODUTOS,0),1)+INDEX('[2]Resumo Produção'!I$3:I$53,MATCH($A32,[3]!PRODUTOS,0),1)</f>
        <v>0</v>
      </c>
      <c r="G32" s="23">
        <f t="shared" si="15"/>
        <v>0</v>
      </c>
      <c r="H32" s="23">
        <f t="shared" si="16"/>
        <v>0</v>
      </c>
      <c r="I32" s="24">
        <f t="shared" si="0"/>
        <v>0</v>
      </c>
      <c r="J32" s="25">
        <f t="shared" si="1"/>
        <v>0</v>
      </c>
      <c r="K32" s="26">
        <f>INDEX('Resumo Produção'!M$3:M$53,MATCH($A32,[0]!PRODUTOS,0),1)+INDEX('[2]Resumo Produção'!M$3:M$55,MATCH($A32,[3]!PRODUTOS,0),1)</f>
        <v>0</v>
      </c>
      <c r="L32" s="27">
        <f>INDEX('Resumo Produção'!N$3:N$53,MATCH($A32,[0]!PRODUTOS,0),1)+INDEX('[2]Resumo Produção'!N$3:N$55,MATCH($A32,[3]!PRODUTOS,0),1)</f>
        <v>0</v>
      </c>
      <c r="M32" s="27">
        <f>INDEX('Resumo Produção'!O$3:O$53,MATCH($A32,[0]!PRODUTOS,0),1)+INDEX('[2]Resumo Produção'!O$3:O$55,MATCH($A32,[3]!PRODUTOS,0),1)</f>
        <v>0</v>
      </c>
      <c r="N32" s="27">
        <f>INDEX('Resumo Produção'!P$3:P$53,MATCH($A32,[0]!PRODUTOS,0),1)+INDEX('[2]Resumo Produção'!P$3:P$55,MATCH($A32,[3]!PRODUTOS,0),1)</f>
        <v>0</v>
      </c>
      <c r="O32" s="27">
        <f>INDEX('Resumo Produção'!Q$3:Q$53,MATCH($A32,[0]!PRODUTOS,0),1)+INDEX('[2]Resumo Produção'!Q$3:Q$55,MATCH($A32,[3]!PRODUTOS,0),1)</f>
        <v>0</v>
      </c>
      <c r="P32" s="27">
        <f t="shared" si="17"/>
        <v>0</v>
      </c>
      <c r="Q32" s="27">
        <f t="shared" si="2"/>
        <v>0</v>
      </c>
      <c r="R32" s="27">
        <f t="shared" si="3"/>
        <v>0</v>
      </c>
      <c r="S32" s="166">
        <f t="shared" si="4"/>
        <v>0</v>
      </c>
      <c r="T32" s="183">
        <f>INDEX('Resumo Produção'!U$3:U$53,MATCH($A32,[0]!PRODUTOS,0),1)+INDEX('[2]Resumo Produção'!U$3:U$53,MATCH($A32,[3]!PRODUTOS,0),1)</f>
        <v>0</v>
      </c>
      <c r="U32" s="184">
        <f>INDEX('Resumo Produção'!V$3:V$53,MATCH($A32,[0]!PRODUTOS,0),1)+INDEX('[2]Resumo Produção'!V$3:V$53,MATCH($A32,[3]!PRODUTOS,0),1)</f>
        <v>0</v>
      </c>
      <c r="V32" s="184">
        <f>INDEX('Resumo Produção'!W$3:W$53,MATCH($A32,[0]!PRODUTOS,0),1)+INDEX('[2]Resumo Produção'!W$3:W$53,MATCH($A32,[3]!PRODUTOS,0),1)</f>
        <v>0</v>
      </c>
      <c r="W32" s="184">
        <f>INDEX('Resumo Produção'!X$3:X$53,MATCH($A32,[0]!PRODUTOS,0),1)+INDEX('[2]Resumo Produção'!X$3:X$53,MATCH($A32,[3]!PRODUTOS,0),1)</f>
        <v>0</v>
      </c>
      <c r="X32" s="184">
        <f>INDEX('Resumo Produção'!Y$3:Y$53,MATCH($A32,[0]!PRODUTOS,0),1)+INDEX('[2]Resumo Produção'!Y$3:Y$53,MATCH($A32,[3]!PRODUTOS,0),1)</f>
        <v>0</v>
      </c>
      <c r="Y32" s="184">
        <f>INDEX('Resumo Produção'!Z$3:Z$53,MATCH($A32,[0]!PRODUTOS,0),1)+INDEX('[2]Resumo Produção'!Z$3:Z$53,MATCH($A32,[3]!PRODUTOS,0),1)</f>
        <v>0</v>
      </c>
      <c r="Z32" s="184">
        <f t="shared" si="5"/>
        <v>0</v>
      </c>
      <c r="AA32" s="184">
        <f t="shared" si="6"/>
        <v>0</v>
      </c>
      <c r="AB32" s="185">
        <f t="shared" si="7"/>
        <v>0</v>
      </c>
      <c r="AC32" s="28">
        <f t="shared" si="71"/>
        <v>0</v>
      </c>
      <c r="AD32" s="29">
        <f t="shared" si="72"/>
        <v>0</v>
      </c>
      <c r="AE32" s="76">
        <f t="shared" si="73"/>
        <v>0</v>
      </c>
      <c r="AF32" s="30">
        <f t="shared" si="74"/>
        <v>0</v>
      </c>
    </row>
    <row r="33" spans="1:32">
      <c r="A33" s="11" t="s">
        <v>63</v>
      </c>
      <c r="B33" s="23">
        <f>INDEX('Resumo Produção'!E$3:E$53,MATCH($A33,[0]!PRODUTOS,0),1)+INDEX('[2]Resumo Produção'!E$3:E$53,MATCH($A33,[3]!PRODUTOS,0),1)</f>
        <v>0</v>
      </c>
      <c r="C33" s="23">
        <f>INDEX('Resumo Produção'!F$3:F$53,MATCH($A33,[0]!PRODUTOS,0),1)+INDEX('[2]Resumo Produção'!F$3:F$53,MATCH($A33,[3]!PRODUTOS,0),1)</f>
        <v>0</v>
      </c>
      <c r="D33" s="23">
        <f>INDEX('Resumo Produção'!G$3:G$53,MATCH($A33,[0]!PRODUTOS,0),1)+INDEX('[2]Resumo Produção'!G$3:G$53,MATCH($A33,[3]!PRODUTOS,0),1)</f>
        <v>0</v>
      </c>
      <c r="E33" s="23">
        <f>INDEX('Resumo Produção'!H$3:H$53,MATCH($A33,[0]!PRODUTOS,0),1)+INDEX('[2]Resumo Produção'!H$3:H$53,MATCH($A33,[3]!PRODUTOS,0),1)</f>
        <v>0</v>
      </c>
      <c r="F33" s="23">
        <f>INDEX('Resumo Produção'!I$3:I$53,MATCH($A33,[0]!PRODUTOS,0),1)+INDEX('[2]Resumo Produção'!I$3:I$53,MATCH($A33,[3]!PRODUTOS,0),1)</f>
        <v>0</v>
      </c>
      <c r="G33" s="23">
        <f t="shared" si="15"/>
        <v>0</v>
      </c>
      <c r="H33" s="23">
        <f t="shared" si="16"/>
        <v>0</v>
      </c>
      <c r="I33" s="24">
        <f t="shared" si="0"/>
        <v>0</v>
      </c>
      <c r="J33" s="25">
        <f t="shared" si="1"/>
        <v>0</v>
      </c>
      <c r="K33" s="26">
        <f>INDEX('Resumo Produção'!M$3:M$53,MATCH($A33,[0]!PRODUTOS,0),1)+INDEX('[2]Resumo Produção'!M$3:M$55,MATCH($A33,[3]!PRODUTOS,0),1)</f>
        <v>0</v>
      </c>
      <c r="L33" s="27">
        <f>INDEX('Resumo Produção'!N$3:N$53,MATCH($A33,[0]!PRODUTOS,0),1)+INDEX('[2]Resumo Produção'!N$3:N$55,MATCH($A33,[3]!PRODUTOS,0),1)</f>
        <v>0</v>
      </c>
      <c r="M33" s="27">
        <f>INDEX('Resumo Produção'!O$3:O$53,MATCH($A33,[0]!PRODUTOS,0),1)+INDEX('[2]Resumo Produção'!O$3:O$55,MATCH($A33,[3]!PRODUTOS,0),1)</f>
        <v>0</v>
      </c>
      <c r="N33" s="27">
        <f>INDEX('Resumo Produção'!P$3:P$53,MATCH($A33,[0]!PRODUTOS,0),1)+INDEX('[2]Resumo Produção'!P$3:P$55,MATCH($A33,[3]!PRODUTOS,0),1)</f>
        <v>0</v>
      </c>
      <c r="O33" s="27">
        <f>INDEX('Resumo Produção'!Q$3:Q$53,MATCH($A33,[0]!PRODUTOS,0),1)+INDEX('[2]Resumo Produção'!Q$3:Q$55,MATCH($A33,[3]!PRODUTOS,0),1)</f>
        <v>0</v>
      </c>
      <c r="P33" s="27">
        <f t="shared" si="17"/>
        <v>0</v>
      </c>
      <c r="Q33" s="27">
        <f t="shared" si="2"/>
        <v>0</v>
      </c>
      <c r="R33" s="27">
        <f t="shared" si="3"/>
        <v>0</v>
      </c>
      <c r="S33" s="166">
        <f t="shared" si="4"/>
        <v>0</v>
      </c>
      <c r="T33" s="183">
        <f>INDEX('Resumo Produção'!U$3:U$53,MATCH($A33,[0]!PRODUTOS,0),1)+INDEX('[2]Resumo Produção'!U$3:U$53,MATCH($A33,[3]!PRODUTOS,0),1)</f>
        <v>0</v>
      </c>
      <c r="U33" s="184">
        <f>INDEX('Resumo Produção'!V$3:V$53,MATCH($A33,[0]!PRODUTOS,0),1)+INDEX('[2]Resumo Produção'!V$3:V$53,MATCH($A33,[3]!PRODUTOS,0),1)</f>
        <v>0</v>
      </c>
      <c r="V33" s="184">
        <f>INDEX('Resumo Produção'!W$3:W$53,MATCH($A33,[0]!PRODUTOS,0),1)+INDEX('[2]Resumo Produção'!W$3:W$53,MATCH($A33,[3]!PRODUTOS,0),1)</f>
        <v>0</v>
      </c>
      <c r="W33" s="184">
        <f>INDEX('Resumo Produção'!X$3:X$53,MATCH($A33,[0]!PRODUTOS,0),1)+INDEX('[2]Resumo Produção'!X$3:X$53,MATCH($A33,[3]!PRODUTOS,0),1)</f>
        <v>0</v>
      </c>
      <c r="X33" s="184">
        <f>INDEX('Resumo Produção'!Y$3:Y$53,MATCH($A33,[0]!PRODUTOS,0),1)+INDEX('[2]Resumo Produção'!Y$3:Y$53,MATCH($A33,[3]!PRODUTOS,0),1)</f>
        <v>0</v>
      </c>
      <c r="Y33" s="184">
        <f>INDEX('Resumo Produção'!Z$3:Z$53,MATCH($A33,[0]!PRODUTOS,0),1)+INDEX('[2]Resumo Produção'!Z$3:Z$53,MATCH($A33,[3]!PRODUTOS,0),1)</f>
        <v>0</v>
      </c>
      <c r="Z33" s="184">
        <f t="shared" si="5"/>
        <v>0</v>
      </c>
      <c r="AA33" s="184">
        <f t="shared" si="6"/>
        <v>0</v>
      </c>
      <c r="AB33" s="185">
        <f t="shared" si="7"/>
        <v>0</v>
      </c>
      <c r="AC33" s="28">
        <f t="shared" si="71"/>
        <v>0</v>
      </c>
      <c r="AD33" s="29">
        <f t="shared" si="72"/>
        <v>0</v>
      </c>
      <c r="AE33" s="76">
        <f t="shared" si="73"/>
        <v>0</v>
      </c>
      <c r="AF33" s="30">
        <f t="shared" si="74"/>
        <v>0</v>
      </c>
    </row>
    <row r="34" spans="1:32">
      <c r="A34" s="11" t="s">
        <v>80</v>
      </c>
      <c r="B34" s="23">
        <f>INDEX('Resumo Produção'!E$3:E$53,MATCH($A34,[0]!PRODUTOS,0),1)+INDEX('[2]Resumo Produção'!E$3:E$53,MATCH($A34,[3]!PRODUTOS,0),1)</f>
        <v>0</v>
      </c>
      <c r="C34" s="23">
        <f>INDEX('Resumo Produção'!F$3:F$53,MATCH($A34,[0]!PRODUTOS,0),1)+INDEX('[2]Resumo Produção'!F$3:F$53,MATCH($A34,[3]!PRODUTOS,0),1)</f>
        <v>0</v>
      </c>
      <c r="D34" s="23">
        <f>INDEX('Resumo Produção'!G$3:G$53,MATCH($A34,[0]!PRODUTOS,0),1)+INDEX('[2]Resumo Produção'!G$3:G$53,MATCH($A34,[3]!PRODUTOS,0),1)</f>
        <v>0</v>
      </c>
      <c r="E34" s="23">
        <f>INDEX('Resumo Produção'!H$3:H$53,MATCH($A34,[0]!PRODUTOS,0),1)+INDEX('[2]Resumo Produção'!H$3:H$53,MATCH($A34,[3]!PRODUTOS,0),1)</f>
        <v>0</v>
      </c>
      <c r="F34" s="23">
        <f>INDEX('Resumo Produção'!I$3:I$53,MATCH($A34,[0]!PRODUTOS,0),1)+INDEX('[2]Resumo Produção'!I$3:I$53,MATCH($A34,[3]!PRODUTOS,0),1)</f>
        <v>0</v>
      </c>
      <c r="G34" s="23">
        <f t="shared" si="15"/>
        <v>0</v>
      </c>
      <c r="H34" s="23">
        <f t="shared" si="16"/>
        <v>0</v>
      </c>
      <c r="I34" s="24">
        <f t="shared" si="0"/>
        <v>0</v>
      </c>
      <c r="J34" s="25">
        <f t="shared" si="1"/>
        <v>0</v>
      </c>
      <c r="K34" s="26">
        <f>INDEX('Resumo Produção'!M$3:M$53,MATCH($A34,[0]!PRODUTOS,0),1)+INDEX('[2]Resumo Produção'!M$3:M$55,MATCH($A34,[3]!PRODUTOS,0),1)</f>
        <v>0</v>
      </c>
      <c r="L34" s="27">
        <f>INDEX('Resumo Produção'!N$3:N$53,MATCH($A34,[0]!PRODUTOS,0),1)+INDEX('[2]Resumo Produção'!N$3:N$55,MATCH($A34,[3]!PRODUTOS,0),1)</f>
        <v>0</v>
      </c>
      <c r="M34" s="27">
        <f>INDEX('Resumo Produção'!O$3:O$53,MATCH($A34,[0]!PRODUTOS,0),1)+INDEX('[2]Resumo Produção'!O$3:O$55,MATCH($A34,[3]!PRODUTOS,0),1)</f>
        <v>0</v>
      </c>
      <c r="N34" s="27">
        <f>INDEX('Resumo Produção'!P$3:P$53,MATCH($A34,[0]!PRODUTOS,0),1)+INDEX('[2]Resumo Produção'!P$3:P$55,MATCH($A34,[3]!PRODUTOS,0),1)</f>
        <v>0</v>
      </c>
      <c r="O34" s="27">
        <f>INDEX('Resumo Produção'!Q$3:Q$53,MATCH($A34,[0]!PRODUTOS,0),1)+INDEX('[2]Resumo Produção'!Q$3:Q$55,MATCH($A34,[3]!PRODUTOS,0),1)</f>
        <v>0</v>
      </c>
      <c r="P34" s="27">
        <f t="shared" si="17"/>
        <v>0</v>
      </c>
      <c r="Q34" s="27">
        <f t="shared" si="2"/>
        <v>0</v>
      </c>
      <c r="R34" s="27">
        <f t="shared" si="3"/>
        <v>0</v>
      </c>
      <c r="S34" s="166">
        <f t="shared" si="4"/>
        <v>0</v>
      </c>
      <c r="T34" s="183">
        <f>INDEX('Resumo Produção'!U$3:U$53,MATCH($A34,[0]!PRODUTOS,0),1)+INDEX('[2]Resumo Produção'!U$3:U$53,MATCH($A34,[3]!PRODUTOS,0),1)</f>
        <v>0</v>
      </c>
      <c r="U34" s="184">
        <f>INDEX('Resumo Produção'!V$3:V$53,MATCH($A34,[0]!PRODUTOS,0),1)+INDEX('[2]Resumo Produção'!V$3:V$53,MATCH($A34,[3]!PRODUTOS,0),1)</f>
        <v>0</v>
      </c>
      <c r="V34" s="184">
        <f>INDEX('Resumo Produção'!W$3:W$53,MATCH($A34,[0]!PRODUTOS,0),1)+INDEX('[2]Resumo Produção'!W$3:W$53,MATCH($A34,[3]!PRODUTOS,0),1)</f>
        <v>0</v>
      </c>
      <c r="W34" s="184">
        <f>INDEX('Resumo Produção'!X$3:X$53,MATCH($A34,[0]!PRODUTOS,0),1)+INDEX('[2]Resumo Produção'!X$3:X$53,MATCH($A34,[3]!PRODUTOS,0),1)</f>
        <v>0</v>
      </c>
      <c r="X34" s="184">
        <f>INDEX('Resumo Produção'!Y$3:Y$53,MATCH($A34,[0]!PRODUTOS,0),1)+INDEX('[2]Resumo Produção'!Y$3:Y$53,MATCH($A34,[3]!PRODUTOS,0),1)</f>
        <v>0</v>
      </c>
      <c r="Y34" s="184">
        <f>INDEX('Resumo Produção'!Z$3:Z$53,MATCH($A34,[0]!PRODUTOS,0),1)+INDEX('[2]Resumo Produção'!Z$3:Z$53,MATCH($A34,[3]!PRODUTOS,0),1)</f>
        <v>0</v>
      </c>
      <c r="Z34" s="184">
        <f t="shared" si="5"/>
        <v>0</v>
      </c>
      <c r="AA34" s="184">
        <f t="shared" si="6"/>
        <v>0</v>
      </c>
      <c r="AB34" s="185">
        <f t="shared" si="7"/>
        <v>0</v>
      </c>
      <c r="AC34" s="28">
        <f t="shared" si="71"/>
        <v>0</v>
      </c>
      <c r="AD34" s="29">
        <f t="shared" si="72"/>
        <v>0</v>
      </c>
      <c r="AE34" s="76">
        <f t="shared" si="73"/>
        <v>0</v>
      </c>
      <c r="AF34" s="30">
        <f t="shared" si="74"/>
        <v>0</v>
      </c>
    </row>
    <row r="35" spans="1:32">
      <c r="A35" s="11" t="s">
        <v>81</v>
      </c>
      <c r="B35" s="23">
        <f>INDEX('Resumo Produção'!E$3:E$53,MATCH($A35,[0]!PRODUTOS,0),1)+INDEX('[2]Resumo Produção'!E$3:E$53,MATCH($A35,[3]!PRODUTOS,0),1)</f>
        <v>0</v>
      </c>
      <c r="C35" s="23">
        <f>INDEX('Resumo Produção'!F$3:F$53,MATCH($A35,[0]!PRODUTOS,0),1)+INDEX('[2]Resumo Produção'!F$3:F$53,MATCH($A35,[3]!PRODUTOS,0),1)</f>
        <v>0</v>
      </c>
      <c r="D35" s="23">
        <f>INDEX('Resumo Produção'!G$3:G$53,MATCH($A35,[0]!PRODUTOS,0),1)+INDEX('[2]Resumo Produção'!G$3:G$53,MATCH($A35,[3]!PRODUTOS,0),1)</f>
        <v>0</v>
      </c>
      <c r="E35" s="23">
        <f>INDEX('Resumo Produção'!H$3:H$53,MATCH($A35,[0]!PRODUTOS,0),1)+INDEX('[2]Resumo Produção'!H$3:H$53,MATCH($A35,[3]!PRODUTOS,0),1)</f>
        <v>0</v>
      </c>
      <c r="F35" s="23">
        <f>INDEX('Resumo Produção'!I$3:I$53,MATCH($A35,[0]!PRODUTOS,0),1)+INDEX('[2]Resumo Produção'!I$3:I$53,MATCH($A35,[3]!PRODUTOS,0),1)</f>
        <v>0</v>
      </c>
      <c r="G35" s="23">
        <f t="shared" si="15"/>
        <v>0</v>
      </c>
      <c r="H35" s="23">
        <f t="shared" si="16"/>
        <v>0</v>
      </c>
      <c r="I35" s="24">
        <f t="shared" si="0"/>
        <v>0</v>
      </c>
      <c r="J35" s="25">
        <f t="shared" si="1"/>
        <v>0</v>
      </c>
      <c r="K35" s="26">
        <f>INDEX('Resumo Produção'!M$3:M$53,MATCH($A35,[0]!PRODUTOS,0),1)+INDEX('[2]Resumo Produção'!M$3:M$55,MATCH($A35,[3]!PRODUTOS,0),1)</f>
        <v>0</v>
      </c>
      <c r="L35" s="27">
        <f>INDEX('Resumo Produção'!N$3:N$53,MATCH($A35,[0]!PRODUTOS,0),1)+INDEX('[2]Resumo Produção'!N$3:N$55,MATCH($A35,[3]!PRODUTOS,0),1)</f>
        <v>0</v>
      </c>
      <c r="M35" s="27">
        <f>INDEX('Resumo Produção'!O$3:O$53,MATCH($A35,[0]!PRODUTOS,0),1)+INDEX('[2]Resumo Produção'!O$3:O$55,MATCH($A35,[3]!PRODUTOS,0),1)</f>
        <v>0</v>
      </c>
      <c r="N35" s="27">
        <f>INDEX('Resumo Produção'!P$3:P$53,MATCH($A35,[0]!PRODUTOS,0),1)+INDEX('[2]Resumo Produção'!P$3:P$55,MATCH($A35,[3]!PRODUTOS,0),1)</f>
        <v>0</v>
      </c>
      <c r="O35" s="27">
        <f>INDEX('Resumo Produção'!Q$3:Q$53,MATCH($A35,[0]!PRODUTOS,0),1)+INDEX('[2]Resumo Produção'!Q$3:Q$55,MATCH($A35,[3]!PRODUTOS,0),1)</f>
        <v>0</v>
      </c>
      <c r="P35" s="27">
        <f t="shared" si="17"/>
        <v>0</v>
      </c>
      <c r="Q35" s="27">
        <f t="shared" si="2"/>
        <v>0</v>
      </c>
      <c r="R35" s="27">
        <f t="shared" si="3"/>
        <v>0</v>
      </c>
      <c r="S35" s="166">
        <f t="shared" si="4"/>
        <v>0</v>
      </c>
      <c r="T35" s="183">
        <f>INDEX('Resumo Produção'!U$3:U$53,MATCH($A35,[0]!PRODUTOS,0),1)+INDEX('[2]Resumo Produção'!U$3:U$53,MATCH($A35,[3]!PRODUTOS,0),1)</f>
        <v>0</v>
      </c>
      <c r="U35" s="184">
        <f>INDEX('Resumo Produção'!V$3:V$53,MATCH($A35,[0]!PRODUTOS,0),1)+INDEX('[2]Resumo Produção'!V$3:V$53,MATCH($A35,[3]!PRODUTOS,0),1)</f>
        <v>0</v>
      </c>
      <c r="V35" s="184">
        <f>INDEX('Resumo Produção'!W$3:W$53,MATCH($A35,[0]!PRODUTOS,0),1)+INDEX('[2]Resumo Produção'!W$3:W$53,MATCH($A35,[3]!PRODUTOS,0),1)</f>
        <v>0</v>
      </c>
      <c r="W35" s="184">
        <f>INDEX('Resumo Produção'!X$3:X$53,MATCH($A35,[0]!PRODUTOS,0),1)+INDEX('[2]Resumo Produção'!X$3:X$53,MATCH($A35,[3]!PRODUTOS,0),1)</f>
        <v>0</v>
      </c>
      <c r="X35" s="184">
        <f>INDEX('Resumo Produção'!Y$3:Y$53,MATCH($A35,[0]!PRODUTOS,0),1)+INDEX('[2]Resumo Produção'!Y$3:Y$53,MATCH($A35,[3]!PRODUTOS,0),1)</f>
        <v>0</v>
      </c>
      <c r="Y35" s="184">
        <f>INDEX('Resumo Produção'!Z$3:Z$53,MATCH($A35,[0]!PRODUTOS,0),1)+INDEX('[2]Resumo Produção'!Z$3:Z$53,MATCH($A35,[3]!PRODUTOS,0),1)</f>
        <v>0</v>
      </c>
      <c r="Z35" s="184">
        <f t="shared" si="5"/>
        <v>0</v>
      </c>
      <c r="AA35" s="184">
        <f t="shared" si="6"/>
        <v>0</v>
      </c>
      <c r="AB35" s="185">
        <f t="shared" si="7"/>
        <v>0</v>
      </c>
      <c r="AC35" s="28">
        <f t="shared" si="71"/>
        <v>0</v>
      </c>
      <c r="AD35" s="29">
        <f t="shared" si="72"/>
        <v>0</v>
      </c>
      <c r="AE35" s="76">
        <f t="shared" si="73"/>
        <v>0</v>
      </c>
      <c r="AF35" s="30">
        <f t="shared" si="74"/>
        <v>0</v>
      </c>
    </row>
    <row r="36" spans="1:32">
      <c r="A36" s="80" t="s">
        <v>108</v>
      </c>
      <c r="B36" s="23">
        <f>INDEX('Resumo Produção'!E$3:E$53,MATCH($A36,[0]!PRODUTOS,0),1)+INDEX('[2]Resumo Produção'!E$3:E$53,MATCH($A36,[3]!PRODUTOS,0),1)</f>
        <v>0</v>
      </c>
      <c r="C36" s="23">
        <f>INDEX('Resumo Produção'!F$3:F$53,MATCH($A36,[0]!PRODUTOS,0),1)+INDEX('[2]Resumo Produção'!F$3:F$53,MATCH($A36,[3]!PRODUTOS,0),1)</f>
        <v>0</v>
      </c>
      <c r="D36" s="23">
        <f>INDEX('Resumo Produção'!G$3:G$53,MATCH($A36,[0]!PRODUTOS,0),1)+INDEX('[2]Resumo Produção'!G$3:G$53,MATCH($A36,[3]!PRODUTOS,0),1)</f>
        <v>0</v>
      </c>
      <c r="E36" s="23">
        <f>INDEX('Resumo Produção'!H$3:H$53,MATCH($A36,[0]!PRODUTOS,0),1)+INDEX('[2]Resumo Produção'!H$3:H$53,MATCH($A36,[3]!PRODUTOS,0),1)</f>
        <v>0</v>
      </c>
      <c r="F36" s="23">
        <f>INDEX('Resumo Produção'!I$3:I$53,MATCH($A36,[0]!PRODUTOS,0),1)+INDEX('[2]Resumo Produção'!I$3:I$53,MATCH($A36,[3]!PRODUTOS,0),1)</f>
        <v>0</v>
      </c>
      <c r="G36" s="23">
        <f t="shared" ref="G36" si="75">SUM(C36:F36)</f>
        <v>0</v>
      </c>
      <c r="H36" s="23">
        <f t="shared" ref="H36" si="76">IF(ISERR(G36/B36),0,G36/B36*1000000)</f>
        <v>0</v>
      </c>
      <c r="I36" s="24">
        <f t="shared" ref="I36" si="77">D36+E36</f>
        <v>0</v>
      </c>
      <c r="J36" s="25">
        <f t="shared" ref="J36" si="78">C36+E36</f>
        <v>0</v>
      </c>
      <c r="K36" s="26">
        <f>INDEX('Resumo Produção'!M$3:M$53,MATCH($A36,[0]!PRODUTOS,0),1)+INDEX('[2]Resumo Produção'!M$3:M$55,MATCH($A36,[3]!PRODUTOS,0),1)</f>
        <v>0</v>
      </c>
      <c r="L36" s="27">
        <f>INDEX('Resumo Produção'!N$3:N$53,MATCH($A36,[0]!PRODUTOS,0),1)+INDEX('[2]Resumo Produção'!N$3:N$55,MATCH($A36,[3]!PRODUTOS,0),1)</f>
        <v>0</v>
      </c>
      <c r="M36" s="27">
        <f>INDEX('Resumo Produção'!O$3:O$53,MATCH($A36,[0]!PRODUTOS,0),1)+INDEX('[2]Resumo Produção'!O$3:O$55,MATCH($A36,[3]!PRODUTOS,0),1)</f>
        <v>0</v>
      </c>
      <c r="N36" s="27">
        <f>INDEX('Resumo Produção'!P$3:P$53,MATCH($A36,[0]!PRODUTOS,0),1)+INDEX('[2]Resumo Produção'!P$3:P$55,MATCH($A36,[3]!PRODUTOS,0),1)</f>
        <v>0</v>
      </c>
      <c r="O36" s="27">
        <f>INDEX('Resumo Produção'!Q$3:Q$53,MATCH($A36,[0]!PRODUTOS,0),1)+INDEX('[2]Resumo Produção'!Q$3:Q$55,MATCH($A36,[3]!PRODUTOS,0),1)</f>
        <v>0</v>
      </c>
      <c r="P36" s="27">
        <f t="shared" ref="P36" si="79">SUM(L36:O36)</f>
        <v>0</v>
      </c>
      <c r="Q36" s="27">
        <f t="shared" ref="Q36" si="80">(IF(ISERR(P36/K36),,P36/K36*100))*10000</f>
        <v>0</v>
      </c>
      <c r="R36" s="27">
        <f t="shared" ref="R36" si="81">M36+N36</f>
        <v>0</v>
      </c>
      <c r="S36" s="166">
        <f t="shared" ref="S36" si="82">L36+N36</f>
        <v>0</v>
      </c>
      <c r="T36" s="183">
        <f>INDEX('Resumo Produção'!U$3:U$53,MATCH($A36,[0]!PRODUTOS,0),1)+INDEX('[2]Resumo Produção'!U$3:U$53,MATCH($A36,[3]!PRODUTOS,0),1)</f>
        <v>5010</v>
      </c>
      <c r="U36" s="184">
        <f>INDEX('Resumo Produção'!V$3:V$53,MATCH($A36,[0]!PRODUTOS,0),1)+INDEX('[2]Resumo Produção'!V$3:V$53,MATCH($A36,[3]!PRODUTOS,0),1)</f>
        <v>0</v>
      </c>
      <c r="V36" s="184">
        <f>INDEX('Resumo Produção'!W$3:W$53,MATCH($A36,[0]!PRODUTOS,0),1)+INDEX('[2]Resumo Produção'!W$3:W$53,MATCH($A36,[3]!PRODUTOS,0),1)</f>
        <v>0</v>
      </c>
      <c r="W36" s="184">
        <f>INDEX('Resumo Produção'!X$3:X$53,MATCH($A36,[0]!PRODUTOS,0),1)+INDEX('[2]Resumo Produção'!X$3:X$53,MATCH($A36,[3]!PRODUTOS,0),1)</f>
        <v>10</v>
      </c>
      <c r="X36" s="184">
        <f>INDEX('Resumo Produção'!Y$3:Y$53,MATCH($A36,[0]!PRODUTOS,0),1)+INDEX('[2]Resumo Produção'!Y$3:Y$53,MATCH($A36,[3]!PRODUTOS,0),1)</f>
        <v>0</v>
      </c>
      <c r="Y36" s="184">
        <f>INDEX('Resumo Produção'!Z$3:Z$53,MATCH($A36,[0]!PRODUTOS,0),1)+INDEX('[2]Resumo Produção'!Z$3:Z$53,MATCH($A36,[3]!PRODUTOS,0),1)</f>
        <v>10</v>
      </c>
      <c r="Z36" s="184">
        <f t="shared" ref="Z36" si="83">(IF(ISERR(Y36/T36),,Y36/T36*100))*10000</f>
        <v>1996.0079840319358</v>
      </c>
      <c r="AA36" s="184">
        <f t="shared" ref="AA36" si="84">V36+W36</f>
        <v>10</v>
      </c>
      <c r="AB36" s="185">
        <f t="shared" ref="AB36" si="85">U36+W36</f>
        <v>10</v>
      </c>
      <c r="AC36" s="28">
        <f t="shared" ref="AC36" si="86">K36+B36+T36</f>
        <v>5010</v>
      </c>
      <c r="AD36" s="29">
        <f t="shared" ref="AD36" si="87">R36+I36+AA36</f>
        <v>10</v>
      </c>
      <c r="AE36" s="76">
        <f t="shared" ref="AE36" si="88">S36+J36+AB36</f>
        <v>10</v>
      </c>
      <c r="AF36" s="30">
        <f t="shared" ref="AF36" si="89">O36+F36+X36</f>
        <v>0</v>
      </c>
    </row>
    <row r="37" spans="1:32">
      <c r="A37" s="80" t="s">
        <v>91</v>
      </c>
      <c r="B37" s="23">
        <f>INDEX('Resumo Produção'!E$3:E$53,MATCH($A37,[0]!PRODUTOS,0),1)+INDEX('[2]Resumo Produção'!E$3:E$53,MATCH($A37,[3]!PRODUTOS,0),1)</f>
        <v>0</v>
      </c>
      <c r="C37" s="23">
        <f>INDEX('Resumo Produção'!F$3:F$53,MATCH($A37,[0]!PRODUTOS,0),1)+INDEX('[2]Resumo Produção'!F$3:F$53,MATCH($A37,[3]!PRODUTOS,0),1)</f>
        <v>0</v>
      </c>
      <c r="D37" s="23">
        <f>INDEX('Resumo Produção'!G$3:G$53,MATCH($A37,[0]!PRODUTOS,0),1)+INDEX('[2]Resumo Produção'!G$3:G$53,MATCH($A37,[3]!PRODUTOS,0),1)</f>
        <v>0</v>
      </c>
      <c r="E37" s="23">
        <f>INDEX('Resumo Produção'!H$3:H$53,MATCH($A37,[0]!PRODUTOS,0),1)+INDEX('[2]Resumo Produção'!H$3:H$53,MATCH($A37,[3]!PRODUTOS,0),1)</f>
        <v>0</v>
      </c>
      <c r="F37" s="23">
        <f>INDEX('Resumo Produção'!I$3:I$53,MATCH($A37,[0]!PRODUTOS,0),1)+INDEX('[2]Resumo Produção'!I$3:I$53,MATCH($A37,[3]!PRODUTOS,0),1)</f>
        <v>0</v>
      </c>
      <c r="G37" s="23">
        <f t="shared" si="15"/>
        <v>0</v>
      </c>
      <c r="H37" s="23">
        <f t="shared" si="16"/>
        <v>0</v>
      </c>
      <c r="I37" s="24">
        <f t="shared" si="0"/>
        <v>0</v>
      </c>
      <c r="J37" s="25">
        <f t="shared" si="1"/>
        <v>0</v>
      </c>
      <c r="K37" s="26">
        <f>INDEX('Resumo Produção'!M$3:M$53,MATCH($A37,[0]!PRODUTOS,0),1)+INDEX('[2]Resumo Produção'!M$3:M$55,MATCH($A37,[3]!PRODUTOS,0),1)</f>
        <v>0</v>
      </c>
      <c r="L37" s="27">
        <f>INDEX('Resumo Produção'!N$3:N$53,MATCH($A37,[0]!PRODUTOS,0),1)+INDEX('[2]Resumo Produção'!N$3:N$55,MATCH($A37,[3]!PRODUTOS,0),1)</f>
        <v>0</v>
      </c>
      <c r="M37" s="27">
        <f>INDEX('Resumo Produção'!O$3:O$53,MATCH($A37,[0]!PRODUTOS,0),1)+INDEX('[2]Resumo Produção'!O$3:O$55,MATCH($A37,[3]!PRODUTOS,0),1)</f>
        <v>0</v>
      </c>
      <c r="N37" s="27">
        <f>INDEX('Resumo Produção'!P$3:P$53,MATCH($A37,[0]!PRODUTOS,0),1)+INDEX('[2]Resumo Produção'!P$3:P$55,MATCH($A37,[3]!PRODUTOS,0),1)</f>
        <v>0</v>
      </c>
      <c r="O37" s="27">
        <f>INDEX('Resumo Produção'!Q$3:Q$53,MATCH($A37,[0]!PRODUTOS,0),1)+INDEX('[2]Resumo Produção'!Q$3:Q$55,MATCH($A37,[3]!PRODUTOS,0),1)</f>
        <v>0</v>
      </c>
      <c r="P37" s="27">
        <f t="shared" si="17"/>
        <v>0</v>
      </c>
      <c r="Q37" s="27">
        <f t="shared" si="2"/>
        <v>0</v>
      </c>
      <c r="R37" s="27">
        <f t="shared" si="3"/>
        <v>0</v>
      </c>
      <c r="S37" s="166">
        <f t="shared" si="4"/>
        <v>0</v>
      </c>
      <c r="T37" s="183">
        <f>INDEX('Resumo Produção'!U$3:U$53,MATCH($A37,[0]!PRODUTOS,0),1)+INDEX('[2]Resumo Produção'!U$3:U$53,MATCH($A37,[3]!PRODUTOS,0),1)</f>
        <v>0</v>
      </c>
      <c r="U37" s="184">
        <f>INDEX('Resumo Produção'!V$3:V$53,MATCH($A37,[0]!PRODUTOS,0),1)+INDEX('[2]Resumo Produção'!V$3:V$53,MATCH($A37,[3]!PRODUTOS,0),1)</f>
        <v>0</v>
      </c>
      <c r="V37" s="184">
        <f>INDEX('Resumo Produção'!W$3:W$53,MATCH($A37,[0]!PRODUTOS,0),1)+INDEX('[2]Resumo Produção'!W$3:W$53,MATCH($A37,[3]!PRODUTOS,0),1)</f>
        <v>0</v>
      </c>
      <c r="W37" s="184">
        <f>INDEX('Resumo Produção'!X$3:X$53,MATCH($A37,[0]!PRODUTOS,0),1)+INDEX('[2]Resumo Produção'!X$3:X$53,MATCH($A37,[3]!PRODUTOS,0),1)</f>
        <v>0</v>
      </c>
      <c r="X37" s="184">
        <f>INDEX('Resumo Produção'!Y$3:Y$53,MATCH($A37,[0]!PRODUTOS,0),1)+INDEX('[2]Resumo Produção'!Y$3:Y$53,MATCH($A37,[3]!PRODUTOS,0),1)</f>
        <v>0</v>
      </c>
      <c r="Y37" s="184">
        <f>INDEX('Resumo Produção'!Z$3:Z$53,MATCH($A37,[0]!PRODUTOS,0),1)+INDEX('[2]Resumo Produção'!Z$3:Z$53,MATCH($A37,[3]!PRODUTOS,0),1)</f>
        <v>0</v>
      </c>
      <c r="Z37" s="184">
        <f t="shared" si="5"/>
        <v>0</v>
      </c>
      <c r="AA37" s="184">
        <f t="shared" si="6"/>
        <v>0</v>
      </c>
      <c r="AB37" s="185">
        <f t="shared" si="7"/>
        <v>0</v>
      </c>
      <c r="AC37" s="28">
        <f t="shared" si="71"/>
        <v>0</v>
      </c>
      <c r="AD37" s="29">
        <f t="shared" si="72"/>
        <v>0</v>
      </c>
      <c r="AE37" s="76">
        <f t="shared" si="73"/>
        <v>0</v>
      </c>
      <c r="AF37" s="30">
        <f t="shared" si="74"/>
        <v>0</v>
      </c>
    </row>
    <row r="38" spans="1:32">
      <c r="A38" s="11" t="s">
        <v>82</v>
      </c>
      <c r="B38" s="23">
        <f>INDEX('Resumo Produção'!E$3:E$53,MATCH($A38,[0]!PRODUTOS,0),1)+INDEX('[2]Resumo Produção'!E$3:E$53,MATCH($A38,[3]!PRODUTOS,0),1)</f>
        <v>0</v>
      </c>
      <c r="C38" s="23">
        <f>INDEX('Resumo Produção'!F$3:F$53,MATCH($A38,[0]!PRODUTOS,0),1)+INDEX('[2]Resumo Produção'!F$3:F$53,MATCH($A38,[3]!PRODUTOS,0),1)</f>
        <v>0</v>
      </c>
      <c r="D38" s="23">
        <f>INDEX('Resumo Produção'!G$3:G$53,MATCH($A38,[0]!PRODUTOS,0),1)+INDEX('[2]Resumo Produção'!G$3:G$53,MATCH($A38,[3]!PRODUTOS,0),1)</f>
        <v>0</v>
      </c>
      <c r="E38" s="23">
        <f>INDEX('Resumo Produção'!H$3:H$53,MATCH($A38,[0]!PRODUTOS,0),1)+INDEX('[2]Resumo Produção'!H$3:H$53,MATCH($A38,[3]!PRODUTOS,0),1)</f>
        <v>0</v>
      </c>
      <c r="F38" s="23">
        <f>INDEX('Resumo Produção'!I$3:I$53,MATCH($A38,[0]!PRODUTOS,0),1)+INDEX('[2]Resumo Produção'!I$3:I$53,MATCH($A38,[3]!PRODUTOS,0),1)</f>
        <v>0</v>
      </c>
      <c r="G38" s="23">
        <f t="shared" si="15"/>
        <v>0</v>
      </c>
      <c r="H38" s="23">
        <f t="shared" si="16"/>
        <v>0</v>
      </c>
      <c r="I38" s="24">
        <f t="shared" si="0"/>
        <v>0</v>
      </c>
      <c r="J38" s="25">
        <f t="shared" si="1"/>
        <v>0</v>
      </c>
      <c r="K38" s="26">
        <f>INDEX('Resumo Produção'!M$3:M$53,MATCH($A38,[0]!PRODUTOS,0),1)+INDEX('[2]Resumo Produção'!M$3:M$55,MATCH($A38,[3]!PRODUTOS,0),1)</f>
        <v>0</v>
      </c>
      <c r="L38" s="27">
        <f>INDEX('Resumo Produção'!N$3:N$53,MATCH($A38,[0]!PRODUTOS,0),1)+INDEX('[2]Resumo Produção'!N$3:N$55,MATCH($A38,[3]!PRODUTOS,0),1)</f>
        <v>0</v>
      </c>
      <c r="M38" s="27">
        <f>INDEX('Resumo Produção'!O$3:O$53,MATCH($A38,[0]!PRODUTOS,0),1)+INDEX('[2]Resumo Produção'!O$3:O$55,MATCH($A38,[3]!PRODUTOS,0),1)</f>
        <v>0</v>
      </c>
      <c r="N38" s="27">
        <f>INDEX('Resumo Produção'!P$3:P$53,MATCH($A38,[0]!PRODUTOS,0),1)+INDEX('[2]Resumo Produção'!P$3:P$55,MATCH($A38,[3]!PRODUTOS,0),1)</f>
        <v>0</v>
      </c>
      <c r="O38" s="27">
        <f>INDEX('Resumo Produção'!Q$3:Q$53,MATCH($A38,[0]!PRODUTOS,0),1)+INDEX('[2]Resumo Produção'!Q$3:Q$55,MATCH($A38,[3]!PRODUTOS,0),1)</f>
        <v>0</v>
      </c>
      <c r="P38" s="27">
        <f t="shared" si="17"/>
        <v>0</v>
      </c>
      <c r="Q38" s="27">
        <f t="shared" si="2"/>
        <v>0</v>
      </c>
      <c r="R38" s="27">
        <f t="shared" si="3"/>
        <v>0</v>
      </c>
      <c r="S38" s="166">
        <f t="shared" si="4"/>
        <v>0</v>
      </c>
      <c r="T38" s="183">
        <f>INDEX('Resumo Produção'!U$3:U$53,MATCH($A38,[0]!PRODUTOS,0),1)+INDEX('[2]Resumo Produção'!U$3:U$53,MATCH($A38,[3]!PRODUTOS,0),1)</f>
        <v>0</v>
      </c>
      <c r="U38" s="184">
        <f>INDEX('Resumo Produção'!V$3:V$53,MATCH($A38,[0]!PRODUTOS,0),1)+INDEX('[2]Resumo Produção'!V$3:V$53,MATCH($A38,[3]!PRODUTOS,0),1)</f>
        <v>0</v>
      </c>
      <c r="V38" s="184">
        <f>INDEX('Resumo Produção'!W$3:W$53,MATCH($A38,[0]!PRODUTOS,0),1)+INDEX('[2]Resumo Produção'!W$3:W$53,MATCH($A38,[3]!PRODUTOS,0),1)</f>
        <v>0</v>
      </c>
      <c r="W38" s="184">
        <f>INDEX('Resumo Produção'!X$3:X$53,MATCH($A38,[0]!PRODUTOS,0),1)+INDEX('[2]Resumo Produção'!X$3:X$53,MATCH($A38,[3]!PRODUTOS,0),1)</f>
        <v>0</v>
      </c>
      <c r="X38" s="184">
        <f>INDEX('Resumo Produção'!Y$3:Y$53,MATCH($A38,[0]!PRODUTOS,0),1)+INDEX('[2]Resumo Produção'!Y$3:Y$53,MATCH($A38,[3]!PRODUTOS,0),1)</f>
        <v>0</v>
      </c>
      <c r="Y38" s="184">
        <f>INDEX('Resumo Produção'!Z$3:Z$53,MATCH($A38,[0]!PRODUTOS,0),1)+INDEX('[2]Resumo Produção'!Z$3:Z$53,MATCH($A38,[3]!PRODUTOS,0),1)</f>
        <v>0</v>
      </c>
      <c r="Z38" s="184">
        <f t="shared" si="5"/>
        <v>0</v>
      </c>
      <c r="AA38" s="184">
        <f t="shared" si="6"/>
        <v>0</v>
      </c>
      <c r="AB38" s="185">
        <f t="shared" si="7"/>
        <v>0</v>
      </c>
      <c r="AC38" s="28">
        <f t="shared" si="71"/>
        <v>0</v>
      </c>
      <c r="AD38" s="29">
        <f t="shared" si="72"/>
        <v>0</v>
      </c>
      <c r="AE38" s="76">
        <f t="shared" si="73"/>
        <v>0</v>
      </c>
      <c r="AF38" s="30">
        <f t="shared" si="74"/>
        <v>0</v>
      </c>
    </row>
    <row r="39" spans="1:32">
      <c r="A39" s="11" t="s">
        <v>83</v>
      </c>
      <c r="B39" s="23">
        <f>INDEX('Resumo Produção'!E$3:E$53,MATCH($A39,[0]!PRODUTOS,0),1)+INDEX('[2]Resumo Produção'!E$3:E$53,MATCH($A39,[3]!PRODUTOS,0),1)</f>
        <v>0</v>
      </c>
      <c r="C39" s="23">
        <f>INDEX('Resumo Produção'!F$3:F$53,MATCH($A39,[0]!PRODUTOS,0),1)+INDEX('[2]Resumo Produção'!F$3:F$53,MATCH($A39,[3]!PRODUTOS,0),1)</f>
        <v>0</v>
      </c>
      <c r="D39" s="23">
        <f>INDEX('Resumo Produção'!G$3:G$53,MATCH($A39,[0]!PRODUTOS,0),1)+INDEX('[2]Resumo Produção'!G$3:G$53,MATCH($A39,[3]!PRODUTOS,0),1)</f>
        <v>0</v>
      </c>
      <c r="E39" s="23">
        <f>INDEX('Resumo Produção'!H$3:H$53,MATCH($A39,[0]!PRODUTOS,0),1)+INDEX('[2]Resumo Produção'!H$3:H$53,MATCH($A39,[3]!PRODUTOS,0),1)</f>
        <v>0</v>
      </c>
      <c r="F39" s="23">
        <f>INDEX('Resumo Produção'!I$3:I$53,MATCH($A39,[0]!PRODUTOS,0),1)+INDEX('[2]Resumo Produção'!I$3:I$53,MATCH($A39,[3]!PRODUTOS,0),1)</f>
        <v>0</v>
      </c>
      <c r="G39" s="23">
        <f t="shared" si="15"/>
        <v>0</v>
      </c>
      <c r="H39" s="23">
        <f t="shared" si="16"/>
        <v>0</v>
      </c>
      <c r="I39" s="24">
        <f t="shared" si="0"/>
        <v>0</v>
      </c>
      <c r="J39" s="25">
        <f t="shared" si="1"/>
        <v>0</v>
      </c>
      <c r="K39" s="26">
        <f>INDEX('Resumo Produção'!M$3:M$53,MATCH($A39,[0]!PRODUTOS,0),1)+INDEX('[2]Resumo Produção'!M$3:M$55,MATCH($A39,[3]!PRODUTOS,0),1)</f>
        <v>0</v>
      </c>
      <c r="L39" s="27">
        <f>INDEX('Resumo Produção'!N$3:N$53,MATCH($A39,[0]!PRODUTOS,0),1)+INDEX('[2]Resumo Produção'!N$3:N$55,MATCH($A39,[3]!PRODUTOS,0),1)</f>
        <v>0</v>
      </c>
      <c r="M39" s="27">
        <f>INDEX('Resumo Produção'!O$3:O$53,MATCH($A39,[0]!PRODUTOS,0),1)+INDEX('[2]Resumo Produção'!O$3:O$55,MATCH($A39,[3]!PRODUTOS,0),1)</f>
        <v>0</v>
      </c>
      <c r="N39" s="27">
        <f>INDEX('Resumo Produção'!P$3:P$53,MATCH($A39,[0]!PRODUTOS,0),1)+INDEX('[2]Resumo Produção'!P$3:P$55,MATCH($A39,[3]!PRODUTOS,0),1)</f>
        <v>0</v>
      </c>
      <c r="O39" s="27">
        <f>INDEX('Resumo Produção'!Q$3:Q$53,MATCH($A39,[0]!PRODUTOS,0),1)+INDEX('[2]Resumo Produção'!Q$3:Q$55,MATCH($A39,[3]!PRODUTOS,0),1)</f>
        <v>0</v>
      </c>
      <c r="P39" s="27">
        <f t="shared" si="17"/>
        <v>0</v>
      </c>
      <c r="Q39" s="27">
        <f t="shared" si="2"/>
        <v>0</v>
      </c>
      <c r="R39" s="27">
        <f t="shared" si="3"/>
        <v>0</v>
      </c>
      <c r="S39" s="166">
        <f t="shared" si="4"/>
        <v>0</v>
      </c>
      <c r="T39" s="183">
        <f>INDEX('Resumo Produção'!U$3:U$53,MATCH($A39,[0]!PRODUTOS,0),1)+INDEX('[2]Resumo Produção'!U$3:U$53,MATCH($A39,[3]!PRODUTOS,0),1)</f>
        <v>0</v>
      </c>
      <c r="U39" s="184">
        <f>INDEX('Resumo Produção'!V$3:V$53,MATCH($A39,[0]!PRODUTOS,0),1)+INDEX('[2]Resumo Produção'!V$3:V$53,MATCH($A39,[3]!PRODUTOS,0),1)</f>
        <v>0</v>
      </c>
      <c r="V39" s="184">
        <f>INDEX('Resumo Produção'!W$3:W$53,MATCH($A39,[0]!PRODUTOS,0),1)+INDEX('[2]Resumo Produção'!W$3:W$53,MATCH($A39,[3]!PRODUTOS,0),1)</f>
        <v>0</v>
      </c>
      <c r="W39" s="184">
        <f>INDEX('Resumo Produção'!X$3:X$53,MATCH($A39,[0]!PRODUTOS,0),1)+INDEX('[2]Resumo Produção'!X$3:X$53,MATCH($A39,[3]!PRODUTOS,0),1)</f>
        <v>0</v>
      </c>
      <c r="X39" s="184">
        <f>INDEX('Resumo Produção'!Y$3:Y$53,MATCH($A39,[0]!PRODUTOS,0),1)+INDEX('[2]Resumo Produção'!Y$3:Y$53,MATCH($A39,[3]!PRODUTOS,0),1)</f>
        <v>0</v>
      </c>
      <c r="Y39" s="184">
        <f>INDEX('Resumo Produção'!Z$3:Z$53,MATCH($A39,[0]!PRODUTOS,0),1)+INDEX('[2]Resumo Produção'!Z$3:Z$53,MATCH($A39,[3]!PRODUTOS,0),1)</f>
        <v>0</v>
      </c>
      <c r="Z39" s="184">
        <f t="shared" si="5"/>
        <v>0</v>
      </c>
      <c r="AA39" s="184">
        <f t="shared" si="6"/>
        <v>0</v>
      </c>
      <c r="AB39" s="185">
        <f t="shared" si="7"/>
        <v>0</v>
      </c>
      <c r="AC39" s="28">
        <f t="shared" si="71"/>
        <v>0</v>
      </c>
      <c r="AD39" s="29">
        <f t="shared" si="72"/>
        <v>0</v>
      </c>
      <c r="AE39" s="76">
        <f t="shared" si="73"/>
        <v>0</v>
      </c>
      <c r="AF39" s="30">
        <f t="shared" si="74"/>
        <v>0</v>
      </c>
    </row>
    <row r="40" spans="1:32">
      <c r="A40" s="11" t="s">
        <v>84</v>
      </c>
      <c r="B40" s="23">
        <f>INDEX('Resumo Produção'!E$3:E$53,MATCH($A40,[0]!PRODUTOS,0),1)+INDEX('[2]Resumo Produção'!E$3:E$53,MATCH($A40,[3]!PRODUTOS,0),1)</f>
        <v>0</v>
      </c>
      <c r="C40" s="23">
        <f>INDEX('Resumo Produção'!F$3:F$53,MATCH($A40,[0]!PRODUTOS,0),1)+INDEX('[2]Resumo Produção'!F$3:F$53,MATCH($A40,[3]!PRODUTOS,0),1)</f>
        <v>0</v>
      </c>
      <c r="D40" s="23">
        <f>INDEX('Resumo Produção'!G$3:G$53,MATCH($A40,[0]!PRODUTOS,0),1)+INDEX('[2]Resumo Produção'!G$3:G$53,MATCH($A40,[3]!PRODUTOS,0),1)</f>
        <v>0</v>
      </c>
      <c r="E40" s="23">
        <f>INDEX('Resumo Produção'!H$3:H$53,MATCH($A40,[0]!PRODUTOS,0),1)+INDEX('[2]Resumo Produção'!H$3:H$53,MATCH($A40,[3]!PRODUTOS,0),1)</f>
        <v>0</v>
      </c>
      <c r="F40" s="23">
        <f>INDEX('Resumo Produção'!I$3:I$53,MATCH($A40,[0]!PRODUTOS,0),1)+INDEX('[2]Resumo Produção'!I$3:I$53,MATCH($A40,[3]!PRODUTOS,0),1)</f>
        <v>0</v>
      </c>
      <c r="G40" s="23">
        <f t="shared" si="15"/>
        <v>0</v>
      </c>
      <c r="H40" s="23">
        <f t="shared" si="16"/>
        <v>0</v>
      </c>
      <c r="I40" s="24">
        <f t="shared" si="0"/>
        <v>0</v>
      </c>
      <c r="J40" s="25">
        <f t="shared" si="1"/>
        <v>0</v>
      </c>
      <c r="K40" s="26">
        <f>INDEX('Resumo Produção'!M$3:M$53,MATCH($A40,[0]!PRODUTOS,0),1)+INDEX('[2]Resumo Produção'!M$3:M$55,MATCH($A40,[3]!PRODUTOS,0),1)</f>
        <v>0</v>
      </c>
      <c r="L40" s="27">
        <f>INDEX('Resumo Produção'!N$3:N$53,MATCH($A40,[0]!PRODUTOS,0),1)+INDEX('[2]Resumo Produção'!N$3:N$55,MATCH($A40,[3]!PRODUTOS,0),1)</f>
        <v>0</v>
      </c>
      <c r="M40" s="27">
        <f>INDEX('Resumo Produção'!O$3:O$53,MATCH($A40,[0]!PRODUTOS,0),1)+INDEX('[2]Resumo Produção'!O$3:O$55,MATCH($A40,[3]!PRODUTOS,0),1)</f>
        <v>0</v>
      </c>
      <c r="N40" s="27">
        <f>INDEX('Resumo Produção'!P$3:P$53,MATCH($A40,[0]!PRODUTOS,0),1)+INDEX('[2]Resumo Produção'!P$3:P$55,MATCH($A40,[3]!PRODUTOS,0),1)</f>
        <v>0</v>
      </c>
      <c r="O40" s="27">
        <f>INDEX('Resumo Produção'!Q$3:Q$53,MATCH($A40,[0]!PRODUTOS,0),1)+INDEX('[2]Resumo Produção'!Q$3:Q$55,MATCH($A40,[3]!PRODUTOS,0),1)</f>
        <v>0</v>
      </c>
      <c r="P40" s="27">
        <f t="shared" si="17"/>
        <v>0</v>
      </c>
      <c r="Q40" s="27">
        <f t="shared" si="2"/>
        <v>0</v>
      </c>
      <c r="R40" s="27">
        <f t="shared" si="3"/>
        <v>0</v>
      </c>
      <c r="S40" s="166">
        <f t="shared" si="4"/>
        <v>0</v>
      </c>
      <c r="T40" s="183">
        <f>INDEX('Resumo Produção'!U$3:U$53,MATCH($A40,[0]!PRODUTOS,0),1)+INDEX('[2]Resumo Produção'!U$3:U$53,MATCH($A40,[3]!PRODUTOS,0),1)</f>
        <v>0</v>
      </c>
      <c r="U40" s="184">
        <f>INDEX('Resumo Produção'!V$3:V$53,MATCH($A40,[0]!PRODUTOS,0),1)+INDEX('[2]Resumo Produção'!V$3:V$53,MATCH($A40,[3]!PRODUTOS,0),1)</f>
        <v>0</v>
      </c>
      <c r="V40" s="184">
        <f>INDEX('Resumo Produção'!W$3:W$53,MATCH($A40,[0]!PRODUTOS,0),1)+INDEX('[2]Resumo Produção'!W$3:W$53,MATCH($A40,[3]!PRODUTOS,0),1)</f>
        <v>0</v>
      </c>
      <c r="W40" s="184">
        <f>INDEX('Resumo Produção'!X$3:X$53,MATCH($A40,[0]!PRODUTOS,0),1)+INDEX('[2]Resumo Produção'!X$3:X$53,MATCH($A40,[3]!PRODUTOS,0),1)</f>
        <v>0</v>
      </c>
      <c r="X40" s="184">
        <f>INDEX('Resumo Produção'!Y$3:Y$53,MATCH($A40,[0]!PRODUTOS,0),1)+INDEX('[2]Resumo Produção'!Y$3:Y$53,MATCH($A40,[3]!PRODUTOS,0),1)</f>
        <v>0</v>
      </c>
      <c r="Y40" s="184">
        <f>INDEX('Resumo Produção'!Z$3:Z$53,MATCH($A40,[0]!PRODUTOS,0),1)+INDEX('[2]Resumo Produção'!Z$3:Z$53,MATCH($A40,[3]!PRODUTOS,0),1)</f>
        <v>0</v>
      </c>
      <c r="Z40" s="184">
        <f t="shared" si="5"/>
        <v>0</v>
      </c>
      <c r="AA40" s="184">
        <f t="shared" si="6"/>
        <v>0</v>
      </c>
      <c r="AB40" s="185">
        <f t="shared" si="7"/>
        <v>0</v>
      </c>
      <c r="AC40" s="28">
        <f t="shared" si="71"/>
        <v>0</v>
      </c>
      <c r="AD40" s="29">
        <f t="shared" si="72"/>
        <v>0</v>
      </c>
      <c r="AE40" s="76">
        <f t="shared" si="73"/>
        <v>0</v>
      </c>
      <c r="AF40" s="30">
        <f t="shared" si="74"/>
        <v>0</v>
      </c>
    </row>
    <row r="41" spans="1:32">
      <c r="A41" s="80" t="s">
        <v>92</v>
      </c>
      <c r="B41" s="23">
        <f>INDEX('Resumo Produção'!E$3:E$53,MATCH($A41,[0]!PRODUTOS,0),1)+INDEX('[2]Resumo Produção'!E$3:E$53,MATCH($A41,[3]!PRODUTOS,0),1)</f>
        <v>0</v>
      </c>
      <c r="C41" s="23">
        <f>INDEX('Resumo Produção'!F$3:F$53,MATCH($A41,[0]!PRODUTOS,0),1)+INDEX('[2]Resumo Produção'!F$3:F$53,MATCH($A41,[3]!PRODUTOS,0),1)</f>
        <v>0</v>
      </c>
      <c r="D41" s="23">
        <f>INDEX('Resumo Produção'!G$3:G$53,MATCH($A41,[0]!PRODUTOS,0),1)+INDEX('[2]Resumo Produção'!G$3:G$53,MATCH($A41,[3]!PRODUTOS,0),1)</f>
        <v>0</v>
      </c>
      <c r="E41" s="23">
        <f>INDEX('Resumo Produção'!H$3:H$53,MATCH($A41,[0]!PRODUTOS,0),1)+INDEX('[2]Resumo Produção'!H$3:H$53,MATCH($A41,[3]!PRODUTOS,0),1)</f>
        <v>0</v>
      </c>
      <c r="F41" s="23">
        <f>INDEX('Resumo Produção'!I$3:I$53,MATCH($A41,[0]!PRODUTOS,0),1)+INDEX('[2]Resumo Produção'!I$3:I$53,MATCH($A41,[3]!PRODUTOS,0),1)</f>
        <v>0</v>
      </c>
      <c r="G41" s="23">
        <f t="shared" si="15"/>
        <v>0</v>
      </c>
      <c r="H41" s="23">
        <f t="shared" si="16"/>
        <v>0</v>
      </c>
      <c r="I41" s="24">
        <f t="shared" si="0"/>
        <v>0</v>
      </c>
      <c r="J41" s="25">
        <f t="shared" si="1"/>
        <v>0</v>
      </c>
      <c r="K41" s="26">
        <f>INDEX('Resumo Produção'!M$3:M$53,MATCH($A41,[0]!PRODUTOS,0),1)+INDEX('[2]Resumo Produção'!M$3:M$55,MATCH($A41,[3]!PRODUTOS,0),1)</f>
        <v>0</v>
      </c>
      <c r="L41" s="27">
        <f>INDEX('Resumo Produção'!N$3:N$53,MATCH($A41,[0]!PRODUTOS,0),1)+INDEX('[2]Resumo Produção'!N$3:N$55,MATCH($A41,[3]!PRODUTOS,0),1)</f>
        <v>0</v>
      </c>
      <c r="M41" s="27">
        <f>INDEX('Resumo Produção'!O$3:O$53,MATCH($A41,[0]!PRODUTOS,0),1)+INDEX('[2]Resumo Produção'!O$3:O$55,MATCH($A41,[3]!PRODUTOS,0),1)</f>
        <v>0</v>
      </c>
      <c r="N41" s="27">
        <f>INDEX('Resumo Produção'!P$3:P$53,MATCH($A41,[0]!PRODUTOS,0),1)+INDEX('[2]Resumo Produção'!P$3:P$55,MATCH($A41,[3]!PRODUTOS,0),1)</f>
        <v>0</v>
      </c>
      <c r="O41" s="27">
        <f>INDEX('Resumo Produção'!Q$3:Q$53,MATCH($A41,[0]!PRODUTOS,0),1)+INDEX('[2]Resumo Produção'!Q$3:Q$55,MATCH($A41,[3]!PRODUTOS,0),1)</f>
        <v>0</v>
      </c>
      <c r="P41" s="27">
        <f t="shared" si="17"/>
        <v>0</v>
      </c>
      <c r="Q41" s="27">
        <f t="shared" si="2"/>
        <v>0</v>
      </c>
      <c r="R41" s="27">
        <f t="shared" si="3"/>
        <v>0</v>
      </c>
      <c r="S41" s="166">
        <f t="shared" si="4"/>
        <v>0</v>
      </c>
      <c r="T41" s="183">
        <f>INDEX('Resumo Produção'!U$3:U$53,MATCH($A41,[0]!PRODUTOS,0),1)+INDEX('[2]Resumo Produção'!U$3:U$53,MATCH($A41,[3]!PRODUTOS,0),1)</f>
        <v>0</v>
      </c>
      <c r="U41" s="184">
        <f>INDEX('Resumo Produção'!V$3:V$53,MATCH($A41,[0]!PRODUTOS,0),1)+INDEX('[2]Resumo Produção'!V$3:V$53,MATCH($A41,[3]!PRODUTOS,0),1)</f>
        <v>0</v>
      </c>
      <c r="V41" s="184">
        <f>INDEX('Resumo Produção'!W$3:W$53,MATCH($A41,[0]!PRODUTOS,0),1)+INDEX('[2]Resumo Produção'!W$3:W$53,MATCH($A41,[3]!PRODUTOS,0),1)</f>
        <v>0</v>
      </c>
      <c r="W41" s="184">
        <f>INDEX('Resumo Produção'!X$3:X$53,MATCH($A41,[0]!PRODUTOS,0),1)+INDEX('[2]Resumo Produção'!X$3:X$53,MATCH($A41,[3]!PRODUTOS,0),1)</f>
        <v>0</v>
      </c>
      <c r="X41" s="184">
        <f>INDEX('Resumo Produção'!Y$3:Y$53,MATCH($A41,[0]!PRODUTOS,0),1)+INDEX('[2]Resumo Produção'!Y$3:Y$53,MATCH($A41,[3]!PRODUTOS,0),1)</f>
        <v>0</v>
      </c>
      <c r="Y41" s="184">
        <f>INDEX('Resumo Produção'!Z$3:Z$53,MATCH($A41,[0]!PRODUTOS,0),1)+INDEX('[2]Resumo Produção'!Z$3:Z$53,MATCH($A41,[3]!PRODUTOS,0),1)</f>
        <v>0</v>
      </c>
      <c r="Z41" s="184">
        <f t="shared" si="5"/>
        <v>0</v>
      </c>
      <c r="AA41" s="184">
        <f t="shared" si="6"/>
        <v>0</v>
      </c>
      <c r="AB41" s="185">
        <f t="shared" si="7"/>
        <v>0</v>
      </c>
      <c r="AC41" s="28">
        <f t="shared" si="71"/>
        <v>0</v>
      </c>
      <c r="AD41" s="29">
        <f t="shared" si="72"/>
        <v>0</v>
      </c>
      <c r="AE41" s="76">
        <f t="shared" si="73"/>
        <v>0</v>
      </c>
      <c r="AF41" s="30">
        <f t="shared" si="74"/>
        <v>0</v>
      </c>
    </row>
    <row r="42" spans="1:32">
      <c r="A42" s="11" t="s">
        <v>85</v>
      </c>
      <c r="B42" s="23">
        <f>INDEX('Resumo Produção'!E$3:E$53,MATCH($A42,[0]!PRODUTOS,0),1)+INDEX('[2]Resumo Produção'!E$3:E$53,MATCH($A42,[3]!PRODUTOS,0),1)</f>
        <v>7584</v>
      </c>
      <c r="C42" s="23">
        <f>INDEX('Resumo Produção'!F$3:F$53,MATCH($A42,[0]!PRODUTOS,0),1)+INDEX('[2]Resumo Produção'!F$3:F$53,MATCH($A42,[3]!PRODUTOS,0),1)</f>
        <v>0</v>
      </c>
      <c r="D42" s="23">
        <f>INDEX('Resumo Produção'!G$3:G$53,MATCH($A42,[0]!PRODUTOS,0),1)+INDEX('[2]Resumo Produção'!G$3:G$53,MATCH($A42,[3]!PRODUTOS,0),1)</f>
        <v>0</v>
      </c>
      <c r="E42" s="23">
        <f>INDEX('Resumo Produção'!H$3:H$53,MATCH($A42,[0]!PRODUTOS,0),1)+INDEX('[2]Resumo Produção'!H$3:H$53,MATCH($A42,[3]!PRODUTOS,0),1)</f>
        <v>34</v>
      </c>
      <c r="F42" s="23">
        <f>INDEX('Resumo Produção'!I$3:I$53,MATCH($A42,[0]!PRODUTOS,0),1)+INDEX('[2]Resumo Produção'!I$3:I$53,MATCH($A42,[3]!PRODUTOS,0),1)</f>
        <v>0</v>
      </c>
      <c r="G42" s="23">
        <f t="shared" si="15"/>
        <v>34</v>
      </c>
      <c r="H42" s="23">
        <f t="shared" si="16"/>
        <v>4483.1223628691978</v>
      </c>
      <c r="I42" s="24">
        <f t="shared" si="0"/>
        <v>34</v>
      </c>
      <c r="J42" s="25">
        <f t="shared" si="1"/>
        <v>34</v>
      </c>
      <c r="K42" s="26">
        <f>INDEX('Resumo Produção'!M$3:M$53,MATCH($A42,[0]!PRODUTOS,0),1)+INDEX('[2]Resumo Produção'!M$3:M$55,MATCH($A42,[3]!PRODUTOS,0),1)</f>
        <v>0</v>
      </c>
      <c r="L42" s="27">
        <f>INDEX('Resumo Produção'!N$3:N$53,MATCH($A42,[0]!PRODUTOS,0),1)+INDEX('[2]Resumo Produção'!N$3:N$55,MATCH($A42,[3]!PRODUTOS,0),1)</f>
        <v>0</v>
      </c>
      <c r="M42" s="27">
        <f>INDEX('Resumo Produção'!O$3:O$53,MATCH($A42,[0]!PRODUTOS,0),1)+INDEX('[2]Resumo Produção'!O$3:O$55,MATCH($A42,[3]!PRODUTOS,0),1)</f>
        <v>0</v>
      </c>
      <c r="N42" s="27">
        <f>INDEX('Resumo Produção'!P$3:P$53,MATCH($A42,[0]!PRODUTOS,0),1)+INDEX('[2]Resumo Produção'!P$3:P$55,MATCH($A42,[3]!PRODUTOS,0),1)</f>
        <v>0</v>
      </c>
      <c r="O42" s="27">
        <f>INDEX('Resumo Produção'!Q$3:Q$53,MATCH($A42,[0]!PRODUTOS,0),1)+INDEX('[2]Resumo Produção'!Q$3:Q$55,MATCH($A42,[3]!PRODUTOS,0),1)</f>
        <v>0</v>
      </c>
      <c r="P42" s="27">
        <f t="shared" si="17"/>
        <v>0</v>
      </c>
      <c r="Q42" s="27">
        <f t="shared" si="2"/>
        <v>0</v>
      </c>
      <c r="R42" s="27">
        <f t="shared" si="3"/>
        <v>0</v>
      </c>
      <c r="S42" s="166">
        <f t="shared" si="4"/>
        <v>0</v>
      </c>
      <c r="T42" s="183">
        <f>INDEX('Resumo Produção'!U$3:U$53,MATCH($A42,[0]!PRODUTOS,0),1)+INDEX('[2]Resumo Produção'!U$3:U$53,MATCH($A42,[3]!PRODUTOS,0),1)</f>
        <v>0</v>
      </c>
      <c r="U42" s="184">
        <f>INDEX('Resumo Produção'!V$3:V$53,MATCH($A42,[0]!PRODUTOS,0),1)+INDEX('[2]Resumo Produção'!V$3:V$53,MATCH($A42,[3]!PRODUTOS,0),1)</f>
        <v>0</v>
      </c>
      <c r="V42" s="184">
        <f>INDEX('Resumo Produção'!W$3:W$53,MATCH($A42,[0]!PRODUTOS,0),1)+INDEX('[2]Resumo Produção'!W$3:W$53,MATCH($A42,[3]!PRODUTOS,0),1)</f>
        <v>0</v>
      </c>
      <c r="W42" s="184">
        <f>INDEX('Resumo Produção'!X$3:X$53,MATCH($A42,[0]!PRODUTOS,0),1)+INDEX('[2]Resumo Produção'!X$3:X$53,MATCH($A42,[3]!PRODUTOS,0),1)</f>
        <v>0</v>
      </c>
      <c r="X42" s="184">
        <f>INDEX('Resumo Produção'!Y$3:Y$53,MATCH($A42,[0]!PRODUTOS,0),1)+INDEX('[2]Resumo Produção'!Y$3:Y$53,MATCH($A42,[3]!PRODUTOS,0),1)</f>
        <v>0</v>
      </c>
      <c r="Y42" s="184">
        <f>INDEX('Resumo Produção'!Z$3:Z$53,MATCH($A42,[0]!PRODUTOS,0),1)+INDEX('[2]Resumo Produção'!Z$3:Z$53,MATCH($A42,[3]!PRODUTOS,0),1)</f>
        <v>0</v>
      </c>
      <c r="Z42" s="184">
        <f t="shared" si="5"/>
        <v>0</v>
      </c>
      <c r="AA42" s="184">
        <f t="shared" si="6"/>
        <v>0</v>
      </c>
      <c r="AB42" s="185">
        <f t="shared" si="7"/>
        <v>0</v>
      </c>
      <c r="AC42" s="28">
        <f t="shared" si="71"/>
        <v>7584</v>
      </c>
      <c r="AD42" s="29">
        <f t="shared" si="72"/>
        <v>34</v>
      </c>
      <c r="AE42" s="76">
        <f t="shared" si="73"/>
        <v>34</v>
      </c>
      <c r="AF42" s="30">
        <f t="shared" si="74"/>
        <v>0</v>
      </c>
    </row>
    <row r="43" spans="1:32">
      <c r="A43" s="11" t="s">
        <v>86</v>
      </c>
      <c r="B43" s="23">
        <f>INDEX('Resumo Produção'!E$3:E$53,MATCH($A43,[0]!PRODUTOS,0),1)+INDEX('[2]Resumo Produção'!E$3:E$53,MATCH($A43,[3]!PRODUTOS,0),1)</f>
        <v>0</v>
      </c>
      <c r="C43" s="23">
        <f>INDEX('Resumo Produção'!F$3:F$53,MATCH($A43,[0]!PRODUTOS,0),1)+INDEX('[2]Resumo Produção'!F$3:F$53,MATCH($A43,[3]!PRODUTOS,0),1)</f>
        <v>0</v>
      </c>
      <c r="D43" s="23">
        <f>INDEX('Resumo Produção'!G$3:G$53,MATCH($A43,[0]!PRODUTOS,0),1)+INDEX('[2]Resumo Produção'!G$3:G$53,MATCH($A43,[3]!PRODUTOS,0),1)</f>
        <v>0</v>
      </c>
      <c r="E43" s="23">
        <f>INDEX('Resumo Produção'!H$3:H$53,MATCH($A43,[0]!PRODUTOS,0),1)+INDEX('[2]Resumo Produção'!H$3:H$53,MATCH($A43,[3]!PRODUTOS,0),1)</f>
        <v>0</v>
      </c>
      <c r="F43" s="23">
        <f>INDEX('Resumo Produção'!I$3:I$53,MATCH($A43,[0]!PRODUTOS,0),1)+INDEX('[2]Resumo Produção'!I$3:I$53,MATCH($A43,[3]!PRODUTOS,0),1)</f>
        <v>0</v>
      </c>
      <c r="G43" s="23">
        <f t="shared" si="15"/>
        <v>0</v>
      </c>
      <c r="H43" s="23">
        <f t="shared" si="16"/>
        <v>0</v>
      </c>
      <c r="I43" s="24">
        <f t="shared" si="0"/>
        <v>0</v>
      </c>
      <c r="J43" s="25">
        <f t="shared" si="1"/>
        <v>0</v>
      </c>
      <c r="K43" s="26">
        <f>INDEX('Resumo Produção'!M$3:M$53,MATCH($A43,[0]!PRODUTOS,0),1)+INDEX('[2]Resumo Produção'!M$3:M$55,MATCH($A43,[3]!PRODUTOS,0),1)</f>
        <v>0</v>
      </c>
      <c r="L43" s="27">
        <f>INDEX('Resumo Produção'!N$3:N$53,MATCH($A43,[0]!PRODUTOS,0),1)+INDEX('[2]Resumo Produção'!N$3:N$55,MATCH($A43,[3]!PRODUTOS,0),1)</f>
        <v>0</v>
      </c>
      <c r="M43" s="27">
        <f>INDEX('Resumo Produção'!O$3:O$53,MATCH($A43,[0]!PRODUTOS,0),1)+INDEX('[2]Resumo Produção'!O$3:O$55,MATCH($A43,[3]!PRODUTOS,0),1)</f>
        <v>0</v>
      </c>
      <c r="N43" s="27">
        <f>INDEX('Resumo Produção'!P$3:P$53,MATCH($A43,[0]!PRODUTOS,0),1)+INDEX('[2]Resumo Produção'!P$3:P$55,MATCH($A43,[3]!PRODUTOS,0),1)</f>
        <v>0</v>
      </c>
      <c r="O43" s="27">
        <f>INDEX('Resumo Produção'!Q$3:Q$53,MATCH($A43,[0]!PRODUTOS,0),1)+INDEX('[2]Resumo Produção'!Q$3:Q$55,MATCH($A43,[3]!PRODUTOS,0),1)</f>
        <v>0</v>
      </c>
      <c r="P43" s="27">
        <f t="shared" si="17"/>
        <v>0</v>
      </c>
      <c r="Q43" s="27">
        <f t="shared" si="2"/>
        <v>0</v>
      </c>
      <c r="R43" s="27">
        <f t="shared" si="3"/>
        <v>0</v>
      </c>
      <c r="S43" s="166">
        <f t="shared" si="4"/>
        <v>0</v>
      </c>
      <c r="T43" s="183">
        <f>INDEX('Resumo Produção'!U$3:U$53,MATCH($A43,[0]!PRODUTOS,0),1)+INDEX('[2]Resumo Produção'!U$3:U$53,MATCH($A43,[3]!PRODUTOS,0),1)</f>
        <v>0</v>
      </c>
      <c r="U43" s="184">
        <f>INDEX('Resumo Produção'!V$3:V$53,MATCH($A43,[0]!PRODUTOS,0),1)+INDEX('[2]Resumo Produção'!V$3:V$53,MATCH($A43,[3]!PRODUTOS,0),1)</f>
        <v>0</v>
      </c>
      <c r="V43" s="184">
        <f>INDEX('Resumo Produção'!W$3:W$53,MATCH($A43,[0]!PRODUTOS,0),1)+INDEX('[2]Resumo Produção'!W$3:W$53,MATCH($A43,[3]!PRODUTOS,0),1)</f>
        <v>0</v>
      </c>
      <c r="W43" s="184">
        <f>INDEX('Resumo Produção'!X$3:X$53,MATCH($A43,[0]!PRODUTOS,0),1)+INDEX('[2]Resumo Produção'!X$3:X$53,MATCH($A43,[3]!PRODUTOS,0),1)</f>
        <v>0</v>
      </c>
      <c r="X43" s="184">
        <f>INDEX('Resumo Produção'!Y$3:Y$53,MATCH($A43,[0]!PRODUTOS,0),1)+INDEX('[2]Resumo Produção'!Y$3:Y$53,MATCH($A43,[3]!PRODUTOS,0),1)</f>
        <v>0</v>
      </c>
      <c r="Y43" s="184">
        <f>INDEX('Resumo Produção'!Z$3:Z$53,MATCH($A43,[0]!PRODUTOS,0),1)+INDEX('[2]Resumo Produção'!Z$3:Z$53,MATCH($A43,[3]!PRODUTOS,0),1)</f>
        <v>0</v>
      </c>
      <c r="Z43" s="184">
        <f t="shared" si="5"/>
        <v>0</v>
      </c>
      <c r="AA43" s="184">
        <f t="shared" si="6"/>
        <v>0</v>
      </c>
      <c r="AB43" s="185">
        <f t="shared" si="7"/>
        <v>0</v>
      </c>
      <c r="AC43" s="28">
        <f t="shared" si="71"/>
        <v>0</v>
      </c>
      <c r="AD43" s="29">
        <f t="shared" si="72"/>
        <v>0</v>
      </c>
      <c r="AE43" s="76">
        <f t="shared" si="73"/>
        <v>0</v>
      </c>
      <c r="AF43" s="30">
        <f t="shared" si="74"/>
        <v>0</v>
      </c>
    </row>
    <row r="44" spans="1:32">
      <c r="A44" s="11" t="s">
        <v>87</v>
      </c>
      <c r="B44" s="23">
        <f>INDEX('Resumo Produção'!E$3:E$53,MATCH($A44,[0]!PRODUTOS,0),1)+INDEX('[2]Resumo Produção'!E$3:E$53,MATCH($A44,[3]!PRODUTOS,0),1)</f>
        <v>2592</v>
      </c>
      <c r="C44" s="23">
        <f>INDEX('Resumo Produção'!F$3:F$53,MATCH($A44,[0]!PRODUTOS,0),1)+INDEX('[2]Resumo Produção'!F$3:F$53,MATCH($A44,[3]!PRODUTOS,0),1)</f>
        <v>0</v>
      </c>
      <c r="D44" s="23">
        <f>INDEX('Resumo Produção'!G$3:G$53,MATCH($A44,[0]!PRODUTOS,0),1)+INDEX('[2]Resumo Produção'!G$3:G$53,MATCH($A44,[3]!PRODUTOS,0),1)</f>
        <v>0</v>
      </c>
      <c r="E44" s="23">
        <f>INDEX('Resumo Produção'!H$3:H$53,MATCH($A44,[0]!PRODUTOS,0),1)+INDEX('[2]Resumo Produção'!H$3:H$53,MATCH($A44,[3]!PRODUTOS,0),1)</f>
        <v>17</v>
      </c>
      <c r="F44" s="23">
        <f>INDEX('Resumo Produção'!I$3:I$53,MATCH($A44,[0]!PRODUTOS,0),1)+INDEX('[2]Resumo Produção'!I$3:I$53,MATCH($A44,[3]!PRODUTOS,0),1)</f>
        <v>0</v>
      </c>
      <c r="G44" s="23">
        <f t="shared" si="15"/>
        <v>17</v>
      </c>
      <c r="H44" s="23">
        <f t="shared" si="16"/>
        <v>6558.641975308642</v>
      </c>
      <c r="I44" s="24">
        <f t="shared" si="0"/>
        <v>17</v>
      </c>
      <c r="J44" s="25">
        <f t="shared" si="1"/>
        <v>17</v>
      </c>
      <c r="K44" s="26">
        <f>INDEX('Resumo Produção'!M$3:M$53,MATCH($A44,[0]!PRODUTOS,0),1)+INDEX('[2]Resumo Produção'!M$3:M$55,MATCH($A44,[3]!PRODUTOS,0),1)</f>
        <v>0</v>
      </c>
      <c r="L44" s="27">
        <f>INDEX('Resumo Produção'!N$3:N$53,MATCH($A44,[0]!PRODUTOS,0),1)+INDEX('[2]Resumo Produção'!N$3:N$55,MATCH($A44,[3]!PRODUTOS,0),1)</f>
        <v>0</v>
      </c>
      <c r="M44" s="27">
        <f>INDEX('Resumo Produção'!O$3:O$53,MATCH($A44,[0]!PRODUTOS,0),1)+INDEX('[2]Resumo Produção'!O$3:O$55,MATCH($A44,[3]!PRODUTOS,0),1)</f>
        <v>0</v>
      </c>
      <c r="N44" s="27">
        <f>INDEX('Resumo Produção'!P$3:P$53,MATCH($A44,[0]!PRODUTOS,0),1)+INDEX('[2]Resumo Produção'!P$3:P$55,MATCH($A44,[3]!PRODUTOS,0),1)</f>
        <v>0</v>
      </c>
      <c r="O44" s="27">
        <f>INDEX('Resumo Produção'!Q$3:Q$53,MATCH($A44,[0]!PRODUTOS,0),1)+INDEX('[2]Resumo Produção'!Q$3:Q$55,MATCH($A44,[3]!PRODUTOS,0),1)</f>
        <v>0</v>
      </c>
      <c r="P44" s="27">
        <f t="shared" si="17"/>
        <v>0</v>
      </c>
      <c r="Q44" s="27">
        <f t="shared" si="2"/>
        <v>0</v>
      </c>
      <c r="R44" s="27">
        <f t="shared" si="3"/>
        <v>0</v>
      </c>
      <c r="S44" s="166">
        <f t="shared" si="4"/>
        <v>0</v>
      </c>
      <c r="T44" s="183">
        <f>INDEX('Resumo Produção'!U$3:U$53,MATCH($A44,[0]!PRODUTOS,0),1)+INDEX('[2]Resumo Produção'!U$3:U$53,MATCH($A44,[3]!PRODUTOS,0),1)</f>
        <v>0</v>
      </c>
      <c r="U44" s="184">
        <f>INDEX('Resumo Produção'!V$3:V$53,MATCH($A44,[0]!PRODUTOS,0),1)+INDEX('[2]Resumo Produção'!V$3:V$53,MATCH($A44,[3]!PRODUTOS,0),1)</f>
        <v>0</v>
      </c>
      <c r="V44" s="184">
        <f>INDEX('Resumo Produção'!W$3:W$53,MATCH($A44,[0]!PRODUTOS,0),1)+INDEX('[2]Resumo Produção'!W$3:W$53,MATCH($A44,[3]!PRODUTOS,0),1)</f>
        <v>0</v>
      </c>
      <c r="W44" s="184">
        <f>INDEX('Resumo Produção'!X$3:X$53,MATCH($A44,[0]!PRODUTOS,0),1)+INDEX('[2]Resumo Produção'!X$3:X$53,MATCH($A44,[3]!PRODUTOS,0),1)</f>
        <v>0</v>
      </c>
      <c r="X44" s="184">
        <f>INDEX('Resumo Produção'!Y$3:Y$53,MATCH($A44,[0]!PRODUTOS,0),1)+INDEX('[2]Resumo Produção'!Y$3:Y$53,MATCH($A44,[3]!PRODUTOS,0),1)</f>
        <v>0</v>
      </c>
      <c r="Y44" s="184">
        <f>INDEX('Resumo Produção'!Z$3:Z$53,MATCH($A44,[0]!PRODUTOS,0),1)+INDEX('[2]Resumo Produção'!Z$3:Z$53,MATCH($A44,[3]!PRODUTOS,0),1)</f>
        <v>0</v>
      </c>
      <c r="Z44" s="184">
        <f t="shared" si="5"/>
        <v>0</v>
      </c>
      <c r="AA44" s="184">
        <f t="shared" si="6"/>
        <v>0</v>
      </c>
      <c r="AB44" s="185">
        <f t="shared" si="7"/>
        <v>0</v>
      </c>
      <c r="AC44" s="28">
        <f t="shared" si="71"/>
        <v>2592</v>
      </c>
      <c r="AD44" s="29">
        <f t="shared" si="72"/>
        <v>17</v>
      </c>
      <c r="AE44" s="76">
        <f t="shared" si="73"/>
        <v>17</v>
      </c>
      <c r="AF44" s="30">
        <f t="shared" si="74"/>
        <v>0</v>
      </c>
    </row>
    <row r="45" spans="1:32">
      <c r="A45" s="11" t="s">
        <v>38</v>
      </c>
      <c r="B45" s="23">
        <f>INDEX('Resumo Produção'!E$3:E$53,MATCH($A45,[0]!PRODUTOS,0),1)+INDEX('[2]Resumo Produção'!E$3:E$53,MATCH($A45,[3]!PRODUTOS,0),1)</f>
        <v>0</v>
      </c>
      <c r="C45" s="23">
        <f>INDEX('Resumo Produção'!F$3:F$53,MATCH($A45,[0]!PRODUTOS,0),1)+INDEX('[2]Resumo Produção'!F$3:F$53,MATCH($A45,[3]!PRODUTOS,0),1)</f>
        <v>0</v>
      </c>
      <c r="D45" s="23">
        <f>INDEX('Resumo Produção'!G$3:G$53,MATCH($A45,[0]!PRODUTOS,0),1)+INDEX('[2]Resumo Produção'!G$3:G$53,MATCH($A45,[3]!PRODUTOS,0),1)</f>
        <v>0</v>
      </c>
      <c r="E45" s="23">
        <f>INDEX('Resumo Produção'!H$3:H$53,MATCH($A45,[0]!PRODUTOS,0),1)+INDEX('[2]Resumo Produção'!H$3:H$53,MATCH($A45,[3]!PRODUTOS,0),1)</f>
        <v>0</v>
      </c>
      <c r="F45" s="23">
        <f>INDEX('Resumo Produção'!I$3:I$53,MATCH($A45,[0]!PRODUTOS,0),1)+INDEX('[2]Resumo Produção'!I$3:I$53,MATCH($A45,[3]!PRODUTOS,0),1)</f>
        <v>0</v>
      </c>
      <c r="G45" s="23">
        <f t="shared" si="15"/>
        <v>0</v>
      </c>
      <c r="H45" s="23">
        <f t="shared" si="16"/>
        <v>0</v>
      </c>
      <c r="I45" s="24">
        <f t="shared" si="0"/>
        <v>0</v>
      </c>
      <c r="J45" s="25">
        <f t="shared" si="1"/>
        <v>0</v>
      </c>
      <c r="K45" s="26">
        <f>INDEX('Resumo Produção'!M$3:M$53,MATCH($A45,[0]!PRODUTOS,0),1)+INDEX('[2]Resumo Produção'!M$3:M$55,MATCH($A45,[3]!PRODUTOS,0),1)</f>
        <v>0</v>
      </c>
      <c r="L45" s="27">
        <f>INDEX('Resumo Produção'!N$3:N$53,MATCH($A45,[0]!PRODUTOS,0),1)+INDEX('[2]Resumo Produção'!N$3:N$55,MATCH($A45,[3]!PRODUTOS,0),1)</f>
        <v>0</v>
      </c>
      <c r="M45" s="27">
        <f>INDEX('Resumo Produção'!O$3:O$53,MATCH($A45,[0]!PRODUTOS,0),1)+INDEX('[2]Resumo Produção'!O$3:O$55,MATCH($A45,[3]!PRODUTOS,0),1)</f>
        <v>0</v>
      </c>
      <c r="N45" s="27">
        <f>INDEX('Resumo Produção'!P$3:P$53,MATCH($A45,[0]!PRODUTOS,0),1)+INDEX('[2]Resumo Produção'!P$3:P$55,MATCH($A45,[3]!PRODUTOS,0),1)</f>
        <v>0</v>
      </c>
      <c r="O45" s="27">
        <f>INDEX('Resumo Produção'!Q$3:Q$53,MATCH($A45,[0]!PRODUTOS,0),1)+INDEX('[2]Resumo Produção'!Q$3:Q$55,MATCH($A45,[3]!PRODUTOS,0),1)</f>
        <v>0</v>
      </c>
      <c r="P45" s="27">
        <f t="shared" si="17"/>
        <v>0</v>
      </c>
      <c r="Q45" s="27">
        <f t="shared" si="2"/>
        <v>0</v>
      </c>
      <c r="R45" s="27">
        <f t="shared" si="3"/>
        <v>0</v>
      </c>
      <c r="S45" s="166">
        <f t="shared" si="4"/>
        <v>0</v>
      </c>
      <c r="T45" s="183">
        <f>INDEX('Resumo Produção'!U$3:U$53,MATCH($A45,[0]!PRODUTOS,0),1)+INDEX('[2]Resumo Produção'!U$3:U$53,MATCH($A45,[3]!PRODUTOS,0),1)</f>
        <v>166380</v>
      </c>
      <c r="U45" s="184">
        <f>INDEX('Resumo Produção'!V$3:V$53,MATCH($A45,[0]!PRODUTOS,0),1)+INDEX('[2]Resumo Produção'!V$3:V$53,MATCH($A45,[3]!PRODUTOS,0),1)</f>
        <v>0</v>
      </c>
      <c r="V45" s="184">
        <f>INDEX('Resumo Produção'!W$3:W$53,MATCH($A45,[0]!PRODUTOS,0),1)+INDEX('[2]Resumo Produção'!W$3:W$53,MATCH($A45,[3]!PRODUTOS,0),1)</f>
        <v>0</v>
      </c>
      <c r="W45" s="184">
        <f>INDEX('Resumo Produção'!X$3:X$53,MATCH($A45,[0]!PRODUTOS,0),1)+INDEX('[2]Resumo Produção'!X$3:X$53,MATCH($A45,[3]!PRODUTOS,0),1)</f>
        <v>78</v>
      </c>
      <c r="X45" s="184">
        <f>INDEX('Resumo Produção'!Y$3:Y$53,MATCH($A45,[0]!PRODUTOS,0),1)+INDEX('[2]Resumo Produção'!Y$3:Y$53,MATCH($A45,[3]!PRODUTOS,0),1)</f>
        <v>0</v>
      </c>
      <c r="Y45" s="184">
        <f>INDEX('Resumo Produção'!Z$3:Z$53,MATCH($A45,[0]!PRODUTOS,0),1)+INDEX('[2]Resumo Produção'!Z$3:Z$53,MATCH($A45,[3]!PRODUTOS,0),1)</f>
        <v>78</v>
      </c>
      <c r="Z45" s="184">
        <f t="shared" si="5"/>
        <v>468.80634691669673</v>
      </c>
      <c r="AA45" s="184">
        <f t="shared" si="6"/>
        <v>78</v>
      </c>
      <c r="AB45" s="185">
        <f t="shared" si="7"/>
        <v>78</v>
      </c>
      <c r="AC45" s="28">
        <f t="shared" si="71"/>
        <v>166380</v>
      </c>
      <c r="AD45" s="29">
        <f t="shared" si="72"/>
        <v>78</v>
      </c>
      <c r="AE45" s="76">
        <f t="shared" si="73"/>
        <v>78</v>
      </c>
      <c r="AF45" s="30">
        <f t="shared" si="74"/>
        <v>0</v>
      </c>
    </row>
    <row r="46" spans="1:32">
      <c r="A46" s="11" t="s">
        <v>37</v>
      </c>
      <c r="B46" s="23">
        <f>INDEX('Resumo Produção'!E$3:E$53,MATCH($A46,[0]!PRODUTOS,0),1)+INDEX('[2]Resumo Produção'!E$3:E$53,MATCH($A46,[3]!PRODUTOS,0),1)</f>
        <v>5904</v>
      </c>
      <c r="C46" s="23">
        <f>INDEX('Resumo Produção'!F$3:F$53,MATCH($A46,[0]!PRODUTOS,0),1)+INDEX('[2]Resumo Produção'!F$3:F$53,MATCH($A46,[3]!PRODUTOS,0),1)</f>
        <v>0</v>
      </c>
      <c r="D46" s="23">
        <f>INDEX('Resumo Produção'!G$3:G$53,MATCH($A46,[0]!PRODUTOS,0),1)+INDEX('[2]Resumo Produção'!G$3:G$53,MATCH($A46,[3]!PRODUTOS,0),1)</f>
        <v>0</v>
      </c>
      <c r="E46" s="23">
        <f>INDEX('Resumo Produção'!H$3:H$53,MATCH($A46,[0]!PRODUTOS,0),1)+INDEX('[2]Resumo Produção'!H$3:H$53,MATCH($A46,[3]!PRODUTOS,0),1)</f>
        <v>8</v>
      </c>
      <c r="F46" s="23">
        <f>INDEX('Resumo Produção'!I$3:I$53,MATCH($A46,[0]!PRODUTOS,0),1)+INDEX('[2]Resumo Produção'!I$3:I$53,MATCH($A46,[3]!PRODUTOS,0),1)</f>
        <v>0</v>
      </c>
      <c r="G46" s="23">
        <f t="shared" si="15"/>
        <v>8</v>
      </c>
      <c r="H46" s="23">
        <f t="shared" si="16"/>
        <v>1355.0135501355014</v>
      </c>
      <c r="I46" s="24">
        <f t="shared" si="0"/>
        <v>8</v>
      </c>
      <c r="J46" s="25">
        <f t="shared" si="1"/>
        <v>8</v>
      </c>
      <c r="K46" s="26">
        <f>INDEX('Resumo Produção'!M$3:M$53,MATCH($A46,[0]!PRODUTOS,0),1)+INDEX('[2]Resumo Produção'!M$3:M$55,MATCH($A46,[3]!PRODUTOS,0),1)</f>
        <v>0</v>
      </c>
      <c r="L46" s="27">
        <f>INDEX('Resumo Produção'!N$3:N$53,MATCH($A46,[0]!PRODUTOS,0),1)+INDEX('[2]Resumo Produção'!N$3:N$55,MATCH($A46,[3]!PRODUTOS,0),1)</f>
        <v>0</v>
      </c>
      <c r="M46" s="27">
        <f>INDEX('Resumo Produção'!O$3:O$53,MATCH($A46,[0]!PRODUTOS,0),1)+INDEX('[2]Resumo Produção'!O$3:O$55,MATCH($A46,[3]!PRODUTOS,0),1)</f>
        <v>0</v>
      </c>
      <c r="N46" s="27">
        <f>INDEX('Resumo Produção'!P$3:P$53,MATCH($A46,[0]!PRODUTOS,0),1)+INDEX('[2]Resumo Produção'!P$3:P$55,MATCH($A46,[3]!PRODUTOS,0),1)</f>
        <v>0</v>
      </c>
      <c r="O46" s="27">
        <f>INDEX('Resumo Produção'!Q$3:Q$53,MATCH($A46,[0]!PRODUTOS,0),1)+INDEX('[2]Resumo Produção'!Q$3:Q$55,MATCH($A46,[3]!PRODUTOS,0),1)</f>
        <v>0</v>
      </c>
      <c r="P46" s="27">
        <f t="shared" si="17"/>
        <v>0</v>
      </c>
      <c r="Q46" s="27">
        <f t="shared" si="2"/>
        <v>0</v>
      </c>
      <c r="R46" s="27">
        <f t="shared" si="3"/>
        <v>0</v>
      </c>
      <c r="S46" s="166">
        <f t="shared" si="4"/>
        <v>0</v>
      </c>
      <c r="T46" s="183">
        <f>INDEX('Resumo Produção'!U$3:U$53,MATCH($A46,[0]!PRODUTOS,0),1)+INDEX('[2]Resumo Produção'!U$3:U$53,MATCH($A46,[3]!PRODUTOS,0),1)</f>
        <v>0</v>
      </c>
      <c r="U46" s="184">
        <f>INDEX('Resumo Produção'!V$3:V$53,MATCH($A46,[0]!PRODUTOS,0),1)+INDEX('[2]Resumo Produção'!V$3:V$53,MATCH($A46,[3]!PRODUTOS,0),1)</f>
        <v>0</v>
      </c>
      <c r="V46" s="184">
        <f>INDEX('Resumo Produção'!W$3:W$53,MATCH($A46,[0]!PRODUTOS,0),1)+INDEX('[2]Resumo Produção'!W$3:W$53,MATCH($A46,[3]!PRODUTOS,0),1)</f>
        <v>0</v>
      </c>
      <c r="W46" s="184">
        <f>INDEX('Resumo Produção'!X$3:X$53,MATCH($A46,[0]!PRODUTOS,0),1)+INDEX('[2]Resumo Produção'!X$3:X$53,MATCH($A46,[3]!PRODUTOS,0),1)</f>
        <v>0</v>
      </c>
      <c r="X46" s="184">
        <f>INDEX('Resumo Produção'!Y$3:Y$53,MATCH($A46,[0]!PRODUTOS,0),1)+INDEX('[2]Resumo Produção'!Y$3:Y$53,MATCH($A46,[3]!PRODUTOS,0),1)</f>
        <v>0</v>
      </c>
      <c r="Y46" s="184">
        <f>INDEX('Resumo Produção'!Z$3:Z$53,MATCH($A46,[0]!PRODUTOS,0),1)+INDEX('[2]Resumo Produção'!Z$3:Z$53,MATCH($A46,[3]!PRODUTOS,0),1)</f>
        <v>0</v>
      </c>
      <c r="Z46" s="184">
        <f t="shared" si="5"/>
        <v>0</v>
      </c>
      <c r="AA46" s="184">
        <f t="shared" si="6"/>
        <v>0</v>
      </c>
      <c r="AB46" s="185">
        <f t="shared" si="7"/>
        <v>0</v>
      </c>
      <c r="AC46" s="28">
        <f t="shared" si="71"/>
        <v>5904</v>
      </c>
      <c r="AD46" s="29">
        <f t="shared" si="72"/>
        <v>8</v>
      </c>
      <c r="AE46" s="76">
        <f t="shared" si="73"/>
        <v>8</v>
      </c>
      <c r="AF46" s="30">
        <f t="shared" si="74"/>
        <v>0</v>
      </c>
    </row>
    <row r="47" spans="1:32">
      <c r="A47" s="80" t="s">
        <v>77</v>
      </c>
      <c r="B47" s="23">
        <f>INDEX('Resumo Produção'!E$3:E$53,MATCH($A47,[0]!PRODUTOS,0),1)+INDEX('[2]Resumo Produção'!E$3:E$53,MATCH($A47,[3]!PRODUTOS,0),1)</f>
        <v>0</v>
      </c>
      <c r="C47" s="23">
        <f>INDEX('Resumo Produção'!F$3:F$53,MATCH($A47,[0]!PRODUTOS,0),1)+INDEX('[2]Resumo Produção'!F$3:F$53,MATCH($A47,[3]!PRODUTOS,0),1)</f>
        <v>0</v>
      </c>
      <c r="D47" s="23">
        <f>INDEX('Resumo Produção'!G$3:G$53,MATCH($A47,[0]!PRODUTOS,0),1)+INDEX('[2]Resumo Produção'!G$3:G$53,MATCH($A47,[3]!PRODUTOS,0),1)</f>
        <v>0</v>
      </c>
      <c r="E47" s="23">
        <f>INDEX('Resumo Produção'!H$3:H$53,MATCH($A47,[0]!PRODUTOS,0),1)+INDEX('[2]Resumo Produção'!H$3:H$53,MATCH($A47,[3]!PRODUTOS,0),1)</f>
        <v>0</v>
      </c>
      <c r="F47" s="23">
        <f>INDEX('Resumo Produção'!I$3:I$53,MATCH($A47,[0]!PRODUTOS,0),1)+INDEX('[2]Resumo Produção'!I$3:I$53,MATCH($A47,[3]!PRODUTOS,0),1)</f>
        <v>0</v>
      </c>
      <c r="G47" s="23">
        <f t="shared" si="15"/>
        <v>0</v>
      </c>
      <c r="H47" s="23">
        <f t="shared" si="16"/>
        <v>0</v>
      </c>
      <c r="I47" s="24">
        <f t="shared" si="0"/>
        <v>0</v>
      </c>
      <c r="J47" s="25">
        <f t="shared" si="1"/>
        <v>0</v>
      </c>
      <c r="K47" s="26">
        <f>INDEX('Resumo Produção'!M$3:M$53,MATCH($A47,[0]!PRODUTOS,0),1)+INDEX('[2]Resumo Produção'!M$3:M$55,MATCH($A47,[3]!PRODUTOS,0),1)</f>
        <v>10528</v>
      </c>
      <c r="L47" s="27">
        <f>INDEX('Resumo Produção'!N$3:N$53,MATCH($A47,[0]!PRODUTOS,0),1)+INDEX('[2]Resumo Produção'!N$3:N$55,MATCH($A47,[3]!PRODUTOS,0),1)</f>
        <v>0</v>
      </c>
      <c r="M47" s="27">
        <f>INDEX('Resumo Produção'!O$3:O$53,MATCH($A47,[0]!PRODUTOS,0),1)+INDEX('[2]Resumo Produção'!O$3:O$55,MATCH($A47,[3]!PRODUTOS,0),1)</f>
        <v>0</v>
      </c>
      <c r="N47" s="27">
        <f>INDEX('Resumo Produção'!P$3:P$53,MATCH($A47,[0]!PRODUTOS,0),1)+INDEX('[2]Resumo Produção'!P$3:P$55,MATCH($A47,[3]!PRODUTOS,0),1)</f>
        <v>7</v>
      </c>
      <c r="O47" s="27">
        <f>INDEX('Resumo Produção'!Q$3:Q$53,MATCH($A47,[0]!PRODUTOS,0),1)+INDEX('[2]Resumo Produção'!Q$3:Q$55,MATCH($A47,[3]!PRODUTOS,0),1)</f>
        <v>0</v>
      </c>
      <c r="P47" s="27">
        <f t="shared" si="17"/>
        <v>7</v>
      </c>
      <c r="Q47" s="27">
        <f t="shared" si="2"/>
        <v>664.89361702127655</v>
      </c>
      <c r="R47" s="27">
        <f t="shared" si="3"/>
        <v>7</v>
      </c>
      <c r="S47" s="166">
        <f t="shared" si="4"/>
        <v>7</v>
      </c>
      <c r="T47" s="183">
        <f>INDEX('Resumo Produção'!U$3:U$53,MATCH($A47,[0]!PRODUTOS,0),1)+INDEX('[2]Resumo Produção'!U$3:U$53,MATCH($A47,[3]!PRODUTOS,0),1)</f>
        <v>0</v>
      </c>
      <c r="U47" s="184">
        <f>INDEX('Resumo Produção'!V$3:V$53,MATCH($A47,[0]!PRODUTOS,0),1)+INDEX('[2]Resumo Produção'!V$3:V$53,MATCH($A47,[3]!PRODUTOS,0),1)</f>
        <v>0</v>
      </c>
      <c r="V47" s="184">
        <f>INDEX('Resumo Produção'!W$3:W$53,MATCH($A47,[0]!PRODUTOS,0),1)+INDEX('[2]Resumo Produção'!W$3:W$53,MATCH($A47,[3]!PRODUTOS,0),1)</f>
        <v>0</v>
      </c>
      <c r="W47" s="184">
        <f>INDEX('Resumo Produção'!X$3:X$53,MATCH($A47,[0]!PRODUTOS,0),1)+INDEX('[2]Resumo Produção'!X$3:X$53,MATCH($A47,[3]!PRODUTOS,0),1)</f>
        <v>0</v>
      </c>
      <c r="X47" s="184">
        <f>INDEX('Resumo Produção'!Y$3:Y$53,MATCH($A47,[0]!PRODUTOS,0),1)+INDEX('[2]Resumo Produção'!Y$3:Y$53,MATCH($A47,[3]!PRODUTOS,0),1)</f>
        <v>0</v>
      </c>
      <c r="Y47" s="184">
        <f>INDEX('Resumo Produção'!Z$3:Z$53,MATCH($A47,[0]!PRODUTOS,0),1)+INDEX('[2]Resumo Produção'!Z$3:Z$53,MATCH($A47,[3]!PRODUTOS,0),1)</f>
        <v>0</v>
      </c>
      <c r="Z47" s="184">
        <f t="shared" si="5"/>
        <v>0</v>
      </c>
      <c r="AA47" s="184">
        <f t="shared" si="6"/>
        <v>0</v>
      </c>
      <c r="AB47" s="185">
        <f t="shared" si="7"/>
        <v>0</v>
      </c>
      <c r="AC47" s="28">
        <f t="shared" si="71"/>
        <v>10528</v>
      </c>
      <c r="AD47" s="29">
        <f t="shared" si="72"/>
        <v>7</v>
      </c>
      <c r="AE47" s="76">
        <f t="shared" si="73"/>
        <v>7</v>
      </c>
      <c r="AF47" s="30">
        <f t="shared" si="74"/>
        <v>0</v>
      </c>
    </row>
    <row r="48" spans="1:32">
      <c r="A48" s="80" t="s">
        <v>101</v>
      </c>
      <c r="B48" s="23">
        <f>INDEX('Resumo Produção'!E$3:E$53,MATCH($A48,[0]!PRODUTOS,0),1)+INDEX('[2]Resumo Produção'!E$3:E$53,MATCH($A48,[3]!PRODUTOS,0),1)</f>
        <v>28416</v>
      </c>
      <c r="C48" s="23">
        <f>INDEX('Resumo Produção'!F$3:F$53,MATCH($A48,[0]!PRODUTOS,0),1)+INDEX('[2]Resumo Produção'!F$3:F$53,MATCH($A48,[3]!PRODUTOS,0),1)</f>
        <v>0</v>
      </c>
      <c r="D48" s="23">
        <f>INDEX('Resumo Produção'!G$3:G$53,MATCH($A48,[0]!PRODUTOS,0),1)+INDEX('[2]Resumo Produção'!G$3:G$53,MATCH($A48,[3]!PRODUTOS,0),1)</f>
        <v>0</v>
      </c>
      <c r="E48" s="23">
        <f>INDEX('Resumo Produção'!H$3:H$53,MATCH($A48,[0]!PRODUTOS,0),1)+INDEX('[2]Resumo Produção'!H$3:H$53,MATCH($A48,[3]!PRODUTOS,0),1)</f>
        <v>55</v>
      </c>
      <c r="F48" s="23">
        <f>INDEX('Resumo Produção'!I$3:I$53,MATCH($A48,[0]!PRODUTOS,0),1)+INDEX('[2]Resumo Produção'!I$3:I$53,MATCH($A48,[3]!PRODUTOS,0),1)</f>
        <v>0</v>
      </c>
      <c r="G48" s="23">
        <f t="shared" ref="G48" si="90">SUM(C48:F48)</f>
        <v>55</v>
      </c>
      <c r="H48" s="23">
        <f t="shared" ref="H48" si="91">IF(ISERR(G48/B48),0,G48/B48*1000000)</f>
        <v>1935.5292792792793</v>
      </c>
      <c r="I48" s="24">
        <f t="shared" si="0"/>
        <v>55</v>
      </c>
      <c r="J48" s="25">
        <f t="shared" si="1"/>
        <v>55</v>
      </c>
      <c r="K48" s="26">
        <f>INDEX('Resumo Produção'!M$3:M$53,MATCH($A48,[0]!PRODUTOS,0),1)+INDEX('[2]Resumo Produção'!M$3:M$55,MATCH($A48,[3]!PRODUTOS,0),1)</f>
        <v>41184</v>
      </c>
      <c r="L48" s="27">
        <f>INDEX('Resumo Produção'!N$3:N$53,MATCH($A48,[0]!PRODUTOS,0),1)+INDEX('[2]Resumo Produção'!N$3:N$55,MATCH($A48,[3]!PRODUTOS,0),1)</f>
        <v>0</v>
      </c>
      <c r="M48" s="27">
        <f>INDEX('Resumo Produção'!O$3:O$53,MATCH($A48,[0]!PRODUTOS,0),1)+INDEX('[2]Resumo Produção'!O$3:O$55,MATCH($A48,[3]!PRODUTOS,0),1)</f>
        <v>0</v>
      </c>
      <c r="N48" s="27">
        <f>INDEX('Resumo Produção'!P$3:P$53,MATCH($A48,[0]!PRODUTOS,0),1)+INDEX('[2]Resumo Produção'!P$3:P$55,MATCH($A48,[3]!PRODUTOS,0),1)</f>
        <v>23</v>
      </c>
      <c r="O48" s="27">
        <f>INDEX('Resumo Produção'!Q$3:Q$53,MATCH($A48,[0]!PRODUTOS,0),1)+INDEX('[2]Resumo Produção'!Q$3:Q$55,MATCH($A48,[3]!PRODUTOS,0),1)</f>
        <v>0</v>
      </c>
      <c r="P48" s="27">
        <f t="shared" ref="P48" si="92">SUM(L48:O48)</f>
        <v>23</v>
      </c>
      <c r="Q48" s="27">
        <f t="shared" ref="Q48" si="93">(IF(ISERR(P48/K48),,P48/K48*100))*10000</f>
        <v>558.46930846930843</v>
      </c>
      <c r="R48" s="27">
        <f t="shared" si="3"/>
        <v>23</v>
      </c>
      <c r="S48" s="166">
        <f t="shared" si="4"/>
        <v>23</v>
      </c>
      <c r="T48" s="183">
        <f>INDEX('Resumo Produção'!U$3:U$53,MATCH($A48,[0]!PRODUTOS,0),1)+INDEX('[2]Resumo Produção'!U$3:U$53,MATCH($A48,[3]!PRODUTOS,0),1)</f>
        <v>4848</v>
      </c>
      <c r="U48" s="184">
        <f>INDEX('Resumo Produção'!V$3:V$53,MATCH($A48,[0]!PRODUTOS,0),1)+INDEX('[2]Resumo Produção'!V$3:V$53,MATCH($A48,[3]!PRODUTOS,0),1)</f>
        <v>0</v>
      </c>
      <c r="V48" s="184">
        <f>INDEX('Resumo Produção'!W$3:W$53,MATCH($A48,[0]!PRODUTOS,0),1)+INDEX('[2]Resumo Produção'!W$3:W$53,MATCH($A48,[3]!PRODUTOS,0),1)</f>
        <v>0</v>
      </c>
      <c r="W48" s="184">
        <f>INDEX('Resumo Produção'!X$3:X$53,MATCH($A48,[0]!PRODUTOS,0),1)+INDEX('[2]Resumo Produção'!X$3:X$53,MATCH($A48,[3]!PRODUTOS,0),1)</f>
        <v>3</v>
      </c>
      <c r="X48" s="184">
        <f>INDEX('Resumo Produção'!Y$3:Y$53,MATCH($A48,[0]!PRODUTOS,0),1)+INDEX('[2]Resumo Produção'!Y$3:Y$53,MATCH($A48,[3]!PRODUTOS,0),1)</f>
        <v>0</v>
      </c>
      <c r="Y48" s="184">
        <f>INDEX('Resumo Produção'!Z$3:Z$53,MATCH($A48,[0]!PRODUTOS,0),1)+INDEX('[2]Resumo Produção'!Z$3:Z$53,MATCH($A48,[3]!PRODUTOS,0),1)</f>
        <v>3</v>
      </c>
      <c r="Z48" s="184">
        <f t="shared" ref="Z48" si="94">(IF(ISERR(Y48/T48),,Y48/T48*100))*10000</f>
        <v>618.81188118811883</v>
      </c>
      <c r="AA48" s="184">
        <f t="shared" si="6"/>
        <v>3</v>
      </c>
      <c r="AB48" s="185">
        <f t="shared" si="7"/>
        <v>3</v>
      </c>
      <c r="AC48" s="28">
        <f t="shared" ref="AC48" si="95">K48+B48+T48</f>
        <v>74448</v>
      </c>
      <c r="AD48" s="29">
        <f t="shared" ref="AD48" si="96">R48+I48+AA48</f>
        <v>81</v>
      </c>
      <c r="AE48" s="76">
        <f t="shared" ref="AE48" si="97">S48+J48+AB48</f>
        <v>81</v>
      </c>
      <c r="AF48" s="30">
        <f t="shared" ref="AF48" si="98">O48+F48+X48</f>
        <v>0</v>
      </c>
    </row>
    <row r="49" spans="1:32">
      <c r="A49" s="80" t="s">
        <v>104</v>
      </c>
      <c r="B49" s="23">
        <f>INDEX('Resumo Produção'!E$3:E$53,MATCH($A49,[0]!PRODUTOS,0),1)+INDEX('[2]Resumo Produção'!E$3:E$53,MATCH($A49,[3]!PRODUTOS,0),1)</f>
        <v>0</v>
      </c>
      <c r="C49" s="23">
        <f>INDEX('Resumo Produção'!F$3:F$53,MATCH($A49,[0]!PRODUTOS,0),1)+INDEX('[2]Resumo Produção'!F$3:F$53,MATCH($A49,[3]!PRODUTOS,0),1)</f>
        <v>0</v>
      </c>
      <c r="D49" s="23">
        <f>INDEX('Resumo Produção'!G$3:G$53,MATCH($A49,[0]!PRODUTOS,0),1)+INDEX('[2]Resumo Produção'!G$3:G$53,MATCH($A49,[3]!PRODUTOS,0),1)</f>
        <v>0</v>
      </c>
      <c r="E49" s="23">
        <f>INDEX('Resumo Produção'!H$3:H$53,MATCH($A49,[0]!PRODUTOS,0),1)+INDEX('[2]Resumo Produção'!H$3:H$53,MATCH($A49,[3]!PRODUTOS,0),1)</f>
        <v>0</v>
      </c>
      <c r="F49" s="23">
        <f>INDEX('Resumo Produção'!I$3:I$53,MATCH($A49,[0]!PRODUTOS,0),1)+INDEX('[2]Resumo Produção'!I$3:I$53,MATCH($A49,[3]!PRODUTOS,0),1)</f>
        <v>0</v>
      </c>
      <c r="G49" s="23">
        <f t="shared" ref="G49:G50" si="99">SUM(C49:F49)</f>
        <v>0</v>
      </c>
      <c r="H49" s="23">
        <f t="shared" ref="H49:H50" si="100">IF(ISERR(G49/B49),0,G49/B49*1000000)</f>
        <v>0</v>
      </c>
      <c r="I49" s="24">
        <f t="shared" si="0"/>
        <v>0</v>
      </c>
      <c r="J49" s="25">
        <f t="shared" si="1"/>
        <v>0</v>
      </c>
      <c r="K49" s="26">
        <f>INDEX('Resumo Produção'!M$3:M$53,MATCH($A49,[0]!PRODUTOS,0),1)+INDEX('[2]Resumo Produção'!M$3:M$55,MATCH($A49,[3]!PRODUTOS,0),1)</f>
        <v>0</v>
      </c>
      <c r="L49" s="27">
        <f>INDEX('Resumo Produção'!N$3:N$53,MATCH($A49,[0]!PRODUTOS,0),1)+INDEX('[2]Resumo Produção'!N$3:N$55,MATCH($A49,[3]!PRODUTOS,0),1)</f>
        <v>0</v>
      </c>
      <c r="M49" s="27">
        <f>INDEX('Resumo Produção'!O$3:O$53,MATCH($A49,[0]!PRODUTOS,0),1)+INDEX('[2]Resumo Produção'!O$3:O$55,MATCH($A49,[3]!PRODUTOS,0),1)</f>
        <v>0</v>
      </c>
      <c r="N49" s="27">
        <f>INDEX('Resumo Produção'!P$3:P$53,MATCH($A49,[0]!PRODUTOS,0),1)+INDEX('[2]Resumo Produção'!P$3:P$55,MATCH($A49,[3]!PRODUTOS,0),1)</f>
        <v>0</v>
      </c>
      <c r="O49" s="27">
        <f>INDEX('Resumo Produção'!Q$3:Q$53,MATCH($A49,[0]!PRODUTOS,0),1)+INDEX('[2]Resumo Produção'!Q$3:Q$55,MATCH($A49,[3]!PRODUTOS,0),1)</f>
        <v>0</v>
      </c>
      <c r="P49" s="27">
        <f t="shared" ref="P49:P50" si="101">SUM(L49:O49)</f>
        <v>0</v>
      </c>
      <c r="Q49" s="27">
        <f t="shared" ref="Q49:Q50" si="102">(IF(ISERR(P49/K49),,P49/K49*100))*10000</f>
        <v>0</v>
      </c>
      <c r="R49" s="27">
        <f t="shared" si="3"/>
        <v>0</v>
      </c>
      <c r="S49" s="166">
        <f t="shared" si="4"/>
        <v>0</v>
      </c>
      <c r="T49" s="183">
        <f>INDEX('Resumo Produção'!U$3:U$53,MATCH($A49,[0]!PRODUTOS,0),1)+INDEX('[2]Resumo Produção'!U$3:U$53,MATCH($A49,[3]!PRODUTOS,0),1)</f>
        <v>0</v>
      </c>
      <c r="U49" s="184">
        <f>INDEX('Resumo Produção'!V$3:V$53,MATCH($A49,[0]!PRODUTOS,0),1)+INDEX('[2]Resumo Produção'!V$3:V$53,MATCH($A49,[3]!PRODUTOS,0),1)</f>
        <v>0</v>
      </c>
      <c r="V49" s="184">
        <f>INDEX('Resumo Produção'!W$3:W$53,MATCH($A49,[0]!PRODUTOS,0),1)+INDEX('[2]Resumo Produção'!W$3:W$53,MATCH($A49,[3]!PRODUTOS,0),1)</f>
        <v>0</v>
      </c>
      <c r="W49" s="184">
        <f>INDEX('Resumo Produção'!X$3:X$53,MATCH($A49,[0]!PRODUTOS,0),1)+INDEX('[2]Resumo Produção'!X$3:X$53,MATCH($A49,[3]!PRODUTOS,0),1)</f>
        <v>0</v>
      </c>
      <c r="X49" s="184">
        <f>INDEX('Resumo Produção'!Y$3:Y$53,MATCH($A49,[0]!PRODUTOS,0),1)+INDEX('[2]Resumo Produção'!Y$3:Y$53,MATCH($A49,[3]!PRODUTOS,0),1)</f>
        <v>0</v>
      </c>
      <c r="Y49" s="184">
        <f>INDEX('Resumo Produção'!Z$3:Z$53,MATCH($A49,[0]!PRODUTOS,0),1)+INDEX('[2]Resumo Produção'!Z$3:Z$53,MATCH($A49,[3]!PRODUTOS,0),1)</f>
        <v>0</v>
      </c>
      <c r="Z49" s="184">
        <f t="shared" ref="Z49:Z50" si="103">(IF(ISERR(Y49/T49),,Y49/T49*100))*10000</f>
        <v>0</v>
      </c>
      <c r="AA49" s="184">
        <f t="shared" si="6"/>
        <v>0</v>
      </c>
      <c r="AB49" s="185">
        <f t="shared" si="7"/>
        <v>0</v>
      </c>
      <c r="AC49" s="28">
        <f t="shared" ref="AC49:AC50" si="104">K49+B49+T49</f>
        <v>0</v>
      </c>
      <c r="AD49" s="29">
        <f t="shared" ref="AD49:AD50" si="105">R49+I49+AA49</f>
        <v>0</v>
      </c>
      <c r="AE49" s="76">
        <f t="shared" ref="AE49:AE50" si="106">S49+J49+AB49</f>
        <v>0</v>
      </c>
      <c r="AF49" s="30">
        <f t="shared" ref="AF49:AF50" si="107">O49+F49+X49</f>
        <v>0</v>
      </c>
    </row>
    <row r="50" spans="1:32">
      <c r="A50" s="11" t="s">
        <v>45</v>
      </c>
      <c r="B50" s="23">
        <f>INDEX('Resumo Produção'!E$3:E$53,MATCH($A50,[0]!PRODUTOS,0),1)+INDEX('[2]Resumo Produção'!E$3:E$53,MATCH($A50,[3]!PRODUTOS,0),1)</f>
        <v>0</v>
      </c>
      <c r="C50" s="23">
        <f>INDEX('Resumo Produção'!F$3:F$53,MATCH($A50,[0]!PRODUTOS,0),1)+INDEX('[2]Resumo Produção'!F$3:F$53,MATCH($A50,[3]!PRODUTOS,0),1)</f>
        <v>0</v>
      </c>
      <c r="D50" s="23">
        <f>INDEX('Resumo Produção'!G$3:G$53,MATCH($A50,[0]!PRODUTOS,0),1)+INDEX('[2]Resumo Produção'!G$3:G$53,MATCH($A50,[3]!PRODUTOS,0),1)</f>
        <v>0</v>
      </c>
      <c r="E50" s="23">
        <f>INDEX('Resumo Produção'!H$3:H$53,MATCH($A50,[0]!PRODUTOS,0),1)+INDEX('[2]Resumo Produção'!H$3:H$53,MATCH($A50,[3]!PRODUTOS,0),1)</f>
        <v>0</v>
      </c>
      <c r="F50" s="23">
        <f>INDEX('Resumo Produção'!I$3:I$53,MATCH($A50,[0]!PRODUTOS,0),1)+INDEX('[2]Resumo Produção'!I$3:I$53,MATCH($A50,[3]!PRODUTOS,0),1)</f>
        <v>0</v>
      </c>
      <c r="G50" s="23">
        <f t="shared" si="99"/>
        <v>0</v>
      </c>
      <c r="H50" s="23">
        <f t="shared" si="100"/>
        <v>0</v>
      </c>
      <c r="I50" s="24">
        <f t="shared" si="0"/>
        <v>0</v>
      </c>
      <c r="J50" s="25">
        <f t="shared" si="1"/>
        <v>0</v>
      </c>
      <c r="K50" s="26">
        <f>INDEX('Resumo Produção'!M$3:M$53,MATCH($A50,[0]!PRODUTOS,0),1)+INDEX('[2]Resumo Produção'!M$3:M$55,MATCH($A50,[3]!PRODUTOS,0),1)</f>
        <v>14904</v>
      </c>
      <c r="L50" s="27">
        <f>INDEX('Resumo Produção'!N$3:N$53,MATCH($A50,[0]!PRODUTOS,0),1)+INDEX('[2]Resumo Produção'!N$3:N$55,MATCH($A50,[3]!PRODUTOS,0),1)</f>
        <v>0</v>
      </c>
      <c r="M50" s="27">
        <f>INDEX('Resumo Produção'!O$3:O$53,MATCH($A50,[0]!PRODUTOS,0),1)+INDEX('[2]Resumo Produção'!O$3:O$55,MATCH($A50,[3]!PRODUTOS,0),1)</f>
        <v>0</v>
      </c>
      <c r="N50" s="27">
        <f>INDEX('Resumo Produção'!P$3:P$53,MATCH($A50,[0]!PRODUTOS,0),1)+INDEX('[2]Resumo Produção'!P$3:P$55,MATCH($A50,[3]!PRODUTOS,0),1)</f>
        <v>53</v>
      </c>
      <c r="O50" s="27">
        <f>INDEX('Resumo Produção'!Q$3:Q$53,MATCH($A50,[0]!PRODUTOS,0),1)+INDEX('[2]Resumo Produção'!Q$3:Q$55,MATCH($A50,[3]!PRODUTOS,0),1)</f>
        <v>0</v>
      </c>
      <c r="P50" s="27">
        <f t="shared" si="101"/>
        <v>53</v>
      </c>
      <c r="Q50" s="27">
        <f t="shared" si="102"/>
        <v>3556.0923242082663</v>
      </c>
      <c r="R50" s="27">
        <f t="shared" si="3"/>
        <v>53</v>
      </c>
      <c r="S50" s="166">
        <f t="shared" si="4"/>
        <v>53</v>
      </c>
      <c r="T50" s="183">
        <f>INDEX('Resumo Produção'!U$3:U$53,MATCH($A50,[0]!PRODUTOS,0),1)+INDEX('[2]Resumo Produção'!U$3:U$53,MATCH($A50,[3]!PRODUTOS,0),1)</f>
        <v>0</v>
      </c>
      <c r="U50" s="184">
        <f>INDEX('Resumo Produção'!V$3:V$53,MATCH($A50,[0]!PRODUTOS,0),1)+INDEX('[2]Resumo Produção'!V$3:V$53,MATCH($A50,[3]!PRODUTOS,0),1)</f>
        <v>0</v>
      </c>
      <c r="V50" s="184">
        <f>INDEX('Resumo Produção'!W$3:W$53,MATCH($A50,[0]!PRODUTOS,0),1)+INDEX('[2]Resumo Produção'!W$3:W$53,MATCH($A50,[3]!PRODUTOS,0),1)</f>
        <v>0</v>
      </c>
      <c r="W50" s="184">
        <f>INDEX('Resumo Produção'!X$3:X$53,MATCH($A50,[0]!PRODUTOS,0),1)+INDEX('[2]Resumo Produção'!X$3:X$53,MATCH($A50,[3]!PRODUTOS,0),1)</f>
        <v>0</v>
      </c>
      <c r="X50" s="184">
        <f>INDEX('Resumo Produção'!Y$3:Y$53,MATCH($A50,[0]!PRODUTOS,0),1)+INDEX('[2]Resumo Produção'!Y$3:Y$53,MATCH($A50,[3]!PRODUTOS,0),1)</f>
        <v>0</v>
      </c>
      <c r="Y50" s="184">
        <f>INDEX('Resumo Produção'!Z$3:Z$53,MATCH($A50,[0]!PRODUTOS,0),1)+INDEX('[2]Resumo Produção'!Z$3:Z$53,MATCH($A50,[3]!PRODUTOS,0),1)</f>
        <v>0</v>
      </c>
      <c r="Z50" s="184">
        <f t="shared" si="103"/>
        <v>0</v>
      </c>
      <c r="AA50" s="184">
        <f t="shared" si="6"/>
        <v>0</v>
      </c>
      <c r="AB50" s="185">
        <f t="shared" si="7"/>
        <v>0</v>
      </c>
      <c r="AC50" s="28">
        <f t="shared" si="104"/>
        <v>14904</v>
      </c>
      <c r="AD50" s="29">
        <f t="shared" si="105"/>
        <v>53</v>
      </c>
      <c r="AE50" s="76">
        <f t="shared" si="106"/>
        <v>53</v>
      </c>
      <c r="AF50" s="30">
        <f t="shared" si="107"/>
        <v>0</v>
      </c>
    </row>
    <row r="51" spans="1:32">
      <c r="A51" s="80" t="s">
        <v>49</v>
      </c>
      <c r="B51" s="23">
        <f>INDEX('Resumo Produção'!E$3:E$53,MATCH($A51,[0]!PRODUTOS,0),1)+INDEX('[2]Resumo Produção'!E$3:E$53,MATCH($A51,[3]!PRODUTOS,0),1)</f>
        <v>0</v>
      </c>
      <c r="C51" s="23">
        <f>INDEX('Resumo Produção'!F$3:F$53,MATCH($A51,[0]!PRODUTOS,0),1)+INDEX('[2]Resumo Produção'!F$3:F$53,MATCH($A51,[3]!PRODUTOS,0),1)</f>
        <v>0</v>
      </c>
      <c r="D51" s="23">
        <f>INDEX('Resumo Produção'!G$3:G$53,MATCH($A51,[0]!PRODUTOS,0),1)+INDEX('[2]Resumo Produção'!G$3:G$53,MATCH($A51,[3]!PRODUTOS,0),1)</f>
        <v>0</v>
      </c>
      <c r="E51" s="23">
        <f>INDEX('Resumo Produção'!H$3:H$53,MATCH($A51,[0]!PRODUTOS,0),1)+INDEX('[2]Resumo Produção'!H$3:H$53,MATCH($A51,[3]!PRODUTOS,0),1)</f>
        <v>0</v>
      </c>
      <c r="F51" s="23">
        <f>INDEX('Resumo Produção'!I$3:I$53,MATCH($A51,[0]!PRODUTOS,0),1)+INDEX('[2]Resumo Produção'!I$3:I$53,MATCH($A51,[3]!PRODUTOS,0),1)</f>
        <v>0</v>
      </c>
      <c r="G51" s="23">
        <f t="shared" si="15"/>
        <v>0</v>
      </c>
      <c r="H51" s="23">
        <f t="shared" si="16"/>
        <v>0</v>
      </c>
      <c r="I51" s="24">
        <f t="shared" si="0"/>
        <v>0</v>
      </c>
      <c r="J51" s="25">
        <f t="shared" si="1"/>
        <v>0</v>
      </c>
      <c r="K51" s="26">
        <f>INDEX('Resumo Produção'!M$3:M$53,MATCH($A51,[0]!PRODUTOS,0),1)+INDEX('[2]Resumo Produção'!M$3:M$55,MATCH($A51,[3]!PRODUTOS,0),1)</f>
        <v>0</v>
      </c>
      <c r="L51" s="27">
        <f>INDEX('Resumo Produção'!N$3:N$53,MATCH($A51,[0]!PRODUTOS,0),1)+INDEX('[2]Resumo Produção'!N$3:N$55,MATCH($A51,[3]!PRODUTOS,0),1)</f>
        <v>0</v>
      </c>
      <c r="M51" s="27">
        <f>INDEX('Resumo Produção'!O$3:O$53,MATCH($A51,[0]!PRODUTOS,0),1)+INDEX('[2]Resumo Produção'!O$3:O$55,MATCH($A51,[3]!PRODUTOS,0),1)</f>
        <v>0</v>
      </c>
      <c r="N51" s="27">
        <f>INDEX('Resumo Produção'!P$3:P$53,MATCH($A51,[0]!PRODUTOS,0),1)+INDEX('[2]Resumo Produção'!P$3:P$55,MATCH($A51,[3]!PRODUTOS,0),1)</f>
        <v>0</v>
      </c>
      <c r="O51" s="27">
        <f>INDEX('Resumo Produção'!Q$3:Q$53,MATCH($A51,[0]!PRODUTOS,0),1)+INDEX('[2]Resumo Produção'!Q$3:Q$55,MATCH($A51,[3]!PRODUTOS,0),1)</f>
        <v>0</v>
      </c>
      <c r="P51" s="27">
        <f t="shared" si="17"/>
        <v>0</v>
      </c>
      <c r="Q51" s="27">
        <f t="shared" si="2"/>
        <v>0</v>
      </c>
      <c r="R51" s="27">
        <f t="shared" si="3"/>
        <v>0</v>
      </c>
      <c r="S51" s="166">
        <f t="shared" si="4"/>
        <v>0</v>
      </c>
      <c r="T51" s="183">
        <f>INDEX('Resumo Produção'!U$3:U$53,MATCH($A51,[0]!PRODUTOS,0),1)+INDEX('[2]Resumo Produção'!U$3:U$53,MATCH($A51,[3]!PRODUTOS,0),1)</f>
        <v>0</v>
      </c>
      <c r="U51" s="184">
        <f>INDEX('Resumo Produção'!V$3:V$53,MATCH($A51,[0]!PRODUTOS,0),1)+INDEX('[2]Resumo Produção'!V$3:V$53,MATCH($A51,[3]!PRODUTOS,0),1)</f>
        <v>0</v>
      </c>
      <c r="V51" s="184">
        <f>INDEX('Resumo Produção'!W$3:W$53,MATCH($A51,[0]!PRODUTOS,0),1)+INDEX('[2]Resumo Produção'!W$3:W$53,MATCH($A51,[3]!PRODUTOS,0),1)</f>
        <v>0</v>
      </c>
      <c r="W51" s="184">
        <f>INDEX('Resumo Produção'!X$3:X$53,MATCH($A51,[0]!PRODUTOS,0),1)+INDEX('[2]Resumo Produção'!X$3:X$53,MATCH($A51,[3]!PRODUTOS,0),1)</f>
        <v>0</v>
      </c>
      <c r="X51" s="184">
        <f>INDEX('Resumo Produção'!Y$3:Y$53,MATCH($A51,[0]!PRODUTOS,0),1)+INDEX('[2]Resumo Produção'!Y$3:Y$53,MATCH($A51,[3]!PRODUTOS,0),1)</f>
        <v>0</v>
      </c>
      <c r="Y51" s="184">
        <f>INDEX('Resumo Produção'!Z$3:Z$53,MATCH($A51,[0]!PRODUTOS,0),1)+INDEX('[2]Resumo Produção'!Z$3:Z$53,MATCH($A51,[3]!PRODUTOS,0),1)</f>
        <v>0</v>
      </c>
      <c r="Z51" s="184">
        <f t="shared" si="5"/>
        <v>0</v>
      </c>
      <c r="AA51" s="184">
        <f t="shared" si="6"/>
        <v>0</v>
      </c>
      <c r="AB51" s="185">
        <f t="shared" si="7"/>
        <v>0</v>
      </c>
      <c r="AC51" s="28">
        <f t="shared" si="71"/>
        <v>0</v>
      </c>
      <c r="AD51" s="29">
        <f t="shared" si="72"/>
        <v>0</v>
      </c>
      <c r="AE51" s="76">
        <f t="shared" si="73"/>
        <v>0</v>
      </c>
      <c r="AF51" s="30">
        <f t="shared" si="74"/>
        <v>0</v>
      </c>
    </row>
    <row r="52" spans="1:32">
      <c r="A52" s="11" t="s">
        <v>50</v>
      </c>
      <c r="B52" s="23">
        <f>INDEX('Resumo Produção'!E$3:E$53,MATCH($A52,[0]!PRODUTOS,0),1)+INDEX('[2]Resumo Produção'!E$3:E$53,MATCH($A52,[3]!PRODUTOS,0),1)</f>
        <v>0</v>
      </c>
      <c r="C52" s="23">
        <f>INDEX('Resumo Produção'!F$3:F$53,MATCH($A52,[0]!PRODUTOS,0),1)+INDEX('[2]Resumo Produção'!F$3:F$53,MATCH($A52,[3]!PRODUTOS,0),1)</f>
        <v>0</v>
      </c>
      <c r="D52" s="23">
        <f>INDEX('Resumo Produção'!G$3:G$53,MATCH($A52,[0]!PRODUTOS,0),1)+INDEX('[2]Resumo Produção'!G$3:G$53,MATCH($A52,[3]!PRODUTOS,0),1)</f>
        <v>0</v>
      </c>
      <c r="E52" s="23">
        <f>INDEX('Resumo Produção'!H$3:H$53,MATCH($A52,[0]!PRODUTOS,0),1)+INDEX('[2]Resumo Produção'!H$3:H$53,MATCH($A52,[3]!PRODUTOS,0),1)</f>
        <v>0</v>
      </c>
      <c r="F52" s="23">
        <f>INDEX('Resumo Produção'!I$3:I$53,MATCH($A52,[0]!PRODUTOS,0),1)+INDEX('[2]Resumo Produção'!I$3:I$53,MATCH($A52,[3]!PRODUTOS,0),1)</f>
        <v>0</v>
      </c>
      <c r="G52" s="23">
        <f t="shared" si="15"/>
        <v>0</v>
      </c>
      <c r="H52" s="23">
        <f t="shared" si="16"/>
        <v>0</v>
      </c>
      <c r="I52" s="24">
        <f t="shared" si="0"/>
        <v>0</v>
      </c>
      <c r="J52" s="25">
        <f t="shared" si="1"/>
        <v>0</v>
      </c>
      <c r="K52" s="26">
        <f>INDEX('Resumo Produção'!M$3:M$53,MATCH($A52,[0]!PRODUTOS,0),1)+INDEX('[2]Resumo Produção'!M$3:M$55,MATCH($A52,[3]!PRODUTOS,0),1)</f>
        <v>0</v>
      </c>
      <c r="L52" s="27">
        <f>INDEX('Resumo Produção'!N$3:N$53,MATCH($A52,[0]!PRODUTOS,0),1)+INDEX('[2]Resumo Produção'!N$3:N$55,MATCH($A52,[3]!PRODUTOS,0),1)</f>
        <v>0</v>
      </c>
      <c r="M52" s="27">
        <f>INDEX('Resumo Produção'!O$3:O$53,MATCH($A52,[0]!PRODUTOS,0),1)+INDEX('[2]Resumo Produção'!O$3:O$55,MATCH($A52,[3]!PRODUTOS,0),1)</f>
        <v>0</v>
      </c>
      <c r="N52" s="27">
        <f>INDEX('Resumo Produção'!P$3:P$53,MATCH($A52,[0]!PRODUTOS,0),1)+INDEX('[2]Resumo Produção'!P$3:P$55,MATCH($A52,[3]!PRODUTOS,0),1)</f>
        <v>0</v>
      </c>
      <c r="O52" s="27">
        <f>INDEX('Resumo Produção'!Q$3:Q$53,MATCH($A52,[0]!PRODUTOS,0),1)+INDEX('[2]Resumo Produção'!Q$3:Q$55,MATCH($A52,[3]!PRODUTOS,0),1)</f>
        <v>0</v>
      </c>
      <c r="P52" s="27">
        <f t="shared" si="17"/>
        <v>0</v>
      </c>
      <c r="Q52" s="27">
        <f t="shared" si="2"/>
        <v>0</v>
      </c>
      <c r="R52" s="27">
        <f t="shared" si="3"/>
        <v>0</v>
      </c>
      <c r="S52" s="166">
        <f t="shared" si="4"/>
        <v>0</v>
      </c>
      <c r="T52" s="183">
        <f>INDEX('Resumo Produção'!U$3:U$53,MATCH($A52,[0]!PRODUTOS,0),1)+INDEX('[2]Resumo Produção'!U$3:U$53,MATCH($A52,[3]!PRODUTOS,0),1)</f>
        <v>0</v>
      </c>
      <c r="U52" s="184">
        <f>INDEX('Resumo Produção'!V$3:V$53,MATCH($A52,[0]!PRODUTOS,0),1)+INDEX('[2]Resumo Produção'!V$3:V$53,MATCH($A52,[3]!PRODUTOS,0),1)</f>
        <v>0</v>
      </c>
      <c r="V52" s="184">
        <f>INDEX('Resumo Produção'!W$3:W$53,MATCH($A52,[0]!PRODUTOS,0),1)+INDEX('[2]Resumo Produção'!W$3:W$53,MATCH($A52,[3]!PRODUTOS,0),1)</f>
        <v>0</v>
      </c>
      <c r="W52" s="184">
        <f>INDEX('Resumo Produção'!X$3:X$53,MATCH($A52,[0]!PRODUTOS,0),1)+INDEX('[2]Resumo Produção'!X$3:X$53,MATCH($A52,[3]!PRODUTOS,0),1)</f>
        <v>0</v>
      </c>
      <c r="X52" s="184">
        <f>INDEX('Resumo Produção'!Y$3:Y$53,MATCH($A52,[0]!PRODUTOS,0),1)+INDEX('[2]Resumo Produção'!Y$3:Y$53,MATCH($A52,[3]!PRODUTOS,0),1)</f>
        <v>0</v>
      </c>
      <c r="Y52" s="184">
        <f>INDEX('Resumo Produção'!Z$3:Z$53,MATCH($A52,[0]!PRODUTOS,0),1)+INDEX('[2]Resumo Produção'!Z$3:Z$53,MATCH($A52,[3]!PRODUTOS,0),1)</f>
        <v>0</v>
      </c>
      <c r="Z52" s="184">
        <f t="shared" si="5"/>
        <v>0</v>
      </c>
      <c r="AA52" s="184">
        <f t="shared" si="6"/>
        <v>0</v>
      </c>
      <c r="AB52" s="185">
        <f t="shared" si="7"/>
        <v>0</v>
      </c>
      <c r="AC52" s="28">
        <f t="shared" si="71"/>
        <v>0</v>
      </c>
      <c r="AD52" s="29">
        <f t="shared" si="72"/>
        <v>0</v>
      </c>
      <c r="AE52" s="76">
        <f t="shared" si="73"/>
        <v>0</v>
      </c>
      <c r="AF52" s="30">
        <f t="shared" si="74"/>
        <v>0</v>
      </c>
    </row>
    <row r="53" spans="1:32">
      <c r="A53" s="80" t="s">
        <v>94</v>
      </c>
      <c r="B53" s="23">
        <f>INDEX('Resumo Produção'!E$3:E$53,MATCH($A53,[0]!PRODUTOS,0),1)+INDEX('[2]Resumo Produção'!E$3:E$53,MATCH($A53,[3]!PRODUTOS,0),1)</f>
        <v>0</v>
      </c>
      <c r="C53" s="23">
        <f>INDEX('Resumo Produção'!F$3:F$53,MATCH($A53,[0]!PRODUTOS,0),1)+INDEX('[2]Resumo Produção'!F$3:F$53,MATCH($A53,[3]!PRODUTOS,0),1)</f>
        <v>0</v>
      </c>
      <c r="D53" s="23">
        <f>INDEX('Resumo Produção'!G$3:G$53,MATCH($A53,[0]!PRODUTOS,0),1)+INDEX('[2]Resumo Produção'!G$3:G$53,MATCH($A53,[3]!PRODUTOS,0),1)</f>
        <v>0</v>
      </c>
      <c r="E53" s="23">
        <f>INDEX('Resumo Produção'!H$3:H$53,MATCH($A53,[0]!PRODUTOS,0),1)+INDEX('[2]Resumo Produção'!H$3:H$53,MATCH($A53,[3]!PRODUTOS,0),1)</f>
        <v>0</v>
      </c>
      <c r="F53" s="23">
        <f>INDEX('Resumo Produção'!I$3:I$53,MATCH($A53,[0]!PRODUTOS,0),1)+INDEX('[2]Resumo Produção'!I$3:I$53,MATCH($A53,[3]!PRODUTOS,0),1)</f>
        <v>0</v>
      </c>
      <c r="G53" s="23">
        <f t="shared" ref="G53" si="108">SUM(C53:F53)</f>
        <v>0</v>
      </c>
      <c r="H53" s="23">
        <f t="shared" ref="H53" si="109">IF(ISERR(G53/B53),0,G53/B53*1000000)</f>
        <v>0</v>
      </c>
      <c r="I53" s="24">
        <f t="shared" si="0"/>
        <v>0</v>
      </c>
      <c r="J53" s="25">
        <f t="shared" si="1"/>
        <v>0</v>
      </c>
      <c r="K53" s="26">
        <f>INDEX('Resumo Produção'!M$3:M$53,MATCH($A53,[0]!PRODUTOS,0),1)+INDEX('[2]Resumo Produção'!M$3:M$55,MATCH($A53,[3]!PRODUTOS,0),1)</f>
        <v>0</v>
      </c>
      <c r="L53" s="27">
        <f>INDEX('Resumo Produção'!N$3:N$53,MATCH($A53,[0]!PRODUTOS,0),1)+INDEX('[2]Resumo Produção'!N$3:N$55,MATCH($A53,[3]!PRODUTOS,0),1)</f>
        <v>0</v>
      </c>
      <c r="M53" s="27">
        <f>INDEX('Resumo Produção'!O$3:O$53,MATCH($A53,[0]!PRODUTOS,0),1)+INDEX('[2]Resumo Produção'!O$3:O$55,MATCH($A53,[3]!PRODUTOS,0),1)</f>
        <v>0</v>
      </c>
      <c r="N53" s="27">
        <f>INDEX('Resumo Produção'!P$3:P$53,MATCH($A53,[0]!PRODUTOS,0),1)+INDEX('[2]Resumo Produção'!P$3:P$55,MATCH($A53,[3]!PRODUTOS,0),1)</f>
        <v>0</v>
      </c>
      <c r="O53" s="27">
        <f>INDEX('Resumo Produção'!Q$3:Q$53,MATCH($A53,[0]!PRODUTOS,0),1)+INDEX('[2]Resumo Produção'!Q$3:Q$55,MATCH($A53,[3]!PRODUTOS,0),1)</f>
        <v>0</v>
      </c>
      <c r="P53" s="27">
        <f t="shared" ref="P53" si="110">SUM(L53:O53)</f>
        <v>0</v>
      </c>
      <c r="Q53" s="27">
        <f t="shared" ref="Q53" si="111">(IF(ISERR(P53/K53),,P53/K53*100))*10000</f>
        <v>0</v>
      </c>
      <c r="R53" s="27">
        <f t="shared" si="3"/>
        <v>0</v>
      </c>
      <c r="S53" s="166">
        <f t="shared" si="4"/>
        <v>0</v>
      </c>
      <c r="T53" s="183">
        <f>INDEX('Resumo Produção'!U$3:U$53,MATCH($A53,[0]!PRODUTOS,0),1)+INDEX('[2]Resumo Produção'!U$3:U$53,MATCH($A53,[3]!PRODUTOS,0),1)</f>
        <v>0</v>
      </c>
      <c r="U53" s="184">
        <f>INDEX('Resumo Produção'!V$3:V$53,MATCH($A53,[0]!PRODUTOS,0),1)+INDEX('[2]Resumo Produção'!V$3:V$53,MATCH($A53,[3]!PRODUTOS,0),1)</f>
        <v>0</v>
      </c>
      <c r="V53" s="184">
        <f>INDEX('Resumo Produção'!W$3:W$53,MATCH($A53,[0]!PRODUTOS,0),1)+INDEX('[2]Resumo Produção'!W$3:W$53,MATCH($A53,[3]!PRODUTOS,0),1)</f>
        <v>0</v>
      </c>
      <c r="W53" s="184">
        <f>INDEX('Resumo Produção'!X$3:X$53,MATCH($A53,[0]!PRODUTOS,0),1)+INDEX('[2]Resumo Produção'!X$3:X$53,MATCH($A53,[3]!PRODUTOS,0),1)</f>
        <v>0</v>
      </c>
      <c r="X53" s="184">
        <f>INDEX('Resumo Produção'!Y$3:Y$53,MATCH($A53,[0]!PRODUTOS,0),1)+INDEX('[2]Resumo Produção'!Y$3:Y$53,MATCH($A53,[3]!PRODUTOS,0),1)</f>
        <v>0</v>
      </c>
      <c r="Y53" s="184">
        <f>INDEX('Resumo Produção'!Z$3:Z$53,MATCH($A53,[0]!PRODUTOS,0),1)+INDEX('[2]Resumo Produção'!Z$3:Z$53,MATCH($A53,[3]!PRODUTOS,0),1)</f>
        <v>0</v>
      </c>
      <c r="Z53" s="184">
        <f t="shared" si="5"/>
        <v>0</v>
      </c>
      <c r="AA53" s="184">
        <f t="shared" si="6"/>
        <v>0</v>
      </c>
      <c r="AB53" s="185">
        <f t="shared" si="7"/>
        <v>0</v>
      </c>
      <c r="AC53" s="28">
        <f t="shared" si="71"/>
        <v>0</v>
      </c>
      <c r="AD53" s="29">
        <f t="shared" si="72"/>
        <v>0</v>
      </c>
      <c r="AE53" s="76">
        <f t="shared" si="73"/>
        <v>0</v>
      </c>
      <c r="AF53" s="30">
        <f t="shared" si="74"/>
        <v>0</v>
      </c>
    </row>
    <row r="54" spans="1:32">
      <c r="A54" s="11" t="s">
        <v>72</v>
      </c>
      <c r="B54" s="23">
        <f>INDEX('Resumo Produção'!E$3:E$53,MATCH($A54,[0]!PRODUTOS,0),1)+INDEX('[2]Resumo Produção'!E$3:E$53,MATCH($A54,[3]!PRODUTOS,0),1)</f>
        <v>0</v>
      </c>
      <c r="C54" s="23">
        <f>INDEX('Resumo Produção'!F$3:F$53,MATCH($A54,[0]!PRODUTOS,0),1)+INDEX('[2]Resumo Produção'!F$3:F$53,MATCH($A54,[3]!PRODUTOS,0),1)</f>
        <v>0</v>
      </c>
      <c r="D54" s="23">
        <f>INDEX('Resumo Produção'!G$3:G$53,MATCH($A54,[0]!PRODUTOS,0),1)+INDEX('[2]Resumo Produção'!G$3:G$53,MATCH($A54,[3]!PRODUTOS,0),1)</f>
        <v>0</v>
      </c>
      <c r="E54" s="23">
        <f>INDEX('Resumo Produção'!H$3:H$53,MATCH($A54,[0]!PRODUTOS,0),1)+INDEX('[2]Resumo Produção'!H$3:H$53,MATCH($A54,[3]!PRODUTOS,0),1)</f>
        <v>0</v>
      </c>
      <c r="F54" s="23">
        <f>INDEX('Resumo Produção'!I$3:I$53,MATCH($A54,[0]!PRODUTOS,0),1)+INDEX('[2]Resumo Produção'!I$3:I$53,MATCH($A54,[3]!PRODUTOS,0),1)</f>
        <v>0</v>
      </c>
      <c r="G54" s="23">
        <f t="shared" si="15"/>
        <v>0</v>
      </c>
      <c r="H54" s="23">
        <f t="shared" si="16"/>
        <v>0</v>
      </c>
      <c r="I54" s="24">
        <f t="shared" si="0"/>
        <v>0</v>
      </c>
      <c r="J54" s="25">
        <f t="shared" si="1"/>
        <v>0</v>
      </c>
      <c r="K54" s="26">
        <f>INDEX('Resumo Produção'!M$3:M$53,MATCH($A54,[0]!PRODUTOS,0),1)+INDEX('[2]Resumo Produção'!M$3:M$55,MATCH($A54,[3]!PRODUTOS,0),1)</f>
        <v>0</v>
      </c>
      <c r="L54" s="27">
        <f>INDEX('Resumo Produção'!N$3:N$53,MATCH($A54,[0]!PRODUTOS,0),1)+INDEX('[2]Resumo Produção'!N$3:N$55,MATCH($A54,[3]!PRODUTOS,0),1)</f>
        <v>0</v>
      </c>
      <c r="M54" s="27">
        <f>INDEX('Resumo Produção'!O$3:O$53,MATCH($A54,[0]!PRODUTOS,0),1)+INDEX('[2]Resumo Produção'!O$3:O$55,MATCH($A54,[3]!PRODUTOS,0),1)</f>
        <v>0</v>
      </c>
      <c r="N54" s="27">
        <f>INDEX('Resumo Produção'!P$3:P$53,MATCH($A54,[0]!PRODUTOS,0),1)+INDEX('[2]Resumo Produção'!P$3:P$55,MATCH($A54,[3]!PRODUTOS,0),1)</f>
        <v>0</v>
      </c>
      <c r="O54" s="27">
        <f>INDEX('Resumo Produção'!Q$3:Q$53,MATCH($A54,[0]!PRODUTOS,0),1)+INDEX('[2]Resumo Produção'!Q$3:Q$55,MATCH($A54,[3]!PRODUTOS,0),1)</f>
        <v>0</v>
      </c>
      <c r="P54" s="27">
        <f t="shared" si="17"/>
        <v>0</v>
      </c>
      <c r="Q54" s="27">
        <f t="shared" si="2"/>
        <v>0</v>
      </c>
      <c r="R54" s="27">
        <f t="shared" si="3"/>
        <v>0</v>
      </c>
      <c r="S54" s="166">
        <f t="shared" si="4"/>
        <v>0</v>
      </c>
      <c r="T54" s="183">
        <f>INDEX('Resumo Produção'!U$3:U$53,MATCH($A54,[0]!PRODUTOS,0),1)+INDEX('[2]Resumo Produção'!U$3:U$53,MATCH($A54,[3]!PRODUTOS,0),1)</f>
        <v>33528</v>
      </c>
      <c r="U54" s="184">
        <f>INDEX('Resumo Produção'!V$3:V$53,MATCH($A54,[0]!PRODUTOS,0),1)+INDEX('[2]Resumo Produção'!V$3:V$53,MATCH($A54,[3]!PRODUTOS,0),1)</f>
        <v>0</v>
      </c>
      <c r="V54" s="184">
        <f>INDEX('Resumo Produção'!W$3:W$53,MATCH($A54,[0]!PRODUTOS,0),1)+INDEX('[2]Resumo Produção'!W$3:W$53,MATCH($A54,[3]!PRODUTOS,0),1)</f>
        <v>0</v>
      </c>
      <c r="W54" s="184">
        <f>INDEX('Resumo Produção'!X$3:X$53,MATCH($A54,[0]!PRODUTOS,0),1)+INDEX('[2]Resumo Produção'!X$3:X$53,MATCH($A54,[3]!PRODUTOS,0),1)</f>
        <v>19</v>
      </c>
      <c r="X54" s="184">
        <f>INDEX('Resumo Produção'!Y$3:Y$53,MATCH($A54,[0]!PRODUTOS,0),1)+INDEX('[2]Resumo Produção'!Y$3:Y$53,MATCH($A54,[3]!PRODUTOS,0),1)</f>
        <v>0</v>
      </c>
      <c r="Y54" s="184">
        <f>INDEX('Resumo Produção'!Z$3:Z$53,MATCH($A54,[0]!PRODUTOS,0),1)+INDEX('[2]Resumo Produção'!Z$3:Z$53,MATCH($A54,[3]!PRODUTOS,0),1)</f>
        <v>19</v>
      </c>
      <c r="Z54" s="184">
        <f t="shared" si="5"/>
        <v>566.69052732044861</v>
      </c>
      <c r="AA54" s="184">
        <f t="shared" si="6"/>
        <v>19</v>
      </c>
      <c r="AB54" s="185">
        <f t="shared" si="7"/>
        <v>19</v>
      </c>
      <c r="AC54" s="28">
        <f t="shared" si="71"/>
        <v>33528</v>
      </c>
      <c r="AD54" s="29">
        <f t="shared" si="72"/>
        <v>19</v>
      </c>
      <c r="AE54" s="76">
        <f t="shared" si="73"/>
        <v>19</v>
      </c>
      <c r="AF54" s="30">
        <f t="shared" si="74"/>
        <v>0</v>
      </c>
    </row>
    <row r="55" spans="1:32">
      <c r="A55" s="11" t="s">
        <v>90</v>
      </c>
      <c r="B55" s="23">
        <f>INDEX('Resumo Produção'!E$3:E$53,MATCH($A55,[0]!PRODUTOS,0),1)+INDEX('[2]Resumo Produção'!E$3:E$53,MATCH($A55,[3]!PRODUTOS,0),1)</f>
        <v>0</v>
      </c>
      <c r="C55" s="23">
        <f>INDEX('Resumo Produção'!F$3:F$53,MATCH($A55,[0]!PRODUTOS,0),1)+INDEX('[2]Resumo Produção'!F$3:F$53,MATCH($A55,[3]!PRODUTOS,0),1)</f>
        <v>0</v>
      </c>
      <c r="D55" s="23">
        <f>INDEX('Resumo Produção'!G$3:G$53,MATCH($A55,[0]!PRODUTOS,0),1)+INDEX('[2]Resumo Produção'!G$3:G$53,MATCH($A55,[3]!PRODUTOS,0),1)</f>
        <v>0</v>
      </c>
      <c r="E55" s="23">
        <f>INDEX('Resumo Produção'!H$3:H$53,MATCH($A55,[0]!PRODUTOS,0),1)+INDEX('[2]Resumo Produção'!H$3:H$53,MATCH($A55,[3]!PRODUTOS,0),1)</f>
        <v>0</v>
      </c>
      <c r="F55" s="23">
        <f>INDEX('Resumo Produção'!I$3:I$53,MATCH($A55,[0]!PRODUTOS,0),1)+INDEX('[2]Resumo Produção'!I$3:I$53,MATCH($A55,[3]!PRODUTOS,0),1)</f>
        <v>0</v>
      </c>
      <c r="G55" s="23">
        <f t="shared" ref="G55" si="112">SUM(C55:F55)</f>
        <v>0</v>
      </c>
      <c r="H55" s="23">
        <f t="shared" ref="H55" si="113">IF(ISERR(G55/B55),0,G55/B55*1000000)</f>
        <v>0</v>
      </c>
      <c r="I55" s="24">
        <f t="shared" si="0"/>
        <v>0</v>
      </c>
      <c r="J55" s="25">
        <f t="shared" si="1"/>
        <v>0</v>
      </c>
      <c r="K55" s="26">
        <f>INDEX('Resumo Produção'!M$3:M$53,MATCH($A55,[0]!PRODUTOS,0),1)+INDEX('[2]Resumo Produção'!M$3:M$55,MATCH($A55,[3]!PRODUTOS,0),1)</f>
        <v>0</v>
      </c>
      <c r="L55" s="27">
        <f>INDEX('Resumo Produção'!N$3:N$53,MATCH($A55,[0]!PRODUTOS,0),1)+INDEX('[2]Resumo Produção'!N$3:N$55,MATCH($A55,[3]!PRODUTOS,0),1)</f>
        <v>0</v>
      </c>
      <c r="M55" s="27">
        <f>INDEX('Resumo Produção'!O$3:O$53,MATCH($A55,[0]!PRODUTOS,0),1)+INDEX('[2]Resumo Produção'!O$3:O$55,MATCH($A55,[3]!PRODUTOS,0),1)</f>
        <v>0</v>
      </c>
      <c r="N55" s="27">
        <f>INDEX('Resumo Produção'!P$3:P$53,MATCH($A55,[0]!PRODUTOS,0),1)+INDEX('[2]Resumo Produção'!P$3:P$55,MATCH($A55,[3]!PRODUTOS,0),1)</f>
        <v>0</v>
      </c>
      <c r="O55" s="27">
        <f>INDEX('Resumo Produção'!Q$3:Q$53,MATCH($A55,[0]!PRODUTOS,0),1)+INDEX('[2]Resumo Produção'!Q$3:Q$55,MATCH($A55,[3]!PRODUTOS,0),1)</f>
        <v>0</v>
      </c>
      <c r="P55" s="27">
        <f t="shared" ref="P55" si="114">SUM(L55:O55)</f>
        <v>0</v>
      </c>
      <c r="Q55" s="27">
        <f t="shared" ref="Q55" si="115">(IF(ISERR(P55/K55),,P55/K55*100))*10000</f>
        <v>0</v>
      </c>
      <c r="R55" s="27">
        <f t="shared" si="3"/>
        <v>0</v>
      </c>
      <c r="S55" s="166">
        <f t="shared" si="4"/>
        <v>0</v>
      </c>
      <c r="T55" s="183">
        <f>INDEX('Resumo Produção'!U$3:U$53,MATCH($A55,[0]!PRODUTOS,0),1)+INDEX('[2]Resumo Produção'!U$3:U$53,MATCH($A55,[3]!PRODUTOS,0),1)</f>
        <v>0</v>
      </c>
      <c r="U55" s="184">
        <f>INDEX('Resumo Produção'!V$3:V$53,MATCH($A55,[0]!PRODUTOS,0),1)+INDEX('[2]Resumo Produção'!V$3:V$53,MATCH($A55,[3]!PRODUTOS,0),1)</f>
        <v>0</v>
      </c>
      <c r="V55" s="184">
        <f>INDEX('Resumo Produção'!W$3:W$53,MATCH($A55,[0]!PRODUTOS,0),1)+INDEX('[2]Resumo Produção'!W$3:W$53,MATCH($A55,[3]!PRODUTOS,0),1)</f>
        <v>0</v>
      </c>
      <c r="W55" s="184">
        <f>INDEX('Resumo Produção'!X$3:X$53,MATCH($A55,[0]!PRODUTOS,0),1)+INDEX('[2]Resumo Produção'!X$3:X$53,MATCH($A55,[3]!PRODUTOS,0),1)</f>
        <v>0</v>
      </c>
      <c r="X55" s="184">
        <f>INDEX('Resumo Produção'!Y$3:Y$53,MATCH($A55,[0]!PRODUTOS,0),1)+INDEX('[2]Resumo Produção'!Y$3:Y$53,MATCH($A55,[3]!PRODUTOS,0),1)</f>
        <v>0</v>
      </c>
      <c r="Y55" s="184">
        <f>INDEX('Resumo Produção'!Z$3:Z$53,MATCH($A55,[0]!PRODUTOS,0),1)+INDEX('[2]Resumo Produção'!Z$3:Z$53,MATCH($A55,[3]!PRODUTOS,0),1)</f>
        <v>0</v>
      </c>
      <c r="Z55" s="184">
        <f t="shared" ref="Z55" si="116">(IF(ISERR(Y55/T55),,Y55/T55*100))*10000</f>
        <v>0</v>
      </c>
      <c r="AA55" s="184">
        <f t="shared" si="6"/>
        <v>0</v>
      </c>
      <c r="AB55" s="185">
        <f t="shared" si="7"/>
        <v>0</v>
      </c>
      <c r="AC55" s="28">
        <f t="shared" ref="AC55" si="117">K55+B55+T55</f>
        <v>0</v>
      </c>
      <c r="AD55" s="29">
        <f t="shared" ref="AD55" si="118">R55+I55+AA55</f>
        <v>0</v>
      </c>
      <c r="AE55" s="76">
        <f t="shared" ref="AE55" si="119">S55+J55+AB55</f>
        <v>0</v>
      </c>
      <c r="AF55" s="30">
        <f t="shared" ref="AF55" si="120">O55+F55+X55</f>
        <v>0</v>
      </c>
    </row>
    <row r="56" spans="1:32">
      <c r="A56" s="80" t="s">
        <v>46</v>
      </c>
      <c r="B56" s="23">
        <f>INDEX('Resumo Produção'!E$3:E$53,MATCH($A56,[0]!PRODUTOS,0),1)+INDEX('[2]Resumo Produção'!E$3:E$53,MATCH($A56,[3]!PRODUTOS,0),1)</f>
        <v>0</v>
      </c>
      <c r="C56" s="23">
        <f>INDEX('Resumo Produção'!F$3:F$53,MATCH($A56,[0]!PRODUTOS,0),1)+INDEX('[2]Resumo Produção'!F$3:F$53,MATCH($A56,[3]!PRODUTOS,0),1)</f>
        <v>0</v>
      </c>
      <c r="D56" s="23">
        <f>INDEX('Resumo Produção'!G$3:G$53,MATCH($A56,[0]!PRODUTOS,0),1)+INDEX('[2]Resumo Produção'!G$3:G$53,MATCH($A56,[3]!PRODUTOS,0),1)</f>
        <v>0</v>
      </c>
      <c r="E56" s="23">
        <f>INDEX('Resumo Produção'!H$3:H$53,MATCH($A56,[0]!PRODUTOS,0),1)+INDEX('[2]Resumo Produção'!H$3:H$53,MATCH($A56,[3]!PRODUTOS,0),1)</f>
        <v>0</v>
      </c>
      <c r="F56" s="23">
        <f>INDEX('Resumo Produção'!I$3:I$53,MATCH($A56,[0]!PRODUTOS,0),1)+INDEX('[2]Resumo Produção'!I$3:I$53,MATCH($A56,[3]!PRODUTOS,0),1)</f>
        <v>0</v>
      </c>
      <c r="G56" s="23">
        <f t="shared" si="15"/>
        <v>0</v>
      </c>
      <c r="H56" s="23">
        <f t="shared" si="16"/>
        <v>0</v>
      </c>
      <c r="I56" s="24">
        <f t="shared" si="0"/>
        <v>0</v>
      </c>
      <c r="J56" s="25">
        <f t="shared" si="1"/>
        <v>0</v>
      </c>
      <c r="K56" s="26">
        <f>INDEX('Resumo Produção'!M$3:M$53,MATCH($A56,[0]!PRODUTOS,0),1)+INDEX('[2]Resumo Produção'!M$3:M$55,MATCH($A56,[3]!PRODUTOS,0),1)</f>
        <v>0</v>
      </c>
      <c r="L56" s="27">
        <f>INDEX('Resumo Produção'!N$3:N$53,MATCH($A56,[0]!PRODUTOS,0),1)+INDEX('[2]Resumo Produção'!N$3:N$55,MATCH($A56,[3]!PRODUTOS,0),1)</f>
        <v>0</v>
      </c>
      <c r="M56" s="27">
        <f>INDEX('Resumo Produção'!O$3:O$53,MATCH($A56,[0]!PRODUTOS,0),1)+INDEX('[2]Resumo Produção'!O$3:O$55,MATCH($A56,[3]!PRODUTOS,0),1)</f>
        <v>0</v>
      </c>
      <c r="N56" s="27">
        <f>INDEX('Resumo Produção'!P$3:P$53,MATCH($A56,[0]!PRODUTOS,0),1)+INDEX('[2]Resumo Produção'!P$3:P$55,MATCH($A56,[3]!PRODUTOS,0),1)</f>
        <v>0</v>
      </c>
      <c r="O56" s="27">
        <f>INDEX('Resumo Produção'!Q$3:Q$53,MATCH($A56,[0]!PRODUTOS,0),1)+INDEX('[2]Resumo Produção'!Q$3:Q$55,MATCH($A56,[3]!PRODUTOS,0),1)</f>
        <v>0</v>
      </c>
      <c r="P56" s="27">
        <f t="shared" si="17"/>
        <v>0</v>
      </c>
      <c r="Q56" s="27">
        <f t="shared" si="2"/>
        <v>0</v>
      </c>
      <c r="R56" s="27">
        <f t="shared" si="3"/>
        <v>0</v>
      </c>
      <c r="S56" s="166">
        <f t="shared" si="4"/>
        <v>0</v>
      </c>
      <c r="T56" s="183">
        <f>INDEX('Resumo Produção'!U$3:U$53,MATCH($A56,[0]!PRODUTOS,0),1)+INDEX('[2]Resumo Produção'!U$3:U$53,MATCH($A56,[3]!PRODUTOS,0),1)</f>
        <v>15960</v>
      </c>
      <c r="U56" s="184">
        <f>INDEX('Resumo Produção'!V$3:V$53,MATCH($A56,[0]!PRODUTOS,0),1)+INDEX('[2]Resumo Produção'!V$3:V$53,MATCH($A56,[3]!PRODUTOS,0),1)</f>
        <v>0</v>
      </c>
      <c r="V56" s="184">
        <f>INDEX('Resumo Produção'!W$3:W$53,MATCH($A56,[0]!PRODUTOS,0),1)+INDEX('[2]Resumo Produção'!W$3:W$53,MATCH($A56,[3]!PRODUTOS,0),1)</f>
        <v>0</v>
      </c>
      <c r="W56" s="184">
        <f>INDEX('Resumo Produção'!X$3:X$53,MATCH($A56,[0]!PRODUTOS,0),1)+INDEX('[2]Resumo Produção'!X$3:X$53,MATCH($A56,[3]!PRODUTOS,0),1)</f>
        <v>55</v>
      </c>
      <c r="X56" s="184">
        <f>INDEX('Resumo Produção'!Y$3:Y$53,MATCH($A56,[0]!PRODUTOS,0),1)+INDEX('[2]Resumo Produção'!Y$3:Y$53,MATCH($A56,[3]!PRODUTOS,0),1)</f>
        <v>0</v>
      </c>
      <c r="Y56" s="184">
        <f>INDEX('Resumo Produção'!Z$3:Z$53,MATCH($A56,[0]!PRODUTOS,0),1)+INDEX('[2]Resumo Produção'!Z$3:Z$53,MATCH($A56,[3]!PRODUTOS,0),1)</f>
        <v>55</v>
      </c>
      <c r="Z56" s="184">
        <f t="shared" si="5"/>
        <v>3446.1152882205515</v>
      </c>
      <c r="AA56" s="184">
        <f t="shared" si="6"/>
        <v>55</v>
      </c>
      <c r="AB56" s="185">
        <f t="shared" si="7"/>
        <v>55</v>
      </c>
      <c r="AC56" s="28">
        <f t="shared" si="71"/>
        <v>15960</v>
      </c>
      <c r="AD56" s="29">
        <f t="shared" si="72"/>
        <v>55</v>
      </c>
      <c r="AE56" s="76">
        <f t="shared" si="73"/>
        <v>55</v>
      </c>
      <c r="AF56" s="30">
        <f t="shared" si="74"/>
        <v>0</v>
      </c>
    </row>
    <row r="57" spans="1:32">
      <c r="A57" s="11" t="s">
        <v>73</v>
      </c>
      <c r="B57" s="23">
        <f>INDEX('Resumo Produção'!E$3:E$53,MATCH($A57,[0]!PRODUTOS,0),1)+INDEX('[2]Resumo Produção'!E$3:E$53,MATCH($A57,[3]!PRODUTOS,0),1)</f>
        <v>0</v>
      </c>
      <c r="C57" s="23">
        <f>INDEX('Resumo Produção'!F$3:F$53,MATCH($A57,[0]!PRODUTOS,0),1)+INDEX('[2]Resumo Produção'!F$3:F$53,MATCH($A57,[3]!PRODUTOS,0),1)</f>
        <v>0</v>
      </c>
      <c r="D57" s="23">
        <f>INDEX('Resumo Produção'!G$3:G$53,MATCH($A57,[0]!PRODUTOS,0),1)+INDEX('[2]Resumo Produção'!G$3:G$53,MATCH($A57,[3]!PRODUTOS,0),1)</f>
        <v>0</v>
      </c>
      <c r="E57" s="23">
        <f>INDEX('Resumo Produção'!H$3:H$53,MATCH($A57,[0]!PRODUTOS,0),1)+INDEX('[2]Resumo Produção'!H$3:H$53,MATCH($A57,[3]!PRODUTOS,0),1)</f>
        <v>0</v>
      </c>
      <c r="F57" s="23">
        <f>INDEX('Resumo Produção'!I$3:I$53,MATCH($A57,[0]!PRODUTOS,0),1)+INDEX('[2]Resumo Produção'!I$3:I$53,MATCH($A57,[3]!PRODUTOS,0),1)</f>
        <v>0</v>
      </c>
      <c r="G57" s="23">
        <f t="shared" si="15"/>
        <v>0</v>
      </c>
      <c r="H57" s="23">
        <f t="shared" si="16"/>
        <v>0</v>
      </c>
      <c r="I57" s="24">
        <f t="shared" si="0"/>
        <v>0</v>
      </c>
      <c r="J57" s="25">
        <f t="shared" si="1"/>
        <v>0</v>
      </c>
      <c r="K57" s="26">
        <f>INDEX('Resumo Produção'!M$3:M$53,MATCH($A57,[0]!PRODUTOS,0),1)+INDEX('[2]Resumo Produção'!M$3:M$55,MATCH($A57,[3]!PRODUTOS,0),1)</f>
        <v>624</v>
      </c>
      <c r="L57" s="27">
        <f>INDEX('Resumo Produção'!N$3:N$53,MATCH($A57,[0]!PRODUTOS,0),1)+INDEX('[2]Resumo Produção'!N$3:N$55,MATCH($A57,[3]!PRODUTOS,0),1)</f>
        <v>0</v>
      </c>
      <c r="M57" s="27">
        <f>INDEX('Resumo Produção'!O$3:O$53,MATCH($A57,[0]!PRODUTOS,0),1)+INDEX('[2]Resumo Produção'!O$3:O$55,MATCH($A57,[3]!PRODUTOS,0),1)</f>
        <v>0</v>
      </c>
      <c r="N57" s="27">
        <f>INDEX('Resumo Produção'!P$3:P$53,MATCH($A57,[0]!PRODUTOS,0),1)+INDEX('[2]Resumo Produção'!P$3:P$55,MATCH($A57,[3]!PRODUTOS,0),1)</f>
        <v>0</v>
      </c>
      <c r="O57" s="27">
        <f>INDEX('Resumo Produção'!Q$3:Q$53,MATCH($A57,[0]!PRODUTOS,0),1)+INDEX('[2]Resumo Produção'!Q$3:Q$55,MATCH($A57,[3]!PRODUTOS,0),1)</f>
        <v>0</v>
      </c>
      <c r="P57" s="27">
        <f t="shared" si="17"/>
        <v>0</v>
      </c>
      <c r="Q57" s="27">
        <f t="shared" si="2"/>
        <v>0</v>
      </c>
      <c r="R57" s="27">
        <f t="shared" si="3"/>
        <v>0</v>
      </c>
      <c r="S57" s="166">
        <f t="shared" si="4"/>
        <v>0</v>
      </c>
      <c r="T57" s="183">
        <f>INDEX('Resumo Produção'!U$3:U$53,MATCH($A57,[0]!PRODUTOS,0),1)+INDEX('[2]Resumo Produção'!U$3:U$53,MATCH($A57,[3]!PRODUTOS,0),1)</f>
        <v>0</v>
      </c>
      <c r="U57" s="184">
        <f>INDEX('Resumo Produção'!V$3:V$53,MATCH($A57,[0]!PRODUTOS,0),1)+INDEX('[2]Resumo Produção'!V$3:V$53,MATCH($A57,[3]!PRODUTOS,0),1)</f>
        <v>0</v>
      </c>
      <c r="V57" s="184">
        <f>INDEX('Resumo Produção'!W$3:W$53,MATCH($A57,[0]!PRODUTOS,0),1)+INDEX('[2]Resumo Produção'!W$3:W$53,MATCH($A57,[3]!PRODUTOS,0),1)</f>
        <v>0</v>
      </c>
      <c r="W57" s="184">
        <f>INDEX('Resumo Produção'!X$3:X$53,MATCH($A57,[0]!PRODUTOS,0),1)+INDEX('[2]Resumo Produção'!X$3:X$53,MATCH($A57,[3]!PRODUTOS,0),1)</f>
        <v>0</v>
      </c>
      <c r="X57" s="184">
        <f>INDEX('Resumo Produção'!Y$3:Y$53,MATCH($A57,[0]!PRODUTOS,0),1)+INDEX('[2]Resumo Produção'!Y$3:Y$53,MATCH($A57,[3]!PRODUTOS,0),1)</f>
        <v>0</v>
      </c>
      <c r="Y57" s="184">
        <f>INDEX('Resumo Produção'!Z$3:Z$53,MATCH($A57,[0]!PRODUTOS,0),1)+INDEX('[2]Resumo Produção'!Z$3:Z$53,MATCH($A57,[3]!PRODUTOS,0),1)</f>
        <v>0</v>
      </c>
      <c r="Z57" s="184">
        <f t="shared" si="5"/>
        <v>0</v>
      </c>
      <c r="AA57" s="184">
        <f t="shared" si="6"/>
        <v>0</v>
      </c>
      <c r="AB57" s="185">
        <f t="shared" si="7"/>
        <v>0</v>
      </c>
      <c r="AC57" s="28">
        <f t="shared" si="71"/>
        <v>624</v>
      </c>
      <c r="AD57" s="29">
        <f t="shared" si="72"/>
        <v>0</v>
      </c>
      <c r="AE57" s="76">
        <f t="shared" si="73"/>
        <v>0</v>
      </c>
      <c r="AF57" s="30">
        <f t="shared" si="74"/>
        <v>0</v>
      </c>
    </row>
    <row r="58" spans="1:32">
      <c r="A58" s="11" t="s">
        <v>41</v>
      </c>
      <c r="B58" s="23">
        <f>INDEX('Resumo Produção'!E$3:E$53,MATCH($A58,[0]!PRODUTOS,0),1)+INDEX('[2]Resumo Produção'!E$3:E$53,MATCH($A58,[3]!PRODUTOS,0),1)</f>
        <v>2100</v>
      </c>
      <c r="C58" s="23">
        <f>INDEX('Resumo Produção'!F$3:F$53,MATCH($A58,[0]!PRODUTOS,0),1)+INDEX('[2]Resumo Produção'!F$3:F$53,MATCH($A58,[3]!PRODUTOS,0),1)</f>
        <v>0</v>
      </c>
      <c r="D58" s="23">
        <f>INDEX('Resumo Produção'!G$3:G$53,MATCH($A58,[0]!PRODUTOS,0),1)+INDEX('[2]Resumo Produção'!G$3:G$53,MATCH($A58,[3]!PRODUTOS,0),1)</f>
        <v>0</v>
      </c>
      <c r="E58" s="23">
        <f>INDEX('Resumo Produção'!H$3:H$53,MATCH($A58,[0]!PRODUTOS,0),1)+INDEX('[2]Resumo Produção'!H$3:H$53,MATCH($A58,[3]!PRODUTOS,0),1)</f>
        <v>6</v>
      </c>
      <c r="F58" s="23">
        <f>INDEX('Resumo Produção'!I$3:I$53,MATCH($A58,[0]!PRODUTOS,0),1)+INDEX('[2]Resumo Produção'!I$3:I$53,MATCH($A58,[3]!PRODUTOS,0),1)</f>
        <v>0</v>
      </c>
      <c r="G58" s="23">
        <f t="shared" si="15"/>
        <v>6</v>
      </c>
      <c r="H58" s="23">
        <f t="shared" si="16"/>
        <v>2857.1428571428573</v>
      </c>
      <c r="I58" s="24">
        <f t="shared" si="0"/>
        <v>6</v>
      </c>
      <c r="J58" s="25">
        <f t="shared" si="1"/>
        <v>6</v>
      </c>
      <c r="K58" s="26">
        <f>INDEX('Resumo Produção'!M$3:M$53,MATCH($A58,[0]!PRODUTOS,0),1)+INDEX('[2]Resumo Produção'!M$3:M$55,MATCH($A58,[3]!PRODUTOS,0),1)</f>
        <v>110300</v>
      </c>
      <c r="L58" s="27">
        <f>INDEX('Resumo Produção'!N$3:N$53,MATCH($A58,[0]!PRODUTOS,0),1)+INDEX('[2]Resumo Produção'!N$3:N$55,MATCH($A58,[3]!PRODUTOS,0),1)</f>
        <v>0</v>
      </c>
      <c r="M58" s="27">
        <f>INDEX('Resumo Produção'!O$3:O$53,MATCH($A58,[0]!PRODUTOS,0),1)+INDEX('[2]Resumo Produção'!O$3:O$55,MATCH($A58,[3]!PRODUTOS,0),1)</f>
        <v>0</v>
      </c>
      <c r="N58" s="27">
        <f>INDEX('Resumo Produção'!P$3:P$53,MATCH($A58,[0]!PRODUTOS,0),1)+INDEX('[2]Resumo Produção'!P$3:P$55,MATCH($A58,[3]!PRODUTOS,0),1)</f>
        <v>64</v>
      </c>
      <c r="O58" s="27">
        <f>INDEX('Resumo Produção'!Q$3:Q$53,MATCH($A58,[0]!PRODUTOS,0),1)+INDEX('[2]Resumo Produção'!Q$3:Q$55,MATCH($A58,[3]!PRODUTOS,0),1)</f>
        <v>0</v>
      </c>
      <c r="P58" s="27">
        <f t="shared" si="17"/>
        <v>64</v>
      </c>
      <c r="Q58" s="27">
        <f t="shared" si="2"/>
        <v>580.23572076155938</v>
      </c>
      <c r="R58" s="27">
        <f t="shared" si="3"/>
        <v>64</v>
      </c>
      <c r="S58" s="166">
        <f t="shared" si="4"/>
        <v>64</v>
      </c>
      <c r="T58" s="183">
        <f>INDEX('Resumo Produção'!U$3:U$53,MATCH($A58,[0]!PRODUTOS,0),1)+INDEX('[2]Resumo Produção'!U$3:U$53,MATCH($A58,[3]!PRODUTOS,0),1)</f>
        <v>41500</v>
      </c>
      <c r="U58" s="184">
        <f>INDEX('Resumo Produção'!V$3:V$53,MATCH($A58,[0]!PRODUTOS,0),1)+INDEX('[2]Resumo Produção'!V$3:V$53,MATCH($A58,[3]!PRODUTOS,0),1)</f>
        <v>0</v>
      </c>
      <c r="V58" s="184">
        <f>INDEX('Resumo Produção'!W$3:W$53,MATCH($A58,[0]!PRODUTOS,0),1)+INDEX('[2]Resumo Produção'!W$3:W$53,MATCH($A58,[3]!PRODUTOS,0),1)</f>
        <v>0</v>
      </c>
      <c r="W58" s="184">
        <f>INDEX('Resumo Produção'!X$3:X$53,MATCH($A58,[0]!PRODUTOS,0),1)+INDEX('[2]Resumo Produção'!X$3:X$53,MATCH($A58,[3]!PRODUTOS,0),1)</f>
        <v>15</v>
      </c>
      <c r="X58" s="184">
        <f>INDEX('Resumo Produção'!Y$3:Y$53,MATCH($A58,[0]!PRODUTOS,0),1)+INDEX('[2]Resumo Produção'!Y$3:Y$53,MATCH($A58,[3]!PRODUTOS,0),1)</f>
        <v>0</v>
      </c>
      <c r="Y58" s="184">
        <f>INDEX('Resumo Produção'!Z$3:Z$53,MATCH($A58,[0]!PRODUTOS,0),1)+INDEX('[2]Resumo Produção'!Z$3:Z$53,MATCH($A58,[3]!PRODUTOS,0),1)</f>
        <v>15</v>
      </c>
      <c r="Z58" s="184">
        <f t="shared" si="5"/>
        <v>361.4457831325301</v>
      </c>
      <c r="AA58" s="184">
        <f t="shared" si="6"/>
        <v>15</v>
      </c>
      <c r="AB58" s="185">
        <f t="shared" si="7"/>
        <v>15</v>
      </c>
      <c r="AC58" s="28">
        <f t="shared" si="71"/>
        <v>153900</v>
      </c>
      <c r="AD58" s="29">
        <f t="shared" si="72"/>
        <v>85</v>
      </c>
      <c r="AE58" s="76">
        <f t="shared" si="73"/>
        <v>85</v>
      </c>
      <c r="AF58" s="30">
        <f t="shared" si="74"/>
        <v>0</v>
      </c>
    </row>
    <row r="59" spans="1:32">
      <c r="A59" s="11" t="s">
        <v>34</v>
      </c>
      <c r="B59" s="23">
        <f>INDEX('Resumo Produção'!E$3:E$53,MATCH($A59,[0]!PRODUTOS,0),1)+INDEX('[2]Resumo Produção'!E$3:E$53,MATCH($A59,[3]!PRODUTOS,0),1)</f>
        <v>12540</v>
      </c>
      <c r="C59" s="23">
        <f>INDEX('Resumo Produção'!F$3:F$53,MATCH($A59,[0]!PRODUTOS,0),1)+INDEX('[2]Resumo Produção'!F$3:F$53,MATCH($A59,[3]!PRODUTOS,0),1)</f>
        <v>0</v>
      </c>
      <c r="D59" s="23">
        <f>INDEX('Resumo Produção'!G$3:G$53,MATCH($A59,[0]!PRODUTOS,0),1)+INDEX('[2]Resumo Produção'!G$3:G$53,MATCH($A59,[3]!PRODUTOS,0),1)</f>
        <v>0</v>
      </c>
      <c r="E59" s="23">
        <f>INDEX('Resumo Produção'!H$3:H$53,MATCH($A59,[0]!PRODUTOS,0),1)+INDEX('[2]Resumo Produção'!H$3:H$53,MATCH($A59,[3]!PRODUTOS,0),1)</f>
        <v>8</v>
      </c>
      <c r="F59" s="23">
        <f>INDEX('Resumo Produção'!I$3:I$53,MATCH($A59,[0]!PRODUTOS,0),1)+INDEX('[2]Resumo Produção'!I$3:I$53,MATCH($A59,[3]!PRODUTOS,0),1)</f>
        <v>0</v>
      </c>
      <c r="G59" s="23">
        <f t="shared" si="15"/>
        <v>8</v>
      </c>
      <c r="H59" s="23">
        <f t="shared" si="16"/>
        <v>637.95853269537474</v>
      </c>
      <c r="I59" s="24">
        <f t="shared" si="0"/>
        <v>8</v>
      </c>
      <c r="J59" s="25">
        <f t="shared" si="1"/>
        <v>8</v>
      </c>
      <c r="K59" s="26">
        <f>INDEX('Resumo Produção'!M$3:M$53,MATCH($A59,[0]!PRODUTOS,0),1)+INDEX('[2]Resumo Produção'!M$3:M$55,MATCH($A59,[3]!PRODUTOS,0),1)</f>
        <v>55260</v>
      </c>
      <c r="L59" s="27">
        <f>INDEX('Resumo Produção'!N$3:N$53,MATCH($A59,[0]!PRODUTOS,0),1)+INDEX('[2]Resumo Produção'!N$3:N$55,MATCH($A59,[3]!PRODUTOS,0),1)</f>
        <v>0</v>
      </c>
      <c r="M59" s="27">
        <f>INDEX('Resumo Produção'!O$3:O$53,MATCH($A59,[0]!PRODUTOS,0),1)+INDEX('[2]Resumo Produção'!O$3:O$55,MATCH($A59,[3]!PRODUTOS,0),1)</f>
        <v>0</v>
      </c>
      <c r="N59" s="27">
        <f>INDEX('Resumo Produção'!P$3:P$53,MATCH($A59,[0]!PRODUTOS,0),1)+INDEX('[2]Resumo Produção'!P$3:P$55,MATCH($A59,[3]!PRODUTOS,0),1)</f>
        <v>29</v>
      </c>
      <c r="O59" s="27">
        <f>INDEX('Resumo Produção'!Q$3:Q$53,MATCH($A59,[0]!PRODUTOS,0),1)+INDEX('[2]Resumo Produção'!Q$3:Q$55,MATCH($A59,[3]!PRODUTOS,0),1)</f>
        <v>0</v>
      </c>
      <c r="P59" s="27">
        <f t="shared" si="17"/>
        <v>29</v>
      </c>
      <c r="Q59" s="27">
        <f t="shared" si="2"/>
        <v>524.79189287006875</v>
      </c>
      <c r="R59" s="27">
        <f t="shared" si="3"/>
        <v>29</v>
      </c>
      <c r="S59" s="166">
        <f t="shared" si="4"/>
        <v>29</v>
      </c>
      <c r="T59" s="183">
        <f>INDEX('Resumo Produção'!U$3:U$53,MATCH($A59,[0]!PRODUTOS,0),1)+INDEX('[2]Resumo Produção'!U$3:U$53,MATCH($A59,[3]!PRODUTOS,0),1)</f>
        <v>25020</v>
      </c>
      <c r="U59" s="184">
        <f>INDEX('Resumo Produção'!V$3:V$53,MATCH($A59,[0]!PRODUTOS,0),1)+INDEX('[2]Resumo Produção'!V$3:V$53,MATCH($A59,[3]!PRODUTOS,0),1)</f>
        <v>0</v>
      </c>
      <c r="V59" s="184">
        <f>INDEX('Resumo Produção'!W$3:W$53,MATCH($A59,[0]!PRODUTOS,0),1)+INDEX('[2]Resumo Produção'!W$3:W$53,MATCH($A59,[3]!PRODUTOS,0),1)</f>
        <v>0</v>
      </c>
      <c r="W59" s="184">
        <f>INDEX('Resumo Produção'!X$3:X$53,MATCH($A59,[0]!PRODUTOS,0),1)+INDEX('[2]Resumo Produção'!X$3:X$53,MATCH($A59,[3]!PRODUTOS,0),1)</f>
        <v>66</v>
      </c>
      <c r="X59" s="184">
        <f>INDEX('Resumo Produção'!Y$3:Y$53,MATCH($A59,[0]!PRODUTOS,0),1)+INDEX('[2]Resumo Produção'!Y$3:Y$53,MATCH($A59,[3]!PRODUTOS,0),1)</f>
        <v>0</v>
      </c>
      <c r="Y59" s="184">
        <f>INDEX('Resumo Produção'!Z$3:Z$53,MATCH($A59,[0]!PRODUTOS,0),1)+INDEX('[2]Resumo Produção'!Z$3:Z$53,MATCH($A59,[3]!PRODUTOS,0),1)</f>
        <v>66</v>
      </c>
      <c r="Z59" s="184">
        <f t="shared" si="5"/>
        <v>2637.8896882494009</v>
      </c>
      <c r="AA59" s="184">
        <f t="shared" si="6"/>
        <v>66</v>
      </c>
      <c r="AB59" s="185">
        <f t="shared" si="7"/>
        <v>66</v>
      </c>
      <c r="AC59" s="28">
        <f t="shared" si="71"/>
        <v>92820</v>
      </c>
      <c r="AD59" s="29">
        <f t="shared" si="72"/>
        <v>103</v>
      </c>
      <c r="AE59" s="76">
        <f t="shared" si="73"/>
        <v>103</v>
      </c>
      <c r="AF59" s="30">
        <f t="shared" si="74"/>
        <v>0</v>
      </c>
    </row>
    <row r="60" spans="1:32" ht="13.5" thickBot="1">
      <c r="A60" s="170" t="s">
        <v>40</v>
      </c>
      <c r="B60" s="171">
        <f>INDEX('Resumo Produção'!E$3:E$53,MATCH($A60,[0]!PRODUTOS,0),1)+INDEX('[2]Resumo Produção'!E$3:E$53,MATCH($A60,[3]!PRODUTOS,0),1)</f>
        <v>0</v>
      </c>
      <c r="C60" s="171">
        <f>INDEX('Resumo Produção'!F$3:F$53,MATCH($A60,[0]!PRODUTOS,0),1)+INDEX('[2]Resumo Produção'!F$3:F$53,MATCH($A60,[3]!PRODUTOS,0),1)</f>
        <v>0</v>
      </c>
      <c r="D60" s="171">
        <f>INDEX('Resumo Produção'!G$3:G$53,MATCH($A60,[0]!PRODUTOS,0),1)+INDEX('[2]Resumo Produção'!G$3:G$53,MATCH($A60,[3]!PRODUTOS,0),1)</f>
        <v>0</v>
      </c>
      <c r="E60" s="171">
        <f>INDEX('Resumo Produção'!H$3:H$53,MATCH($A60,[0]!PRODUTOS,0),1)+INDEX('[2]Resumo Produção'!H$3:H$53,MATCH($A60,[3]!PRODUTOS,0),1)</f>
        <v>0</v>
      </c>
      <c r="F60" s="171">
        <f>INDEX('Resumo Produção'!I$3:I$53,MATCH($A60,[0]!PRODUTOS,0),1)+INDEX('[2]Resumo Produção'!I$3:I$53,MATCH($A60,[3]!PRODUTOS,0),1)</f>
        <v>0</v>
      </c>
      <c r="G60" s="171">
        <f t="shared" si="15"/>
        <v>0</v>
      </c>
      <c r="H60" s="171">
        <f t="shared" si="16"/>
        <v>0</v>
      </c>
      <c r="I60" s="172">
        <f>D60+E60</f>
        <v>0</v>
      </c>
      <c r="J60" s="173">
        <f>C60+E60</f>
        <v>0</v>
      </c>
      <c r="K60" s="26">
        <f>INDEX('Resumo Produção'!M$3:M$53,MATCH($A60,[0]!PRODUTOS,0),1)+INDEX('[2]Resumo Produção'!M$3:M$55,MATCH($A60,[3]!PRODUTOS,0),1)</f>
        <v>0</v>
      </c>
      <c r="L60" s="27">
        <f>INDEX('Resumo Produção'!N$3:N$53,MATCH($A60,[0]!PRODUTOS,0),1)+INDEX('[2]Resumo Produção'!N$3:N$55,MATCH($A60,[3]!PRODUTOS,0),1)</f>
        <v>0</v>
      </c>
      <c r="M60" s="27">
        <f>INDEX('Resumo Produção'!O$3:O$53,MATCH($A60,[0]!PRODUTOS,0),1)+INDEX('[2]Resumo Produção'!O$3:O$55,MATCH($A60,[3]!PRODUTOS,0),1)</f>
        <v>0</v>
      </c>
      <c r="N60" s="27">
        <f>INDEX('Resumo Produção'!P$3:P$53,MATCH($A60,[0]!PRODUTOS,0),1)+INDEX('[2]Resumo Produção'!P$3:P$55,MATCH($A60,[3]!PRODUTOS,0),1)</f>
        <v>0</v>
      </c>
      <c r="O60" s="27">
        <f>INDEX('Resumo Produção'!Q$3:Q$53,MATCH($A60,[0]!PRODUTOS,0),1)+INDEX('[2]Resumo Produção'!Q$3:Q$55,MATCH($A60,[3]!PRODUTOS,0),1)</f>
        <v>0</v>
      </c>
      <c r="P60" s="27">
        <f t="shared" si="17"/>
        <v>0</v>
      </c>
      <c r="Q60" s="27">
        <f t="shared" si="2"/>
        <v>0</v>
      </c>
      <c r="R60" s="27">
        <f>M60+N60</f>
        <v>0</v>
      </c>
      <c r="S60" s="166">
        <f>L60+N60</f>
        <v>0</v>
      </c>
      <c r="T60" s="183">
        <f>INDEX('Resumo Produção'!U$3:U$53,MATCH($A60,[0]!PRODUTOS,0),1)+INDEX('[2]Resumo Produção'!U$3:U$53,MATCH($A60,[3]!PRODUTOS,0),1)</f>
        <v>0</v>
      </c>
      <c r="U60" s="184">
        <f>INDEX('Resumo Produção'!V$3:V$53,MATCH($A60,[0]!PRODUTOS,0),1)+INDEX('[2]Resumo Produção'!V$3:V$53,MATCH($A60,[3]!PRODUTOS,0),1)</f>
        <v>0</v>
      </c>
      <c r="V60" s="184">
        <f>INDEX('Resumo Produção'!W$3:W$53,MATCH($A60,[0]!PRODUTOS,0),1)+INDEX('[2]Resumo Produção'!W$3:W$53,MATCH($A60,[3]!PRODUTOS,0),1)</f>
        <v>0</v>
      </c>
      <c r="W60" s="184">
        <f>INDEX('Resumo Produção'!X$3:X$53,MATCH($A60,[0]!PRODUTOS,0),1)+INDEX('[2]Resumo Produção'!X$3:X$53,MATCH($A60,[3]!PRODUTOS,0),1)</f>
        <v>0</v>
      </c>
      <c r="X60" s="184">
        <f>INDEX('Resumo Produção'!Y$3:Y$53,MATCH($A60,[0]!PRODUTOS,0),1)+INDEX('[2]Resumo Produção'!Y$3:Y$53,MATCH($A60,[3]!PRODUTOS,0),1)</f>
        <v>0</v>
      </c>
      <c r="Y60" s="184">
        <f>INDEX('Resumo Produção'!Z$3:Z$53,MATCH($A60,[0]!PRODUTOS,0),1)+INDEX('[2]Resumo Produção'!Z$3:Z$53,MATCH($A60,[3]!PRODUTOS,0),1)</f>
        <v>0</v>
      </c>
      <c r="Z60" s="184">
        <f t="shared" si="5"/>
        <v>0</v>
      </c>
      <c r="AA60" s="184">
        <f>V60+W60</f>
        <v>0</v>
      </c>
      <c r="AB60" s="185">
        <f>U60+W60</f>
        <v>0</v>
      </c>
      <c r="AC60" s="174">
        <f t="shared" si="71"/>
        <v>0</v>
      </c>
      <c r="AD60" s="175">
        <f t="shared" si="72"/>
        <v>0</v>
      </c>
      <c r="AE60" s="176">
        <f t="shared" si="73"/>
        <v>0</v>
      </c>
      <c r="AF60" s="177">
        <f t="shared" si="74"/>
        <v>0</v>
      </c>
    </row>
    <row r="61" spans="1:32" ht="13.5" thickBot="1">
      <c r="A61" s="36" t="s">
        <v>19</v>
      </c>
      <c r="B61" s="43">
        <f>SUBTOTAL(9,B31:B60)</f>
        <v>59136</v>
      </c>
      <c r="C61" s="43">
        <f t="shared" ref="C61:G61" si="121">SUBTOTAL(9,C31:C60)</f>
        <v>0</v>
      </c>
      <c r="D61" s="43">
        <f t="shared" si="121"/>
        <v>0</v>
      </c>
      <c r="E61" s="43">
        <f t="shared" si="121"/>
        <v>128</v>
      </c>
      <c r="F61" s="43">
        <f t="shared" si="121"/>
        <v>0</v>
      </c>
      <c r="G61" s="43">
        <f t="shared" si="121"/>
        <v>128</v>
      </c>
      <c r="H61" s="43">
        <f t="shared" si="16"/>
        <v>2164.5021645021643</v>
      </c>
      <c r="I61" s="43">
        <f t="shared" ref="I61:J61" si="122">SUM(I31:I60)</f>
        <v>128</v>
      </c>
      <c r="J61" s="168">
        <f t="shared" si="122"/>
        <v>128</v>
      </c>
      <c r="K61" s="169">
        <f t="shared" ref="K61:P61" si="123">SUBTOTAL(9,K31:K60)</f>
        <v>232800</v>
      </c>
      <c r="L61" s="43">
        <f t="shared" si="123"/>
        <v>0</v>
      </c>
      <c r="M61" s="43">
        <f t="shared" si="123"/>
        <v>0</v>
      </c>
      <c r="N61" s="43">
        <f t="shared" si="123"/>
        <v>176</v>
      </c>
      <c r="O61" s="43">
        <f t="shared" si="123"/>
        <v>0</v>
      </c>
      <c r="P61" s="43">
        <f t="shared" si="123"/>
        <v>176</v>
      </c>
      <c r="Q61" s="43">
        <f t="shared" si="2"/>
        <v>756.0137457044674</v>
      </c>
      <c r="R61" s="43">
        <f>SUM(R31:R60)</f>
        <v>176</v>
      </c>
      <c r="S61" s="167">
        <f>SUM(S31:S60)</f>
        <v>176</v>
      </c>
      <c r="T61" s="203">
        <f t="shared" ref="T61:Y61" si="124">SUBTOTAL(9,T31:T60)</f>
        <v>292246</v>
      </c>
      <c r="U61" s="204">
        <f t="shared" si="124"/>
        <v>0</v>
      </c>
      <c r="V61" s="204">
        <f t="shared" si="124"/>
        <v>0</v>
      </c>
      <c r="W61" s="204">
        <f t="shared" si="124"/>
        <v>246</v>
      </c>
      <c r="X61" s="204">
        <f t="shared" si="124"/>
        <v>0</v>
      </c>
      <c r="Y61" s="204">
        <f t="shared" si="124"/>
        <v>246</v>
      </c>
      <c r="Z61" s="204">
        <f t="shared" si="5"/>
        <v>841.75660231448842</v>
      </c>
      <c r="AA61" s="204">
        <f>SUM(AA31:AA60)</f>
        <v>246</v>
      </c>
      <c r="AB61" s="205">
        <f>SUM(AB31:AB60)</f>
        <v>246</v>
      </c>
      <c r="AC61" s="178">
        <f t="shared" ref="AC61:AF61" si="125">SUBTOTAL(9,AC31:AC60)</f>
        <v>584182</v>
      </c>
      <c r="AD61" s="179">
        <f t="shared" si="125"/>
        <v>550</v>
      </c>
      <c r="AE61" s="180">
        <f t="shared" si="125"/>
        <v>550</v>
      </c>
      <c r="AF61" s="181">
        <f t="shared" si="125"/>
        <v>0</v>
      </c>
    </row>
    <row r="62" spans="1:32" ht="13.5" thickBot="1">
      <c r="A62" s="37" t="s">
        <v>21</v>
      </c>
      <c r="B62" s="161">
        <f>SUBTOTAL(9,B3:B61)</f>
        <v>302964</v>
      </c>
      <c r="C62" s="161">
        <f t="shared" ref="C62:G62" si="126">SUBTOTAL(9,C3:C61)</f>
        <v>0</v>
      </c>
      <c r="D62" s="161">
        <f t="shared" si="126"/>
        <v>0</v>
      </c>
      <c r="E62" s="161">
        <f t="shared" si="126"/>
        <v>522</v>
      </c>
      <c r="F62" s="161">
        <f t="shared" si="126"/>
        <v>0</v>
      </c>
      <c r="G62" s="39">
        <f t="shared" si="126"/>
        <v>522</v>
      </c>
      <c r="H62" s="41">
        <f>(IF(ISERR(G62/B62),,G62/B62*100))*10000</f>
        <v>1722.9769873648354</v>
      </c>
      <c r="I62" s="40">
        <f>C62+E62</f>
        <v>522</v>
      </c>
      <c r="J62" s="72">
        <f>D62+E62</f>
        <v>522</v>
      </c>
      <c r="K62" s="161">
        <f t="shared" ref="K62:P62" si="127">SUBTOTAL(9,K3:K61)</f>
        <v>305304</v>
      </c>
      <c r="L62" s="161">
        <f t="shared" si="127"/>
        <v>0</v>
      </c>
      <c r="M62" s="161">
        <f t="shared" si="127"/>
        <v>0</v>
      </c>
      <c r="N62" s="161">
        <f t="shared" si="127"/>
        <v>231</v>
      </c>
      <c r="O62" s="161">
        <f t="shared" si="127"/>
        <v>0</v>
      </c>
      <c r="P62" s="42">
        <f t="shared" si="127"/>
        <v>231</v>
      </c>
      <c r="Q62" s="40">
        <f>(IF(ISERR(P62/K62),,P62/K62*100))*10000</f>
        <v>756.62290700416634</v>
      </c>
      <c r="R62" s="40">
        <f>L62+N62</f>
        <v>231</v>
      </c>
      <c r="S62" s="41">
        <f>M62+N62</f>
        <v>231</v>
      </c>
      <c r="T62" s="161">
        <f t="shared" ref="T62:Y62" si="128">SUBTOTAL(9,T3:T61)</f>
        <v>390838</v>
      </c>
      <c r="U62" s="161">
        <f t="shared" si="128"/>
        <v>0</v>
      </c>
      <c r="V62" s="161">
        <f t="shared" si="128"/>
        <v>0</v>
      </c>
      <c r="W62" s="161">
        <f t="shared" si="128"/>
        <v>308</v>
      </c>
      <c r="X62" s="161">
        <f t="shared" si="128"/>
        <v>0</v>
      </c>
      <c r="Y62" s="42">
        <f t="shared" si="128"/>
        <v>308</v>
      </c>
      <c r="Z62" s="40">
        <f>(IF(ISERR(Y62/T62),,Y62/T62*100))*10000</f>
        <v>788.05029193681276</v>
      </c>
      <c r="AA62" s="40">
        <f>U62+W62</f>
        <v>308</v>
      </c>
      <c r="AB62" s="41">
        <f>V62+W62</f>
        <v>308</v>
      </c>
      <c r="AC62" s="161">
        <f t="shared" ref="AC62:AF62" si="129">SUBTOTAL(9,AC3:AC61)</f>
        <v>999106</v>
      </c>
      <c r="AD62" s="38">
        <f t="shared" si="129"/>
        <v>1061</v>
      </c>
      <c r="AE62" s="77">
        <f t="shared" si="129"/>
        <v>1061</v>
      </c>
      <c r="AF62" s="39">
        <f t="shared" si="129"/>
        <v>0</v>
      </c>
    </row>
    <row r="63" spans="1:32">
      <c r="A63" s="156" t="s">
        <v>20</v>
      </c>
      <c r="B63" s="49">
        <f>SUM(B64:B65)</f>
        <v>302964</v>
      </c>
      <c r="C63" s="160">
        <f>'Resumo Produção'!F55+'[2]Resumo Produção'!F$55</f>
        <v>0</v>
      </c>
      <c r="D63" s="160">
        <f>'Resumo Produção'!G55+'[2]Resumo Produção'!G$55</f>
        <v>0</v>
      </c>
      <c r="E63" s="49">
        <f>SUM(E64:E65)</f>
        <v>522</v>
      </c>
      <c r="F63" s="49">
        <f>SUM(F64:F65)</f>
        <v>0</v>
      </c>
      <c r="G63" s="160">
        <f>'Resumo Produção'!J55+'[2]Resumo Produção'!J$55</f>
        <v>0</v>
      </c>
      <c r="H63" s="158"/>
      <c r="I63" s="159"/>
      <c r="J63" s="159"/>
      <c r="K63" s="49">
        <f>SUM(K64:K65)</f>
        <v>305304</v>
      </c>
      <c r="L63" s="49">
        <f>SUM(L64:L65)</f>
        <v>0</v>
      </c>
      <c r="M63" s="49">
        <f>SUM(M64:M65)</f>
        <v>0</v>
      </c>
      <c r="N63" s="49">
        <f>SUM(N64:N65)</f>
        <v>231</v>
      </c>
      <c r="O63" s="49">
        <f>SUM(O64:O65)</f>
        <v>0</v>
      </c>
      <c r="P63" s="157"/>
      <c r="Q63" s="158"/>
      <c r="R63" s="157"/>
      <c r="S63" s="157"/>
      <c r="T63" s="49">
        <f t="shared" ref="T63:Y63" si="130">SUM(T64:T65)</f>
        <v>390838</v>
      </c>
      <c r="U63" s="49">
        <f t="shared" si="130"/>
        <v>0</v>
      </c>
      <c r="V63" s="49">
        <f t="shared" si="130"/>
        <v>0</v>
      </c>
      <c r="W63" s="49">
        <f t="shared" si="130"/>
        <v>308</v>
      </c>
      <c r="X63" s="49">
        <f t="shared" si="130"/>
        <v>0</v>
      </c>
      <c r="Y63" s="49">
        <f t="shared" si="130"/>
        <v>0</v>
      </c>
      <c r="Z63" s="158"/>
      <c r="AA63" s="157"/>
      <c r="AB63" s="157"/>
      <c r="AC63" s="160">
        <f>K63+B63+T63</f>
        <v>999106</v>
      </c>
      <c r="AD63" s="160">
        <f>N63+M63+E63+D63+V63+W63</f>
        <v>1061</v>
      </c>
      <c r="AE63" s="160">
        <f>N63+L63+E63+C63+U63+W63</f>
        <v>1061</v>
      </c>
      <c r="AF63" s="157"/>
    </row>
    <row r="64" spans="1:32">
      <c r="A64" s="2" t="s">
        <v>105</v>
      </c>
      <c r="B64" s="160">
        <f>'Resumo Produção'!E55</f>
        <v>0</v>
      </c>
      <c r="C64" s="49"/>
      <c r="D64" s="49"/>
      <c r="E64" s="160">
        <f>'Resumo Produção'!H55</f>
        <v>0</v>
      </c>
      <c r="F64" s="160">
        <f>'Resumo Produção'!I55</f>
        <v>0</v>
      </c>
      <c r="G64" s="160">
        <f>'Resumo Produção'!J55</f>
        <v>0</v>
      </c>
      <c r="I64" s="160">
        <f>'Resumo Produção'!L55</f>
        <v>0</v>
      </c>
      <c r="K64" s="49">
        <f>'Resumo Produção'!M55</f>
        <v>0</v>
      </c>
      <c r="L64" s="49">
        <f>'Resumo Produção'!N55</f>
        <v>0</v>
      </c>
      <c r="M64" s="49">
        <f>'Resumo Produção'!O55</f>
        <v>0</v>
      </c>
      <c r="N64" s="49">
        <f>'Resumo Produção'!P55</f>
        <v>0</v>
      </c>
      <c r="O64" s="49">
        <f>'Resumo Produção'!Q55</f>
        <v>0</v>
      </c>
      <c r="P64" s="49"/>
      <c r="Q64" s="49"/>
      <c r="R64" s="49"/>
      <c r="S64" s="49"/>
      <c r="T64" s="49">
        <f>'Resumo Produção'!U55</f>
        <v>0</v>
      </c>
      <c r="U64" s="49">
        <f>'Resumo Produção'!V55</f>
        <v>0</v>
      </c>
      <c r="V64" s="49">
        <f>'Resumo Produção'!W55</f>
        <v>0</v>
      </c>
      <c r="W64" s="49">
        <f>'Resumo Produção'!X55</f>
        <v>0</v>
      </c>
      <c r="X64" s="49">
        <f>'Resumo Produção'!Y55</f>
        <v>0</v>
      </c>
      <c r="Y64" s="49">
        <f>'Resumo Produção'!Z55</f>
        <v>0</v>
      </c>
      <c r="AC64" s="49">
        <f>AC62-AC63</f>
        <v>0</v>
      </c>
    </row>
    <row r="65" spans="1:25">
      <c r="A65" s="2" t="s">
        <v>106</v>
      </c>
      <c r="B65" s="49">
        <f>+'[2]Resumo Produção'!E$55</f>
        <v>302964</v>
      </c>
      <c r="E65" s="49">
        <f>+'[2]Resumo Produção'!H$55</f>
        <v>522</v>
      </c>
      <c r="F65" s="49">
        <f>+'[2]Resumo Produção'!I$55</f>
        <v>0</v>
      </c>
      <c r="K65" s="49">
        <f>+'[2]Resumo Produção'!M$55</f>
        <v>305304</v>
      </c>
      <c r="L65">
        <f>+'[2]Resumo Produção'!N$55</f>
        <v>0</v>
      </c>
      <c r="M65">
        <f>+'[2]Resumo Produção'!O$55</f>
        <v>0</v>
      </c>
      <c r="N65">
        <f>+'[2]Resumo Produção'!P$55</f>
        <v>231</v>
      </c>
      <c r="O65">
        <f>+'[2]Resumo Produção'!Q$55</f>
        <v>0</v>
      </c>
      <c r="T65" s="49">
        <f>+'[2]Resumo Produção'!U$55</f>
        <v>390838</v>
      </c>
      <c r="U65" s="49">
        <f>+'[2]Resumo Produção'!V$55</f>
        <v>0</v>
      </c>
      <c r="V65" s="49">
        <f>+'[2]Resumo Produção'!W$55</f>
        <v>0</v>
      </c>
      <c r="W65" s="49">
        <f>+'[2]Resumo Produção'!X$55</f>
        <v>308</v>
      </c>
      <c r="X65" s="49">
        <f>+'[2]Resumo Produção'!Y$55</f>
        <v>0</v>
      </c>
      <c r="Y65" s="49">
        <f>+'[2]Resumo Produção'!Z$55</f>
        <v>0</v>
      </c>
    </row>
    <row r="67" spans="1:25">
      <c r="B67" s="49"/>
    </row>
    <row r="73" spans="1:25">
      <c r="H73" s="50"/>
    </row>
  </sheetData>
  <sheetProtection algorithmName="SHA-512" hashValue="1t2dsmJtCepaRAOZJTGzEAXoUQ9Y2ocnJu90bbAwVbnskRc5mbu/sOInH10e8YwtPd+pw0a3x8M3sTEVbonD/g==" saltValue="KeX9Y1thZFeFmn+yGpCQTw==" spinCount="100000" sheet="1" objects="1" scenarios="1"/>
  <mergeCells count="4">
    <mergeCell ref="B1:J1"/>
    <mergeCell ref="K1:S1"/>
    <mergeCell ref="AC1:AF1"/>
    <mergeCell ref="T1:AB1"/>
  </mergeCells>
  <phoneticPr fontId="17" type="noConversion"/>
  <conditionalFormatting sqref="AF62">
    <cfRule type="cellIs" dxfId="4" priority="7" stopIfTrue="1" operator="notEqual">
      <formula>$O$62+$F$62+$X$62</formula>
    </cfRule>
  </conditionalFormatting>
  <conditionalFormatting sqref="C62:F62">
    <cfRule type="cellIs" dxfId="3" priority="3" operator="notEqual">
      <formula>C$63</formula>
    </cfRule>
  </conditionalFormatting>
  <conditionalFormatting sqref="K62:O62">
    <cfRule type="cellIs" dxfId="2" priority="2" operator="notEqual">
      <formula>K$63</formula>
    </cfRule>
  </conditionalFormatting>
  <conditionalFormatting sqref="T62:X62">
    <cfRule type="cellIs" dxfId="1" priority="1" operator="notEqual">
      <formula>T$63</formula>
    </cfRule>
  </conditionalFormatting>
  <conditionalFormatting sqref="B62">
    <cfRule type="cellIs" dxfId="0" priority="8" operator="notEqual">
      <formula>B$63</formula>
    </cfRule>
  </conditionalFormatting>
  <printOptions horizontalCentered="1"/>
  <pageMargins left="0.59055118110236227" right="0.59055118110236227" top="0.98425196850393704" bottom="0.59055118110236227" header="0.51181102362204722" footer="0.51181102362204722"/>
  <pageSetup paperSize="9" scale="58" fitToWidth="2" orientation="landscape" r:id="rId1"/>
  <headerFooter alignWithMargins="0">
    <oddHeader>&amp;LRESUMO DE FALHAS DO SUPERMERCADO
PILHAS MANGANÊS</oddHeader>
    <oddFooter>&amp;L&amp;A&amp;R&amp;F</oddFooter>
  </headerFooter>
  <colBreaks count="2" manualBreakCount="2">
    <brk id="10" max="78" man="1"/>
    <brk id="28" max="78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"/>
  <dimension ref="A1:A28"/>
  <sheetViews>
    <sheetView tabSelected="1" zoomScaleNormal="100" workbookViewId="0">
      <selection activeCell="A28" activeCellId="13" sqref="A1 A2 A3 A4 A5 A8 A11 A12 A17 A18 A19 A22 A23 A28"/>
    </sheetView>
  </sheetViews>
  <sheetFormatPr defaultRowHeight="12.75"/>
  <cols>
    <col min="1" max="1" width="15.85546875" bestFit="1" customWidth="1"/>
  </cols>
  <sheetData>
    <row r="1" spans="1:1">
      <c r="A1" s="137" t="s">
        <v>64</v>
      </c>
    </row>
    <row r="2" spans="1:1">
      <c r="A2" s="137" t="s">
        <v>65</v>
      </c>
    </row>
    <row r="3" spans="1:1">
      <c r="A3" s="137" t="s">
        <v>63</v>
      </c>
    </row>
    <row r="4" spans="1:1">
      <c r="A4" s="137" t="s">
        <v>38</v>
      </c>
    </row>
    <row r="5" spans="1:1">
      <c r="A5" s="137" t="s">
        <v>37</v>
      </c>
    </row>
    <row r="6" spans="1:1">
      <c r="A6" s="137" t="s">
        <v>35</v>
      </c>
    </row>
    <row r="7" spans="1:1">
      <c r="A7" s="137" t="s">
        <v>36</v>
      </c>
    </row>
    <row r="8" spans="1:1">
      <c r="A8" s="137" t="s">
        <v>45</v>
      </c>
    </row>
    <row r="9" spans="1:1">
      <c r="A9" s="137" t="s">
        <v>39</v>
      </c>
    </row>
    <row r="10" spans="1:1">
      <c r="A10" s="137" t="s">
        <v>44</v>
      </c>
    </row>
    <row r="11" spans="1:1">
      <c r="A11" s="137" t="s">
        <v>49</v>
      </c>
    </row>
    <row r="12" spans="1:1">
      <c r="A12" s="137" t="s">
        <v>50</v>
      </c>
    </row>
    <row r="13" spans="1:1">
      <c r="A13" s="137" t="s">
        <v>47</v>
      </c>
    </row>
    <row r="14" spans="1:1">
      <c r="A14" s="137" t="s">
        <v>48</v>
      </c>
    </row>
    <row r="15" spans="1:1">
      <c r="A15" s="137" t="s">
        <v>11</v>
      </c>
    </row>
    <row r="16" spans="1:1">
      <c r="A16" s="137" t="s">
        <v>10</v>
      </c>
    </row>
    <row r="17" spans="1:1">
      <c r="A17" s="137" t="s">
        <v>72</v>
      </c>
    </row>
    <row r="18" spans="1:1">
      <c r="A18" s="137" t="s">
        <v>46</v>
      </c>
    </row>
    <row r="19" spans="1:1">
      <c r="A19" s="137" t="s">
        <v>73</v>
      </c>
    </row>
    <row r="20" spans="1:1">
      <c r="A20" s="137" t="s">
        <v>74</v>
      </c>
    </row>
    <row r="21" spans="1:1">
      <c r="A21" s="137" t="s">
        <v>75</v>
      </c>
    </row>
    <row r="22" spans="1:1">
      <c r="A22" s="137" t="s">
        <v>41</v>
      </c>
    </row>
    <row r="23" spans="1:1">
      <c r="A23" s="137" t="s">
        <v>34</v>
      </c>
    </row>
    <row r="24" spans="1:1">
      <c r="A24" s="137" t="s">
        <v>6</v>
      </c>
    </row>
    <row r="25" spans="1:1">
      <c r="A25" s="137" t="s">
        <v>76</v>
      </c>
    </row>
    <row r="26" spans="1:1">
      <c r="A26" s="137" t="s">
        <v>42</v>
      </c>
    </row>
    <row r="27" spans="1:1">
      <c r="A27" s="137" t="s">
        <v>43</v>
      </c>
    </row>
    <row r="28" spans="1:1" ht="13.5" thickBot="1">
      <c r="A28" s="138" t="s">
        <v>40</v>
      </c>
    </row>
  </sheetData>
  <sheetProtection algorithmName="SHA-512" hashValue="PD1+AhFzsAlSrirUf4smTqedYeggyUNkdPflBchTkCazDncPNB6yPXpVYujrB6uFLBtaunEa9SrSYUpde1ADSg==" saltValue="DwBxzThbGFcvDQ1zDMusFg==" spinCount="100000" sheet="1" objects="1" scenarios="1" selectLockedCell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36</vt:i4>
      </vt:variant>
    </vt:vector>
  </HeadingPairs>
  <TitlesOfParts>
    <vt:vector size="42" baseType="lpstr">
      <vt:lpstr>Alloyd 1</vt:lpstr>
      <vt:lpstr>Alloyd 2</vt:lpstr>
      <vt:lpstr>Alloyd 3</vt:lpstr>
      <vt:lpstr>Resumo Produção</vt:lpstr>
      <vt:lpstr>Resumo Falhas D+N</vt:lpstr>
      <vt:lpstr>Plan1</vt:lpstr>
      <vt:lpstr>'Alloyd 1'!Area_de_impressao</vt:lpstr>
      <vt:lpstr>'Alloyd 2'!Area_de_impressao</vt:lpstr>
      <vt:lpstr>'Alloyd 3'!Area_de_impressao</vt:lpstr>
      <vt:lpstr>'Resumo Falhas D+N'!Area_de_impressao</vt:lpstr>
      <vt:lpstr>'Resumo Produção'!Area_de_impressao</vt:lpstr>
      <vt:lpstr>PRODUTOS</vt:lpstr>
      <vt:lpstr>'Resumo Falhas D+N'!Titulos_de_impressao</vt:lpstr>
      <vt:lpstr>'Resumo Produção'!Titulos_de_impressao</vt:lpstr>
      <vt:lpstr>TT_BLISTER_LR14</vt:lpstr>
      <vt:lpstr>TT_BLISTER_LR20</vt:lpstr>
      <vt:lpstr>TT_BLISTER_LR6</vt:lpstr>
      <vt:lpstr>TT_BLISTER_OUTROS</vt:lpstr>
      <vt:lpstr>TT_BLISTER_UM1</vt:lpstr>
      <vt:lpstr>TT_BLISTER_UM2</vt:lpstr>
      <vt:lpstr>TT_BLISTER_UM3</vt:lpstr>
      <vt:lpstr>TT_CARTELA_LR14</vt:lpstr>
      <vt:lpstr>TT_CARTELA_LR20</vt:lpstr>
      <vt:lpstr>TT_CARTELA_LR6</vt:lpstr>
      <vt:lpstr>TT_CARTELA_OUTROS</vt:lpstr>
      <vt:lpstr>TT_CARTELA_UM1</vt:lpstr>
      <vt:lpstr>TT_CARTELA_UM2</vt:lpstr>
      <vt:lpstr>TT_CARTELA_UM3</vt:lpstr>
      <vt:lpstr>TT_PA_LR14</vt:lpstr>
      <vt:lpstr>TT_PA_LR20</vt:lpstr>
      <vt:lpstr>TT_PA_LR6</vt:lpstr>
      <vt:lpstr>TT_PA_OUTROS</vt:lpstr>
      <vt:lpstr>TT_PA_UM1</vt:lpstr>
      <vt:lpstr>TT_PA_UM2</vt:lpstr>
      <vt:lpstr>TT_PA_UM3</vt:lpstr>
      <vt:lpstr>TT_PROD_LR14</vt:lpstr>
      <vt:lpstr>TT_PROD_LR20</vt:lpstr>
      <vt:lpstr>TT_PROD_LR6</vt:lpstr>
      <vt:lpstr>TT_PROD_OUTROS</vt:lpstr>
      <vt:lpstr>TT_PROD_UM1</vt:lpstr>
      <vt:lpstr>TT_PROD_UM2</vt:lpstr>
      <vt:lpstr>TT_PROD_UM3</vt:lpstr>
    </vt:vector>
  </TitlesOfParts>
  <Company>Panasonic do Brasil LTDA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Panasonic do Brasil LTDA</dc:creator>
  <cp:lastModifiedBy>Osvaldo Martins Torquati</cp:lastModifiedBy>
  <cp:lastPrinted>2019-12-20T13:53:24Z</cp:lastPrinted>
  <dcterms:created xsi:type="dcterms:W3CDTF">2004-06-01T16:52:00Z</dcterms:created>
  <dcterms:modified xsi:type="dcterms:W3CDTF">2022-02-21T12:03:04Z</dcterms:modified>
</cp:coreProperties>
</file>