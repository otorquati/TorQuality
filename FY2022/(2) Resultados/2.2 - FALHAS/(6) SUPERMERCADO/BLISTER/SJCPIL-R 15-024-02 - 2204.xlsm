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6) SUPERMERCADO\BLISTER\"/>
    </mc:Choice>
  </mc:AlternateContent>
  <xr:revisionPtr revIDLastSave="0" documentId="13_ncr:1_{403E8B3C-533C-49FB-A9DB-3304D2816B8E}" xr6:coauthVersionLast="47" xr6:coauthVersionMax="47" xr10:uidLastSave="{00000000-0000-0000-0000-000000000000}"/>
  <workbookProtection workbookAlgorithmName="SHA-512" workbookHashValue="FDahOXsU+ecNYqx7/eHzTiN6XWe1CdKwtXFwtB1q6sN3Slqg1Ztp/+iBAMYwSMBqgRccGyZiZ8Gt/AvzCQei8w==" workbookSaltValue="PA29h/TJXF5ge31cDQnLIw==" workbookSpinCount="100000" lockStructure="1"/>
  <bookViews>
    <workbookView xWindow="-120" yWindow="-120" windowWidth="29040" windowHeight="16440" tabRatio="829" activeTab="1" xr2:uid="{00000000-000D-0000-FFFF-FFFF00000000}"/>
  </bookViews>
  <sheets>
    <sheet name="Instruções" sheetId="3" r:id="rId1"/>
    <sheet name="SJCPIL-R 15-024 - MÁQUINA 3" sheetId="14" r:id="rId2"/>
  </sheets>
  <externalReferences>
    <externalReference r:id="rId3"/>
  </externalReferences>
  <definedNames>
    <definedName name="Falhas_M1">#REF!</definedName>
    <definedName name="Falhas_M2">#REF!</definedName>
    <definedName name="Falhas_M3">'SJCPIL-R 15-024 - MÁQUINA 3'!$CN$30</definedName>
    <definedName name="Prod_M1">#REF!</definedName>
    <definedName name="Prod_M2">#REF!</definedName>
    <definedName name="Prod_M3">'SJCPIL-R 15-024 - MÁQUINA 3'!$CN$5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" i="14" l="1"/>
  <c r="CM1" i="14"/>
  <c r="AI31" i="14" l="1"/>
  <c r="AJ31" i="14"/>
  <c r="K31" i="14" l="1"/>
  <c r="L31" i="14"/>
  <c r="M31" i="14"/>
  <c r="N31" i="14"/>
  <c r="O31" i="14"/>
  <c r="P31" i="14"/>
  <c r="Q31" i="14"/>
  <c r="C31" i="14" l="1"/>
  <c r="D31" i="14"/>
  <c r="E31" i="14"/>
  <c r="F31" i="14"/>
  <c r="G31" i="14"/>
  <c r="H31" i="14"/>
  <c r="I31" i="14"/>
  <c r="J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Q31" i="14"/>
  <c r="BR31" i="14"/>
  <c r="BS31" i="14"/>
  <c r="BT31" i="14"/>
  <c r="BU31" i="14"/>
  <c r="BV31" i="14"/>
  <c r="BW31" i="14"/>
  <c r="BX31" i="14"/>
  <c r="BY31" i="14"/>
  <c r="BZ31" i="14"/>
  <c r="CA31" i="14"/>
  <c r="CB31" i="14"/>
  <c r="CC31" i="14"/>
  <c r="CD31" i="14"/>
  <c r="CE31" i="14"/>
  <c r="CF31" i="14"/>
  <c r="CG31" i="14"/>
  <c r="CH31" i="14"/>
  <c r="B31" i="14"/>
  <c r="CI31" i="14" l="1"/>
  <c r="CJ31" i="14" l="1"/>
  <c r="CK31" i="14"/>
  <c r="AF6" i="14" l="1"/>
  <c r="AG6" i="14"/>
  <c r="CL5" i="14" a="1"/>
  <c r="CL5" i="14" s="1"/>
  <c r="CM5" i="14" a="1"/>
  <c r="CM5" i="14" s="1"/>
  <c r="C6" i="14" l="1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Y6" i="14"/>
  <c r="Z6" i="14"/>
  <c r="AA6" i="14"/>
  <c r="AB6" i="14"/>
  <c r="AC6" i="14"/>
  <c r="AD6" i="14"/>
  <c r="AE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CM30" i="14" a="1"/>
  <c r="CM30" i="14" s="1"/>
  <c r="CM31" i="14" s="1"/>
  <c r="CL30" i="14" a="1"/>
  <c r="CL30" i="14" s="1"/>
  <c r="CN30" i="14" l="1"/>
  <c r="CN5" i="14"/>
  <c r="CL31" i="14"/>
  <c r="CN31" i="14" l="1"/>
</calcChain>
</file>

<file path=xl/sharedStrings.xml><?xml version="1.0" encoding="utf-8"?>
<sst xmlns="http://schemas.openxmlformats.org/spreadsheetml/2006/main" count="30" uniqueCount="28">
  <si>
    <t>DIA</t>
  </si>
  <si>
    <t>PRODUÇÃO</t>
  </si>
  <si>
    <t>T O T A L</t>
  </si>
  <si>
    <t xml:space="preserve"> - Alterar o campo Mês para o novo mês de coleta.</t>
  </si>
  <si>
    <t>Para apagar: ( utilize somente no início de um novo mês, após ter salvo com novo nome )</t>
  </si>
  <si>
    <t xml:space="preserve"> - Pressionar CTRL + r </t>
  </si>
  <si>
    <t xml:space="preserve"> - Ir para a planilha F-7.132 Rev 00</t>
  </si>
  <si>
    <t>ppm</t>
  </si>
  <si>
    <t>FALHAS (ppm)</t>
  </si>
  <si>
    <t>FALHAS MÁQUINA BLISTER</t>
  </si>
  <si>
    <t>TIPO</t>
  </si>
  <si>
    <t>TURNO</t>
  </si>
  <si>
    <t>TURNO: D/N</t>
  </si>
  <si>
    <t>D</t>
  </si>
  <si>
    <t>N</t>
  </si>
  <si>
    <t>SUB-TOTAL</t>
  </si>
  <si>
    <t>TOTAL
GERAL</t>
  </si>
  <si>
    <t>Inspetor:</t>
  </si>
  <si>
    <t>Produção:</t>
  </si>
  <si>
    <t>Controle da Qualidade:</t>
  </si>
  <si>
    <t>Data:</t>
  </si>
  <si>
    <t xml:space="preserve"> - Salvar como uma nova planilha ex: F-7.132 Rev. 00 13-mês-05</t>
  </si>
  <si>
    <t>MÁQ.:3 (Nova)</t>
  </si>
  <si>
    <t>Observação</t>
  </si>
  <si>
    <t>Meta</t>
  </si>
  <si>
    <t>Visto CQ</t>
  </si>
  <si>
    <t>Visto Supervisor</t>
  </si>
  <si>
    <t>Mês / 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</si>
</sst>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"/>
    <numFmt numFmtId="165" formatCode="d/m;@"/>
  </numFmts>
  <fonts count="10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4" fontId="2" fillId="0" borderId="0"/>
    <xf numFmtId="10" fontId="3" fillId="0" borderId="0" applyFont="0" applyFill="0" applyBorder="0" applyAlignment="0" applyProtection="0"/>
    <xf numFmtId="0" fontId="4" fillId="0" borderId="0"/>
  </cellStyleXfs>
  <cellXfs count="67">
    <xf numFmtId="0" fontId="0" fillId="0" borderId="0" xfId="0"/>
    <xf numFmtId="0" fontId="6" fillId="0" borderId="0" xfId="0" applyFont="1"/>
    <xf numFmtId="0" fontId="0" fillId="0" borderId="0" xfId="0" quotePrefix="1"/>
    <xf numFmtId="0" fontId="5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1" xfId="0" applyFont="1" applyBorder="1" applyAlignment="1">
      <alignment horizontal="center" shrinkToFit="1"/>
    </xf>
    <xf numFmtId="0" fontId="6" fillId="0" borderId="1" xfId="0" applyFont="1" applyBorder="1" applyAlignment="1">
      <alignment horizontal="center"/>
    </xf>
    <xf numFmtId="0" fontId="0" fillId="0" borderId="9" xfId="0" applyBorder="1" applyAlignment="1">
      <alignment horizontal="center" vertical="center" textRotation="90"/>
    </xf>
    <xf numFmtId="0" fontId="6" fillId="0" borderId="1" xfId="0" applyFont="1" applyBorder="1" applyAlignment="1">
      <alignment shrinkToFit="1"/>
    </xf>
    <xf numFmtId="0" fontId="6" fillId="0" borderId="1" xfId="0" applyFont="1" applyBorder="1"/>
    <xf numFmtId="0" fontId="6" fillId="0" borderId="10" xfId="0" applyFont="1" applyBorder="1"/>
    <xf numFmtId="0" fontId="0" fillId="0" borderId="11" xfId="0" applyBorder="1" applyAlignment="1">
      <alignment horizontal="center" vertical="center" textRotation="90"/>
    </xf>
    <xf numFmtId="3" fontId="6" fillId="0" borderId="6" xfId="0" applyNumberFormat="1" applyFont="1" applyBorder="1" applyAlignment="1">
      <alignment vertical="center" textRotation="90"/>
    </xf>
    <xf numFmtId="3" fontId="6" fillId="0" borderId="12" xfId="0" applyNumberFormat="1" applyFont="1" applyBorder="1" applyAlignment="1">
      <alignment vertical="center" textRotation="90"/>
    </xf>
    <xf numFmtId="0" fontId="0" fillId="0" borderId="13" xfId="0" applyBorder="1"/>
    <xf numFmtId="0" fontId="6" fillId="0" borderId="8" xfId="0" applyFont="1" applyBorder="1" applyAlignment="1">
      <alignment horizontal="center" vertical="center"/>
    </xf>
    <xf numFmtId="0" fontId="6" fillId="0" borderId="3" xfId="0" applyFont="1" applyBorder="1"/>
    <xf numFmtId="0" fontId="6" fillId="0" borderId="14" xfId="0" applyFont="1" applyBorder="1"/>
    <xf numFmtId="1" fontId="6" fillId="0" borderId="6" xfId="0" applyNumberFormat="1" applyFont="1" applyBorder="1"/>
    <xf numFmtId="1" fontId="6" fillId="0" borderId="12" xfId="0" applyNumberFormat="1" applyFont="1" applyBorder="1"/>
    <xf numFmtId="0" fontId="0" fillId="0" borderId="11" xfId="0" applyBorder="1"/>
    <xf numFmtId="0" fontId="0" fillId="0" borderId="16" xfId="0" applyBorder="1"/>
    <xf numFmtId="0" fontId="0" fillId="0" borderId="17" xfId="0" applyBorder="1"/>
    <xf numFmtId="1" fontId="0" fillId="0" borderId="0" xfId="0" applyNumberFormat="1" applyAlignment="1">
      <alignment shrinkToFit="1"/>
    </xf>
    <xf numFmtId="0" fontId="0" fillId="0" borderId="1" xfId="0" applyBorder="1" applyAlignment="1">
      <alignment horizontal="center" vertical="center" textRotation="90" wrapText="1"/>
    </xf>
    <xf numFmtId="1" fontId="3" fillId="0" borderId="6" xfId="0" applyNumberFormat="1" applyFont="1" applyBorder="1"/>
    <xf numFmtId="0" fontId="3" fillId="0" borderId="0" xfId="0" applyFont="1" applyAlignment="1">
      <alignment vertical="center"/>
    </xf>
    <xf numFmtId="0" fontId="3" fillId="0" borderId="0" xfId="0" applyFont="1"/>
    <xf numFmtId="0" fontId="6" fillId="0" borderId="18" xfId="0" applyFont="1" applyBorder="1" applyAlignment="1">
      <alignment horizontal="center" vertical="center"/>
    </xf>
    <xf numFmtId="1" fontId="6" fillId="0" borderId="19" xfId="0" applyNumberFormat="1" applyFont="1" applyBorder="1"/>
    <xf numFmtId="1" fontId="6" fillId="0" borderId="20" xfId="0" applyNumberFormat="1" applyFont="1" applyBorder="1"/>
    <xf numFmtId="0" fontId="0" fillId="0" borderId="18" xfId="0" applyBorder="1" applyAlignment="1">
      <alignment vertical="top"/>
    </xf>
    <xf numFmtId="0" fontId="0" fillId="0" borderId="0" xfId="0" applyAlignment="1">
      <alignment vertical="top"/>
    </xf>
    <xf numFmtId="0" fontId="0" fillId="0" borderId="13" xfId="0" applyBorder="1" applyAlignment="1">
      <alignment vertical="top"/>
    </xf>
    <xf numFmtId="0" fontId="0" fillId="0" borderId="18" xfId="0" applyBorder="1"/>
    <xf numFmtId="0" fontId="6" fillId="0" borderId="21" xfId="0" applyFont="1" applyBorder="1" applyAlignment="1">
      <alignment horizontal="center" vertical="center"/>
    </xf>
    <xf numFmtId="1" fontId="3" fillId="0" borderId="3" xfId="0" applyNumberFormat="1" applyFont="1" applyBorder="1"/>
    <xf numFmtId="1" fontId="6" fillId="0" borderId="3" xfId="0" applyNumberFormat="1" applyFont="1" applyBorder="1"/>
    <xf numFmtId="1" fontId="6" fillId="0" borderId="14" xfId="0" applyNumberFormat="1" applyFont="1" applyBorder="1"/>
    <xf numFmtId="0" fontId="6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 textRotation="90" wrapText="1"/>
    </xf>
    <xf numFmtId="0" fontId="3" fillId="0" borderId="4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textRotation="90"/>
      <protection locked="0"/>
    </xf>
    <xf numFmtId="0" fontId="3" fillId="0" borderId="4" xfId="0" applyFont="1" applyBorder="1" applyAlignment="1" applyProtection="1">
      <alignment textRotation="90"/>
      <protection locked="0"/>
    </xf>
    <xf numFmtId="3" fontId="8" fillId="0" borderId="7" xfId="0" applyNumberFormat="1" applyFont="1" applyBorder="1" applyAlignment="1" applyProtection="1">
      <alignment vertical="center" textRotation="90" shrinkToFit="1"/>
      <protection locked="0"/>
    </xf>
    <xf numFmtId="0" fontId="3" fillId="0" borderId="5" xfId="0" applyFont="1" applyBorder="1" applyProtection="1">
      <protection locked="0"/>
    </xf>
    <xf numFmtId="0" fontId="0" fillId="0" borderId="1" xfId="0" applyBorder="1" applyAlignment="1" applyProtection="1">
      <alignment horizontal="center" vertical="center" textRotation="90" wrapText="1"/>
      <protection locked="0"/>
    </xf>
    <xf numFmtId="0" fontId="3" fillId="0" borderId="1" xfId="0" applyFont="1" applyBorder="1" applyAlignment="1" applyProtection="1">
      <alignment horizontal="center" vertical="center" textRotation="90" wrapText="1"/>
      <protection locked="0"/>
    </xf>
    <xf numFmtId="1" fontId="3" fillId="0" borderId="19" xfId="0" applyNumberFormat="1" applyFont="1" applyBorder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4" xfId="0" applyNumberFormat="1" applyBorder="1" applyAlignment="1" applyProtection="1">
      <alignment horizontal="center"/>
      <protection locked="0"/>
    </xf>
    <xf numFmtId="165" fontId="3" fillId="0" borderId="5" xfId="0" applyNumberFormat="1" applyFont="1" applyBorder="1" applyAlignment="1" applyProtection="1">
      <alignment horizontal="center"/>
      <protection locked="0"/>
    </xf>
    <xf numFmtId="0" fontId="9" fillId="0" borderId="26" xfId="0" quotePrefix="1" applyFont="1" applyBorder="1" applyAlignment="1">
      <alignment horizontal="center" vertical="center" wrapText="1"/>
    </xf>
    <xf numFmtId="0" fontId="9" fillId="0" borderId="27" xfId="0" quotePrefix="1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 textRotation="90" wrapText="1"/>
    </xf>
    <xf numFmtId="0" fontId="0" fillId="0" borderId="0" xfId="0" applyAlignment="1">
      <alignment horizontal="center" vertical="center" textRotation="90" wrapText="1"/>
    </xf>
    <xf numFmtId="0" fontId="0" fillId="0" borderId="16" xfId="0" applyBorder="1" applyAlignment="1">
      <alignment horizontal="center" vertical="center" textRotation="90" wrapText="1"/>
    </xf>
    <xf numFmtId="0" fontId="6" fillId="0" borderId="4" xfId="0" applyFont="1" applyBorder="1" applyAlignment="1">
      <alignment horizontal="center" shrinkToFit="1"/>
    </xf>
    <xf numFmtId="0" fontId="6" fillId="0" borderId="24" xfId="0" applyFont="1" applyBorder="1" applyAlignment="1">
      <alignment horizontal="center" shrinkToFit="1"/>
    </xf>
    <xf numFmtId="0" fontId="6" fillId="0" borderId="25" xfId="0" applyFont="1" applyBorder="1" applyAlignment="1">
      <alignment horizontal="center" wrapText="1"/>
    </xf>
    <xf numFmtId="0" fontId="6" fillId="0" borderId="23" xfId="0" applyFont="1" applyBorder="1" applyAlignment="1">
      <alignment horizontal="center" wrapText="1"/>
    </xf>
    <xf numFmtId="0" fontId="0" fillId="0" borderId="18" xfId="0" applyBorder="1" applyAlignment="1">
      <alignment horizontal="left" vertical="center" textRotation="90"/>
    </xf>
  </cellXfs>
  <cellStyles count="6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Percent [2]" xfId="4" xr:uid="{00000000-0005-0000-0000-000004000000}"/>
    <cellStyle name="標準_品質検査" xfId="5" xr:uid="{00000000-0005-0000-0000-000005000000}"/>
  </cellStyles>
  <dxfs count="1">
    <dxf>
      <font>
        <b/>
        <i val="0"/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55135635647541E-2"/>
          <c:y val="2.0920535682541846E-2"/>
          <c:w val="0.93420474202132542"/>
          <c:h val="0.9623901341194272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'SJCPIL-R 15-024 - MÁQUINA 3'!$B$2:$CK$2</c:f>
              <c:numCache>
                <c:formatCode>d/m;@</c:formatCode>
                <c:ptCount val="88"/>
              </c:numCache>
            </c:numRef>
          </c:cat>
          <c:val>
            <c:numRef>
              <c:f>'SJCPIL-R 15-024 - MÁQUINA 3'!$B$31:$CK$31</c:f>
              <c:numCache>
                <c:formatCode>0</c:formatCode>
                <c:ptCount val="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38-4372-9396-391BA5785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883864"/>
        <c:axId val="384890136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15-024 - MÁQUINA 3'!$B$36:$CK$36</c:f>
              <c:numCache>
                <c:formatCode>0</c:formatCode>
                <c:ptCount val="88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38-4372-9396-391BA5785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887392"/>
        <c:axId val="384889744"/>
      </c:scatterChart>
      <c:catAx>
        <c:axId val="384883864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d/m;@" sourceLinked="1"/>
        <c:majorTickMark val="out"/>
        <c:minorTickMark val="none"/>
        <c:tickLblPos val="nextTo"/>
        <c:crossAx val="384890136"/>
        <c:crosses val="autoZero"/>
        <c:auto val="0"/>
        <c:lblAlgn val="ctr"/>
        <c:lblOffset val="100"/>
        <c:noMultiLvlLbl val="1"/>
      </c:catAx>
      <c:valAx>
        <c:axId val="384890136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4883864"/>
        <c:crosses val="autoZero"/>
        <c:crossBetween val="between"/>
      </c:valAx>
      <c:valAx>
        <c:axId val="384889744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84887392"/>
        <c:crosses val="max"/>
        <c:crossBetween val="midCat"/>
      </c:valAx>
      <c:valAx>
        <c:axId val="384887392"/>
        <c:scaling>
          <c:orientation val="minMax"/>
          <c:max val="2"/>
          <c:min val="0"/>
        </c:scaling>
        <c:delete val="1"/>
        <c:axPos val="t"/>
        <c:numFmt formatCode="General" sourceLinked="1"/>
        <c:majorTickMark val="out"/>
        <c:minorTickMark val="none"/>
        <c:tickLblPos val="nextTo"/>
        <c:crossAx val="384889744"/>
        <c:crosses val="max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15-024 - MÁQUINA 3'!$B$2:$AO$2</c:f>
              <c:numCache>
                <c:formatCode>d/m;@</c:formatCode>
                <c:ptCount val="40"/>
              </c:numCache>
            </c:numRef>
          </c:cat>
          <c:val>
            <c:numRef>
              <c:f>'F-7.132 Rev 01 - MÁQUINA 2'!#REF!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A3-49EE-B00B-94E65E29D366}"/>
            </c:ext>
          </c:extLst>
        </c:ser>
        <c:ser>
          <c:idx val="1"/>
          <c:order val="1"/>
          <c:tx>
            <c:v>OBJETIVO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'SJCPIL-R 15-024 - MÁQUINA 3'!$B$36:$Z$36</c:f>
              <c:numCache>
                <c:formatCode>0</c:formatCode>
                <c:ptCount val="25"/>
                <c:pt idx="0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A3-49EE-B00B-94E65E29D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884256"/>
        <c:axId val="384886608"/>
      </c:lineChart>
      <c:catAx>
        <c:axId val="384884256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84886608"/>
        <c:crosses val="autoZero"/>
        <c:auto val="1"/>
        <c:lblAlgn val="ctr"/>
        <c:lblOffset val="100"/>
        <c:noMultiLvlLbl val="1"/>
      </c:catAx>
      <c:valAx>
        <c:axId val="384886608"/>
        <c:scaling>
          <c:orientation val="minMax"/>
          <c:max val="16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4884256"/>
        <c:crosses val="autoZero"/>
        <c:crossBetween val="between"/>
        <c:majorUnit val="4000"/>
        <c:minorUnit val="8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15-024 - MÁQUINA 3'!$B$2:$AO$2</c:f>
              <c:numCache>
                <c:formatCode>d/m;@</c:formatCode>
                <c:ptCount val="40"/>
              </c:numCache>
            </c:numRef>
          </c:cat>
          <c:val>
            <c:numRef>
              <c:f>'F-7.132 Rev 01 - MÁQUINA 2'!#REF!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DD-4115-9FB7-2C1AB5F4692A}"/>
            </c:ext>
          </c:extLst>
        </c:ser>
        <c:ser>
          <c:idx val="1"/>
          <c:order val="1"/>
          <c:tx>
            <c:v>OBJETIVO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'SJCPIL-R 15-024 - MÁQUINA 3'!$B$36:$Z$36</c:f>
              <c:numCache>
                <c:formatCode>0</c:formatCode>
                <c:ptCount val="25"/>
                <c:pt idx="0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DD-4115-9FB7-2C1AB5F4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885432"/>
        <c:axId val="384887000"/>
      </c:lineChart>
      <c:catAx>
        <c:axId val="384885432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84887000"/>
        <c:crosses val="autoZero"/>
        <c:auto val="1"/>
        <c:lblAlgn val="ctr"/>
        <c:lblOffset val="100"/>
        <c:noMultiLvlLbl val="1"/>
      </c:catAx>
      <c:valAx>
        <c:axId val="384887000"/>
        <c:scaling>
          <c:orientation val="minMax"/>
          <c:max val="16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4885432"/>
        <c:crosses val="autoZero"/>
        <c:crossBetween val="between"/>
        <c:majorUnit val="4000"/>
        <c:minorUnit val="8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'F-7.132 Rev 01 - MÁQUINA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C19-4CB4-98D6-C3334678DF25}"/>
            </c:ext>
          </c:extLst>
        </c:ser>
        <c:ser>
          <c:idx val="1"/>
          <c:order val="1"/>
          <c:tx>
            <c:v>OBJETIVO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19-4CB4-98D6-C3334678D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49456"/>
        <c:axId val="386049848"/>
      </c:lineChart>
      <c:catAx>
        <c:axId val="386049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6049848"/>
        <c:crosses val="autoZero"/>
        <c:auto val="1"/>
        <c:lblAlgn val="ctr"/>
        <c:lblOffset val="100"/>
        <c:noMultiLvlLbl val="0"/>
      </c:catAx>
      <c:valAx>
        <c:axId val="386049848"/>
        <c:scaling>
          <c:orientation val="minMax"/>
          <c:max val="16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6049456"/>
        <c:crosses val="autoZero"/>
        <c:crossBetween val="between"/>
        <c:majorUnit val="4000"/>
        <c:minorUnit val="8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'F-7.132 Rev 01 - MÁQUINA 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 xmlns:c16="http://schemas.microsoft.com/office/drawing/2014/chart"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414-494F-A12B-EB0FF2C05974}"/>
            </c:ext>
          </c:extLst>
        </c:ser>
        <c:ser>
          <c:idx val="1"/>
          <c:order val="1"/>
          <c:tx>
            <c:v>OBJETIVO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14-494F-A12B-EB0FF2C05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047888"/>
        <c:axId val="386048672"/>
      </c:lineChart>
      <c:catAx>
        <c:axId val="386047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6048672"/>
        <c:crosses val="autoZero"/>
        <c:auto val="1"/>
        <c:lblAlgn val="ctr"/>
        <c:lblOffset val="100"/>
        <c:noMultiLvlLbl val="0"/>
      </c:catAx>
      <c:valAx>
        <c:axId val="386048672"/>
        <c:scaling>
          <c:orientation val="minMax"/>
          <c:max val="16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386047888"/>
        <c:crosses val="autoZero"/>
        <c:crossBetween val="between"/>
        <c:majorUnit val="4000"/>
        <c:minorUnit val="800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0</xdr:row>
      <xdr:rowOff>381000</xdr:rowOff>
    </xdr:to>
    <xdr:sp macro="" textlink="">
      <xdr:nvSpPr>
        <xdr:cNvPr id="2" name="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104900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pt-BR" sz="1200" b="1" i="0" u="none" strike="noStrike" baseline="0">
              <a:solidFill>
                <a:srgbClr val="0000FF"/>
              </a:solidFill>
              <a:latin typeface="SwitzerlandBlack"/>
            </a:rPr>
            <a:t>Panasonic</a:t>
          </a:r>
          <a:endParaRPr lang="pt-B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PILHAS / BATERIAS</a:t>
          </a:r>
        </a:p>
      </xdr:txBody>
    </xdr:sp>
    <xdr:clientData/>
  </xdr:twoCellAnchor>
  <xdr:twoCellAnchor>
    <xdr:from>
      <xdr:col>0</xdr:col>
      <xdr:colOff>285748</xdr:colOff>
      <xdr:row>5</xdr:row>
      <xdr:rowOff>38100</xdr:rowOff>
    </xdr:from>
    <xdr:to>
      <xdr:col>91</xdr:col>
      <xdr:colOff>488156</xdr:colOff>
      <xdr:row>29</xdr:row>
      <xdr:rowOff>11906</xdr:rowOff>
    </xdr:to>
    <xdr:graphicFrame macro="">
      <xdr:nvGraphicFramePr>
        <xdr:cNvPr id="3" name="Gráfico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34</xdr:row>
      <xdr:rowOff>0</xdr:rowOff>
    </xdr:from>
    <xdr:to>
      <xdr:col>26</xdr:col>
      <xdr:colOff>133350</xdr:colOff>
      <xdr:row>34</xdr:row>
      <xdr:rowOff>0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495300</xdr:colOff>
      <xdr:row>34</xdr:row>
      <xdr:rowOff>0</xdr:rowOff>
    </xdr:from>
    <xdr:to>
      <xdr:col>26</xdr:col>
      <xdr:colOff>19050</xdr:colOff>
      <xdr:row>34</xdr:row>
      <xdr:rowOff>0</xdr:rowOff>
    </xdr:to>
    <xdr:graphicFrame macro="">
      <xdr:nvGraphicFramePr>
        <xdr:cNvPr id="5" name="Gráfico 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600075</xdr:colOff>
      <xdr:row>34</xdr:row>
      <xdr:rowOff>0</xdr:rowOff>
    </xdr:from>
    <xdr:to>
      <xdr:col>36</xdr:col>
      <xdr:colOff>133350</xdr:colOff>
      <xdr:row>34</xdr:row>
      <xdr:rowOff>0</xdr:rowOff>
    </xdr:to>
    <xdr:graphicFrame macro="">
      <xdr:nvGraphicFramePr>
        <xdr:cNvPr id="6" name="Gráfico 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495300</xdr:colOff>
      <xdr:row>34</xdr:row>
      <xdr:rowOff>0</xdr:rowOff>
    </xdr:from>
    <xdr:to>
      <xdr:col>36</xdr:col>
      <xdr:colOff>19050</xdr:colOff>
      <xdr:row>34</xdr:row>
      <xdr:rowOff>0</xdr:rowOff>
    </xdr:to>
    <xdr:graphicFrame macro="">
      <xdr:nvGraphicFramePr>
        <xdr:cNvPr id="7" name="Gráfico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40">
          <cell r="Y40">
            <v>200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6"/>
  <sheetViews>
    <sheetView zoomScaleNormal="100" workbookViewId="0"/>
  </sheetViews>
  <sheetFormatPr defaultRowHeight="12.75"/>
  <sheetData>
    <row r="1" spans="1:1">
      <c r="A1" s="1" t="s">
        <v>4</v>
      </c>
    </row>
    <row r="3" spans="1:1">
      <c r="A3" s="2" t="s">
        <v>21</v>
      </c>
    </row>
    <row r="4" spans="1:1">
      <c r="A4" s="2" t="s">
        <v>6</v>
      </c>
    </row>
    <row r="5" spans="1:1">
      <c r="A5" s="2" t="s">
        <v>5</v>
      </c>
    </row>
    <row r="6" spans="1:1">
      <c r="A6" t="s">
        <v>3</v>
      </c>
    </row>
  </sheetData>
  <sheetProtection algorithmName="SHA-512" hashValue="yjuR/8wVYZ5ZO7Q3CMyoDe0JNKoBx5Swgen5fpGDriPXqZ6etlHT67nRkk1g12RpUudN+7Et1GUhIvKdzGG8Mw==" saltValue="NmAxfwggy7bwaMeQq55nGg==" spinCount="100000" sheet="1" objects="1" scenarios="1" selectLockedCells="1"/>
  <phoneticPr fontId="7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59">
    <tabColor indexed="43"/>
    <pageSetUpPr fitToPage="1"/>
  </sheetPr>
  <dimension ref="A1:CN43"/>
  <sheetViews>
    <sheetView showZeros="0" tabSelected="1" zoomScaleNormal="100" zoomScaleSheetLayoutView="98" workbookViewId="0">
      <selection activeCell="B2" sqref="B2"/>
    </sheetView>
  </sheetViews>
  <sheetFormatPr defaultColWidth="11.42578125" defaultRowHeight="12.75"/>
  <cols>
    <col min="1" max="1" width="16.5703125" customWidth="1"/>
    <col min="2" max="89" width="5.7109375" customWidth="1"/>
    <col min="90" max="92" width="7.7109375" customWidth="1"/>
  </cols>
  <sheetData>
    <row r="1" spans="1:92" ht="32.25" customHeight="1" thickBot="1">
      <c r="C1" s="3" t="s">
        <v>9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12</v>
      </c>
      <c r="S1" s="4"/>
      <c r="U1" s="28" t="s">
        <v>22</v>
      </c>
      <c r="V1" s="4"/>
      <c r="W1" s="3"/>
      <c r="CK1" s="55" t="s">
        <v>27</v>
      </c>
      <c r="CL1" s="56"/>
      <c r="CM1" s="57" t="str">
        <f ca="1">MID(CELL("nome.arquivo"),SEARCH(".xl",CELL("nome.arquivo"))-2,2)&amp;" / 20"&amp;MID(CELL("nome.arquivo"),SEARCH(".xl",CELL("nome.arquivo"))-4,2)</f>
        <v>03 / 2022</v>
      </c>
      <c r="CN1" s="58"/>
    </row>
    <row r="2" spans="1:92" ht="24.75" customHeight="1">
      <c r="A2" s="5" t="s">
        <v>0</v>
      </c>
      <c r="B2" s="52"/>
      <c r="C2" s="52"/>
      <c r="D2" s="52"/>
      <c r="E2" s="52"/>
      <c r="F2" s="52"/>
      <c r="G2" s="52"/>
      <c r="H2" s="52"/>
      <c r="I2" s="52"/>
      <c r="J2" s="52"/>
      <c r="K2" s="54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52"/>
      <c r="CC2" s="52"/>
      <c r="CD2" s="52"/>
      <c r="CE2" s="52"/>
      <c r="CF2" s="52"/>
      <c r="CG2" s="52"/>
      <c r="CH2" s="52"/>
      <c r="CI2" s="52"/>
      <c r="CJ2" s="52"/>
      <c r="CK2" s="53"/>
      <c r="CL2" s="62" t="s">
        <v>15</v>
      </c>
      <c r="CM2" s="63"/>
      <c r="CN2" s="64" t="s">
        <v>16</v>
      </c>
    </row>
    <row r="3" spans="1:92" ht="23.25" customHeight="1">
      <c r="A3" s="6" t="s">
        <v>11</v>
      </c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7" t="s">
        <v>13</v>
      </c>
      <c r="CM3" s="8" t="s">
        <v>14</v>
      </c>
      <c r="CN3" s="65"/>
    </row>
    <row r="4" spans="1:92" ht="81.75" customHeight="1">
      <c r="A4" s="9" t="s">
        <v>10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6"/>
      <c r="BE4" s="46"/>
      <c r="BF4" s="46"/>
      <c r="BG4" s="46"/>
      <c r="BH4" s="46"/>
      <c r="BI4" s="46"/>
      <c r="BJ4" s="46"/>
      <c r="BK4" s="46"/>
      <c r="BL4" s="46"/>
      <c r="BM4" s="46"/>
      <c r="BN4" s="46"/>
      <c r="BO4" s="46"/>
      <c r="BP4" s="46"/>
      <c r="BQ4" s="46"/>
      <c r="BR4" s="46"/>
      <c r="BS4" s="46"/>
      <c r="BT4" s="46"/>
      <c r="BU4" s="46"/>
      <c r="BV4" s="46"/>
      <c r="BW4" s="46"/>
      <c r="BX4" s="46"/>
      <c r="BY4" s="46"/>
      <c r="BZ4" s="46"/>
      <c r="CA4" s="46"/>
      <c r="CB4" s="46"/>
      <c r="CC4" s="46"/>
      <c r="CD4" s="46"/>
      <c r="CE4" s="46"/>
      <c r="CF4" s="46"/>
      <c r="CG4" s="46"/>
      <c r="CH4" s="46"/>
      <c r="CI4" s="46"/>
      <c r="CJ4" s="46"/>
      <c r="CK4" s="46"/>
      <c r="CL4" s="10"/>
      <c r="CM4" s="11"/>
      <c r="CN4" s="12"/>
    </row>
    <row r="5" spans="1:92" ht="80.25" customHeight="1" thickBot="1">
      <c r="A5" s="13" t="s">
        <v>1</v>
      </c>
      <c r="B5" s="45"/>
      <c r="C5" s="45"/>
      <c r="D5" s="45"/>
      <c r="E5" s="45"/>
      <c r="F5" s="45"/>
      <c r="G5" s="45"/>
      <c r="H5" s="45"/>
      <c r="I5" s="45"/>
      <c r="J5" s="45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6"/>
      <c r="AT5" s="46"/>
      <c r="AU5" s="46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14">
        <f t="array" ref="CL5">SUM(IF(B3:CK3=CL3,B5:CK5))</f>
        <v>0</v>
      </c>
      <c r="CM5" s="14">
        <f t="array" ref="CM5">SUM(IF(B3:CK3=CM3,B5:CK5))</f>
        <v>0</v>
      </c>
      <c r="CN5" s="15">
        <f>CL5+CM5</f>
        <v>0</v>
      </c>
    </row>
    <row r="6" spans="1:92" ht="18" customHeight="1">
      <c r="A6" s="66" t="s">
        <v>8</v>
      </c>
      <c r="B6" s="59"/>
      <c r="C6" s="59">
        <f t="shared" ref="C6:BP6" si="0">C43</f>
        <v>0</v>
      </c>
      <c r="D6" s="59">
        <f t="shared" si="0"/>
        <v>0</v>
      </c>
      <c r="E6" s="59">
        <f t="shared" si="0"/>
        <v>0</v>
      </c>
      <c r="F6" s="59">
        <f t="shared" si="0"/>
        <v>0</v>
      </c>
      <c r="G6" s="59">
        <f t="shared" si="0"/>
        <v>0</v>
      </c>
      <c r="H6" s="59">
        <f t="shared" si="0"/>
        <v>0</v>
      </c>
      <c r="I6" s="59">
        <f t="shared" si="0"/>
        <v>0</v>
      </c>
      <c r="J6" s="59">
        <f t="shared" si="0"/>
        <v>0</v>
      </c>
      <c r="K6" s="59">
        <f t="shared" si="0"/>
        <v>0</v>
      </c>
      <c r="L6" s="59">
        <f t="shared" si="0"/>
        <v>0</v>
      </c>
      <c r="M6" s="59">
        <f t="shared" si="0"/>
        <v>0</v>
      </c>
      <c r="N6" s="59">
        <f t="shared" si="0"/>
        <v>0</v>
      </c>
      <c r="O6" s="59">
        <f t="shared" si="0"/>
        <v>0</v>
      </c>
      <c r="P6" s="59">
        <f t="shared" si="0"/>
        <v>0</v>
      </c>
      <c r="Q6" s="59">
        <f t="shared" si="0"/>
        <v>0</v>
      </c>
      <c r="R6" s="59">
        <f t="shared" si="0"/>
        <v>0</v>
      </c>
      <c r="S6" s="59">
        <f t="shared" si="0"/>
        <v>0</v>
      </c>
      <c r="T6" s="59">
        <f t="shared" si="0"/>
        <v>0</v>
      </c>
      <c r="U6" s="59">
        <f t="shared" si="0"/>
        <v>0</v>
      </c>
      <c r="V6" s="59">
        <f t="shared" si="0"/>
        <v>0</v>
      </c>
      <c r="W6" s="59"/>
      <c r="X6" s="59"/>
      <c r="Y6" s="59">
        <f t="shared" si="0"/>
        <v>0</v>
      </c>
      <c r="Z6" s="59">
        <f t="shared" si="0"/>
        <v>0</v>
      </c>
      <c r="AA6" s="59">
        <f t="shared" si="0"/>
        <v>0</v>
      </c>
      <c r="AB6" s="59">
        <f t="shared" si="0"/>
        <v>0</v>
      </c>
      <c r="AC6" s="59">
        <f t="shared" si="0"/>
        <v>0</v>
      </c>
      <c r="AD6" s="59">
        <f t="shared" si="0"/>
        <v>0</v>
      </c>
      <c r="AE6" s="59">
        <f t="shared" si="0"/>
        <v>0</v>
      </c>
      <c r="AF6" s="59">
        <f t="shared" ref="AF6:AG6" si="1">AF43</f>
        <v>0</v>
      </c>
      <c r="AG6" s="59">
        <f t="shared" si="1"/>
        <v>0</v>
      </c>
      <c r="AH6" s="59">
        <f t="shared" si="0"/>
        <v>0</v>
      </c>
      <c r="AI6" s="59">
        <f t="shared" si="0"/>
        <v>0</v>
      </c>
      <c r="AJ6" s="59">
        <f t="shared" si="0"/>
        <v>0</v>
      </c>
      <c r="AK6" s="59">
        <f t="shared" si="0"/>
        <v>0</v>
      </c>
      <c r="AL6" s="59">
        <f t="shared" si="0"/>
        <v>0</v>
      </c>
      <c r="AM6" s="59">
        <f t="shared" si="0"/>
        <v>0</v>
      </c>
      <c r="AN6" s="59">
        <f t="shared" si="0"/>
        <v>0</v>
      </c>
      <c r="AO6" s="59">
        <f t="shared" si="0"/>
        <v>0</v>
      </c>
      <c r="AP6" s="59">
        <f t="shared" si="0"/>
        <v>0</v>
      </c>
      <c r="AQ6" s="59">
        <f t="shared" si="0"/>
        <v>0</v>
      </c>
      <c r="AR6" s="59">
        <f t="shared" si="0"/>
        <v>0</v>
      </c>
      <c r="AS6" s="59">
        <f t="shared" si="0"/>
        <v>0</v>
      </c>
      <c r="AT6" s="59">
        <f t="shared" si="0"/>
        <v>0</v>
      </c>
      <c r="AU6" s="59">
        <f t="shared" si="0"/>
        <v>0</v>
      </c>
      <c r="AV6" s="59">
        <f t="shared" si="0"/>
        <v>0</v>
      </c>
      <c r="AW6" s="59">
        <f t="shared" si="0"/>
        <v>0</v>
      </c>
      <c r="AX6" s="59">
        <f t="shared" si="0"/>
        <v>0</v>
      </c>
      <c r="AY6" s="59">
        <f t="shared" si="0"/>
        <v>0</v>
      </c>
      <c r="AZ6" s="59">
        <f t="shared" si="0"/>
        <v>0</v>
      </c>
      <c r="BA6" s="59">
        <f t="shared" si="0"/>
        <v>0</v>
      </c>
      <c r="BB6" s="59">
        <f t="shared" si="0"/>
        <v>0</v>
      </c>
      <c r="BC6" s="59">
        <f t="shared" si="0"/>
        <v>0</v>
      </c>
      <c r="BD6" s="59">
        <f t="shared" si="0"/>
        <v>0</v>
      </c>
      <c r="BE6" s="59">
        <f t="shared" si="0"/>
        <v>0</v>
      </c>
      <c r="BF6" s="59">
        <f t="shared" si="0"/>
        <v>0</v>
      </c>
      <c r="BG6" s="59">
        <f t="shared" si="0"/>
        <v>0</v>
      </c>
      <c r="BH6" s="59">
        <f t="shared" si="0"/>
        <v>0</v>
      </c>
      <c r="BI6" s="59">
        <f t="shared" si="0"/>
        <v>0</v>
      </c>
      <c r="BJ6" s="59">
        <f t="shared" si="0"/>
        <v>0</v>
      </c>
      <c r="BK6" s="59">
        <f t="shared" si="0"/>
        <v>0</v>
      </c>
      <c r="BL6" s="59">
        <f t="shared" si="0"/>
        <v>0</v>
      </c>
      <c r="BM6" s="59">
        <f t="shared" si="0"/>
        <v>0</v>
      </c>
      <c r="BN6" s="59">
        <f t="shared" si="0"/>
        <v>0</v>
      </c>
      <c r="BO6" s="59">
        <f t="shared" si="0"/>
        <v>0</v>
      </c>
      <c r="BP6" s="59">
        <f t="shared" si="0"/>
        <v>0</v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N6" s="16"/>
    </row>
    <row r="7" spans="1:92" ht="18" customHeight="1">
      <c r="A7" s="66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N7" s="16"/>
    </row>
    <row r="8" spans="1:92" ht="18" customHeight="1">
      <c r="A8" s="66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N8" s="16"/>
    </row>
    <row r="9" spans="1:92" ht="18" customHeight="1">
      <c r="A9" s="66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N9" s="16"/>
    </row>
    <row r="10" spans="1:92" ht="18" customHeight="1">
      <c r="A10" s="66"/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N10" s="16"/>
    </row>
    <row r="11" spans="1:92" ht="18" customHeight="1">
      <c r="A11" s="66"/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N11" s="16"/>
    </row>
    <row r="12" spans="1:92" ht="18" customHeight="1">
      <c r="A12" s="66"/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N12" s="16"/>
    </row>
    <row r="13" spans="1:92" ht="18" customHeight="1">
      <c r="A13" s="66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0"/>
      <c r="V13" s="60"/>
      <c r="W13" s="60"/>
      <c r="X13" s="60"/>
      <c r="Y13" s="60"/>
      <c r="Z13" s="60"/>
      <c r="AA13" s="60"/>
      <c r="AB13" s="60"/>
      <c r="AC13" s="60"/>
      <c r="AD13" s="60"/>
      <c r="AE13" s="60"/>
      <c r="AF13" s="60"/>
      <c r="AG13" s="60"/>
      <c r="AH13" s="60"/>
      <c r="AI13" s="60"/>
      <c r="AJ13" s="60"/>
      <c r="AK13" s="60"/>
      <c r="AL13" s="60"/>
      <c r="AM13" s="60"/>
      <c r="AN13" s="60"/>
      <c r="AO13" s="60"/>
      <c r="AP13" s="60"/>
      <c r="AQ13" s="60"/>
      <c r="AR13" s="60"/>
      <c r="AS13" s="60"/>
      <c r="AT13" s="60"/>
      <c r="AU13" s="60"/>
      <c r="AV13" s="60"/>
      <c r="AW13" s="60"/>
      <c r="AX13" s="60"/>
      <c r="AY13" s="60"/>
      <c r="AZ13" s="60"/>
      <c r="BA13" s="60"/>
      <c r="BB13" s="60"/>
      <c r="BC13" s="60"/>
      <c r="BD13" s="60"/>
      <c r="BE13" s="60"/>
      <c r="BF13" s="60"/>
      <c r="BG13" s="60"/>
      <c r="BH13" s="60"/>
      <c r="BI13" s="60"/>
      <c r="BJ13" s="60"/>
      <c r="BK13" s="60"/>
      <c r="BL13" s="60"/>
      <c r="BM13" s="60"/>
      <c r="BN13" s="60"/>
      <c r="BO13" s="60"/>
      <c r="BP13" s="60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N13" s="16"/>
    </row>
    <row r="14" spans="1:92" ht="18" customHeight="1">
      <c r="A14" s="66"/>
      <c r="B14" s="60"/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 s="60"/>
      <c r="R14" s="60"/>
      <c r="S14" s="60"/>
      <c r="T14" s="60"/>
      <c r="U14" s="60"/>
      <c r="V14" s="60"/>
      <c r="W14" s="60"/>
      <c r="X14" s="60"/>
      <c r="Y14" s="60"/>
      <c r="Z14" s="60"/>
      <c r="AA14" s="60"/>
      <c r="AB14" s="60"/>
      <c r="AC14" s="60"/>
      <c r="AD14" s="60"/>
      <c r="AE14" s="60"/>
      <c r="AF14" s="60"/>
      <c r="AG14" s="60"/>
      <c r="AH14" s="60"/>
      <c r="AI14" s="60"/>
      <c r="AJ14" s="60"/>
      <c r="AK14" s="60"/>
      <c r="AL14" s="60"/>
      <c r="AM14" s="60"/>
      <c r="AN14" s="60"/>
      <c r="AO14" s="60"/>
      <c r="AP14" s="60"/>
      <c r="AQ14" s="60"/>
      <c r="AR14" s="60"/>
      <c r="AS14" s="60"/>
      <c r="AT14" s="60"/>
      <c r="AU14" s="60"/>
      <c r="AV14" s="60"/>
      <c r="AW14" s="60"/>
      <c r="AX14" s="60"/>
      <c r="AY14" s="60"/>
      <c r="AZ14" s="60"/>
      <c r="BA14" s="60"/>
      <c r="BB14" s="60"/>
      <c r="BC14" s="60"/>
      <c r="BD14" s="60"/>
      <c r="BE14" s="60"/>
      <c r="BF14" s="60"/>
      <c r="BG14" s="60"/>
      <c r="BH14" s="60"/>
      <c r="BI14" s="60"/>
      <c r="BJ14" s="60"/>
      <c r="BK14" s="60"/>
      <c r="BL14" s="60"/>
      <c r="BM14" s="60"/>
      <c r="BN14" s="60"/>
      <c r="BO14" s="60"/>
      <c r="BP14" s="60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N14" s="16"/>
    </row>
    <row r="15" spans="1:92" ht="18" customHeight="1">
      <c r="A15" s="66"/>
      <c r="B15" s="60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60"/>
      <c r="AE15" s="60"/>
      <c r="AF15" s="60"/>
      <c r="AG15" s="60"/>
      <c r="AH15" s="60"/>
      <c r="AI15" s="60"/>
      <c r="AJ15" s="60"/>
      <c r="AK15" s="60"/>
      <c r="AL15" s="60"/>
      <c r="AM15" s="60"/>
      <c r="AN15" s="60"/>
      <c r="AO15" s="60"/>
      <c r="AP15" s="60"/>
      <c r="AQ15" s="60"/>
      <c r="AR15" s="60"/>
      <c r="AS15" s="60"/>
      <c r="AT15" s="60"/>
      <c r="AU15" s="60"/>
      <c r="AV15" s="60"/>
      <c r="AW15" s="60"/>
      <c r="AX15" s="60"/>
      <c r="AY15" s="60"/>
      <c r="AZ15" s="60"/>
      <c r="BA15" s="60"/>
      <c r="BB15" s="60"/>
      <c r="BC15" s="60"/>
      <c r="BD15" s="60"/>
      <c r="BE15" s="60"/>
      <c r="BF15" s="60"/>
      <c r="BG15" s="60"/>
      <c r="BH15" s="60"/>
      <c r="BI15" s="60"/>
      <c r="BJ15" s="60"/>
      <c r="BK15" s="60"/>
      <c r="BL15" s="60"/>
      <c r="BM15" s="60"/>
      <c r="BN15" s="60"/>
      <c r="BO15" s="60"/>
      <c r="BP15" s="60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N15" s="16"/>
    </row>
    <row r="16" spans="1:92" ht="18" customHeight="1">
      <c r="A16" s="66"/>
      <c r="B16" s="60"/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  <c r="AT16" s="60"/>
      <c r="AU16" s="60"/>
      <c r="AV16" s="60"/>
      <c r="AW16" s="60"/>
      <c r="AX16" s="60"/>
      <c r="AY16" s="60"/>
      <c r="AZ16" s="60"/>
      <c r="BA16" s="60"/>
      <c r="BB16" s="60"/>
      <c r="BC16" s="60"/>
      <c r="BD16" s="60"/>
      <c r="BE16" s="60"/>
      <c r="BF16" s="60"/>
      <c r="BG16" s="60"/>
      <c r="BH16" s="60"/>
      <c r="BI16" s="60"/>
      <c r="BJ16" s="60"/>
      <c r="BK16" s="60"/>
      <c r="BL16" s="60"/>
      <c r="BM16" s="60"/>
      <c r="BN16" s="60"/>
      <c r="BO16" s="60"/>
      <c r="BP16" s="60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N16" s="16"/>
    </row>
    <row r="17" spans="1:92" ht="18" customHeight="1">
      <c r="A17" s="66"/>
      <c r="B17" s="60"/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/>
      <c r="Q17" s="60"/>
      <c r="R17" s="60"/>
      <c r="S17" s="60"/>
      <c r="T17" s="60"/>
      <c r="U17" s="60"/>
      <c r="V17" s="60"/>
      <c r="W17" s="60"/>
      <c r="X17" s="60"/>
      <c r="Y17" s="60"/>
      <c r="Z17" s="60"/>
      <c r="AA17" s="60"/>
      <c r="AB17" s="60"/>
      <c r="AC17" s="60"/>
      <c r="AD17" s="60"/>
      <c r="AE17" s="60"/>
      <c r="AF17" s="60"/>
      <c r="AG17" s="60"/>
      <c r="AH17" s="60"/>
      <c r="AI17" s="60"/>
      <c r="AJ17" s="60"/>
      <c r="AK17" s="60"/>
      <c r="AL17" s="60"/>
      <c r="AM17" s="60"/>
      <c r="AN17" s="60"/>
      <c r="AO17" s="60"/>
      <c r="AP17" s="60"/>
      <c r="AQ17" s="60"/>
      <c r="AR17" s="60"/>
      <c r="AS17" s="60"/>
      <c r="AT17" s="60"/>
      <c r="AU17" s="60"/>
      <c r="AV17" s="60"/>
      <c r="AW17" s="60"/>
      <c r="AX17" s="60"/>
      <c r="AY17" s="60"/>
      <c r="AZ17" s="60"/>
      <c r="BA17" s="60"/>
      <c r="BB17" s="60"/>
      <c r="BC17" s="60"/>
      <c r="BD17" s="60"/>
      <c r="BE17" s="60"/>
      <c r="BF17" s="60"/>
      <c r="BG17" s="60"/>
      <c r="BH17" s="60"/>
      <c r="BI17" s="60"/>
      <c r="BJ17" s="60"/>
      <c r="BK17" s="60"/>
      <c r="BL17" s="60"/>
      <c r="BM17" s="60"/>
      <c r="BN17" s="60"/>
      <c r="BO17" s="60"/>
      <c r="BP17" s="60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N17" s="16"/>
    </row>
    <row r="18" spans="1:92" ht="18" customHeight="1">
      <c r="A18" s="66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60"/>
      <c r="AG18" s="60"/>
      <c r="AH18" s="60"/>
      <c r="AI18" s="60"/>
      <c r="AJ18" s="60"/>
      <c r="AK18" s="60"/>
      <c r="AL18" s="60"/>
      <c r="AM18" s="60"/>
      <c r="AN18" s="60"/>
      <c r="AO18" s="60"/>
      <c r="AP18" s="60"/>
      <c r="AQ18" s="60"/>
      <c r="AR18" s="60"/>
      <c r="AS18" s="60"/>
      <c r="AT18" s="60"/>
      <c r="AU18" s="60"/>
      <c r="AV18" s="60"/>
      <c r="AW18" s="60"/>
      <c r="AX18" s="60"/>
      <c r="AY18" s="60"/>
      <c r="AZ18" s="60"/>
      <c r="BA18" s="60"/>
      <c r="BB18" s="60"/>
      <c r="BC18" s="60"/>
      <c r="BD18" s="60"/>
      <c r="BE18" s="60"/>
      <c r="BF18" s="60"/>
      <c r="BG18" s="60"/>
      <c r="BH18" s="60"/>
      <c r="BI18" s="60"/>
      <c r="BJ18" s="60"/>
      <c r="BK18" s="60"/>
      <c r="BL18" s="60"/>
      <c r="BM18" s="60"/>
      <c r="BN18" s="60"/>
      <c r="BO18" s="60"/>
      <c r="BP18" s="60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N18" s="16"/>
    </row>
    <row r="19" spans="1:92" ht="18" customHeight="1">
      <c r="A19" s="66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0"/>
      <c r="AM19" s="60"/>
      <c r="AN19" s="60"/>
      <c r="AO19" s="60"/>
      <c r="AP19" s="60"/>
      <c r="AQ19" s="60"/>
      <c r="AR19" s="60"/>
      <c r="AS19" s="60"/>
      <c r="AT19" s="60"/>
      <c r="AU19" s="60"/>
      <c r="AV19" s="60"/>
      <c r="AW19" s="60"/>
      <c r="AX19" s="60"/>
      <c r="AY19" s="60"/>
      <c r="AZ19" s="60"/>
      <c r="BA19" s="60"/>
      <c r="BB19" s="60"/>
      <c r="BC19" s="60"/>
      <c r="BD19" s="60"/>
      <c r="BE19" s="60"/>
      <c r="BF19" s="60"/>
      <c r="BG19" s="60"/>
      <c r="BH19" s="60"/>
      <c r="BI19" s="60"/>
      <c r="BJ19" s="60"/>
      <c r="BK19" s="60"/>
      <c r="BL19" s="60"/>
      <c r="BM19" s="60"/>
      <c r="BN19" s="60"/>
      <c r="BO19" s="60"/>
      <c r="BP19" s="60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N19" s="16"/>
    </row>
    <row r="20" spans="1:92" ht="18" customHeight="1">
      <c r="A20" s="66"/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  <c r="AT20" s="60"/>
      <c r="AU20" s="60"/>
      <c r="AV20" s="60"/>
      <c r="AW20" s="60"/>
      <c r="AX20" s="60"/>
      <c r="AY20" s="60"/>
      <c r="AZ20" s="60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N20" s="16"/>
    </row>
    <row r="21" spans="1:92" ht="18" customHeight="1">
      <c r="A21" s="66"/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  <c r="AT21" s="60"/>
      <c r="AU21" s="60"/>
      <c r="AV21" s="60"/>
      <c r="AW21" s="60"/>
      <c r="AX21" s="60"/>
      <c r="AY21" s="60"/>
      <c r="AZ21" s="60"/>
      <c r="BA21" s="60"/>
      <c r="BB21" s="60"/>
      <c r="BC21" s="60"/>
      <c r="BD21" s="60"/>
      <c r="BE21" s="60"/>
      <c r="BF21" s="60"/>
      <c r="BG21" s="60"/>
      <c r="BH21" s="60"/>
      <c r="BI21" s="60"/>
      <c r="BJ21" s="60"/>
      <c r="BK21" s="60"/>
      <c r="BL21" s="60"/>
      <c r="BM21" s="60"/>
      <c r="BN21" s="60"/>
      <c r="BO21" s="60"/>
      <c r="BP21" s="60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N21" s="16"/>
    </row>
    <row r="22" spans="1:92" ht="18" customHeight="1">
      <c r="A22" s="66"/>
      <c r="B22" s="60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  <c r="AT22" s="60"/>
      <c r="AU22" s="60"/>
      <c r="AV22" s="60"/>
      <c r="AW22" s="60"/>
      <c r="AX22" s="60"/>
      <c r="AY22" s="60"/>
      <c r="AZ22" s="60"/>
      <c r="BA22" s="60"/>
      <c r="BB22" s="60"/>
      <c r="BC22" s="60"/>
      <c r="BD22" s="60"/>
      <c r="BE22" s="60"/>
      <c r="BF22" s="60"/>
      <c r="BG22" s="60"/>
      <c r="BH22" s="60"/>
      <c r="BI22" s="60"/>
      <c r="BJ22" s="60"/>
      <c r="BK22" s="60"/>
      <c r="BL22" s="60"/>
      <c r="BM22" s="60"/>
      <c r="BN22" s="60"/>
      <c r="BO22" s="60"/>
      <c r="BP22" s="60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N22" s="16"/>
    </row>
    <row r="23" spans="1:92" ht="18" customHeight="1">
      <c r="A23" s="66"/>
      <c r="B23" s="60"/>
      <c r="C23" s="60"/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60"/>
      <c r="AE23" s="60"/>
      <c r="AF23" s="60"/>
      <c r="AG23" s="60"/>
      <c r="AH23" s="60"/>
      <c r="AI23" s="60"/>
      <c r="AJ23" s="60"/>
      <c r="AK23" s="60"/>
      <c r="AL23" s="60"/>
      <c r="AM23" s="60"/>
      <c r="AN23" s="60"/>
      <c r="AO23" s="60"/>
      <c r="AP23" s="60"/>
      <c r="AQ23" s="60"/>
      <c r="AR23" s="60"/>
      <c r="AS23" s="60"/>
      <c r="AT23" s="60"/>
      <c r="AU23" s="60"/>
      <c r="AV23" s="60"/>
      <c r="AW23" s="60"/>
      <c r="AX23" s="60"/>
      <c r="AY23" s="60"/>
      <c r="AZ23" s="60"/>
      <c r="BA23" s="60"/>
      <c r="BB23" s="60"/>
      <c r="BC23" s="60"/>
      <c r="BD23" s="60"/>
      <c r="BE23" s="60"/>
      <c r="BF23" s="60"/>
      <c r="BG23" s="60"/>
      <c r="BH23" s="60"/>
      <c r="BI23" s="60"/>
      <c r="BJ23" s="60"/>
      <c r="BK23" s="60"/>
      <c r="BL23" s="60"/>
      <c r="BM23" s="60"/>
      <c r="BN23" s="60"/>
      <c r="BO23" s="60"/>
      <c r="BP23" s="60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N23" s="16"/>
    </row>
    <row r="24" spans="1:92" ht="18" customHeight="1">
      <c r="A24" s="66"/>
      <c r="B24" s="60"/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0"/>
      <c r="AR24" s="60"/>
      <c r="AS24" s="60"/>
      <c r="AT24" s="60"/>
      <c r="AU24" s="60"/>
      <c r="AV24" s="60"/>
      <c r="AW24" s="60"/>
      <c r="AX24" s="60"/>
      <c r="AY24" s="60"/>
      <c r="AZ24" s="60"/>
      <c r="BA24" s="60"/>
      <c r="BB24" s="60"/>
      <c r="BC24" s="60"/>
      <c r="BD24" s="60"/>
      <c r="BE24" s="60"/>
      <c r="BF24" s="60"/>
      <c r="BG24" s="60"/>
      <c r="BH24" s="60"/>
      <c r="BI24" s="60"/>
      <c r="BJ24" s="60"/>
      <c r="BK24" s="60"/>
      <c r="BL24" s="60"/>
      <c r="BM24" s="60"/>
      <c r="BN24" s="60"/>
      <c r="BO24" s="60"/>
      <c r="BP24" s="60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N24" s="16"/>
    </row>
    <row r="25" spans="1:92" ht="18" customHeight="1">
      <c r="A25" s="66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60"/>
      <c r="AQ25" s="60"/>
      <c r="AR25" s="60"/>
      <c r="AS25" s="60"/>
      <c r="AT25" s="60"/>
      <c r="AU25" s="60"/>
      <c r="AV25" s="60"/>
      <c r="AW25" s="60"/>
      <c r="AX25" s="60"/>
      <c r="AY25" s="60"/>
      <c r="AZ25" s="60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N25" s="16"/>
    </row>
    <row r="26" spans="1:92" ht="18" customHeight="1">
      <c r="A26" s="66"/>
      <c r="B26" s="60"/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  <c r="AJ26" s="60"/>
      <c r="AK26" s="60"/>
      <c r="AL26" s="60"/>
      <c r="AM26" s="60"/>
      <c r="AN26" s="60"/>
      <c r="AO26" s="60"/>
      <c r="AP26" s="60"/>
      <c r="AQ26" s="60"/>
      <c r="AR26" s="60"/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60"/>
      <c r="BJ26" s="60"/>
      <c r="BK26" s="60"/>
      <c r="BL26" s="60"/>
      <c r="BM26" s="60"/>
      <c r="BN26" s="60"/>
      <c r="BO26" s="60"/>
      <c r="BP26" s="60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N26" s="16"/>
    </row>
    <row r="27" spans="1:92" ht="18" customHeight="1">
      <c r="A27" s="66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60"/>
      <c r="AM27" s="60"/>
      <c r="AN27" s="60"/>
      <c r="AO27" s="60"/>
      <c r="AP27" s="60"/>
      <c r="AQ27" s="60"/>
      <c r="AR27" s="60"/>
      <c r="AS27" s="60"/>
      <c r="AT27" s="60"/>
      <c r="AU27" s="60"/>
      <c r="AV27" s="60"/>
      <c r="AW27" s="60"/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N27" s="16"/>
    </row>
    <row r="28" spans="1:92" ht="18" customHeight="1">
      <c r="A28" s="66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60"/>
      <c r="AH28" s="60"/>
      <c r="AI28" s="60"/>
      <c r="AJ28" s="60"/>
      <c r="AK28" s="60"/>
      <c r="AL28" s="60"/>
      <c r="AM28" s="60"/>
      <c r="AN28" s="60"/>
      <c r="AO28" s="60"/>
      <c r="AP28" s="60"/>
      <c r="AQ28" s="60"/>
      <c r="AR28" s="60"/>
      <c r="AS28" s="60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N28" s="16"/>
    </row>
    <row r="29" spans="1:92" ht="18" customHeight="1" thickBot="1">
      <c r="A29" s="66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1"/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N29" s="16"/>
    </row>
    <row r="30" spans="1:92" s="1" customFormat="1" ht="20.100000000000001" customHeight="1">
      <c r="A30" s="17" t="s">
        <v>2</v>
      </c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  <c r="BL30" s="48"/>
      <c r="BM30" s="48"/>
      <c r="BN30" s="48"/>
      <c r="BO30" s="48"/>
      <c r="BP30" s="48"/>
      <c r="BQ30" s="48"/>
      <c r="BR30" s="48"/>
      <c r="BS30" s="48"/>
      <c r="BT30" s="48"/>
      <c r="BU30" s="48"/>
      <c r="BV30" s="48"/>
      <c r="BW30" s="48"/>
      <c r="BX30" s="48"/>
      <c r="BY30" s="48"/>
      <c r="BZ30" s="48"/>
      <c r="CA30" s="48"/>
      <c r="CB30" s="48"/>
      <c r="CC30" s="48"/>
      <c r="CD30" s="48"/>
      <c r="CE30" s="48"/>
      <c r="CF30" s="48"/>
      <c r="CG30" s="48"/>
      <c r="CH30" s="48"/>
      <c r="CI30" s="48"/>
      <c r="CJ30" s="48"/>
      <c r="CK30" s="48"/>
      <c r="CL30" s="18">
        <f t="array" ref="CL30">SUM(IF(B3:CK3=CL3,B30:CK30))</f>
        <v>0</v>
      </c>
      <c r="CM30" s="18">
        <f t="array" ref="CM30">SUM(IF(B3:CK3=CM3,B30:CK30))</f>
        <v>0</v>
      </c>
      <c r="CN30" s="19">
        <f>CL30+CM30</f>
        <v>0</v>
      </c>
    </row>
    <row r="31" spans="1:92" s="1" customFormat="1" ht="20.100000000000001" customHeight="1" thickBot="1">
      <c r="A31" s="30" t="s">
        <v>7</v>
      </c>
      <c r="B31" s="51" t="str">
        <f>IF(B5=0,"",B30/B5*1000000)</f>
        <v/>
      </c>
      <c r="C31" s="51" t="str">
        <f t="shared" ref="C31:BN31" si="2">IF(C5=0,"",C30/C5*1000000)</f>
        <v/>
      </c>
      <c r="D31" s="51" t="str">
        <f t="shared" si="2"/>
        <v/>
      </c>
      <c r="E31" s="51" t="str">
        <f t="shared" si="2"/>
        <v/>
      </c>
      <c r="F31" s="51" t="str">
        <f t="shared" si="2"/>
        <v/>
      </c>
      <c r="G31" s="51" t="str">
        <f t="shared" si="2"/>
        <v/>
      </c>
      <c r="H31" s="51" t="str">
        <f t="shared" si="2"/>
        <v/>
      </c>
      <c r="I31" s="51" t="str">
        <f t="shared" si="2"/>
        <v/>
      </c>
      <c r="J31" s="51" t="str">
        <f t="shared" si="2"/>
        <v/>
      </c>
      <c r="K31" s="51" t="str">
        <f t="shared" si="2"/>
        <v/>
      </c>
      <c r="L31" s="51" t="str">
        <f t="shared" si="2"/>
        <v/>
      </c>
      <c r="M31" s="51" t="str">
        <f t="shared" si="2"/>
        <v/>
      </c>
      <c r="N31" s="51" t="str">
        <f t="shared" si="2"/>
        <v/>
      </c>
      <c r="O31" s="51" t="str">
        <f t="shared" si="2"/>
        <v/>
      </c>
      <c r="P31" s="51" t="str">
        <f t="shared" si="2"/>
        <v/>
      </c>
      <c r="Q31" s="51" t="str">
        <f t="shared" si="2"/>
        <v/>
      </c>
      <c r="R31" s="51" t="str">
        <f t="shared" si="2"/>
        <v/>
      </c>
      <c r="S31" s="51" t="str">
        <f t="shared" si="2"/>
        <v/>
      </c>
      <c r="T31" s="51" t="str">
        <f t="shared" si="2"/>
        <v/>
      </c>
      <c r="U31" s="51" t="str">
        <f t="shared" si="2"/>
        <v/>
      </c>
      <c r="V31" s="51" t="str">
        <f t="shared" si="2"/>
        <v/>
      </c>
      <c r="W31" s="51" t="str">
        <f t="shared" si="2"/>
        <v/>
      </c>
      <c r="X31" s="51" t="str">
        <f t="shared" si="2"/>
        <v/>
      </c>
      <c r="Y31" s="51" t="str">
        <f t="shared" si="2"/>
        <v/>
      </c>
      <c r="Z31" s="51" t="str">
        <f t="shared" si="2"/>
        <v/>
      </c>
      <c r="AA31" s="51" t="str">
        <f t="shared" si="2"/>
        <v/>
      </c>
      <c r="AB31" s="51" t="str">
        <f t="shared" si="2"/>
        <v/>
      </c>
      <c r="AC31" s="51" t="str">
        <f t="shared" si="2"/>
        <v/>
      </c>
      <c r="AD31" s="51" t="str">
        <f t="shared" si="2"/>
        <v/>
      </c>
      <c r="AE31" s="51" t="str">
        <f t="shared" si="2"/>
        <v/>
      </c>
      <c r="AF31" s="51" t="str">
        <f t="shared" si="2"/>
        <v/>
      </c>
      <c r="AG31" s="51" t="str">
        <f t="shared" si="2"/>
        <v/>
      </c>
      <c r="AH31" s="51" t="str">
        <f t="shared" si="2"/>
        <v/>
      </c>
      <c r="AI31" s="51" t="str">
        <f t="shared" si="2"/>
        <v/>
      </c>
      <c r="AJ31" s="51" t="str">
        <f t="shared" si="2"/>
        <v/>
      </c>
      <c r="AK31" s="51" t="str">
        <f t="shared" si="2"/>
        <v/>
      </c>
      <c r="AL31" s="51" t="str">
        <f t="shared" si="2"/>
        <v/>
      </c>
      <c r="AM31" s="51" t="str">
        <f t="shared" si="2"/>
        <v/>
      </c>
      <c r="AN31" s="51" t="str">
        <f t="shared" si="2"/>
        <v/>
      </c>
      <c r="AO31" s="51" t="str">
        <f t="shared" si="2"/>
        <v/>
      </c>
      <c r="AP31" s="51" t="str">
        <f t="shared" si="2"/>
        <v/>
      </c>
      <c r="AQ31" s="51" t="str">
        <f t="shared" si="2"/>
        <v/>
      </c>
      <c r="AR31" s="51" t="str">
        <f t="shared" si="2"/>
        <v/>
      </c>
      <c r="AS31" s="51" t="str">
        <f t="shared" si="2"/>
        <v/>
      </c>
      <c r="AT31" s="51" t="str">
        <f t="shared" si="2"/>
        <v/>
      </c>
      <c r="AU31" s="51" t="str">
        <f t="shared" si="2"/>
        <v/>
      </c>
      <c r="AV31" s="51" t="str">
        <f t="shared" si="2"/>
        <v/>
      </c>
      <c r="AW31" s="51" t="str">
        <f t="shared" si="2"/>
        <v/>
      </c>
      <c r="AX31" s="51" t="str">
        <f t="shared" si="2"/>
        <v/>
      </c>
      <c r="AY31" s="51" t="str">
        <f t="shared" si="2"/>
        <v/>
      </c>
      <c r="AZ31" s="51" t="str">
        <f t="shared" si="2"/>
        <v/>
      </c>
      <c r="BA31" s="51" t="str">
        <f t="shared" si="2"/>
        <v/>
      </c>
      <c r="BB31" s="51" t="str">
        <f t="shared" si="2"/>
        <v/>
      </c>
      <c r="BC31" s="51" t="str">
        <f t="shared" si="2"/>
        <v/>
      </c>
      <c r="BD31" s="51" t="str">
        <f t="shared" si="2"/>
        <v/>
      </c>
      <c r="BE31" s="51" t="str">
        <f t="shared" si="2"/>
        <v/>
      </c>
      <c r="BF31" s="51" t="str">
        <f t="shared" si="2"/>
        <v/>
      </c>
      <c r="BG31" s="51" t="str">
        <f t="shared" si="2"/>
        <v/>
      </c>
      <c r="BH31" s="51" t="str">
        <f t="shared" si="2"/>
        <v/>
      </c>
      <c r="BI31" s="51" t="str">
        <f t="shared" si="2"/>
        <v/>
      </c>
      <c r="BJ31" s="51" t="str">
        <f t="shared" si="2"/>
        <v/>
      </c>
      <c r="BK31" s="51" t="str">
        <f t="shared" si="2"/>
        <v/>
      </c>
      <c r="BL31" s="51" t="str">
        <f t="shared" si="2"/>
        <v/>
      </c>
      <c r="BM31" s="51" t="str">
        <f t="shared" si="2"/>
        <v/>
      </c>
      <c r="BN31" s="51" t="str">
        <f t="shared" si="2"/>
        <v/>
      </c>
      <c r="BO31" s="51" t="str">
        <f t="shared" ref="BO31:CH31" si="3">IF(BO5=0,"",BO30/BO5*1000000)</f>
        <v/>
      </c>
      <c r="BP31" s="51" t="str">
        <f t="shared" si="3"/>
        <v/>
      </c>
      <c r="BQ31" s="51" t="str">
        <f t="shared" si="3"/>
        <v/>
      </c>
      <c r="BR31" s="51" t="str">
        <f t="shared" si="3"/>
        <v/>
      </c>
      <c r="BS31" s="51" t="str">
        <f t="shared" si="3"/>
        <v/>
      </c>
      <c r="BT31" s="51" t="str">
        <f t="shared" si="3"/>
        <v/>
      </c>
      <c r="BU31" s="51" t="str">
        <f t="shared" si="3"/>
        <v/>
      </c>
      <c r="BV31" s="51" t="str">
        <f t="shared" si="3"/>
        <v/>
      </c>
      <c r="BW31" s="51" t="str">
        <f t="shared" si="3"/>
        <v/>
      </c>
      <c r="BX31" s="51" t="str">
        <f t="shared" si="3"/>
        <v/>
      </c>
      <c r="BY31" s="51" t="str">
        <f t="shared" si="3"/>
        <v/>
      </c>
      <c r="BZ31" s="51" t="str">
        <f t="shared" si="3"/>
        <v/>
      </c>
      <c r="CA31" s="51" t="str">
        <f t="shared" si="3"/>
        <v/>
      </c>
      <c r="CB31" s="51" t="str">
        <f t="shared" si="3"/>
        <v/>
      </c>
      <c r="CC31" s="51" t="str">
        <f t="shared" si="3"/>
        <v/>
      </c>
      <c r="CD31" s="51" t="str">
        <f t="shared" si="3"/>
        <v/>
      </c>
      <c r="CE31" s="51" t="str">
        <f t="shared" si="3"/>
        <v/>
      </c>
      <c r="CF31" s="51" t="str">
        <f t="shared" si="3"/>
        <v/>
      </c>
      <c r="CG31" s="51" t="str">
        <f t="shared" si="3"/>
        <v/>
      </c>
      <c r="CH31" s="51" t="str">
        <f t="shared" si="3"/>
        <v/>
      </c>
      <c r="CI31" s="51" t="str">
        <f t="shared" ref="CI31:CK31" si="4">IF(CI5=0,"",CI30/CI5*1000000)</f>
        <v/>
      </c>
      <c r="CJ31" s="51" t="str">
        <f t="shared" si="4"/>
        <v/>
      </c>
      <c r="CK31" s="51" t="str">
        <f t="shared" si="4"/>
        <v/>
      </c>
      <c r="CL31" s="31" t="str">
        <f>IF(CL5=0,"",CL30/CL5*1000000)</f>
        <v/>
      </c>
      <c r="CM31" s="31" t="str">
        <f>IF(CM5=0,"",CM30/CM5*1000000)</f>
        <v/>
      </c>
      <c r="CN31" s="32" t="str">
        <f t="shared" ref="CN31" si="5">IF(CN5=0,"",CN30/CN5*1000000)</f>
        <v/>
      </c>
    </row>
    <row r="32" spans="1:92" s="1" customFormat="1" ht="20.100000000000001" customHeight="1">
      <c r="A32" s="37" t="s">
        <v>26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9"/>
      <c r="CM32" s="39"/>
      <c r="CN32" s="40"/>
    </row>
    <row r="33" spans="1:92" s="1" customFormat="1" ht="20.100000000000001" customHeight="1" thickBot="1">
      <c r="A33" s="41" t="s">
        <v>25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0"/>
      <c r="CM33" s="20"/>
      <c r="CN33" s="21"/>
    </row>
    <row r="34" spans="1:92" ht="30" customHeight="1">
      <c r="A34" s="33" t="s">
        <v>17</v>
      </c>
      <c r="B34" s="34"/>
      <c r="C34" s="34"/>
      <c r="D34" s="34"/>
      <c r="E34" s="34"/>
      <c r="F34" s="34"/>
      <c r="G34" s="34"/>
      <c r="H34" s="34"/>
      <c r="I34" s="33" t="s">
        <v>18</v>
      </c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5"/>
      <c r="U34" s="33" t="s">
        <v>19</v>
      </c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5"/>
      <c r="AI34" s="36"/>
      <c r="CN34" s="16"/>
    </row>
    <row r="35" spans="1:92" ht="30" customHeight="1" thickBot="1">
      <c r="A35" s="22" t="s">
        <v>20</v>
      </c>
      <c r="B35" s="23"/>
      <c r="C35" s="23"/>
      <c r="D35" s="23"/>
      <c r="E35" s="23"/>
      <c r="F35" s="23"/>
      <c r="G35" s="23"/>
      <c r="H35" s="23"/>
      <c r="I35" s="22" t="s">
        <v>20</v>
      </c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4"/>
      <c r="U35" s="22" t="s">
        <v>20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4"/>
      <c r="AI35" s="22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4"/>
    </row>
    <row r="36" spans="1:92">
      <c r="A36" s="29" t="s">
        <v>24</v>
      </c>
      <c r="B36" s="25">
        <f>'[1]SJCPIL 16-006-08'!$Y$40</f>
        <v>200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</row>
    <row r="43" spans="1:92" ht="127.5" customHeight="1">
      <c r="A43" s="26" t="s">
        <v>23</v>
      </c>
      <c r="B43" s="49"/>
      <c r="C43" s="49"/>
      <c r="D43" s="49"/>
      <c r="E43" s="49"/>
      <c r="F43" s="50"/>
      <c r="G43" s="50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50"/>
      <c r="AF43" s="50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50"/>
      <c r="AU43" s="50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</row>
  </sheetData>
  <sheetProtection algorithmName="SHA-512" hashValue="XZyu2g4ekPtXzMNcmDzVhjwzBN/iGBluWxs468x/X02SO4ghxie0PvVs/zeHCtHQdjvNO22XvXEMMISt8n/fRw==" saltValue="RUXHgCPsrkFAwUEIK5gBKw==" spinCount="100000" sheet="1" objects="1" scenarios="1" selectLockedCells="1"/>
  <mergeCells count="72">
    <mergeCell ref="M6:M29"/>
    <mergeCell ref="CL2:CM2"/>
    <mergeCell ref="CN2:CN3"/>
    <mergeCell ref="A6:A29"/>
    <mergeCell ref="B6:B29"/>
    <mergeCell ref="C6:C29"/>
    <mergeCell ref="D6:D29"/>
    <mergeCell ref="E6:E29"/>
    <mergeCell ref="F6:F29"/>
    <mergeCell ref="G6:G29"/>
    <mergeCell ref="H6:H29"/>
    <mergeCell ref="I6:I29"/>
    <mergeCell ref="J6:J29"/>
    <mergeCell ref="K6:K29"/>
    <mergeCell ref="L6:L29"/>
    <mergeCell ref="Y6:Y29"/>
    <mergeCell ref="N6:N29"/>
    <mergeCell ref="O6:O29"/>
    <mergeCell ref="P6:P29"/>
    <mergeCell ref="Q6:Q29"/>
    <mergeCell ref="R6:R29"/>
    <mergeCell ref="S6:S29"/>
    <mergeCell ref="T6:T29"/>
    <mergeCell ref="U6:U29"/>
    <mergeCell ref="V6:V29"/>
    <mergeCell ref="W6:W29"/>
    <mergeCell ref="X6:X29"/>
    <mergeCell ref="AM6:AM29"/>
    <mergeCell ref="Z6:Z29"/>
    <mergeCell ref="AA6:AA29"/>
    <mergeCell ref="AB6:AB29"/>
    <mergeCell ref="AC6:AC29"/>
    <mergeCell ref="AD6:AD29"/>
    <mergeCell ref="AE6:AE29"/>
    <mergeCell ref="AH6:AH29"/>
    <mergeCell ref="AI6:AI29"/>
    <mergeCell ref="AJ6:AJ29"/>
    <mergeCell ref="AK6:AK29"/>
    <mergeCell ref="AL6:AL29"/>
    <mergeCell ref="AF6:AF29"/>
    <mergeCell ref="AG6:AG29"/>
    <mergeCell ref="AY6:AY29"/>
    <mergeCell ref="AN6:AN29"/>
    <mergeCell ref="AO6:AO29"/>
    <mergeCell ref="AP6:AP29"/>
    <mergeCell ref="AQ6:AQ29"/>
    <mergeCell ref="AR6:AR29"/>
    <mergeCell ref="AS6:AS29"/>
    <mergeCell ref="AT6:AT29"/>
    <mergeCell ref="AU6:AU29"/>
    <mergeCell ref="AV6:AV29"/>
    <mergeCell ref="AW6:AW29"/>
    <mergeCell ref="AX6:AX29"/>
    <mergeCell ref="BK6:BK29"/>
    <mergeCell ref="AZ6:AZ29"/>
    <mergeCell ref="BA6:BA29"/>
    <mergeCell ref="BB6:BB29"/>
    <mergeCell ref="BC6:BC29"/>
    <mergeCell ref="BD6:BD29"/>
    <mergeCell ref="BE6:BE29"/>
    <mergeCell ref="BF6:BF29"/>
    <mergeCell ref="BG6:BG29"/>
    <mergeCell ref="BH6:BH29"/>
    <mergeCell ref="BI6:BI29"/>
    <mergeCell ref="BJ6:BJ29"/>
    <mergeCell ref="CK1:CL1"/>
    <mergeCell ref="CM1:CN1"/>
    <mergeCell ref="BL6:BL29"/>
    <mergeCell ref="BM6:BM29"/>
    <mergeCell ref="BN6:BN29"/>
    <mergeCell ref="BO6:BO29"/>
    <mergeCell ref="BP6:BP29"/>
  </mergeCells>
  <conditionalFormatting sqref="CM30">
    <cfRule type="cellIs" dxfId="0" priority="2" stopIfTrue="1" operator="notEqual">
      <formula>SUM($B$30:$AO$30,#REF!,#REF!)</formula>
    </cfRule>
  </conditionalFormatting>
  <dataValidations disablePrompts="1" count="1">
    <dataValidation type="list" allowBlank="1" showInputMessage="1" showErrorMessage="1" sqref="B3:CK3" xr:uid="{3A3E67C2-153E-4F9D-B141-F2FC671EC324}">
      <formula1>"D,N"</formula1>
    </dataValidation>
  </dataValidations>
  <printOptions horizontalCentered="1" verticalCentered="1" gridLines="1" gridLinesSet="0"/>
  <pageMargins left="0.27559055118110237" right="0.23622047244094491" top="0.27559055118110237" bottom="0.23622047244094491" header="0.27559055118110237" footer="0.19685039370078741"/>
  <pageSetup paperSize="9" scale="26" orientation="landscape" r:id="rId1"/>
  <headerFooter alignWithMargins="0">
    <oddFooter>&amp;RSJCPIL-R 15-024-01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Instruções</vt:lpstr>
      <vt:lpstr>SJCPIL-R 15-024 - MÁQUINA 3</vt:lpstr>
      <vt:lpstr>Falhas_M3</vt:lpstr>
      <vt:lpstr>Prod_M3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2019-08-22T17:27:14Z</cp:lastPrinted>
  <dcterms:created xsi:type="dcterms:W3CDTF">2004-05-28T18:25:06Z</dcterms:created>
  <dcterms:modified xsi:type="dcterms:W3CDTF">2022-02-21T12:01:07Z</dcterms:modified>
</cp:coreProperties>
</file>