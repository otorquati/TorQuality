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5.xml" ContentType="application/vnd.openxmlformats-officedocument.drawingml.chart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7.xml" ContentType="application/vnd.openxmlformats-officedocument.drawingml.chart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9.xml" ContentType="application/vnd.openxmlformats-officedocument.drawingml.chart+xml"/>
  <Override PartName="/xl/drawings/drawing15.xml" ContentType="application/vnd.openxmlformats-officedocument.drawingml.chartshapes+xml"/>
  <Override PartName="/xl/charts/chart10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1.xml" ContentType="application/vnd.openxmlformats-officedocument.drawingml.chart+xml"/>
  <Override PartName="/xl/drawings/drawing18.xml" ContentType="application/vnd.openxmlformats-officedocument.drawingml.chartshapes+xml"/>
  <Override PartName="/xl/charts/chart12.xml" ContentType="application/vnd.openxmlformats-officedocument.drawingml.chart+xml"/>
  <Override PartName="/xl/drawings/drawing19.xml" ContentType="application/vnd.openxmlformats-officedocument.drawingml.chartshapes+xml"/>
  <Override PartName="/xl/drawings/drawing20.xml" ContentType="application/vnd.openxmlformats-officedocument.drawing+xml"/>
  <Override PartName="/xl/charts/chart13.xml" ContentType="application/vnd.openxmlformats-officedocument.drawingml.chart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3) UM-4\ACABAMENTO\"/>
    </mc:Choice>
  </mc:AlternateContent>
  <xr:revisionPtr revIDLastSave="0" documentId="13_ncr:1_{7632D80D-93F6-48E1-B079-5C0F6F0626DA}" xr6:coauthVersionLast="47" xr6:coauthVersionMax="47" xr10:uidLastSave="{00000000-0000-0000-0000-000000000000}"/>
  <workbookProtection workbookAlgorithmName="SHA-512" workbookHashValue="BI+OCOyf7rxtJFrdtEhIAyz+Cs8rEtQIx/I9xC8MOT/BM0Vi1GiO90WP0pVT6uWwxIpIO+/97l9HXMZf8RQ4oQ==" workbookSaltValue="uXGCfpYh1bp/j5cHcpX+zg==" workbookSpinCount="100000" lockStructure="1"/>
  <bookViews>
    <workbookView xWindow="-120" yWindow="-120" windowWidth="29040" windowHeight="16440" firstSheet="1" activeTab="7" xr2:uid="{00000000-000D-0000-FFFF-FFFF00000000}"/>
  </bookViews>
  <sheets>
    <sheet name="Instruções de Uso" sheetId="16" r:id="rId1"/>
    <sheet name="SHRINK 2S - Dia" sheetId="20" r:id="rId2"/>
    <sheet name="SHRINK 2S - 2T" sheetId="21" r:id="rId3"/>
    <sheet name="SHRINK 2S - 3T" sheetId="28" r:id="rId4"/>
    <sheet name="SHRINK 4S - Dia" sheetId="1" r:id="rId5"/>
    <sheet name="SHRINK 4S - 2T" sheetId="19" r:id="rId6"/>
    <sheet name="SHRINK 4S - 3T" sheetId="29" r:id="rId7"/>
    <sheet name="Dados para grafico" sheetId="13" r:id="rId8"/>
    <sheet name="Gráf1" sheetId="18" r:id="rId9"/>
    <sheet name="Gráf2" sheetId="25" r:id="rId10"/>
    <sheet name="Gráf3" sheetId="30" r:id="rId11"/>
    <sheet name="Gráf4" sheetId="26" r:id="rId12"/>
    <sheet name="Gráf5" sheetId="27" r:id="rId13"/>
    <sheet name="Gráf6" sheetId="31" r:id="rId14"/>
  </sheets>
  <externalReferences>
    <externalReference r:id="rId15"/>
  </externalReferences>
  <definedNames>
    <definedName name="_xlnm.Print_Area" localSheetId="2">'SHRINK 2S - 2T'!$A$1:$AD$37</definedName>
    <definedName name="_xlnm.Print_Area" localSheetId="3">'SHRINK 2S - 3T'!$A$1:$AD$37</definedName>
    <definedName name="_xlnm.Print_Area" localSheetId="1">'SHRINK 2S - Dia'!$A$1:$AD$37</definedName>
    <definedName name="_xlnm.Print_Area" localSheetId="5">'SHRINK 4S - 2T'!$A$1:$AD$37</definedName>
    <definedName name="_xlnm.Print_Area" localSheetId="6">'SHRINK 4S - 3T'!$A$1:$AD$37</definedName>
    <definedName name="_xlnm.Print_Area" localSheetId="4">'SHRINK 4S - Dia'!$A$1:$AD$37</definedName>
    <definedName name="FALHAS_2S2T" localSheetId="3">'SHRINK 2S - 2T'!$AD$32</definedName>
    <definedName name="FALHAS_2S3T">'SHRINK 2S - 3T'!$AD$32</definedName>
    <definedName name="FALHAS_2SD">'SHRINK 2S - Dia'!$AD$32</definedName>
    <definedName name="FALHAS_4S2T">'SHRINK 4S - 2T'!$AD$32</definedName>
    <definedName name="FALHAS_4S3T" localSheetId="6">'SHRINK 4S - 3T'!$AD$32</definedName>
    <definedName name="FALHAS_4SD">'SHRINK 4S - Dia'!$AD$32</definedName>
    <definedName name="Lin2S2T_AC">OFFSET('Dados para grafico'!$N$28,0,0,COUNTIF('Dados para grafico'!$N$28:$N$43,"&lt;100")+1,1)</definedName>
    <definedName name="Lin2S2T_PROB">OFFSET('Dados para grafico'!$J$28,0,0,COUNTIF('Dados para grafico'!$N$28:$N$43,"&lt;100")+1,1)</definedName>
    <definedName name="Lin2S2T_X">OFFSET('Dados para grafico'!$J$28,0,0,COUNTIF('Dados para grafico'!$N$28:$N$43,"&lt;100")+1,1)</definedName>
    <definedName name="Lin2S2T_Y">OFFSET('Dados para grafico'!$K$28,0,0,COUNTIF('Dados para grafico'!$N$28:$N$43,"&lt;100")+1,1)</definedName>
    <definedName name="Lin2S3T_AC">OFFSET('Dados para grafico'!$O$52,0,0,COUNTIF('Dados para grafico'!$N$52:$N$70,"&lt;100")+1,1)</definedName>
    <definedName name="Lin2S3T_PROB">OFFSET('Dados para grafico'!$O$52,0,0,COUNTIF('Dados para grafico'!$N$52:$N$70,"&lt;100")+1,1)</definedName>
    <definedName name="Lin2S3T_X">OFFSET('Dados para grafico'!$J$52,0,0,COUNTIF('Dados para grafico'!$N$52:$N$70,"&lt;100")+1,1)</definedName>
    <definedName name="Lin2S3T_Y">OFFSET('Dados para grafico'!$K$52,0,0,COUNTIF('Dados para grafico'!$N$52:$N$70,"&lt;100")+1,1)</definedName>
    <definedName name="Lin2SD_AC">OFFSET('Dados para grafico'!$N$4,0,0,COUNTIF('Dados para grafico'!$N$4:$N$19,"&lt;100")+1,1)</definedName>
    <definedName name="Lin2SD_PROB">OFFSET('Dados para grafico'!$O$4,0,0,COUNTIF('Dados para grafico'!$N$4:$N$19,"&lt;100")+1,1)</definedName>
    <definedName name="Lin2SD_X">OFFSET('Dados para grafico'!$J$4,0,0,COUNTIF('Dados para grafico'!$N$4:$N$19,"&lt;100")+1,1)</definedName>
    <definedName name="Lin2SD_Y">OFFSET('Dados para grafico'!$K$4,0,0,COUNTIF('Dados para grafico'!$N$4:$N$19,"&lt;100")+1,1)</definedName>
    <definedName name="Lin4S2T_AC">OFFSET('Dados para grafico'!$N$100,0,0,COUNTIF('Dados para grafico'!$N$100:$N$118,"&lt;100")+1,1)</definedName>
    <definedName name="Lin4S2T_PROB">OFFSET('Dados para grafico'!$O$100,0,0,COUNTIF('Dados para grafico'!$N$100:$N$118,"&lt;100")+1,1)</definedName>
    <definedName name="Lin4S2T_X">OFFSET('Dados para grafico'!$J$100,0,0,COUNTIF('Dados para grafico'!$N$100:$N$118,"&lt;100")+1,1)</definedName>
    <definedName name="Lin4S2T_Y">OFFSET('Dados para grafico'!$K$100,0,0,COUNTIF('Dados para grafico'!$N$100:$N$118,"&lt;100")+1,1)</definedName>
    <definedName name="Lin4S3T_AC">OFFSET('Dados para grafico'!$N$124,0,0,COUNTIF('Dados para grafico'!$N$124:$N$142,"&lt;100")+1,1)</definedName>
    <definedName name="Lin4S3T_PROB">OFFSET('Dados para grafico'!$O$124,0,0,COUNTIF('Dados para grafico'!$N$124:$N$142,"&lt;100")+1,1)</definedName>
    <definedName name="Lin4S3T_X">OFFSET('Dados para grafico'!$J$124,0,0,COUNTIF('Dados para grafico'!$N$124:$N$142,"&lt;100")+1,1)</definedName>
    <definedName name="Lin4S3T_Y">OFFSET('Dados para grafico'!$K$124,0,0,COUNTIF('Dados para grafico'!$N$124:$N$142,"&lt;100")+1,1)</definedName>
    <definedName name="Lin4SD_AC">OFFSET('Dados para grafico'!$N$76,0,0,COUNTIF('Dados para grafico'!$N$76:$N$94,"&lt;100")+1,1)</definedName>
    <definedName name="Lin4SD_PROB">OFFSET('Dados para grafico'!$O$76,0,0,COUNTIF('Dados para grafico'!$N$64:$N$76,"&lt;100")+1,1)</definedName>
    <definedName name="Lin4SD_X">OFFSET('Dados para grafico'!$J$76,0,0,COUNTIF('Dados para grafico'!$N$76:$N$94,"&lt;100")+1,1)</definedName>
    <definedName name="Lin4SD_Y">OFFSET('Dados para grafico'!$K$76,0,0,COUNTIF('Dados para grafico'!$N$76:$N$94,"&lt;100")+1,1)</definedName>
    <definedName name="PROD_2S2T">'SHRINK 2S - 2T'!$AD$4</definedName>
    <definedName name="PROD_2S3T" localSheetId="3">'SHRINK 2S - 3T'!$AD$4</definedName>
    <definedName name="PROD_2SD">'SHRINK 2S - Dia'!$AD$4</definedName>
    <definedName name="PROD_4S2T">'SHRINK 4S - 2T'!$AD$4</definedName>
    <definedName name="PROD_4S3T" localSheetId="6">'SHRINK 4S - 3T'!$AD$4</definedName>
    <definedName name="PROD_4SD">'SHRINK 4S - Dia'!$AD$4</definedName>
    <definedName name="TARGET_2S">'SHRINK 2S - Dia'!$D$38</definedName>
    <definedName name="TARGET_4S">'SHRINK 4S - Dia'!$D$38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8" i="20" l="1"/>
  <c r="D38" i="21" s="1"/>
  <c r="AD31" i="29"/>
  <c r="AD30" i="29"/>
  <c r="AD29" i="29"/>
  <c r="AD31" i="19"/>
  <c r="AD30" i="19"/>
  <c r="AD29" i="19"/>
  <c r="AD31" i="1"/>
  <c r="AD30" i="1"/>
  <c r="AD29" i="1"/>
  <c r="AD31" i="28"/>
  <c r="AD30" i="28"/>
  <c r="AD29" i="28"/>
  <c r="AD31" i="21"/>
  <c r="AD30" i="21"/>
  <c r="AD29" i="21"/>
  <c r="AD31" i="20"/>
  <c r="AD30" i="20"/>
  <c r="AD29" i="20"/>
  <c r="AD1" i="20"/>
  <c r="AD1" i="19" s="1"/>
  <c r="AF31" i="1" l="1"/>
  <c r="AF30" i="29"/>
  <c r="AF31" i="29"/>
  <c r="AF29" i="19"/>
  <c r="AF30" i="19"/>
  <c r="AF31" i="19"/>
  <c r="AF29" i="29"/>
  <c r="AF30" i="1"/>
  <c r="AF29" i="1"/>
  <c r="D38" i="1"/>
  <c r="D38" i="28"/>
  <c r="AD1" i="29"/>
  <c r="AD1" i="1"/>
  <c r="AD1" i="28"/>
  <c r="AD1" i="21"/>
  <c r="B142" i="13"/>
  <c r="B141" i="13"/>
  <c r="B140" i="13"/>
  <c r="B139" i="13"/>
  <c r="B138" i="13"/>
  <c r="B137" i="13"/>
  <c r="B136" i="13"/>
  <c r="B135" i="13"/>
  <c r="B134" i="13"/>
  <c r="B133" i="13"/>
  <c r="B132" i="13"/>
  <c r="B131" i="13"/>
  <c r="B130" i="13"/>
  <c r="B129" i="13"/>
  <c r="B128" i="13"/>
  <c r="B127" i="13"/>
  <c r="B126" i="13"/>
  <c r="B125" i="13"/>
  <c r="B124" i="13"/>
  <c r="C143" i="13"/>
  <c r="C142" i="13"/>
  <c r="F142" i="13" s="1"/>
  <c r="C141" i="13"/>
  <c r="F141" i="13" s="1"/>
  <c r="C140" i="13"/>
  <c r="F140" i="13" s="1"/>
  <c r="C139" i="13"/>
  <c r="F139" i="13" s="1"/>
  <c r="C138" i="13"/>
  <c r="F138" i="13" s="1"/>
  <c r="C137" i="13"/>
  <c r="C136" i="13"/>
  <c r="F136" i="13" s="1"/>
  <c r="C135" i="13"/>
  <c r="F135" i="13" s="1"/>
  <c r="C134" i="13"/>
  <c r="F134" i="13" s="1"/>
  <c r="C133" i="13"/>
  <c r="F133" i="13" s="1"/>
  <c r="C132" i="13"/>
  <c r="F132" i="13" s="1"/>
  <c r="C131" i="13"/>
  <c r="F131" i="13" s="1"/>
  <c r="C130" i="13"/>
  <c r="F130" i="13" s="1"/>
  <c r="C129" i="13"/>
  <c r="F129" i="13" s="1"/>
  <c r="C128" i="13"/>
  <c r="F128" i="13" s="1"/>
  <c r="C127" i="13"/>
  <c r="F127" i="13" s="1"/>
  <c r="C126" i="13"/>
  <c r="F126" i="13" s="1"/>
  <c r="C125" i="13"/>
  <c r="F125" i="13" s="1"/>
  <c r="C124" i="13"/>
  <c r="F124" i="13" s="1"/>
  <c r="B115" i="13"/>
  <c r="B114" i="13"/>
  <c r="B113" i="13"/>
  <c r="B112" i="13"/>
  <c r="B111" i="13"/>
  <c r="B110" i="13"/>
  <c r="B109" i="13"/>
  <c r="B108" i="13"/>
  <c r="B107" i="13"/>
  <c r="B106" i="13"/>
  <c r="B105" i="13"/>
  <c r="B104" i="13"/>
  <c r="B103" i="13"/>
  <c r="B102" i="13"/>
  <c r="B101" i="13"/>
  <c r="B100" i="13"/>
  <c r="C119" i="13"/>
  <c r="C118" i="13"/>
  <c r="F118" i="13" s="1"/>
  <c r="C117" i="13"/>
  <c r="F117" i="13" s="1"/>
  <c r="C116" i="13"/>
  <c r="F116" i="13" s="1"/>
  <c r="C115" i="13"/>
  <c r="F115" i="13" s="1"/>
  <c r="C114" i="13"/>
  <c r="F114" i="13" s="1"/>
  <c r="C113" i="13"/>
  <c r="F113" i="13" s="1"/>
  <c r="C112" i="13"/>
  <c r="F112" i="13" s="1"/>
  <c r="C111" i="13"/>
  <c r="F111" i="13" s="1"/>
  <c r="C110" i="13"/>
  <c r="F110" i="13" s="1"/>
  <c r="C109" i="13"/>
  <c r="F109" i="13" s="1"/>
  <c r="C108" i="13"/>
  <c r="F108" i="13" s="1"/>
  <c r="C107" i="13"/>
  <c r="F107" i="13" s="1"/>
  <c r="C106" i="13"/>
  <c r="F106" i="13" s="1"/>
  <c r="C105" i="13"/>
  <c r="F105" i="13" s="1"/>
  <c r="C104" i="13"/>
  <c r="F104" i="13" s="1"/>
  <c r="C103" i="13"/>
  <c r="F103" i="13" s="1"/>
  <c r="C102" i="13"/>
  <c r="F102" i="13" s="1"/>
  <c r="C101" i="13"/>
  <c r="F101" i="13" s="1"/>
  <c r="C100" i="13"/>
  <c r="F100" i="13" s="1"/>
  <c r="C94" i="13"/>
  <c r="C93" i="13"/>
  <c r="C92" i="13"/>
  <c r="C70" i="13"/>
  <c r="C69" i="13"/>
  <c r="C68" i="13"/>
  <c r="F137" i="13"/>
  <c r="AC33" i="29"/>
  <c r="AB33" i="29"/>
  <c r="AA33" i="29"/>
  <c r="Z33" i="29"/>
  <c r="Y33" i="29"/>
  <c r="X33" i="29"/>
  <c r="W33" i="29"/>
  <c r="V33" i="29"/>
  <c r="U33" i="29"/>
  <c r="AC32" i="29"/>
  <c r="AB32" i="29"/>
  <c r="AA32" i="29"/>
  <c r="Z32" i="29"/>
  <c r="Y32" i="29"/>
  <c r="X32" i="29"/>
  <c r="W32" i="29"/>
  <c r="V32" i="29"/>
  <c r="U32" i="29"/>
  <c r="T32" i="29"/>
  <c r="T33" i="29" s="1"/>
  <c r="S32" i="29"/>
  <c r="S33" i="29" s="1"/>
  <c r="R32" i="29"/>
  <c r="R33" i="29" s="1"/>
  <c r="Q32" i="29"/>
  <c r="Q33" i="29" s="1"/>
  <c r="P32" i="29"/>
  <c r="P33" i="29" s="1"/>
  <c r="O32" i="29"/>
  <c r="O33" i="29" s="1"/>
  <c r="N32" i="29"/>
  <c r="N33" i="29" s="1"/>
  <c r="M32" i="29"/>
  <c r="M33" i="29" s="1"/>
  <c r="L32" i="29"/>
  <c r="L33" i="29" s="1"/>
  <c r="K32" i="29"/>
  <c r="K33" i="29" s="1"/>
  <c r="J32" i="29"/>
  <c r="J33" i="29" s="1"/>
  <c r="I32" i="29"/>
  <c r="I33" i="29" s="1"/>
  <c r="H32" i="29"/>
  <c r="H33" i="29" s="1"/>
  <c r="G32" i="29"/>
  <c r="G33" i="29" s="1"/>
  <c r="F32" i="29"/>
  <c r="F33" i="29" s="1"/>
  <c r="E32" i="29"/>
  <c r="E33" i="29" s="1"/>
  <c r="D32" i="29"/>
  <c r="AD28" i="29"/>
  <c r="AD27" i="29"/>
  <c r="AD26" i="29"/>
  <c r="AD25" i="29"/>
  <c r="AD24" i="29"/>
  <c r="AD23" i="29"/>
  <c r="AD22" i="29"/>
  <c r="AD21" i="29"/>
  <c r="AD20" i="29"/>
  <c r="AD19" i="29"/>
  <c r="AD18" i="29"/>
  <c r="AD17" i="29"/>
  <c r="AD16" i="29"/>
  <c r="AD15" i="29"/>
  <c r="AD14" i="29"/>
  <c r="AD13" i="29"/>
  <c r="AC5" i="29"/>
  <c r="Z5" i="29"/>
  <c r="Y5" i="29"/>
  <c r="X5" i="29"/>
  <c r="W5" i="29"/>
  <c r="U5" i="29"/>
  <c r="T5" i="29"/>
  <c r="S5" i="29"/>
  <c r="R5" i="29"/>
  <c r="Q5" i="29"/>
  <c r="P5" i="29"/>
  <c r="O5" i="29"/>
  <c r="N5" i="29"/>
  <c r="M5" i="29"/>
  <c r="L5" i="29"/>
  <c r="K5" i="29"/>
  <c r="J5" i="29"/>
  <c r="I5" i="29"/>
  <c r="H5" i="29"/>
  <c r="G5" i="29"/>
  <c r="F5" i="29"/>
  <c r="E5" i="29"/>
  <c r="D5" i="29"/>
  <c r="AD4" i="29"/>
  <c r="E1" i="29"/>
  <c r="AC33" i="28"/>
  <c r="AB33" i="28"/>
  <c r="AA33" i="28"/>
  <c r="Z33" i="28"/>
  <c r="Y33" i="28"/>
  <c r="X33" i="28"/>
  <c r="W33" i="28"/>
  <c r="V33" i="28"/>
  <c r="U33" i="28"/>
  <c r="T33" i="28"/>
  <c r="S33" i="28"/>
  <c r="R33" i="28"/>
  <c r="Q33" i="28"/>
  <c r="P33" i="28"/>
  <c r="O33" i="28"/>
  <c r="N33" i="28"/>
  <c r="M33" i="28"/>
  <c r="L33" i="28"/>
  <c r="K33" i="28"/>
  <c r="J33" i="28"/>
  <c r="I33" i="28"/>
  <c r="H33" i="28"/>
  <c r="G33" i="28"/>
  <c r="AC32" i="28"/>
  <c r="AB32" i="28"/>
  <c r="AA32" i="28"/>
  <c r="Z32" i="28"/>
  <c r="Y32" i="28"/>
  <c r="X32" i="28"/>
  <c r="W32" i="28"/>
  <c r="V32" i="28"/>
  <c r="U32" i="28"/>
  <c r="T32" i="28"/>
  <c r="S32" i="28"/>
  <c r="R32" i="28"/>
  <c r="Q32" i="28"/>
  <c r="P32" i="28"/>
  <c r="O32" i="28"/>
  <c r="N32" i="28"/>
  <c r="M32" i="28"/>
  <c r="L32" i="28"/>
  <c r="K32" i="28"/>
  <c r="J32" i="28"/>
  <c r="I32" i="28"/>
  <c r="H32" i="28"/>
  <c r="G32" i="28"/>
  <c r="F32" i="28"/>
  <c r="F33" i="28" s="1"/>
  <c r="E32" i="28"/>
  <c r="E33" i="28" s="1"/>
  <c r="D32" i="28"/>
  <c r="D33" i="28" s="1"/>
  <c r="AD28" i="28"/>
  <c r="C67" i="13" s="1"/>
  <c r="AD27" i="28"/>
  <c r="C66" i="13" s="1"/>
  <c r="AD26" i="28"/>
  <c r="C65" i="13" s="1"/>
  <c r="AD25" i="28"/>
  <c r="C64" i="13" s="1"/>
  <c r="AD24" i="28"/>
  <c r="C63" i="13" s="1"/>
  <c r="AD23" i="28"/>
  <c r="C62" i="13" s="1"/>
  <c r="AD22" i="28"/>
  <c r="C61" i="13" s="1"/>
  <c r="AD21" i="28"/>
  <c r="C60" i="13" s="1"/>
  <c r="AD20" i="28"/>
  <c r="C59" i="13" s="1"/>
  <c r="AD19" i="28"/>
  <c r="C58" i="13" s="1"/>
  <c r="AD18" i="28"/>
  <c r="C57" i="13" s="1"/>
  <c r="AD17" i="28"/>
  <c r="C56" i="13" s="1"/>
  <c r="AD16" i="28"/>
  <c r="C55" i="13" s="1"/>
  <c r="AD15" i="28"/>
  <c r="C54" i="13" s="1"/>
  <c r="AD14" i="28"/>
  <c r="C53" i="13" s="1"/>
  <c r="AD13" i="28"/>
  <c r="C52" i="13" s="1"/>
  <c r="AC5" i="28"/>
  <c r="Z5" i="28"/>
  <c r="Y5" i="28"/>
  <c r="X5" i="28"/>
  <c r="W5" i="28"/>
  <c r="U5" i="28"/>
  <c r="T5" i="28"/>
  <c r="S5" i="28"/>
  <c r="R5" i="28"/>
  <c r="Q5" i="28"/>
  <c r="P5" i="28"/>
  <c r="O5" i="28"/>
  <c r="N5" i="28"/>
  <c r="M5" i="28"/>
  <c r="L5" i="28"/>
  <c r="K5" i="28"/>
  <c r="J5" i="28"/>
  <c r="I5" i="28"/>
  <c r="H5" i="28"/>
  <c r="G5" i="28"/>
  <c r="F5" i="28"/>
  <c r="E5" i="28"/>
  <c r="D5" i="28"/>
  <c r="AD4" i="28"/>
  <c r="E1" i="28"/>
  <c r="D38" i="29" l="1"/>
  <c r="D38" i="19"/>
  <c r="AD32" i="28"/>
  <c r="C71" i="13" s="1"/>
  <c r="AD32" i="29"/>
  <c r="D33" i="29"/>
  <c r="F92" i="13"/>
  <c r="F93" i="13"/>
  <c r="F94" i="13"/>
  <c r="F68" i="13"/>
  <c r="F69" i="13"/>
  <c r="F70" i="13"/>
  <c r="C44" i="13"/>
  <c r="C45" i="13"/>
  <c r="F45" i="13" s="1"/>
  <c r="C46" i="13"/>
  <c r="F46" i="13" s="1"/>
  <c r="B94" i="13"/>
  <c r="B93" i="13"/>
  <c r="B92" i="13"/>
  <c r="B91" i="13"/>
  <c r="B90" i="13"/>
  <c r="B89" i="13"/>
  <c r="B88" i="13"/>
  <c r="B87" i="13"/>
  <c r="B86" i="13"/>
  <c r="B85" i="13"/>
  <c r="B84" i="13"/>
  <c r="B83" i="13"/>
  <c r="B82" i="13"/>
  <c r="B81" i="13"/>
  <c r="B80" i="13"/>
  <c r="B79" i="13"/>
  <c r="B78" i="13"/>
  <c r="B77" i="13"/>
  <c r="B76" i="13"/>
  <c r="C20" i="13"/>
  <c r="F20" i="13" s="1"/>
  <c r="C21" i="13"/>
  <c r="F21" i="13" s="1"/>
  <c r="C22" i="13"/>
  <c r="F22" i="13" s="1"/>
  <c r="AC32" i="21"/>
  <c r="AB32" i="21"/>
  <c r="AA32" i="21"/>
  <c r="Z32" i="21"/>
  <c r="Y32" i="21"/>
  <c r="X32" i="21"/>
  <c r="W32" i="21"/>
  <c r="V32" i="21"/>
  <c r="U32" i="21"/>
  <c r="T32" i="21"/>
  <c r="S32" i="21"/>
  <c r="R32" i="21"/>
  <c r="Q32" i="21"/>
  <c r="P32" i="21"/>
  <c r="O32" i="21"/>
  <c r="N32" i="21"/>
  <c r="M32" i="21"/>
  <c r="L32" i="21"/>
  <c r="K32" i="21"/>
  <c r="J32" i="21"/>
  <c r="I32" i="21"/>
  <c r="H32" i="21"/>
  <c r="G32" i="21"/>
  <c r="F32" i="21"/>
  <c r="E32" i="21"/>
  <c r="AC32" i="19"/>
  <c r="AB32" i="19"/>
  <c r="AA32" i="19"/>
  <c r="Z32" i="19"/>
  <c r="Y32" i="19"/>
  <c r="X32" i="19"/>
  <c r="W32" i="19"/>
  <c r="V32" i="19"/>
  <c r="U32" i="19"/>
  <c r="T32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21"/>
  <c r="D32" i="19"/>
  <c r="D32" i="1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AD33" i="28" l="1"/>
  <c r="AD33" i="29"/>
  <c r="F44" i="13"/>
  <c r="B53" i="13" l="1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52" i="13"/>
  <c r="T33" i="20" l="1"/>
  <c r="Q33" i="20"/>
  <c r="P33" i="20"/>
  <c r="O33" i="20"/>
  <c r="N33" i="20"/>
  <c r="M33" i="20"/>
  <c r="L33" i="20"/>
  <c r="K33" i="20"/>
  <c r="J33" i="20"/>
  <c r="I33" i="20"/>
  <c r="H33" i="20"/>
  <c r="G33" i="20"/>
  <c r="F33" i="20"/>
  <c r="E33" i="20"/>
  <c r="D33" i="20"/>
  <c r="AC33" i="21"/>
  <c r="AB33" i="21"/>
  <c r="AA33" i="21"/>
  <c r="Z33" i="21"/>
  <c r="Y33" i="21"/>
  <c r="X33" i="21"/>
  <c r="W33" i="21"/>
  <c r="V33" i="21"/>
  <c r="U33" i="21"/>
  <c r="T33" i="21"/>
  <c r="S33" i="21"/>
  <c r="R33" i="21"/>
  <c r="Q33" i="21"/>
  <c r="P33" i="21"/>
  <c r="O33" i="21"/>
  <c r="N33" i="21"/>
  <c r="M33" i="21"/>
  <c r="L33" i="21"/>
  <c r="K33" i="21"/>
  <c r="J33" i="21"/>
  <c r="I33" i="21"/>
  <c r="H33" i="21"/>
  <c r="G33" i="21"/>
  <c r="F33" i="21"/>
  <c r="E33" i="21"/>
  <c r="D33" i="21"/>
  <c r="AD28" i="21"/>
  <c r="AD27" i="21"/>
  <c r="AD26" i="21"/>
  <c r="AD25" i="21"/>
  <c r="AD24" i="21"/>
  <c r="AD23" i="21"/>
  <c r="AD22" i="21"/>
  <c r="AD21" i="21"/>
  <c r="AD20" i="21"/>
  <c r="AD19" i="21"/>
  <c r="AD18" i="21"/>
  <c r="AD17" i="21"/>
  <c r="AD16" i="21"/>
  <c r="AD15" i="21"/>
  <c r="AD14" i="21"/>
  <c r="AD13" i="21"/>
  <c r="AC5" i="21"/>
  <c r="Z5" i="21"/>
  <c r="Y5" i="21"/>
  <c r="X5" i="21"/>
  <c r="W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5" i="21"/>
  <c r="F5" i="21"/>
  <c r="E5" i="21"/>
  <c r="D5" i="21"/>
  <c r="AD4" i="21"/>
  <c r="C27" i="13" s="1"/>
  <c r="E1" i="21"/>
  <c r="AC33" i="20"/>
  <c r="AB33" i="20"/>
  <c r="AA33" i="20"/>
  <c r="Z33" i="20"/>
  <c r="Y33" i="20"/>
  <c r="X33" i="20"/>
  <c r="W33" i="20"/>
  <c r="V33" i="20"/>
  <c r="U33" i="20"/>
  <c r="S33" i="20"/>
  <c r="R33" i="20"/>
  <c r="AD28" i="20"/>
  <c r="C19" i="13" s="1"/>
  <c r="AD27" i="20"/>
  <c r="C18" i="13" s="1"/>
  <c r="AD26" i="20"/>
  <c r="C17" i="13" s="1"/>
  <c r="AD25" i="20"/>
  <c r="C16" i="13" s="1"/>
  <c r="AD24" i="20"/>
  <c r="C15" i="13" s="1"/>
  <c r="AD23" i="20"/>
  <c r="C14" i="13" s="1"/>
  <c r="AD22" i="20"/>
  <c r="C13" i="13" s="1"/>
  <c r="AD21" i="20"/>
  <c r="C12" i="13" s="1"/>
  <c r="AD20" i="20"/>
  <c r="C11" i="13" s="1"/>
  <c r="AD19" i="20"/>
  <c r="C10" i="13" s="1"/>
  <c r="AD18" i="20"/>
  <c r="C9" i="13" s="1"/>
  <c r="AD17" i="20"/>
  <c r="C8" i="13" s="1"/>
  <c r="AD16" i="20"/>
  <c r="C7" i="13" s="1"/>
  <c r="AD15" i="20"/>
  <c r="C6" i="13" s="1"/>
  <c r="AD14" i="20"/>
  <c r="C5" i="13" s="1"/>
  <c r="AD13" i="20"/>
  <c r="C4" i="13" s="1"/>
  <c r="AC5" i="20"/>
  <c r="Z5" i="20"/>
  <c r="Y5" i="20"/>
  <c r="X5" i="20"/>
  <c r="W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E5" i="20"/>
  <c r="D5" i="20"/>
  <c r="AD4" i="20"/>
  <c r="C3" i="13" s="1"/>
  <c r="C29" i="13" l="1"/>
  <c r="F29" i="13" s="1"/>
  <c r="AF14" i="29"/>
  <c r="C41" i="13"/>
  <c r="F41" i="13" s="1"/>
  <c r="AF26" i="29"/>
  <c r="C42" i="13"/>
  <c r="F42" i="13" s="1"/>
  <c r="AF27" i="29"/>
  <c r="C37" i="13"/>
  <c r="F37" i="13" s="1"/>
  <c r="AF22" i="29"/>
  <c r="C30" i="13"/>
  <c r="F30" i="13" s="1"/>
  <c r="AF15" i="29"/>
  <c r="C34" i="13"/>
  <c r="F34" i="13" s="1"/>
  <c r="AF19" i="29"/>
  <c r="C38" i="13"/>
  <c r="F38" i="13" s="1"/>
  <c r="AF23" i="29"/>
  <c r="C31" i="13"/>
  <c r="F31" i="13" s="1"/>
  <c r="AF16" i="29"/>
  <c r="C35" i="13"/>
  <c r="F35" i="13" s="1"/>
  <c r="AF20" i="29"/>
  <c r="C39" i="13"/>
  <c r="F39" i="13" s="1"/>
  <c r="AF24" i="29"/>
  <c r="C43" i="13"/>
  <c r="F43" i="13" s="1"/>
  <c r="AF28" i="29"/>
  <c r="C33" i="13"/>
  <c r="F33" i="13" s="1"/>
  <c r="AF18" i="29"/>
  <c r="C28" i="13"/>
  <c r="AF13" i="29"/>
  <c r="C32" i="13"/>
  <c r="F32" i="13" s="1"/>
  <c r="AF17" i="29"/>
  <c r="C36" i="13"/>
  <c r="F36" i="13" s="1"/>
  <c r="AF21" i="29"/>
  <c r="C40" i="13"/>
  <c r="F40" i="13" s="1"/>
  <c r="AF25" i="29"/>
  <c r="D46" i="13"/>
  <c r="D44" i="13"/>
  <c r="D45" i="13"/>
  <c r="D20" i="13"/>
  <c r="D22" i="13"/>
  <c r="D21" i="13"/>
  <c r="AD32" i="21"/>
  <c r="AF32" i="29" s="1"/>
  <c r="AD32" i="19"/>
  <c r="AD32" i="20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AF32" i="19" l="1"/>
  <c r="AD33" i="21"/>
  <c r="C47" i="13"/>
  <c r="AD33" i="20"/>
  <c r="C23" i="13"/>
  <c r="B28" i="13"/>
  <c r="B4" i="13"/>
  <c r="E1" i="19"/>
  <c r="AC33" i="19"/>
  <c r="AB33" i="19"/>
  <c r="AA33" i="19"/>
  <c r="Z33" i="19"/>
  <c r="Y33" i="19"/>
  <c r="X33" i="19"/>
  <c r="W33" i="19"/>
  <c r="V33" i="19"/>
  <c r="U33" i="19"/>
  <c r="T33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C5" i="19"/>
  <c r="Z5" i="19"/>
  <c r="Y5" i="19"/>
  <c r="X5" i="19"/>
  <c r="W5" i="19"/>
  <c r="U5" i="19"/>
  <c r="T5" i="19"/>
  <c r="S5" i="19"/>
  <c r="R5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AD4" i="19"/>
  <c r="L5" i="1"/>
  <c r="N5" i="1"/>
  <c r="P33" i="1"/>
  <c r="M33" i="1"/>
  <c r="L33" i="1"/>
  <c r="J33" i="1"/>
  <c r="I33" i="1"/>
  <c r="H33" i="1"/>
  <c r="G33" i="1"/>
  <c r="F33" i="1"/>
  <c r="E33" i="1"/>
  <c r="D33" i="1"/>
  <c r="AA33" i="1"/>
  <c r="AC33" i="1"/>
  <c r="AB33" i="1"/>
  <c r="AC5" i="1"/>
  <c r="AD22" i="1"/>
  <c r="AF22" i="1" s="1"/>
  <c r="N33" i="1"/>
  <c r="O33" i="1"/>
  <c r="AD14" i="1"/>
  <c r="AD15" i="1"/>
  <c r="AD16" i="1"/>
  <c r="AD17" i="1"/>
  <c r="AD18" i="1"/>
  <c r="AD19" i="1"/>
  <c r="AD20" i="1"/>
  <c r="Q33" i="1"/>
  <c r="R33" i="1"/>
  <c r="S33" i="1"/>
  <c r="W33" i="1"/>
  <c r="AD26" i="1"/>
  <c r="AF26" i="1" s="1"/>
  <c r="AD25" i="1"/>
  <c r="AF25" i="1" s="1"/>
  <c r="M5" i="1"/>
  <c r="O5" i="1"/>
  <c r="P5" i="1"/>
  <c r="Q5" i="1"/>
  <c r="R5" i="1"/>
  <c r="S5" i="1"/>
  <c r="V33" i="1"/>
  <c r="AD23" i="1"/>
  <c r="AF23" i="1" s="1"/>
  <c r="T5" i="1"/>
  <c r="F5" i="1"/>
  <c r="I5" i="1"/>
  <c r="K33" i="1"/>
  <c r="T33" i="1"/>
  <c r="U33" i="1"/>
  <c r="X33" i="1"/>
  <c r="Y33" i="1"/>
  <c r="Z33" i="1"/>
  <c r="AD4" i="1"/>
  <c r="Z5" i="1"/>
  <c r="Y5" i="1"/>
  <c r="X5" i="1"/>
  <c r="W5" i="1"/>
  <c r="U5" i="1"/>
  <c r="K5" i="1"/>
  <c r="J5" i="1"/>
  <c r="H5" i="1"/>
  <c r="G5" i="1"/>
  <c r="E5" i="1"/>
  <c r="D5" i="1"/>
  <c r="AD28" i="1"/>
  <c r="AF28" i="1" s="1"/>
  <c r="AD27" i="1"/>
  <c r="AF27" i="1" s="1"/>
  <c r="AD24" i="1"/>
  <c r="AF24" i="1" s="1"/>
  <c r="AD21" i="1"/>
  <c r="AD13" i="1"/>
  <c r="F59" i="13" l="1"/>
  <c r="C83" i="13"/>
  <c r="F83" i="13" s="1"/>
  <c r="F55" i="13"/>
  <c r="C79" i="13"/>
  <c r="F79" i="13" s="1"/>
  <c r="F65" i="13"/>
  <c r="C89" i="13"/>
  <c r="F89" i="13" s="1"/>
  <c r="F58" i="13"/>
  <c r="C82" i="13"/>
  <c r="F82" i="13" s="1"/>
  <c r="F54" i="13"/>
  <c r="C78" i="13"/>
  <c r="F78" i="13" s="1"/>
  <c r="F61" i="13"/>
  <c r="C85" i="13"/>
  <c r="F85" i="13" s="1"/>
  <c r="F56" i="13"/>
  <c r="C80" i="13"/>
  <c r="F80" i="13" s="1"/>
  <c r="F60" i="13"/>
  <c r="C84" i="13"/>
  <c r="F84" i="13" s="1"/>
  <c r="F63" i="13"/>
  <c r="C87" i="13"/>
  <c r="F87" i="13" s="1"/>
  <c r="F62" i="13"/>
  <c r="C86" i="13"/>
  <c r="F86" i="13" s="1"/>
  <c r="F64" i="13"/>
  <c r="C88" i="13"/>
  <c r="F88" i="13" s="1"/>
  <c r="F57" i="13"/>
  <c r="C81" i="13"/>
  <c r="F53" i="13"/>
  <c r="C77" i="13"/>
  <c r="F77" i="13" s="1"/>
  <c r="C75" i="13"/>
  <c r="D126" i="13" s="1"/>
  <c r="C123" i="13"/>
  <c r="F67" i="13"/>
  <c r="C91" i="13"/>
  <c r="F91" i="13" s="1"/>
  <c r="F66" i="13"/>
  <c r="C90" i="13"/>
  <c r="F90" i="13" s="1"/>
  <c r="F52" i="13"/>
  <c r="C76" i="13"/>
  <c r="F76" i="13" s="1"/>
  <c r="C51" i="13"/>
  <c r="D113" i="13" s="1"/>
  <c r="C99" i="13"/>
  <c r="AF24" i="19"/>
  <c r="F16" i="13"/>
  <c r="F28" i="13"/>
  <c r="AF13" i="19"/>
  <c r="AF17" i="19"/>
  <c r="AF21" i="19"/>
  <c r="AF25" i="19"/>
  <c r="AF20" i="19"/>
  <c r="F18" i="13"/>
  <c r="F5" i="13"/>
  <c r="AF14" i="1"/>
  <c r="F4" i="13"/>
  <c r="AF13" i="1"/>
  <c r="F17" i="13"/>
  <c r="AF14" i="19"/>
  <c r="AF18" i="19"/>
  <c r="AF22" i="19"/>
  <c r="AF26" i="19"/>
  <c r="F15" i="13"/>
  <c r="D10" i="13"/>
  <c r="AF19" i="1"/>
  <c r="D6" i="13"/>
  <c r="AF15" i="1"/>
  <c r="F13" i="13"/>
  <c r="AF16" i="19"/>
  <c r="AF28" i="19"/>
  <c r="F14" i="13"/>
  <c r="D9" i="13"/>
  <c r="AF18" i="1"/>
  <c r="F19" i="13"/>
  <c r="F12" i="13"/>
  <c r="AF21" i="1"/>
  <c r="F11" i="13"/>
  <c r="AF20" i="1"/>
  <c r="D7" i="13"/>
  <c r="AF16" i="1"/>
  <c r="AF15" i="19"/>
  <c r="AF19" i="19"/>
  <c r="AF23" i="19"/>
  <c r="AF27" i="19"/>
  <c r="F8" i="13"/>
  <c r="AF17" i="1"/>
  <c r="AD32" i="1"/>
  <c r="AF32" i="1" s="1"/>
  <c r="G60" i="13" l="1"/>
  <c r="H60" i="13" s="1"/>
  <c r="L60" i="13" s="1"/>
  <c r="D89" i="13"/>
  <c r="D92" i="13"/>
  <c r="D125" i="13"/>
  <c r="D81" i="13"/>
  <c r="D79" i="13"/>
  <c r="D127" i="13"/>
  <c r="D130" i="13"/>
  <c r="D132" i="13"/>
  <c r="G112" i="13"/>
  <c r="H112" i="13" s="1"/>
  <c r="L112" i="13" s="1"/>
  <c r="F81" i="13"/>
  <c r="G130" i="13" s="1"/>
  <c r="H130" i="13" s="1"/>
  <c r="G100" i="13"/>
  <c r="H100" i="13" s="1"/>
  <c r="J100" i="13" s="1"/>
  <c r="G111" i="13"/>
  <c r="H111" i="13" s="1"/>
  <c r="L111" i="13" s="1"/>
  <c r="D84" i="13"/>
  <c r="G107" i="13"/>
  <c r="H107" i="13" s="1"/>
  <c r="L107" i="13" s="1"/>
  <c r="G57" i="13"/>
  <c r="H57" i="13" s="1"/>
  <c r="G106" i="13"/>
  <c r="H106" i="13" s="1"/>
  <c r="J106" i="13" s="1"/>
  <c r="G63" i="13"/>
  <c r="H63" i="13" s="1"/>
  <c r="L63" i="13" s="1"/>
  <c r="G114" i="13"/>
  <c r="H114" i="13" s="1"/>
  <c r="J114" i="13" s="1"/>
  <c r="G68" i="13"/>
  <c r="H68" i="13" s="1"/>
  <c r="L68" i="13" s="1"/>
  <c r="D137" i="13"/>
  <c r="D83" i="13"/>
  <c r="D90" i="13"/>
  <c r="D82" i="13"/>
  <c r="D88" i="13"/>
  <c r="G69" i="13"/>
  <c r="H69" i="13" s="1"/>
  <c r="L69" i="13" s="1"/>
  <c r="G53" i="13"/>
  <c r="H53" i="13" s="1"/>
  <c r="L53" i="13" s="1"/>
  <c r="G59" i="13"/>
  <c r="H59" i="13" s="1"/>
  <c r="L59" i="13" s="1"/>
  <c r="G66" i="13"/>
  <c r="H66" i="13" s="1"/>
  <c r="J66" i="13" s="1"/>
  <c r="G58" i="13"/>
  <c r="H58" i="13" s="1"/>
  <c r="L58" i="13" s="1"/>
  <c r="D93" i="13"/>
  <c r="G103" i="13"/>
  <c r="H103" i="13" s="1"/>
  <c r="L103" i="13" s="1"/>
  <c r="G113" i="13"/>
  <c r="H113" i="13" s="1"/>
  <c r="J113" i="13" s="1"/>
  <c r="G116" i="13"/>
  <c r="H116" i="13" s="1"/>
  <c r="L116" i="13" s="1"/>
  <c r="G108" i="13"/>
  <c r="H108" i="13" s="1"/>
  <c r="L108" i="13" s="1"/>
  <c r="G101" i="13"/>
  <c r="H101" i="13" s="1"/>
  <c r="J101" i="13" s="1"/>
  <c r="D135" i="13"/>
  <c r="D133" i="13"/>
  <c r="D141" i="13"/>
  <c r="D140" i="13"/>
  <c r="D136" i="13"/>
  <c r="D85" i="13"/>
  <c r="D77" i="13"/>
  <c r="G52" i="13"/>
  <c r="H52" i="13" s="1"/>
  <c r="L52" i="13" s="1"/>
  <c r="G55" i="13"/>
  <c r="H55" i="13" s="1"/>
  <c r="G64" i="13"/>
  <c r="H64" i="13" s="1"/>
  <c r="L64" i="13" s="1"/>
  <c r="G56" i="13"/>
  <c r="H56" i="13" s="1"/>
  <c r="J56" i="13" s="1"/>
  <c r="D94" i="13"/>
  <c r="G105" i="13"/>
  <c r="H105" i="13" s="1"/>
  <c r="L105" i="13" s="1"/>
  <c r="G115" i="13"/>
  <c r="H115" i="13" s="1"/>
  <c r="L115" i="13" s="1"/>
  <c r="G102" i="13"/>
  <c r="H102" i="13" s="1"/>
  <c r="L102" i="13" s="1"/>
  <c r="G110" i="13"/>
  <c r="H110" i="13" s="1"/>
  <c r="J110" i="13" s="1"/>
  <c r="G117" i="13"/>
  <c r="H117" i="13" s="1"/>
  <c r="L117" i="13" s="1"/>
  <c r="D138" i="13"/>
  <c r="D129" i="13"/>
  <c r="D142" i="13"/>
  <c r="D124" i="13"/>
  <c r="D143" i="13"/>
  <c r="D91" i="13"/>
  <c r="G65" i="13"/>
  <c r="H65" i="13" s="1"/>
  <c r="L65" i="13" s="1"/>
  <c r="D80" i="13"/>
  <c r="D87" i="13"/>
  <c r="D86" i="13"/>
  <c r="D78" i="13"/>
  <c r="G61" i="13"/>
  <c r="H61" i="13" s="1"/>
  <c r="L61" i="13" s="1"/>
  <c r="G67" i="13"/>
  <c r="H67" i="13" s="1"/>
  <c r="J67" i="13" s="1"/>
  <c r="G70" i="13"/>
  <c r="H70" i="13" s="1"/>
  <c r="L70" i="13" s="1"/>
  <c r="G62" i="13"/>
  <c r="H62" i="13" s="1"/>
  <c r="L62" i="13" s="1"/>
  <c r="G54" i="13"/>
  <c r="H54" i="13" s="1"/>
  <c r="D76" i="13"/>
  <c r="G109" i="13"/>
  <c r="H109" i="13" s="1"/>
  <c r="L109" i="13" s="1"/>
  <c r="G118" i="13"/>
  <c r="H118" i="13" s="1"/>
  <c r="L118" i="13" s="1"/>
  <c r="G104" i="13"/>
  <c r="H104" i="13" s="1"/>
  <c r="J104" i="13" s="1"/>
  <c r="D139" i="13"/>
  <c r="D131" i="13"/>
  <c r="D134" i="13"/>
  <c r="D128" i="13"/>
  <c r="D63" i="13"/>
  <c r="D65" i="13"/>
  <c r="D116" i="13"/>
  <c r="D60" i="13"/>
  <c r="D112" i="13"/>
  <c r="D55" i="13"/>
  <c r="D67" i="13"/>
  <c r="D70" i="13"/>
  <c r="D106" i="13"/>
  <c r="D107" i="13"/>
  <c r="D108" i="13"/>
  <c r="D58" i="13"/>
  <c r="D52" i="13"/>
  <c r="D53" i="13"/>
  <c r="D118" i="13"/>
  <c r="D119" i="13"/>
  <c r="D64" i="13"/>
  <c r="D56" i="13"/>
  <c r="D68" i="13"/>
  <c r="D102" i="13"/>
  <c r="D109" i="13"/>
  <c r="D101" i="13"/>
  <c r="D71" i="13"/>
  <c r="C95" i="13"/>
  <c r="D95" i="13" s="1"/>
  <c r="D61" i="13"/>
  <c r="D66" i="13"/>
  <c r="D111" i="13"/>
  <c r="D114" i="13"/>
  <c r="D117" i="13"/>
  <c r="D105" i="13"/>
  <c r="D115" i="13"/>
  <c r="D54" i="13"/>
  <c r="D59" i="13"/>
  <c r="D62" i="13"/>
  <c r="D57" i="13"/>
  <c r="D69" i="13"/>
  <c r="D103" i="13"/>
  <c r="D110" i="13"/>
  <c r="D104" i="13"/>
  <c r="D100" i="13"/>
  <c r="G35" i="13"/>
  <c r="H35" i="13" s="1"/>
  <c r="G43" i="13"/>
  <c r="H43" i="13" s="1"/>
  <c r="G31" i="13"/>
  <c r="H31" i="13" s="1"/>
  <c r="G39" i="13"/>
  <c r="H39" i="13" s="1"/>
  <c r="G28" i="13"/>
  <c r="H28" i="13" s="1"/>
  <c r="G36" i="13"/>
  <c r="H36" i="13" s="1"/>
  <c r="G44" i="13"/>
  <c r="H44" i="13" s="1"/>
  <c r="G29" i="13"/>
  <c r="H29" i="13" s="1"/>
  <c r="G37" i="13"/>
  <c r="H37" i="13" s="1"/>
  <c r="G45" i="13"/>
  <c r="H45" i="13" s="1"/>
  <c r="G30" i="13"/>
  <c r="H30" i="13" s="1"/>
  <c r="G38" i="13"/>
  <c r="H38" i="13" s="1"/>
  <c r="G46" i="13"/>
  <c r="H46" i="13" s="1"/>
  <c r="G32" i="13"/>
  <c r="H32" i="13" s="1"/>
  <c r="G40" i="13"/>
  <c r="H40" i="13" s="1"/>
  <c r="G33" i="13"/>
  <c r="H33" i="13" s="1"/>
  <c r="G41" i="13"/>
  <c r="H41" i="13" s="1"/>
  <c r="G34" i="13"/>
  <c r="H34" i="13" s="1"/>
  <c r="G42" i="13"/>
  <c r="H42" i="13" s="1"/>
  <c r="D18" i="13"/>
  <c r="D15" i="13"/>
  <c r="D13" i="13"/>
  <c r="F9" i="13"/>
  <c r="D35" i="13"/>
  <c r="F7" i="13"/>
  <c r="D17" i="13"/>
  <c r="D11" i="13"/>
  <c r="D14" i="13"/>
  <c r="D12" i="13"/>
  <c r="D16" i="13"/>
  <c r="F10" i="13"/>
  <c r="D5" i="13"/>
  <c r="F6" i="13"/>
  <c r="D4" i="13"/>
  <c r="D19" i="13"/>
  <c r="D8" i="13"/>
  <c r="D23" i="13"/>
  <c r="AD33" i="1"/>
  <c r="AD33" i="19"/>
  <c r="D47" i="13"/>
  <c r="D33" i="13"/>
  <c r="D32" i="13"/>
  <c r="D41" i="13"/>
  <c r="D43" i="13"/>
  <c r="D39" i="13"/>
  <c r="D30" i="13"/>
  <c r="D37" i="13"/>
  <c r="D42" i="13"/>
  <c r="D36" i="13"/>
  <c r="D38" i="13"/>
  <c r="D31" i="13"/>
  <c r="D29" i="13"/>
  <c r="D28" i="13"/>
  <c r="D40" i="13"/>
  <c r="D34" i="13"/>
  <c r="G85" i="13" l="1"/>
  <c r="H85" i="13" s="1"/>
  <c r="L85" i="13" s="1"/>
  <c r="G133" i="13"/>
  <c r="H133" i="13" s="1"/>
  <c r="J133" i="13" s="1"/>
  <c r="G87" i="13"/>
  <c r="H87" i="13" s="1"/>
  <c r="G125" i="13"/>
  <c r="H125" i="13" s="1"/>
  <c r="L125" i="13" s="1"/>
  <c r="G94" i="13"/>
  <c r="H94" i="13" s="1"/>
  <c r="J94" i="13" s="1"/>
  <c r="G141" i="13"/>
  <c r="H141" i="13" s="1"/>
  <c r="J141" i="13" s="1"/>
  <c r="G86" i="13"/>
  <c r="H86" i="13" s="1"/>
  <c r="G83" i="13"/>
  <c r="H83" i="13" s="1"/>
  <c r="K83" i="13" s="1"/>
  <c r="G89" i="13"/>
  <c r="H89" i="13" s="1"/>
  <c r="L89" i="13" s="1"/>
  <c r="G76" i="13"/>
  <c r="H76" i="13" s="1"/>
  <c r="K76" i="13" s="1"/>
  <c r="G81" i="13"/>
  <c r="H81" i="13" s="1"/>
  <c r="L81" i="13" s="1"/>
  <c r="G77" i="13"/>
  <c r="H77" i="13" s="1"/>
  <c r="K77" i="13" s="1"/>
  <c r="G124" i="13"/>
  <c r="H124" i="13" s="1"/>
  <c r="L124" i="13" s="1"/>
  <c r="M124" i="13" s="1"/>
  <c r="G126" i="13"/>
  <c r="H126" i="13" s="1"/>
  <c r="K126" i="13" s="1"/>
  <c r="G131" i="13"/>
  <c r="H131" i="13" s="1"/>
  <c r="L131" i="13" s="1"/>
  <c r="K58" i="13"/>
  <c r="G88" i="13"/>
  <c r="H88" i="13" s="1"/>
  <c r="K88" i="13" s="1"/>
  <c r="G79" i="13"/>
  <c r="H79" i="13" s="1"/>
  <c r="K79" i="13" s="1"/>
  <c r="G78" i="13"/>
  <c r="H78" i="13" s="1"/>
  <c r="L78" i="13" s="1"/>
  <c r="G127" i="13"/>
  <c r="H127" i="13" s="1"/>
  <c r="K127" i="13" s="1"/>
  <c r="G135" i="13"/>
  <c r="H135" i="13" s="1"/>
  <c r="J135" i="13" s="1"/>
  <c r="G136" i="13"/>
  <c r="H136" i="13" s="1"/>
  <c r="L136" i="13" s="1"/>
  <c r="G90" i="13"/>
  <c r="H90" i="13" s="1"/>
  <c r="L90" i="13" s="1"/>
  <c r="G92" i="13"/>
  <c r="H92" i="13" s="1"/>
  <c r="L92" i="13" s="1"/>
  <c r="G82" i="13"/>
  <c r="H82" i="13" s="1"/>
  <c r="J82" i="13" s="1"/>
  <c r="G80" i="13"/>
  <c r="H80" i="13" s="1"/>
  <c r="L80" i="13" s="1"/>
  <c r="G93" i="13"/>
  <c r="H93" i="13" s="1"/>
  <c r="K93" i="13" s="1"/>
  <c r="G84" i="13"/>
  <c r="H84" i="13" s="1"/>
  <c r="K84" i="13" s="1"/>
  <c r="G91" i="13"/>
  <c r="H91" i="13" s="1"/>
  <c r="K91" i="13" s="1"/>
  <c r="G129" i="13"/>
  <c r="H129" i="13" s="1"/>
  <c r="J129" i="13" s="1"/>
  <c r="G139" i="13"/>
  <c r="H139" i="13" s="1"/>
  <c r="J139" i="13" s="1"/>
  <c r="J63" i="13"/>
  <c r="J58" i="13"/>
  <c r="J60" i="13"/>
  <c r="K60" i="13"/>
  <c r="J64" i="13"/>
  <c r="J112" i="13"/>
  <c r="K56" i="13"/>
  <c r="K68" i="13"/>
  <c r="J107" i="13"/>
  <c r="L56" i="13"/>
  <c r="G134" i="13"/>
  <c r="H134" i="13" s="1"/>
  <c r="L134" i="13" s="1"/>
  <c r="G138" i="13"/>
  <c r="H138" i="13" s="1"/>
  <c r="J138" i="13" s="1"/>
  <c r="G137" i="13"/>
  <c r="H137" i="13" s="1"/>
  <c r="L137" i="13" s="1"/>
  <c r="G132" i="13"/>
  <c r="H132" i="13" s="1"/>
  <c r="K132" i="13" s="1"/>
  <c r="K107" i="13"/>
  <c r="K69" i="13"/>
  <c r="K52" i="13"/>
  <c r="G140" i="13"/>
  <c r="H140" i="13" s="1"/>
  <c r="J140" i="13" s="1"/>
  <c r="G142" i="13"/>
  <c r="H142" i="13" s="1"/>
  <c r="K142" i="13" s="1"/>
  <c r="G128" i="13"/>
  <c r="H128" i="13" s="1"/>
  <c r="L128" i="13" s="1"/>
  <c r="K112" i="13"/>
  <c r="L100" i="13"/>
  <c r="M100" i="13" s="1"/>
  <c r="J52" i="13"/>
  <c r="L114" i="13"/>
  <c r="J108" i="13"/>
  <c r="J109" i="13"/>
  <c r="K101" i="13"/>
  <c r="J62" i="13"/>
  <c r="J68" i="13"/>
  <c r="J111" i="13"/>
  <c r="L101" i="13"/>
  <c r="L66" i="13"/>
  <c r="J70" i="13"/>
  <c r="J65" i="13"/>
  <c r="K57" i="13"/>
  <c r="K62" i="13"/>
  <c r="J53" i="13"/>
  <c r="J102" i="13"/>
  <c r="K114" i="13"/>
  <c r="K102" i="13"/>
  <c r="K109" i="13"/>
  <c r="K113" i="13"/>
  <c r="L67" i="13"/>
  <c r="J57" i="13"/>
  <c r="J115" i="13"/>
  <c r="J116" i="13"/>
  <c r="L57" i="13"/>
  <c r="J103" i="13"/>
  <c r="K63" i="13"/>
  <c r="L106" i="13"/>
  <c r="J69" i="13"/>
  <c r="K59" i="13"/>
  <c r="K65" i="13"/>
  <c r="K67" i="13"/>
  <c r="K115" i="13"/>
  <c r="K108" i="13"/>
  <c r="K54" i="13"/>
  <c r="K117" i="13"/>
  <c r="K55" i="13"/>
  <c r="J61" i="13"/>
  <c r="J55" i="13"/>
  <c r="K100" i="13"/>
  <c r="J105" i="13"/>
  <c r="L54" i="13"/>
  <c r="L55" i="13"/>
  <c r="K66" i="13"/>
  <c r="L110" i="13"/>
  <c r="J118" i="13"/>
  <c r="K105" i="13"/>
  <c r="L104" i="13"/>
  <c r="J117" i="13"/>
  <c r="K103" i="13"/>
  <c r="J54" i="13"/>
  <c r="K110" i="13"/>
  <c r="L113" i="13"/>
  <c r="K104" i="13"/>
  <c r="J59" i="13"/>
  <c r="K118" i="13"/>
  <c r="K64" i="13"/>
  <c r="K61" i="13"/>
  <c r="K106" i="13"/>
  <c r="K111" i="13"/>
  <c r="K70" i="13"/>
  <c r="K116" i="13"/>
  <c r="K53" i="13"/>
  <c r="J131" i="13"/>
  <c r="L130" i="13"/>
  <c r="K130" i="13"/>
  <c r="J130" i="13"/>
  <c r="K133" i="13"/>
  <c r="G19" i="13"/>
  <c r="H19" i="13" s="1"/>
  <c r="J19" i="13" s="1"/>
  <c r="G22" i="13"/>
  <c r="H22" i="13" s="1"/>
  <c r="L22" i="13" s="1"/>
  <c r="G18" i="13"/>
  <c r="H18" i="13" s="1"/>
  <c r="K18" i="13" s="1"/>
  <c r="G4" i="13"/>
  <c r="H4" i="13" s="1"/>
  <c r="J4" i="13" s="1"/>
  <c r="K81" i="13"/>
  <c r="G12" i="13"/>
  <c r="H12" i="13" s="1"/>
  <c r="K12" i="13" s="1"/>
  <c r="G11" i="13"/>
  <c r="H11" i="13" s="1"/>
  <c r="K11" i="13" s="1"/>
  <c r="J40" i="13"/>
  <c r="K40" i="13"/>
  <c r="L40" i="13"/>
  <c r="J44" i="13"/>
  <c r="K44" i="13"/>
  <c r="L44" i="13"/>
  <c r="G14" i="13"/>
  <c r="H14" i="13" s="1"/>
  <c r="K14" i="13" s="1"/>
  <c r="G10" i="13"/>
  <c r="H10" i="13" s="1"/>
  <c r="K10" i="13" s="1"/>
  <c r="G15" i="13"/>
  <c r="H15" i="13" s="1"/>
  <c r="K15" i="13" s="1"/>
  <c r="J46" i="13"/>
  <c r="L46" i="13"/>
  <c r="K46" i="13"/>
  <c r="J28" i="13"/>
  <c r="K28" i="13"/>
  <c r="L28" i="13"/>
  <c r="M28" i="13" s="1"/>
  <c r="L94" i="13"/>
  <c r="G6" i="13"/>
  <c r="H6" i="13" s="1"/>
  <c r="G17" i="13"/>
  <c r="H17" i="13" s="1"/>
  <c r="G7" i="13"/>
  <c r="H7" i="13" s="1"/>
  <c r="K7" i="13" s="1"/>
  <c r="J38" i="13"/>
  <c r="L38" i="13"/>
  <c r="K38" i="13"/>
  <c r="J39" i="13"/>
  <c r="K39" i="13"/>
  <c r="L39" i="13"/>
  <c r="L87" i="13"/>
  <c r="K87" i="13"/>
  <c r="L86" i="13"/>
  <c r="K86" i="13"/>
  <c r="G21" i="13"/>
  <c r="H21" i="13" s="1"/>
  <c r="G9" i="13"/>
  <c r="H9" i="13" s="1"/>
  <c r="J42" i="13"/>
  <c r="K42" i="13"/>
  <c r="L42" i="13"/>
  <c r="J30" i="13"/>
  <c r="K30" i="13"/>
  <c r="L30" i="13"/>
  <c r="J31" i="13"/>
  <c r="L31" i="13"/>
  <c r="K31" i="13"/>
  <c r="J36" i="13"/>
  <c r="K36" i="13"/>
  <c r="L36" i="13"/>
  <c r="G13" i="13"/>
  <c r="H13" i="13" s="1"/>
  <c r="K13" i="13" s="1"/>
  <c r="G16" i="13"/>
  <c r="H16" i="13" s="1"/>
  <c r="J34" i="13"/>
  <c r="K34" i="13"/>
  <c r="L34" i="13"/>
  <c r="J45" i="13"/>
  <c r="L45" i="13"/>
  <c r="K45" i="13"/>
  <c r="J43" i="13"/>
  <c r="K43" i="13"/>
  <c r="L43" i="13"/>
  <c r="J32" i="13"/>
  <c r="L32" i="13"/>
  <c r="K32" i="13"/>
  <c r="G5" i="13"/>
  <c r="H5" i="13" s="1"/>
  <c r="G8" i="13"/>
  <c r="H8" i="13" s="1"/>
  <c r="K8" i="13" s="1"/>
  <c r="K41" i="13"/>
  <c r="J41" i="13"/>
  <c r="L41" i="13"/>
  <c r="J37" i="13"/>
  <c r="K37" i="13"/>
  <c r="L37" i="13"/>
  <c r="J35" i="13"/>
  <c r="L35" i="13"/>
  <c r="K35" i="13"/>
  <c r="L83" i="13"/>
  <c r="G20" i="13"/>
  <c r="H20" i="13" s="1"/>
  <c r="L33" i="13"/>
  <c r="K33" i="13"/>
  <c r="J33" i="13"/>
  <c r="J29" i="13"/>
  <c r="K29" i="13"/>
  <c r="L29" i="13"/>
  <c r="M52" i="13"/>
  <c r="J87" i="13"/>
  <c r="J83" i="13"/>
  <c r="J86" i="13"/>
  <c r="J81" i="13"/>
  <c r="J85" i="13"/>
  <c r="K85" i="13" l="1"/>
  <c r="L133" i="13"/>
  <c r="J89" i="13"/>
  <c r="K89" i="13"/>
  <c r="K94" i="13"/>
  <c r="K141" i="13"/>
  <c r="J76" i="13"/>
  <c r="L76" i="13"/>
  <c r="M76" i="13" s="1"/>
  <c r="L141" i="13"/>
  <c r="J125" i="13"/>
  <c r="K125" i="13"/>
  <c r="L77" i="13"/>
  <c r="J77" i="13"/>
  <c r="K131" i="13"/>
  <c r="J124" i="13"/>
  <c r="K124" i="13"/>
  <c r="L126" i="13"/>
  <c r="L79" i="13"/>
  <c r="J126" i="13"/>
  <c r="L129" i="13"/>
  <c r="J88" i="13"/>
  <c r="J136" i="13"/>
  <c r="K80" i="13"/>
  <c r="K135" i="13"/>
  <c r="J79" i="13"/>
  <c r="J80" i="13"/>
  <c r="K129" i="13"/>
  <c r="L142" i="13"/>
  <c r="K136" i="13"/>
  <c r="K90" i="13"/>
  <c r="L91" i="13"/>
  <c r="K82" i="13"/>
  <c r="L88" i="13"/>
  <c r="L135" i="13"/>
  <c r="L82" i="13"/>
  <c r="J91" i="13"/>
  <c r="K139" i="13"/>
  <c r="J90" i="13"/>
  <c r="L93" i="13"/>
  <c r="L139" i="13"/>
  <c r="K78" i="13"/>
  <c r="J78" i="13"/>
  <c r="L127" i="13"/>
  <c r="J84" i="13"/>
  <c r="J93" i="13"/>
  <c r="K92" i="13"/>
  <c r="L84" i="13"/>
  <c r="J92" i="13"/>
  <c r="J127" i="13"/>
  <c r="J134" i="13"/>
  <c r="M101" i="13"/>
  <c r="M102" i="13" s="1"/>
  <c r="M103" i="13" s="1"/>
  <c r="M104" i="13" s="1"/>
  <c r="M105" i="13" s="1"/>
  <c r="J137" i="13"/>
  <c r="K138" i="13"/>
  <c r="K137" i="13"/>
  <c r="L132" i="13"/>
  <c r="L138" i="13"/>
  <c r="K140" i="13"/>
  <c r="L140" i="13"/>
  <c r="J132" i="13"/>
  <c r="K134" i="13"/>
  <c r="J128" i="13"/>
  <c r="K128" i="13"/>
  <c r="J142" i="13"/>
  <c r="L18" i="13"/>
  <c r="M125" i="13"/>
  <c r="L4" i="13"/>
  <c r="J18" i="13"/>
  <c r="K4" i="13"/>
  <c r="K19" i="13"/>
  <c r="L19" i="13"/>
  <c r="J22" i="13"/>
  <c r="K22" i="13"/>
  <c r="L6" i="13"/>
  <c r="J6" i="13"/>
  <c r="K6" i="13"/>
  <c r="L20" i="13"/>
  <c r="J20" i="13"/>
  <c r="K20" i="13"/>
  <c r="J17" i="13"/>
  <c r="L17" i="13"/>
  <c r="K17" i="13"/>
  <c r="J15" i="13"/>
  <c r="L15" i="13"/>
  <c r="J11" i="13"/>
  <c r="L11" i="13"/>
  <c r="J9" i="13"/>
  <c r="L9" i="13"/>
  <c r="J21" i="13"/>
  <c r="L21" i="13"/>
  <c r="L10" i="13"/>
  <c r="J10" i="13"/>
  <c r="L12" i="13"/>
  <c r="J12" i="13"/>
  <c r="L8" i="13"/>
  <c r="J8" i="13"/>
  <c r="L16" i="13"/>
  <c r="J16" i="13"/>
  <c r="K16" i="13"/>
  <c r="L14" i="13"/>
  <c r="J14" i="13"/>
  <c r="J5" i="13"/>
  <c r="L5" i="13"/>
  <c r="K5" i="13"/>
  <c r="K21" i="13"/>
  <c r="J13" i="13"/>
  <c r="L13" i="13"/>
  <c r="J7" i="13"/>
  <c r="L7" i="13"/>
  <c r="K9" i="13"/>
  <c r="M53" i="13"/>
  <c r="M29" i="13"/>
  <c r="M77" i="13" l="1"/>
  <c r="M78" i="13" s="1"/>
  <c r="M106" i="13"/>
  <c r="M126" i="13"/>
  <c r="M4" i="13"/>
  <c r="M54" i="13"/>
  <c r="M30" i="13"/>
  <c r="M127" i="13" l="1"/>
  <c r="M107" i="13"/>
  <c r="M5" i="13"/>
  <c r="M79" i="13"/>
  <c r="M80" i="13" s="1"/>
  <c r="M55" i="13"/>
  <c r="M31" i="13"/>
  <c r="M108" i="13" l="1"/>
  <c r="M128" i="13"/>
  <c r="M6" i="13"/>
  <c r="M81" i="13"/>
  <c r="M56" i="13"/>
  <c r="M32" i="13"/>
  <c r="M129" i="13" l="1"/>
  <c r="M109" i="13"/>
  <c r="M7" i="13"/>
  <c r="M57" i="13"/>
  <c r="M82" i="13"/>
  <c r="M33" i="13"/>
  <c r="M130" i="13" l="1"/>
  <c r="M110" i="13"/>
  <c r="M8" i="13"/>
  <c r="M83" i="13"/>
  <c r="M58" i="13"/>
  <c r="M34" i="13"/>
  <c r="M131" i="13" l="1"/>
  <c r="M111" i="13"/>
  <c r="M9" i="13"/>
  <c r="M59" i="13"/>
  <c r="M84" i="13"/>
  <c r="M35" i="13"/>
  <c r="M112" i="13" l="1"/>
  <c r="M132" i="13"/>
  <c r="M10" i="13"/>
  <c r="M85" i="13"/>
  <c r="M60" i="13"/>
  <c r="M36" i="13"/>
  <c r="M133" i="13" l="1"/>
  <c r="M113" i="13"/>
  <c r="M11" i="13"/>
  <c r="M61" i="13"/>
  <c r="M86" i="13"/>
  <c r="M37" i="13"/>
  <c r="M114" i="13" l="1"/>
  <c r="M134" i="13"/>
  <c r="M12" i="13"/>
  <c r="M87" i="13"/>
  <c r="M62" i="13"/>
  <c r="M38" i="13"/>
  <c r="M135" i="13" l="1"/>
  <c r="M115" i="13"/>
  <c r="M13" i="13"/>
  <c r="M63" i="13"/>
  <c r="M88" i="13"/>
  <c r="M39" i="13"/>
  <c r="M116" i="13" l="1"/>
  <c r="M136" i="13"/>
  <c r="M14" i="13"/>
  <c r="M64" i="13"/>
  <c r="M89" i="13"/>
  <c r="M40" i="13"/>
  <c r="M137" i="13" l="1"/>
  <c r="M117" i="13"/>
  <c r="M15" i="13"/>
  <c r="M90" i="13"/>
  <c r="M65" i="13"/>
  <c r="M41" i="13"/>
  <c r="M118" i="13" l="1"/>
  <c r="M138" i="13"/>
  <c r="M16" i="13"/>
  <c r="M91" i="13"/>
  <c r="M66" i="13"/>
  <c r="M42" i="13"/>
  <c r="M139" i="13" l="1"/>
  <c r="M17" i="13"/>
  <c r="M92" i="13"/>
  <c r="M67" i="13"/>
  <c r="M43" i="13"/>
  <c r="M140" i="13" l="1"/>
  <c r="M68" i="13"/>
  <c r="M69" i="13" s="1"/>
  <c r="M18" i="13"/>
  <c r="M44" i="13"/>
  <c r="M45" i="13" s="1"/>
  <c r="M46" i="13" s="1"/>
  <c r="M93" i="13"/>
  <c r="M141" i="13" l="1"/>
  <c r="N46" i="13"/>
  <c r="O46" i="13" s="1"/>
  <c r="N45" i="13"/>
  <c r="O45" i="13" s="1"/>
  <c r="N44" i="13"/>
  <c r="O44" i="13" s="1"/>
  <c r="N43" i="13"/>
  <c r="O43" i="13" s="1"/>
  <c r="N28" i="13"/>
  <c r="O28" i="13" s="1"/>
  <c r="N29" i="13"/>
  <c r="O29" i="13" s="1"/>
  <c r="N30" i="13"/>
  <c r="O30" i="13" s="1"/>
  <c r="N31" i="13"/>
  <c r="O31" i="13" s="1"/>
  <c r="N32" i="13"/>
  <c r="O32" i="13" s="1"/>
  <c r="N33" i="13"/>
  <c r="O33" i="13" s="1"/>
  <c r="N34" i="13"/>
  <c r="O34" i="13" s="1"/>
  <c r="N35" i="13"/>
  <c r="O35" i="13" s="1"/>
  <c r="N36" i="13"/>
  <c r="O36" i="13" s="1"/>
  <c r="N37" i="13"/>
  <c r="O37" i="13" s="1"/>
  <c r="N38" i="13"/>
  <c r="O38" i="13" s="1"/>
  <c r="N39" i="13"/>
  <c r="O39" i="13" s="1"/>
  <c r="N40" i="13"/>
  <c r="O40" i="13" s="1"/>
  <c r="N41" i="13"/>
  <c r="O41" i="13" s="1"/>
  <c r="N42" i="13"/>
  <c r="O42" i="13" s="1"/>
  <c r="M19" i="13"/>
  <c r="M94" i="13"/>
  <c r="M70" i="13"/>
  <c r="D5" i="19"/>
  <c r="U29" i="13" l="1"/>
  <c r="N100" i="13"/>
  <c r="N103" i="13"/>
  <c r="O103" i="13" s="1"/>
  <c r="N102" i="13"/>
  <c r="O102" i="13" s="1"/>
  <c r="N101" i="13"/>
  <c r="O101" i="13" s="1"/>
  <c r="N104" i="13"/>
  <c r="O104" i="13" s="1"/>
  <c r="N105" i="13"/>
  <c r="O105" i="13" s="1"/>
  <c r="N106" i="13"/>
  <c r="O106" i="13" s="1"/>
  <c r="N107" i="13"/>
  <c r="O107" i="13" s="1"/>
  <c r="N108" i="13"/>
  <c r="O108" i="13" s="1"/>
  <c r="N109" i="13"/>
  <c r="O109" i="13" s="1"/>
  <c r="N110" i="13"/>
  <c r="O110" i="13" s="1"/>
  <c r="N111" i="13"/>
  <c r="O111" i="13" s="1"/>
  <c r="N112" i="13"/>
  <c r="O112" i="13" s="1"/>
  <c r="N113" i="13"/>
  <c r="O113" i="13" s="1"/>
  <c r="N114" i="13"/>
  <c r="O114" i="13" s="1"/>
  <c r="N115" i="13"/>
  <c r="O115" i="13" s="1"/>
  <c r="N116" i="13"/>
  <c r="O116" i="13" s="1"/>
  <c r="N117" i="13"/>
  <c r="O117" i="13" s="1"/>
  <c r="N118" i="13"/>
  <c r="O118" i="13" s="1"/>
  <c r="N124" i="13"/>
  <c r="N125" i="13"/>
  <c r="O125" i="13" s="1"/>
  <c r="N126" i="13"/>
  <c r="O126" i="13" s="1"/>
  <c r="N127" i="13"/>
  <c r="O127" i="13" s="1"/>
  <c r="N128" i="13"/>
  <c r="O128" i="13" s="1"/>
  <c r="N129" i="13"/>
  <c r="O129" i="13" s="1"/>
  <c r="N130" i="13"/>
  <c r="O130" i="13" s="1"/>
  <c r="N131" i="13"/>
  <c r="O131" i="13" s="1"/>
  <c r="N132" i="13"/>
  <c r="O132" i="13" s="1"/>
  <c r="N133" i="13"/>
  <c r="O133" i="13" s="1"/>
  <c r="N134" i="13"/>
  <c r="O134" i="13" s="1"/>
  <c r="N135" i="13"/>
  <c r="O135" i="13" s="1"/>
  <c r="N136" i="13"/>
  <c r="O136" i="13" s="1"/>
  <c r="N137" i="13"/>
  <c r="O137" i="13" s="1"/>
  <c r="N138" i="13"/>
  <c r="O138" i="13" s="1"/>
  <c r="N139" i="13"/>
  <c r="O139" i="13" s="1"/>
  <c r="N141" i="13"/>
  <c r="O141" i="13" s="1"/>
  <c r="M142" i="13"/>
  <c r="N142" i="13" s="1"/>
  <c r="O142" i="13" s="1"/>
  <c r="N140" i="13"/>
  <c r="O140" i="13" s="1"/>
  <c r="R29" i="13"/>
  <c r="U28" i="13"/>
  <c r="R28" i="13"/>
  <c r="N70" i="13"/>
  <c r="O70" i="13" s="1"/>
  <c r="N52" i="13"/>
  <c r="N53" i="13"/>
  <c r="O53" i="13" s="1"/>
  <c r="N54" i="13"/>
  <c r="O54" i="13" s="1"/>
  <c r="N55" i="13"/>
  <c r="O55" i="13" s="1"/>
  <c r="N56" i="13"/>
  <c r="O56" i="13" s="1"/>
  <c r="N57" i="13"/>
  <c r="O57" i="13" s="1"/>
  <c r="N58" i="13"/>
  <c r="O58" i="13" s="1"/>
  <c r="N59" i="13"/>
  <c r="O59" i="13" s="1"/>
  <c r="N60" i="13"/>
  <c r="O60" i="13" s="1"/>
  <c r="N61" i="13"/>
  <c r="O61" i="13" s="1"/>
  <c r="N62" i="13"/>
  <c r="O62" i="13" s="1"/>
  <c r="N63" i="13"/>
  <c r="O63" i="13" s="1"/>
  <c r="N64" i="13"/>
  <c r="O64" i="13" s="1"/>
  <c r="N65" i="13"/>
  <c r="O65" i="13" s="1"/>
  <c r="N66" i="13"/>
  <c r="O66" i="13" s="1"/>
  <c r="N67" i="13"/>
  <c r="O67" i="13" s="1"/>
  <c r="N68" i="13"/>
  <c r="O68" i="13" s="1"/>
  <c r="N69" i="13"/>
  <c r="O69" i="13" s="1"/>
  <c r="M20" i="13"/>
  <c r="N94" i="13"/>
  <c r="O94" i="13" s="1"/>
  <c r="N76" i="13"/>
  <c r="N77" i="13"/>
  <c r="O77" i="13" s="1"/>
  <c r="N78" i="13"/>
  <c r="O78" i="13" s="1"/>
  <c r="N80" i="13"/>
  <c r="O80" i="13" s="1"/>
  <c r="N79" i="13"/>
  <c r="O79" i="13" s="1"/>
  <c r="N81" i="13"/>
  <c r="O81" i="13" s="1"/>
  <c r="N82" i="13"/>
  <c r="O82" i="13" s="1"/>
  <c r="N83" i="13"/>
  <c r="O83" i="13" s="1"/>
  <c r="N84" i="13"/>
  <c r="O84" i="13" s="1"/>
  <c r="N85" i="13"/>
  <c r="O85" i="13" s="1"/>
  <c r="N86" i="13"/>
  <c r="O86" i="13" s="1"/>
  <c r="N87" i="13"/>
  <c r="O87" i="13" s="1"/>
  <c r="N88" i="13"/>
  <c r="O88" i="13" s="1"/>
  <c r="N89" i="13"/>
  <c r="O89" i="13" s="1"/>
  <c r="N90" i="13"/>
  <c r="O90" i="13" s="1"/>
  <c r="N91" i="13"/>
  <c r="O91" i="13" s="1"/>
  <c r="N92" i="13"/>
  <c r="O92" i="13" s="1"/>
  <c r="N93" i="13"/>
  <c r="O93" i="13" s="1"/>
  <c r="R76" i="13" l="1"/>
  <c r="O124" i="13"/>
  <c r="U125" i="13" s="1"/>
  <c r="U124" i="13"/>
  <c r="R125" i="13"/>
  <c r="R124" i="13"/>
  <c r="O100" i="13"/>
  <c r="U101" i="13" s="1"/>
  <c r="U100" i="13"/>
  <c r="R101" i="13"/>
  <c r="R100" i="13"/>
  <c r="R123" i="13"/>
  <c r="R99" i="13"/>
  <c r="U76" i="13"/>
  <c r="R77" i="13"/>
  <c r="U52" i="13"/>
  <c r="R52" i="13"/>
  <c r="R53" i="13"/>
  <c r="O52" i="13"/>
  <c r="U53" i="13" s="1"/>
  <c r="R51" i="13"/>
  <c r="M21" i="13"/>
  <c r="R75" i="13"/>
  <c r="O76" i="13"/>
  <c r="U77" i="13" s="1"/>
  <c r="M22" i="13" l="1"/>
  <c r="N21" i="13" s="1"/>
  <c r="O21" i="13" s="1"/>
  <c r="N22" i="13" l="1"/>
  <c r="O22" i="13" s="1"/>
  <c r="N4" i="13"/>
  <c r="N5" i="13"/>
  <c r="O5" i="13" s="1"/>
  <c r="N6" i="13"/>
  <c r="O6" i="13" s="1"/>
  <c r="N7" i="13"/>
  <c r="O7" i="13" s="1"/>
  <c r="N8" i="13"/>
  <c r="O8" i="13" s="1"/>
  <c r="N9" i="13"/>
  <c r="O9" i="13" s="1"/>
  <c r="N10" i="13"/>
  <c r="O10" i="13" s="1"/>
  <c r="N11" i="13"/>
  <c r="O11" i="13" s="1"/>
  <c r="N12" i="13"/>
  <c r="O12" i="13" s="1"/>
  <c r="N13" i="13"/>
  <c r="O13" i="13" s="1"/>
  <c r="N14" i="13"/>
  <c r="O14" i="13" s="1"/>
  <c r="N15" i="13"/>
  <c r="O15" i="13" s="1"/>
  <c r="N16" i="13"/>
  <c r="O16" i="13" s="1"/>
  <c r="N17" i="13"/>
  <c r="O17" i="13" s="1"/>
  <c r="N18" i="13"/>
  <c r="O18" i="13" s="1"/>
  <c r="N19" i="13"/>
  <c r="O19" i="13" s="1"/>
  <c r="N20" i="13"/>
  <c r="O20" i="13" s="1"/>
  <c r="R27" i="13" l="1"/>
  <c r="O4" i="13"/>
  <c r="U5" i="13" s="1"/>
  <c r="R3" i="13"/>
  <c r="R4" i="13"/>
  <c r="R5" i="13"/>
  <c r="U4" i="13"/>
</calcChain>
</file>

<file path=xl/sharedStrings.xml><?xml version="1.0" encoding="utf-8"?>
<sst xmlns="http://schemas.openxmlformats.org/spreadsheetml/2006/main" count="349" uniqueCount="91">
  <si>
    <t>DIA</t>
  </si>
  <si>
    <t>OBS.</t>
  </si>
  <si>
    <t>PRODUÇÃO</t>
  </si>
  <si>
    <t>T O T A L</t>
  </si>
  <si>
    <t>TOTAL</t>
  </si>
  <si>
    <t>Objetivo</t>
  </si>
  <si>
    <t>Ocorrências</t>
  </si>
  <si>
    <t>Diurno</t>
  </si>
  <si>
    <t>Inspetor:</t>
  </si>
  <si>
    <t>Data:</t>
  </si>
  <si>
    <t>Produção:</t>
  </si>
  <si>
    <t>Controle da Qualidade:</t>
  </si>
  <si>
    <t>ppm</t>
  </si>
  <si>
    <t>Montagem</t>
  </si>
  <si>
    <t>Sem Cap</t>
  </si>
  <si>
    <t>Qt</t>
  </si>
  <si>
    <t>Qt.</t>
  </si>
  <si>
    <t>Calculo</t>
  </si>
  <si>
    <t>maior</t>
  </si>
  <si>
    <t>corresp</t>
  </si>
  <si>
    <t>TURNO: Diurno</t>
  </si>
  <si>
    <t>Senhas: PANA.AAMM.CQ</t>
  </si>
  <si>
    <t>AA - Ano com 2 digitos</t>
  </si>
  <si>
    <t>MM - Mês com 2 dígitos</t>
  </si>
  <si>
    <t>Cap Amassado / Afundado</t>
  </si>
  <si>
    <t>Cap Rachado</t>
  </si>
  <si>
    <t>Sem Bottom Plate</t>
  </si>
  <si>
    <t>Bottom Plate Amassado</t>
  </si>
  <si>
    <t>Fundo sujo</t>
  </si>
  <si>
    <t>TUBO DE PVC (SLEEVE)</t>
  </si>
  <si>
    <t>PY Deslocado</t>
  </si>
  <si>
    <t>Sem PY</t>
  </si>
  <si>
    <t>Tubo de Zinco Trincado</t>
  </si>
  <si>
    <t>Pilha amassada</t>
  </si>
  <si>
    <t>Pilha deformada</t>
  </si>
  <si>
    <t>PVC Mal impresso</t>
  </si>
  <si>
    <t>PVC rasgado</t>
  </si>
  <si>
    <t>PVC deformado</t>
  </si>
  <si>
    <t>TURNO: Noturno</t>
  </si>
  <si>
    <t>FALHAS DO ACABAMENTO  UM-4 (SHRINK)</t>
  </si>
  <si>
    <t>Visto CQ</t>
  </si>
  <si>
    <t>Visto Supervisor</t>
  </si>
  <si>
    <t>2S</t>
  </si>
  <si>
    <t>4S</t>
  </si>
  <si>
    <t>2SD</t>
  </si>
  <si>
    <t>Outros (Sleeve)</t>
  </si>
  <si>
    <t>Outros (Montagem)</t>
  </si>
  <si>
    <t>Taxa</t>
  </si>
  <si>
    <t>Qty</t>
  </si>
  <si>
    <t>Ac</t>
  </si>
  <si>
    <t>Ac%</t>
  </si>
  <si>
    <t>Problemas</t>
  </si>
  <si>
    <t>conta</t>
  </si>
  <si>
    <t>LinDSD_X</t>
  </si>
  <si>
    <t>LinDSD_Y</t>
  </si>
  <si>
    <t>linDSD_AC</t>
  </si>
  <si>
    <t>linDSD_PROB</t>
  </si>
  <si>
    <t>Lin4SD_X</t>
  </si>
  <si>
    <t>lin4SD_AC</t>
  </si>
  <si>
    <t>Lin4SD_Y</t>
  </si>
  <si>
    <t>lin4SD_PROB</t>
  </si>
  <si>
    <t>Mês / Ano</t>
  </si>
  <si>
    <t>Amassada na saída encaixotadeira</t>
  </si>
  <si>
    <t>Amassada na faca</t>
  </si>
  <si>
    <t>Outros</t>
  </si>
  <si>
    <t>Shrink</t>
  </si>
  <si>
    <t>Amassada na saída da encaixotadeira</t>
  </si>
  <si>
    <t>2º TURNO</t>
  </si>
  <si>
    <t>3º TURNO</t>
  </si>
  <si>
    <t>2S - 2T</t>
  </si>
  <si>
    <t>2S - 3T</t>
  </si>
  <si>
    <t>4S - DIA</t>
  </si>
  <si>
    <t>4S - 2T</t>
  </si>
  <si>
    <t>4S - 3T</t>
  </si>
  <si>
    <t>LinDS2T_X</t>
  </si>
  <si>
    <t>LinDS3T_Y</t>
  </si>
  <si>
    <t>linDS2T_AC</t>
  </si>
  <si>
    <t>linDS2T_PROB</t>
  </si>
  <si>
    <t>Lin2S3T_X</t>
  </si>
  <si>
    <t>Lin2S3T_Y</t>
  </si>
  <si>
    <t>lin2S3T_AC</t>
  </si>
  <si>
    <t>lin2S3T_PROB</t>
  </si>
  <si>
    <t>Lin4S2T_X</t>
  </si>
  <si>
    <t>lin4S2T_AC</t>
  </si>
  <si>
    <t>Lin4S2T_Y</t>
  </si>
  <si>
    <t>lin4S2T_PROB</t>
  </si>
  <si>
    <t>Lin4S3T_X</t>
  </si>
  <si>
    <t>lin4S3T_AC</t>
  </si>
  <si>
    <t>Lin4S3T_Y</t>
  </si>
  <si>
    <t>lin4S3T_PROB</t>
  </si>
  <si>
    <t xml:space="preserve">TURNO: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</si>
</sst>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_)"/>
    <numFmt numFmtId="166" formatCode="d/m;@"/>
  </numFmts>
  <fonts count="19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i/>
      <sz val="16"/>
      <name val="Helv"/>
      <family val="2"/>
    </font>
    <font>
      <sz val="10"/>
      <name val="Arial"/>
      <family val="2"/>
    </font>
    <font>
      <sz val="11"/>
      <name val="ＭＳ Ｐゴシック"/>
      <charset val="128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8"/>
      <name val="Arial"/>
      <family val="2"/>
    </font>
    <font>
      <sz val="10"/>
      <color indexed="8"/>
      <name val="Calibri"/>
      <family val="2"/>
    </font>
    <font>
      <sz val="22"/>
      <name val="Arial"/>
      <family val="2"/>
    </font>
    <font>
      <sz val="14"/>
      <name val="Arial"/>
      <family val="2"/>
    </font>
    <font>
      <sz val="10"/>
      <color theme="3" tint="0.39997558519241921"/>
      <name val="Arial"/>
      <family val="2"/>
    </font>
    <font>
      <sz val="10"/>
      <color theme="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38" fontId="2" fillId="2" borderId="0" applyNumberFormat="0" applyBorder="0" applyAlignment="0" applyProtection="0"/>
    <xf numFmtId="10" fontId="2" fillId="3" borderId="1" applyNumberFormat="0" applyBorder="0" applyAlignment="0" applyProtection="0"/>
    <xf numFmtId="165" fontId="4" fillId="0" borderId="0"/>
    <xf numFmtId="0" fontId="3" fillId="0" borderId="0"/>
    <xf numFmtId="10" fontId="5" fillId="0" borderId="0" applyFont="0" applyFill="0" applyBorder="0" applyAlignment="0" applyProtection="0"/>
    <xf numFmtId="0" fontId="6" fillId="0" borderId="0"/>
  </cellStyleXfs>
  <cellXfs count="168">
    <xf numFmtId="0" fontId="0" fillId="0" borderId="0" xfId="0"/>
    <xf numFmtId="0" fontId="2" fillId="0" borderId="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vertical="center"/>
    </xf>
    <xf numFmtId="0" fontId="0" fillId="0" borderId="4" xfId="0" applyBorder="1"/>
    <xf numFmtId="3" fontId="0" fillId="0" borderId="5" xfId="0" applyNumberFormat="1" applyBorder="1"/>
    <xf numFmtId="0" fontId="0" fillId="0" borderId="1" xfId="0" applyBorder="1"/>
    <xf numFmtId="164" fontId="9" fillId="0" borderId="6" xfId="0" applyNumberFormat="1" applyFont="1" applyBorder="1" applyAlignment="1">
      <alignment horizontal="left" vertical="top" shrinkToFit="1"/>
    </xf>
    <xf numFmtId="164" fontId="9" fillId="0" borderId="7" xfId="0" applyNumberFormat="1" applyFont="1" applyBorder="1" applyAlignment="1">
      <alignment horizontal="left" vertical="top"/>
    </xf>
    <xf numFmtId="0" fontId="9" fillId="0" borderId="6" xfId="0" applyFont="1" applyBorder="1" applyAlignment="1">
      <alignment horizontal="left" vertical="top"/>
    </xf>
    <xf numFmtId="164" fontId="9" fillId="0" borderId="8" xfId="0" applyNumberFormat="1" applyFont="1" applyBorder="1" applyAlignment="1">
      <alignment horizontal="left" vertical="top"/>
    </xf>
    <xf numFmtId="0" fontId="9" fillId="0" borderId="9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14" fontId="9" fillId="0" borderId="10" xfId="0" quotePrefix="1" applyNumberFormat="1" applyFont="1" applyBorder="1" applyAlignment="1">
      <alignment horizontal="left"/>
    </xf>
    <xf numFmtId="14" fontId="9" fillId="0" borderId="10" xfId="0" applyNumberFormat="1" applyFont="1" applyBorder="1" applyAlignment="1">
      <alignment horizontal="left"/>
    </xf>
    <xf numFmtId="0" fontId="2" fillId="0" borderId="0" xfId="0" applyFont="1"/>
    <xf numFmtId="1" fontId="0" fillId="0" borderId="0" xfId="0" applyNumberFormat="1" applyAlignment="1">
      <alignment shrinkToFit="1"/>
    </xf>
    <xf numFmtId="0" fontId="0" fillId="0" borderId="1" xfId="0" applyBorder="1" applyAlignment="1">
      <alignment horizontal="center" vertical="center" textRotation="90" wrapText="1"/>
    </xf>
    <xf numFmtId="1" fontId="10" fillId="0" borderId="12" xfId="0" applyNumberFormat="1" applyFont="1" applyBorder="1" applyAlignment="1">
      <alignment shrinkToFit="1"/>
    </xf>
    <xf numFmtId="0" fontId="8" fillId="0" borderId="1" xfId="0" applyFont="1" applyBorder="1" applyAlignment="1">
      <alignment horizontal="center"/>
    </xf>
    <xf numFmtId="164" fontId="9" fillId="0" borderId="6" xfId="0" applyNumberFormat="1" applyFont="1" applyBorder="1" applyAlignment="1">
      <alignment horizontal="left" vertical="top"/>
    </xf>
    <xf numFmtId="3" fontId="0" fillId="0" borderId="14" xfId="0" applyNumberFormat="1" applyBorder="1"/>
    <xf numFmtId="0" fontId="7" fillId="0" borderId="0" xfId="0" applyFont="1" applyAlignment="1">
      <alignment vertical="center"/>
    </xf>
    <xf numFmtId="0" fontId="0" fillId="0" borderId="16" xfId="0" applyBorder="1"/>
    <xf numFmtId="0" fontId="0" fillId="0" borderId="2" xfId="0" applyBorder="1" applyAlignment="1" applyProtection="1">
      <alignment shrinkToFit="1"/>
      <protection locked="0"/>
    </xf>
    <xf numFmtId="3" fontId="0" fillId="0" borderId="17" xfId="0" applyNumberFormat="1" applyBorder="1"/>
    <xf numFmtId="0" fontId="0" fillId="0" borderId="7" xfId="0" applyBorder="1"/>
    <xf numFmtId="0" fontId="0" fillId="0" borderId="6" xfId="0" applyBorder="1"/>
    <xf numFmtId="0" fontId="5" fillId="0" borderId="6" xfId="0" applyFont="1" applyBorder="1" applyAlignment="1">
      <alignment horizontal="center" vertical="center"/>
    </xf>
    <xf numFmtId="0" fontId="0" fillId="0" borderId="8" xfId="0" applyBorder="1"/>
    <xf numFmtId="0" fontId="0" fillId="0" borderId="1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10" xfId="0" applyFont="1" applyBorder="1"/>
    <xf numFmtId="0" fontId="2" fillId="0" borderId="11" xfId="0" applyFont="1" applyBorder="1"/>
    <xf numFmtId="0" fontId="11" fillId="0" borderId="19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3" fontId="8" fillId="0" borderId="14" xfId="0" applyNumberFormat="1" applyFont="1" applyBorder="1"/>
    <xf numFmtId="0" fontId="11" fillId="0" borderId="21" xfId="0" applyFont="1" applyBorder="1" applyAlignment="1">
      <alignment horizontal="center"/>
    </xf>
    <xf numFmtId="0" fontId="11" fillId="0" borderId="15" xfId="0" applyFont="1" applyBorder="1"/>
    <xf numFmtId="0" fontId="11" fillId="0" borderId="16" xfId="0" applyFont="1" applyBorder="1"/>
    <xf numFmtId="0" fontId="11" fillId="0" borderId="22" xfId="0" applyFont="1" applyBorder="1" applyAlignment="1">
      <alignment horizontal="center"/>
    </xf>
    <xf numFmtId="0" fontId="9" fillId="0" borderId="18" xfId="0" applyFont="1" applyBorder="1" applyAlignment="1">
      <alignment horizontal="left" vertical="top"/>
    </xf>
    <xf numFmtId="164" fontId="9" fillId="0" borderId="0" xfId="0" applyNumberFormat="1" applyFont="1" applyAlignment="1">
      <alignment horizontal="left" vertical="top" shrinkToFit="1"/>
    </xf>
    <xf numFmtId="3" fontId="0" fillId="0" borderId="15" xfId="0" applyNumberFormat="1" applyBorder="1"/>
    <xf numFmtId="3" fontId="0" fillId="0" borderId="16" xfId="0" applyNumberFormat="1" applyBorder="1"/>
    <xf numFmtId="3" fontId="0" fillId="0" borderId="0" xfId="0" applyNumberFormat="1"/>
    <xf numFmtId="1" fontId="0" fillId="0" borderId="0" xfId="0" applyNumberFormat="1"/>
    <xf numFmtId="0" fontId="2" fillId="0" borderId="1" xfId="0" applyFont="1" applyBorder="1" applyAlignment="1" applyProtection="1">
      <alignment horizontal="center" vertical="center" textRotation="90" wrapText="1"/>
      <protection locked="0"/>
    </xf>
    <xf numFmtId="1" fontId="10" fillId="0" borderId="24" xfId="0" applyNumberFormat="1" applyFont="1" applyBorder="1" applyAlignment="1">
      <alignment horizontal="center" shrinkToFit="1"/>
    </xf>
    <xf numFmtId="1" fontId="10" fillId="0" borderId="25" xfId="0" applyNumberFormat="1" applyFont="1" applyBorder="1" applyAlignment="1">
      <alignment horizontal="center" shrinkToFit="1"/>
    </xf>
    <xf numFmtId="0" fontId="1" fillId="0" borderId="0" xfId="0" applyFont="1"/>
    <xf numFmtId="0" fontId="12" fillId="4" borderId="0" xfId="4" applyFont="1" applyFill="1"/>
    <xf numFmtId="0" fontId="3" fillId="4" borderId="0" xfId="4" applyFill="1"/>
    <xf numFmtId="0" fontId="13" fillId="4" borderId="0" xfId="4" applyFont="1" applyFill="1"/>
    <xf numFmtId="0" fontId="14" fillId="4" borderId="0" xfId="4" applyFont="1" applyFill="1"/>
    <xf numFmtId="0" fontId="0" fillId="0" borderId="2" xfId="0" applyBorder="1" applyAlignment="1" applyProtection="1">
      <alignment horizontal="center" vertical="center" shrinkToFit="1"/>
      <protection locked="0"/>
    </xf>
    <xf numFmtId="0" fontId="0" fillId="0" borderId="6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10" xfId="0" applyBorder="1" applyAlignment="1">
      <alignment horizontal="center" vertical="center" textRotation="90" wrapText="1"/>
    </xf>
    <xf numFmtId="0" fontId="15" fillId="0" borderId="0" xfId="0" applyFont="1"/>
    <xf numFmtId="0" fontId="11" fillId="0" borderId="28" xfId="0" applyFont="1" applyBorder="1" applyAlignment="1">
      <alignment horizontal="center"/>
    </xf>
    <xf numFmtId="0" fontId="11" fillId="0" borderId="29" xfId="0" applyFont="1" applyBorder="1" applyAlignment="1">
      <alignment horizontal="center"/>
    </xf>
    <xf numFmtId="3" fontId="3" fillId="0" borderId="13" xfId="0" applyNumberFormat="1" applyFont="1" applyBorder="1" applyAlignment="1" applyProtection="1">
      <alignment horizontal="center"/>
      <protection locked="0"/>
    </xf>
    <xf numFmtId="3" fontId="3" fillId="0" borderId="23" xfId="0" applyNumberFormat="1" applyFont="1" applyBorder="1" applyAlignment="1" applyProtection="1">
      <alignment horizontal="center"/>
      <protection locked="0"/>
    </xf>
    <xf numFmtId="3" fontId="3" fillId="0" borderId="30" xfId="0" applyNumberFormat="1" applyFont="1" applyBorder="1" applyAlignment="1" applyProtection="1">
      <alignment horizontal="center"/>
      <protection locked="0"/>
    </xf>
    <xf numFmtId="3" fontId="3" fillId="0" borderId="1" xfId="0" applyNumberFormat="1" applyFont="1" applyBorder="1" applyAlignment="1" applyProtection="1">
      <alignment horizontal="center"/>
      <protection locked="0"/>
    </xf>
    <xf numFmtId="3" fontId="3" fillId="0" borderId="31" xfId="0" applyNumberFormat="1" applyFont="1" applyBorder="1" applyAlignment="1" applyProtection="1">
      <alignment horizontal="center"/>
      <protection locked="0"/>
    </xf>
    <xf numFmtId="3" fontId="3" fillId="0" borderId="25" xfId="0" applyNumberFormat="1" applyFont="1" applyBorder="1" applyAlignment="1" applyProtection="1">
      <alignment horizontal="center"/>
      <protection locked="0"/>
    </xf>
    <xf numFmtId="3" fontId="3" fillId="0" borderId="2" xfId="0" applyNumberFormat="1" applyFont="1" applyBorder="1" applyAlignment="1" applyProtection="1">
      <alignment horizontal="center"/>
      <protection locked="0"/>
    </xf>
    <xf numFmtId="3" fontId="3" fillId="0" borderId="2" xfId="0" applyNumberFormat="1" applyFont="1" applyBorder="1" applyAlignment="1" applyProtection="1">
      <alignment horizontal="center" shrinkToFit="1"/>
      <protection locked="0"/>
    </xf>
    <xf numFmtId="3" fontId="3" fillId="0" borderId="32" xfId="0" applyNumberFormat="1" applyFont="1" applyBorder="1" applyAlignment="1" applyProtection="1">
      <alignment horizontal="center"/>
      <protection locked="0"/>
    </xf>
    <xf numFmtId="3" fontId="3" fillId="0" borderId="26" xfId="0" applyNumberFormat="1" applyFont="1" applyBorder="1" applyAlignment="1" applyProtection="1">
      <alignment horizontal="center"/>
      <protection locked="0"/>
    </xf>
    <xf numFmtId="3" fontId="3" fillId="0" borderId="33" xfId="0" applyNumberFormat="1" applyFont="1" applyBorder="1" applyAlignment="1" applyProtection="1">
      <alignment horizontal="center"/>
      <protection locked="0"/>
    </xf>
    <xf numFmtId="0" fontId="11" fillId="0" borderId="34" xfId="0" applyFont="1" applyBorder="1"/>
    <xf numFmtId="0" fontId="0" fillId="0" borderId="35" xfId="0" applyBorder="1"/>
    <xf numFmtId="0" fontId="11" fillId="0" borderId="29" xfId="0" applyFont="1" applyBorder="1"/>
    <xf numFmtId="0" fontId="11" fillId="0" borderId="36" xfId="0" applyFont="1" applyBorder="1"/>
    <xf numFmtId="1" fontId="10" fillId="0" borderId="32" xfId="0" applyNumberFormat="1" applyFont="1" applyBorder="1" applyAlignment="1">
      <alignment horizontal="center" shrinkToFit="1"/>
    </xf>
    <xf numFmtId="1" fontId="10" fillId="0" borderId="13" xfId="0" applyNumberFormat="1" applyFont="1" applyBorder="1" applyAlignment="1">
      <alignment horizontal="center" shrinkToFit="1"/>
    </xf>
    <xf numFmtId="1" fontId="10" fillId="0" borderId="15" xfId="0" applyNumberFormat="1" applyFont="1" applyBorder="1" applyAlignment="1">
      <alignment shrinkToFit="1"/>
    </xf>
    <xf numFmtId="1" fontId="10" fillId="0" borderId="37" xfId="0" applyNumberFormat="1" applyFont="1" applyBorder="1" applyAlignment="1">
      <alignment horizontal="center" shrinkToFit="1"/>
    </xf>
    <xf numFmtId="1" fontId="10" fillId="0" borderId="2" xfId="0" applyNumberFormat="1" applyFont="1" applyBorder="1" applyAlignment="1">
      <alignment horizontal="center" shrinkToFit="1"/>
    </xf>
    <xf numFmtId="1" fontId="10" fillId="0" borderId="17" xfId="0" applyNumberFormat="1" applyFont="1" applyBorder="1" applyAlignment="1">
      <alignment shrinkToFit="1"/>
    </xf>
    <xf numFmtId="3" fontId="1" fillId="0" borderId="26" xfId="0" applyNumberFormat="1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3" fillId="0" borderId="10" xfId="0" quotePrefix="1" applyFont="1" applyBorder="1" applyAlignment="1">
      <alignment vertical="center" wrapText="1"/>
    </xf>
    <xf numFmtId="0" fontId="7" fillId="0" borderId="41" xfId="0" quotePrefix="1" applyFont="1" applyBorder="1" applyAlignment="1">
      <alignment horizontal="center" vertical="center" wrapText="1"/>
    </xf>
    <xf numFmtId="3" fontId="0" fillId="0" borderId="43" xfId="0" applyNumberFormat="1" applyBorder="1"/>
    <xf numFmtId="0" fontId="11" fillId="0" borderId="17" xfId="0" applyFont="1" applyBorder="1"/>
    <xf numFmtId="0" fontId="11" fillId="0" borderId="34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1" fillId="0" borderId="44" xfId="0" applyFont="1" applyBorder="1" applyAlignment="1">
      <alignment horizontal="center"/>
    </xf>
    <xf numFmtId="0" fontId="11" fillId="0" borderId="43" xfId="0" applyFont="1" applyBorder="1"/>
    <xf numFmtId="0" fontId="11" fillId="0" borderId="5" xfId="0" applyFont="1" applyBorder="1"/>
    <xf numFmtId="0" fontId="11" fillId="0" borderId="14" xfId="0" applyFont="1" applyBorder="1"/>
    <xf numFmtId="0" fontId="11" fillId="0" borderId="3" xfId="0" applyFont="1" applyBorder="1"/>
    <xf numFmtId="0" fontId="11" fillId="0" borderId="47" xfId="0" applyFont="1" applyBorder="1"/>
    <xf numFmtId="3" fontId="3" fillId="0" borderId="25" xfId="0" applyNumberFormat="1" applyFont="1" applyBorder="1" applyAlignment="1" applyProtection="1">
      <alignment horizontal="center" shrinkToFit="1"/>
      <protection locked="0"/>
    </xf>
    <xf numFmtId="3" fontId="0" fillId="0" borderId="47" xfId="0" applyNumberFormat="1" applyBorder="1"/>
    <xf numFmtId="3" fontId="3" fillId="0" borderId="1" xfId="0" applyNumberFormat="1" applyFont="1" applyBorder="1" applyAlignment="1" applyProtection="1">
      <alignment horizontal="center" shrinkToFit="1"/>
      <protection locked="0"/>
    </xf>
    <xf numFmtId="0" fontId="11" fillId="0" borderId="48" xfId="0" applyFont="1" applyBorder="1" applyAlignment="1">
      <alignment horizontal="center"/>
    </xf>
    <xf numFmtId="3" fontId="3" fillId="0" borderId="13" xfId="0" applyNumberFormat="1" applyFont="1" applyBorder="1" applyAlignment="1" applyProtection="1">
      <alignment horizontal="center" shrinkToFit="1"/>
      <protection locked="0"/>
    </xf>
    <xf numFmtId="0" fontId="11" fillId="0" borderId="7" xfId="0" applyFont="1" applyBorder="1" applyAlignment="1">
      <alignment horizontal="center"/>
    </xf>
    <xf numFmtId="0" fontId="11" fillId="0" borderId="49" xfId="0" applyFont="1" applyBorder="1" applyAlignment="1">
      <alignment horizontal="center"/>
    </xf>
    <xf numFmtId="0" fontId="11" fillId="0" borderId="50" xfId="0" applyFont="1" applyBorder="1" applyAlignment="1">
      <alignment horizontal="center"/>
    </xf>
    <xf numFmtId="3" fontId="3" fillId="0" borderId="51" xfId="0" applyNumberFormat="1" applyFont="1" applyBorder="1" applyAlignment="1" applyProtection="1">
      <alignment horizontal="center"/>
      <protection locked="0"/>
    </xf>
    <xf numFmtId="3" fontId="3" fillId="0" borderId="37" xfId="0" applyNumberFormat="1" applyFont="1" applyBorder="1" applyAlignment="1" applyProtection="1">
      <alignment horizontal="center"/>
      <protection locked="0"/>
    </xf>
    <xf numFmtId="0" fontId="11" fillId="0" borderId="34" xfId="0" applyFont="1" applyBorder="1" applyAlignment="1">
      <alignment wrapText="1"/>
    </xf>
    <xf numFmtId="0" fontId="11" fillId="0" borderId="15" xfId="0" applyFont="1" applyBorder="1" applyAlignment="1">
      <alignment wrapText="1"/>
    </xf>
    <xf numFmtId="0" fontId="11" fillId="0" borderId="43" xfId="0" applyFont="1" applyBorder="1" applyAlignment="1">
      <alignment wrapText="1"/>
    </xf>
    <xf numFmtId="0" fontId="11" fillId="0" borderId="53" xfId="0" applyFont="1" applyBorder="1" applyAlignment="1">
      <alignment horizontal="center"/>
    </xf>
    <xf numFmtId="0" fontId="11" fillId="0" borderId="54" xfId="0" applyFont="1" applyBorder="1" applyAlignment="1">
      <alignment horizontal="center"/>
    </xf>
    <xf numFmtId="0" fontId="11" fillId="0" borderId="16" xfId="0" applyFont="1" applyBorder="1" applyAlignment="1">
      <alignment wrapText="1"/>
    </xf>
    <xf numFmtId="0" fontId="0" fillId="0" borderId="6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10" xfId="0" applyBorder="1" applyAlignment="1">
      <alignment horizontal="center" vertical="center" textRotation="90" wrapText="1"/>
    </xf>
    <xf numFmtId="0" fontId="11" fillId="0" borderId="38" xfId="0" applyFont="1" applyBorder="1" applyAlignment="1">
      <alignment horizontal="center"/>
    </xf>
    <xf numFmtId="0" fontId="3" fillId="0" borderId="0" xfId="0" applyFont="1"/>
    <xf numFmtId="166" fontId="16" fillId="0" borderId="13" xfId="0" applyNumberFormat="1" applyFont="1" applyBorder="1" applyAlignment="1" applyProtection="1">
      <alignment horizontal="center"/>
      <protection locked="0"/>
    </xf>
    <xf numFmtId="166" fontId="17" fillId="0" borderId="13" xfId="0" applyNumberFormat="1" applyFont="1" applyBorder="1" applyProtection="1">
      <protection locked="0"/>
    </xf>
    <xf numFmtId="166" fontId="17" fillId="0" borderId="23" xfId="0" applyNumberFormat="1" applyFont="1" applyBorder="1" applyProtection="1">
      <protection locked="0"/>
    </xf>
    <xf numFmtId="0" fontId="3" fillId="0" borderId="0" xfId="0" applyFont="1" applyAlignment="1">
      <alignment vertical="center"/>
    </xf>
    <xf numFmtId="0" fontId="11" fillId="0" borderId="34" xfId="0" applyFont="1" applyBorder="1" applyAlignment="1">
      <alignment horizontal="center" vertical="center" textRotation="90"/>
    </xf>
    <xf numFmtId="0" fontId="11" fillId="0" borderId="29" xfId="0" applyFont="1" applyBorder="1" applyAlignment="1">
      <alignment horizontal="center" vertical="center" textRotation="90"/>
    </xf>
    <xf numFmtId="0" fontId="11" fillId="0" borderId="36" xfId="0" applyFont="1" applyBorder="1" applyAlignment="1">
      <alignment horizontal="center" vertical="center" textRotation="90"/>
    </xf>
    <xf numFmtId="0" fontId="0" fillId="0" borderId="6" xfId="0" applyBorder="1" applyAlignment="1">
      <alignment horizontal="left" vertical="center" textRotation="90" wrapText="1"/>
    </xf>
    <xf numFmtId="0" fontId="0" fillId="0" borderId="0" xfId="0" applyAlignment="1">
      <alignment horizontal="left" vertical="center" textRotation="90" wrapText="1"/>
    </xf>
    <xf numFmtId="0" fontId="0" fillId="0" borderId="10" xfId="0" applyBorder="1" applyAlignment="1">
      <alignment horizontal="left" vertical="center" textRotation="90" wrapText="1"/>
    </xf>
    <xf numFmtId="0" fontId="0" fillId="0" borderId="1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10" xfId="0" applyBorder="1" applyAlignment="1">
      <alignment horizontal="center" vertical="center" textRotation="90" wrapText="1"/>
    </xf>
    <xf numFmtId="0" fontId="7" fillId="0" borderId="39" xfId="0" quotePrefix="1" applyFont="1" applyBorder="1" applyAlignment="1">
      <alignment horizontal="center" vertical="center" wrapText="1"/>
    </xf>
    <xf numFmtId="0" fontId="7" fillId="0" borderId="40" xfId="0" quotePrefix="1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left" vertical="center" textRotation="90"/>
    </xf>
    <xf numFmtId="0" fontId="8" fillId="0" borderId="0" xfId="0" applyFont="1" applyAlignment="1">
      <alignment horizontal="left" vertical="center" textRotation="90"/>
    </xf>
    <xf numFmtId="0" fontId="8" fillId="0" borderId="10" xfId="0" applyFont="1" applyBorder="1" applyAlignment="1">
      <alignment horizontal="left" vertical="center" textRotation="90"/>
    </xf>
    <xf numFmtId="0" fontId="11" fillId="0" borderId="7" xfId="0" applyFont="1" applyBorder="1" applyAlignment="1">
      <alignment horizontal="center" vertical="center" textRotation="90"/>
    </xf>
    <xf numFmtId="0" fontId="11" fillId="0" borderId="18" xfId="0" applyFont="1" applyBorder="1" applyAlignment="1">
      <alignment horizontal="center" vertical="center" textRotation="90"/>
    </xf>
    <xf numFmtId="0" fontId="11" fillId="0" borderId="9" xfId="0" applyFont="1" applyBorder="1" applyAlignment="1">
      <alignment horizontal="center" vertical="center" textRotation="90"/>
    </xf>
    <xf numFmtId="0" fontId="11" fillId="0" borderId="45" xfId="0" applyFont="1" applyBorder="1" applyAlignment="1">
      <alignment horizontal="center" vertical="center" textRotation="90"/>
    </xf>
    <xf numFmtId="0" fontId="11" fillId="0" borderId="35" xfId="0" applyFont="1" applyBorder="1" applyAlignment="1">
      <alignment horizontal="center" vertical="center" textRotation="90"/>
    </xf>
    <xf numFmtId="0" fontId="1" fillId="0" borderId="28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1" fillId="0" borderId="45" xfId="0" applyFont="1" applyFill="1" applyBorder="1" applyAlignment="1">
      <alignment horizontal="center" vertical="center" textRotation="90"/>
    </xf>
    <xf numFmtId="0" fontId="11" fillId="0" borderId="35" xfId="0" applyFont="1" applyFill="1" applyBorder="1" applyAlignment="1">
      <alignment horizontal="center" vertical="center" textRotation="90"/>
    </xf>
    <xf numFmtId="0" fontId="11" fillId="0" borderId="46" xfId="0" applyFont="1" applyFill="1" applyBorder="1" applyAlignment="1">
      <alignment horizontal="center" vertical="center" textRotation="90"/>
    </xf>
    <xf numFmtId="0" fontId="11" fillId="0" borderId="46" xfId="0" applyFont="1" applyBorder="1" applyAlignment="1">
      <alignment horizontal="center" vertical="center" textRotation="90"/>
    </xf>
    <xf numFmtId="0" fontId="11" fillId="0" borderId="42" xfId="0" applyFont="1" applyFill="1" applyBorder="1" applyAlignment="1">
      <alignment horizontal="center" vertical="center" textRotation="90"/>
    </xf>
    <xf numFmtId="0" fontId="11" fillId="0" borderId="31" xfId="0" applyFont="1" applyFill="1" applyBorder="1" applyAlignment="1">
      <alignment horizontal="center" vertical="center" textRotation="90"/>
    </xf>
    <xf numFmtId="0" fontId="11" fillId="0" borderId="30" xfId="0" applyFont="1" applyFill="1" applyBorder="1" applyAlignment="1">
      <alignment horizontal="center" vertical="center" textRotation="90"/>
    </xf>
    <xf numFmtId="0" fontId="1" fillId="0" borderId="38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</cellXfs>
  <cellStyles count="7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Normal 2" xfId="4" xr:uid="{00000000-0005-0000-0000-000004000000}"/>
    <cellStyle name="Percent [2]" xfId="5" xr:uid="{00000000-0005-0000-0000-000005000000}"/>
    <cellStyle name="標準_品質検査" xfId="6" xr:uid="{00000000-0005-0000-0000-000006000000}"/>
  </cellStyles>
  <dxfs count="6"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5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4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chartsheet" Target="chartsheets/sheet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hartsheet" Target="chartsheets/sheet6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12218649517687E-2"/>
          <c:y val="2.4615384615384615E-2"/>
          <c:w val="0.94212218649517687"/>
          <c:h val="0.93538461538461537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'SHRINK 2S - Dia'!$D$33:$AC$33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39-4B04-B035-9948CF5CB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589384"/>
        <c:axId val="228589776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'SHRINK 2S - Dia'!$D$38:$AC$38</c:f>
              <c:numCache>
                <c:formatCode>0</c:formatCode>
                <c:ptCount val="26"/>
                <c:pt idx="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94-4EA5-A55F-25A79E672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951264"/>
        <c:axId val="228590560"/>
      </c:scatterChart>
      <c:catAx>
        <c:axId val="228589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majorTickMark val="none"/>
        <c:minorTickMark val="none"/>
        <c:tickLblPos val="none"/>
        <c:spPr>
          <a:ln w="6350">
            <a:noFill/>
          </a:ln>
        </c:spPr>
        <c:crossAx val="228589776"/>
        <c:crosses val="autoZero"/>
        <c:auto val="1"/>
        <c:lblAlgn val="ctr"/>
        <c:lblOffset val="100"/>
        <c:noMultiLvlLbl val="0"/>
      </c:catAx>
      <c:valAx>
        <c:axId val="22858977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8589384"/>
        <c:crosses val="autoZero"/>
        <c:crossBetween val="between"/>
      </c:valAx>
      <c:valAx>
        <c:axId val="228590560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497951264"/>
        <c:crosses val="max"/>
        <c:crossBetween val="midCat"/>
      </c:valAx>
      <c:valAx>
        <c:axId val="497951264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8590560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'SHRINK 2S - Dia'!$D$33</c:f>
              <c:strCache>
                <c:ptCount val="1"/>
                <c:pt idx="0">
                  <c:v>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'SHRINK 2S - Dia'!$D$2:$AC$2</c:f>
              <c:numCache>
                <c:formatCode>d/m;@</c:formatCode>
                <c:ptCount val="26"/>
              </c:numCache>
            </c:num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669-40F0-AAA6-5A89AB513153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'SHRINK 2S - Dia'!$D$38:$AC$38</c:f>
              <c:numCache>
                <c:formatCode>0</c:formatCode>
                <c:ptCount val="26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69-40F0-AAA6-5A89AB513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48912"/>
        <c:axId val="228501648"/>
      </c:lineChart>
      <c:catAx>
        <c:axId val="4979489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d/m;@" sourceLinked="1"/>
        <c:majorTickMark val="none"/>
        <c:minorTickMark val="none"/>
        <c:tickLblPos val="none"/>
        <c:spPr>
          <a:ln w="6350">
            <a:noFill/>
          </a:ln>
        </c:spPr>
        <c:crossAx val="228501648"/>
        <c:crosses val="autoZero"/>
        <c:auto val="1"/>
        <c:lblAlgn val="ctr"/>
        <c:lblOffset val="100"/>
        <c:tickMarkSkip val="1"/>
        <c:noMultiLvlLbl val="1"/>
      </c:catAx>
      <c:valAx>
        <c:axId val="228501648"/>
        <c:scaling>
          <c:orientation val="minMax"/>
          <c:max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97948912"/>
        <c:crosses val="autoZero"/>
        <c:crossBetween val="between"/>
        <c:majorUnit val="400"/>
        <c:minorUnit val="2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12218649517687E-2"/>
          <c:y val="2.4615384615384615E-2"/>
          <c:w val="0.94212218649517687"/>
          <c:h val="0.93538461538461537"/>
        </c:manualLayout>
      </c:layout>
      <c:lineChart>
        <c:grouping val="standard"/>
        <c:varyColors val="0"/>
        <c:ser>
          <c:idx val="0"/>
          <c:order val="1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'SHRINK 2S - 2T'!$D$33:$AC$33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0F-4E5B-B6E9-CEA6D37D2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809376"/>
        <c:axId val="502697920"/>
      </c:lineChart>
      <c:scatterChart>
        <c:scatterStyle val="lineMarker"/>
        <c:varyColors val="0"/>
        <c:ser>
          <c:idx val="1"/>
          <c:order val="0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'SHRINK 2S - 2T'!$D$38:$AC$38</c:f>
              <c:numCache>
                <c:formatCode>0</c:formatCode>
                <c:ptCount val="26"/>
                <c:pt idx="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F0-44BA-A718-8A1D9BE47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65808"/>
        <c:axId val="502697136"/>
      </c:scatterChart>
      <c:catAx>
        <c:axId val="49980937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majorTickMark val="out"/>
        <c:minorTickMark val="none"/>
        <c:tickLblPos val="nextTo"/>
        <c:crossAx val="502697920"/>
        <c:crosses val="autoZero"/>
        <c:auto val="1"/>
        <c:lblAlgn val="ctr"/>
        <c:lblOffset val="100"/>
        <c:noMultiLvlLbl val="0"/>
      </c:catAx>
      <c:valAx>
        <c:axId val="502697920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99809376"/>
        <c:crosses val="autoZero"/>
        <c:crossBetween val="between"/>
      </c:valAx>
      <c:valAx>
        <c:axId val="502697136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502465808"/>
        <c:crosses val="max"/>
        <c:crossBetween val="midCat"/>
      </c:valAx>
      <c:valAx>
        <c:axId val="502465808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502697136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'SHRINK 2S - 2T'!$D$33</c:f>
              <c:strCache>
                <c:ptCount val="1"/>
                <c:pt idx="0">
                  <c:v>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'SHRINK 2S - 2T'!$D$2:$AC$2</c:f>
              <c:numCache>
                <c:formatCode>d/m;@</c:formatCode>
                <c:ptCount val="26"/>
              </c:numCache>
            </c:num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FAC-49CD-BDB9-844031AB8174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'SHRINK 2S - 2T'!$D$38:$AC$38</c:f>
              <c:numCache>
                <c:formatCode>0</c:formatCode>
                <c:ptCount val="26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AC-49CD-BDB9-844031AB8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56536"/>
        <c:axId val="503761240"/>
      </c:lineChart>
      <c:catAx>
        <c:axId val="5037565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d/m;@" sourceLinked="1"/>
        <c:majorTickMark val="none"/>
        <c:minorTickMark val="none"/>
        <c:tickLblPos val="none"/>
        <c:spPr>
          <a:ln w="6350">
            <a:noFill/>
          </a:ln>
        </c:spPr>
        <c:crossAx val="503761240"/>
        <c:crosses val="autoZero"/>
        <c:auto val="1"/>
        <c:lblAlgn val="ctr"/>
        <c:lblOffset val="100"/>
        <c:tickMarkSkip val="1"/>
        <c:noMultiLvlLbl val="0"/>
      </c:catAx>
      <c:valAx>
        <c:axId val="503761240"/>
        <c:scaling>
          <c:orientation val="minMax"/>
          <c:max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3756536"/>
        <c:crosses val="autoZero"/>
        <c:crossBetween val="between"/>
        <c:majorUnit val="400"/>
        <c:minorUnit val="2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12218649517687E-2"/>
          <c:y val="2.4615384615384615E-2"/>
          <c:w val="0.94212218649517687"/>
          <c:h val="0.93538461538461537"/>
        </c:manualLayout>
      </c:layout>
      <c:lineChart>
        <c:grouping val="standard"/>
        <c:varyColors val="0"/>
        <c:ser>
          <c:idx val="0"/>
          <c:order val="1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'SHRINK 2S - 3T'!$D$33:$AC$33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CC-426C-8A5A-5CFAAAA64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57320"/>
        <c:axId val="503758888"/>
      </c:lineChart>
      <c:scatterChart>
        <c:scatterStyle val="lineMarker"/>
        <c:varyColors val="0"/>
        <c:ser>
          <c:idx val="1"/>
          <c:order val="0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'SHRINK 2S - 3T'!$D$38:$AC$38</c:f>
              <c:numCache>
                <c:formatCode>0</c:formatCode>
                <c:ptCount val="26"/>
                <c:pt idx="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CC-426C-8A5A-5CFAAAA64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57712"/>
        <c:axId val="503754184"/>
      </c:scatterChart>
      <c:catAx>
        <c:axId val="503757320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majorTickMark val="out"/>
        <c:minorTickMark val="none"/>
        <c:tickLblPos val="nextTo"/>
        <c:crossAx val="503758888"/>
        <c:crosses val="autoZero"/>
        <c:auto val="1"/>
        <c:lblAlgn val="ctr"/>
        <c:lblOffset val="100"/>
        <c:noMultiLvlLbl val="0"/>
      </c:catAx>
      <c:valAx>
        <c:axId val="50375888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3757320"/>
        <c:crosses val="autoZero"/>
        <c:crossBetween val="between"/>
      </c:valAx>
      <c:valAx>
        <c:axId val="503754184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503757712"/>
        <c:crosses val="max"/>
        <c:crossBetween val="midCat"/>
      </c:valAx>
      <c:valAx>
        <c:axId val="50375771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503754184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'SHRINK 2S - 3T'!$D$33</c:f>
              <c:strCache>
                <c:ptCount val="1"/>
                <c:pt idx="0">
                  <c:v>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'SHRINK 2S - 3T'!$D$2:$AC$2</c:f>
              <c:numCache>
                <c:formatCode>d/m;@</c:formatCode>
                <c:ptCount val="26"/>
              </c:numCache>
            </c:num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749-4FFC-A108-E6F06AD223CE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'SHRINK 2S - 3T'!$D$38:$AC$38</c:f>
              <c:numCache>
                <c:formatCode>0</c:formatCode>
                <c:ptCount val="26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49-4FFC-A108-E6F06AD22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58104"/>
        <c:axId val="503754968"/>
      </c:lineChart>
      <c:catAx>
        <c:axId val="5037581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d/m;@" sourceLinked="1"/>
        <c:majorTickMark val="none"/>
        <c:minorTickMark val="none"/>
        <c:tickLblPos val="none"/>
        <c:spPr>
          <a:ln w="6350">
            <a:noFill/>
          </a:ln>
        </c:spPr>
        <c:crossAx val="503754968"/>
        <c:crosses val="autoZero"/>
        <c:auto val="1"/>
        <c:lblAlgn val="ctr"/>
        <c:lblOffset val="100"/>
        <c:tickMarkSkip val="1"/>
        <c:noMultiLvlLbl val="1"/>
      </c:catAx>
      <c:valAx>
        <c:axId val="503754968"/>
        <c:scaling>
          <c:orientation val="minMax"/>
          <c:max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3758104"/>
        <c:crosses val="autoZero"/>
        <c:crossBetween val="between"/>
        <c:majorUnit val="400"/>
        <c:minorUnit val="2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12218649517687E-2"/>
          <c:y val="2.4615384615384615E-2"/>
          <c:w val="0.94212218649517687"/>
          <c:h val="0.93538461538461537"/>
        </c:manualLayout>
      </c:layout>
      <c:lineChart>
        <c:grouping val="standard"/>
        <c:varyColors val="0"/>
        <c:ser>
          <c:idx val="0"/>
          <c:order val="1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'SHRINK 4S - Dia'!$D$33:$AC$33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D3-4AD6-A83F-F65606FBD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55752"/>
        <c:axId val="503756928"/>
      </c:lineChart>
      <c:scatterChart>
        <c:scatterStyle val="lineMarker"/>
        <c:varyColors val="0"/>
        <c:ser>
          <c:idx val="1"/>
          <c:order val="0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'SHRINK 4S - Dia'!$D$38:$AC$38</c:f>
              <c:numCache>
                <c:formatCode>0</c:formatCode>
                <c:ptCount val="26"/>
                <c:pt idx="0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3-45B8-BFC9-E992CEC3A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60456"/>
        <c:axId val="503758496"/>
      </c:scatterChart>
      <c:catAx>
        <c:axId val="5037557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majorTickMark val="none"/>
        <c:minorTickMark val="none"/>
        <c:tickLblPos val="none"/>
        <c:spPr>
          <a:ln w="6350">
            <a:noFill/>
          </a:ln>
        </c:spPr>
        <c:crossAx val="503756928"/>
        <c:crosses val="autoZero"/>
        <c:auto val="1"/>
        <c:lblAlgn val="ctr"/>
        <c:lblOffset val="100"/>
        <c:noMultiLvlLbl val="0"/>
      </c:catAx>
      <c:valAx>
        <c:axId val="50375692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3755752"/>
        <c:crosses val="autoZero"/>
        <c:crossBetween val="between"/>
      </c:valAx>
      <c:valAx>
        <c:axId val="503758496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503760456"/>
        <c:crosses val="max"/>
        <c:crossBetween val="midCat"/>
      </c:valAx>
      <c:valAx>
        <c:axId val="503760456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503758496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'SHRINK 4S - Dia'!$D$33</c:f>
              <c:strCache>
                <c:ptCount val="1"/>
                <c:pt idx="0">
                  <c:v>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'SHRINK 4S - Dia'!$D$2:$AC$2</c:f>
              <c:numCache>
                <c:formatCode>d/m;@</c:formatCode>
                <c:ptCount val="26"/>
              </c:numCache>
            </c:num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857-4D1C-A58B-14351FB17296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'SHRINK 4S - Dia'!$D$38:$AC$38</c:f>
              <c:numCache>
                <c:formatCode>0</c:formatCode>
                <c:ptCount val="26"/>
                <c:pt idx="0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57-4D1C-A58B-14351FB17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59672"/>
        <c:axId val="604431632"/>
      </c:lineChart>
      <c:catAx>
        <c:axId val="503759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d/m;@" sourceLinked="1"/>
        <c:majorTickMark val="none"/>
        <c:minorTickMark val="none"/>
        <c:tickLblPos val="none"/>
        <c:spPr>
          <a:ln w="6350">
            <a:noFill/>
          </a:ln>
        </c:spPr>
        <c:crossAx val="604431632"/>
        <c:crosses val="autoZero"/>
        <c:auto val="1"/>
        <c:lblAlgn val="ctr"/>
        <c:lblOffset val="100"/>
        <c:tickMarkSkip val="1"/>
        <c:noMultiLvlLbl val="1"/>
      </c:catAx>
      <c:valAx>
        <c:axId val="604431632"/>
        <c:scaling>
          <c:orientation val="minMax"/>
          <c:max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3759672"/>
        <c:crosses val="autoZero"/>
        <c:crossBetween val="between"/>
        <c:majorUnit val="400"/>
        <c:minorUnit val="2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12218649517687E-2"/>
          <c:y val="2.4615384615384615E-2"/>
          <c:w val="0.94212218649517687"/>
          <c:h val="0.93538461538461537"/>
        </c:manualLayout>
      </c:layout>
      <c:lineChart>
        <c:grouping val="standard"/>
        <c:varyColors val="0"/>
        <c:ser>
          <c:idx val="0"/>
          <c:order val="1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'SHRINK 4S - 2T'!$D$33:$AC$33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E6-41C4-8F83-9B2CE4DF8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36336"/>
        <c:axId val="604435944"/>
      </c:lineChart>
      <c:scatterChart>
        <c:scatterStyle val="lineMarker"/>
        <c:varyColors val="0"/>
        <c:ser>
          <c:idx val="1"/>
          <c:order val="0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'SHRINK 4S - 2T'!$D$38:$AC$38</c:f>
              <c:numCache>
                <c:formatCode>0</c:formatCode>
                <c:ptCount val="26"/>
                <c:pt idx="0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6E-4CFE-8DFB-ECE4BF382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432024"/>
        <c:axId val="604433592"/>
      </c:scatterChart>
      <c:catAx>
        <c:axId val="60443633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majorTickMark val="out"/>
        <c:minorTickMark val="none"/>
        <c:tickLblPos val="nextTo"/>
        <c:crossAx val="604435944"/>
        <c:crosses val="autoZero"/>
        <c:auto val="1"/>
        <c:lblAlgn val="ctr"/>
        <c:lblOffset val="100"/>
        <c:noMultiLvlLbl val="0"/>
      </c:catAx>
      <c:valAx>
        <c:axId val="604435944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04436336"/>
        <c:crosses val="autoZero"/>
        <c:crossBetween val="between"/>
      </c:valAx>
      <c:valAx>
        <c:axId val="604433592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604432024"/>
        <c:crosses val="max"/>
        <c:crossBetween val="midCat"/>
      </c:valAx>
      <c:valAx>
        <c:axId val="604432024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604433592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'SHRINK 4S - 2T'!$D$33</c:f>
              <c:strCache>
                <c:ptCount val="1"/>
                <c:pt idx="0">
                  <c:v>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'SHRINK 4S - 2T'!$D$2:$AC$2</c:f>
              <c:numCache>
                <c:formatCode>d/m;@</c:formatCode>
                <c:ptCount val="26"/>
              </c:numCache>
            </c:num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2DD-456B-BBE0-EF92AF6DDDAB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'SHRINK 4S - 2T'!$D$38:$AC$38</c:f>
              <c:numCache>
                <c:formatCode>0</c:formatCode>
                <c:ptCount val="26"/>
                <c:pt idx="0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DD-456B-BBE0-EF92AF6DD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41432"/>
        <c:axId val="604433984"/>
      </c:lineChart>
      <c:catAx>
        <c:axId val="6044414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d/m;@" sourceLinked="1"/>
        <c:majorTickMark val="none"/>
        <c:minorTickMark val="none"/>
        <c:tickLblPos val="none"/>
        <c:spPr>
          <a:ln w="6350">
            <a:noFill/>
          </a:ln>
        </c:spPr>
        <c:crossAx val="604433984"/>
        <c:crosses val="autoZero"/>
        <c:auto val="1"/>
        <c:lblAlgn val="ctr"/>
        <c:lblOffset val="100"/>
        <c:tickMarkSkip val="1"/>
        <c:noMultiLvlLbl val="1"/>
      </c:catAx>
      <c:valAx>
        <c:axId val="604433984"/>
        <c:scaling>
          <c:orientation val="minMax"/>
          <c:max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04441432"/>
        <c:crosses val="autoZero"/>
        <c:crossBetween val="between"/>
        <c:majorUnit val="400"/>
        <c:minorUnit val="2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12218649517687E-2"/>
          <c:y val="2.4615384615384615E-2"/>
          <c:w val="0.94212218649517687"/>
          <c:h val="0.93538461538461537"/>
        </c:manualLayout>
      </c:layout>
      <c:lineChart>
        <c:grouping val="standard"/>
        <c:varyColors val="0"/>
        <c:ser>
          <c:idx val="0"/>
          <c:order val="1"/>
          <c:tx>
            <c:v>Falhas</c:v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val>
            <c:numRef>
              <c:f>'SHRINK 4S - 3T'!$D$33:$AC$33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40-4B0F-8D50-CFEF84471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38688"/>
        <c:axId val="604430456"/>
      </c:lineChart>
      <c:scatterChart>
        <c:scatterStyle val="lineMarker"/>
        <c:varyColors val="0"/>
        <c:ser>
          <c:idx val="1"/>
          <c:order val="0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'SHRINK 4S - 3T'!$D$38:$AC$38</c:f>
              <c:numCache>
                <c:formatCode>0</c:formatCode>
                <c:ptCount val="26"/>
                <c:pt idx="0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40-4B0F-8D50-CFEF84471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434768"/>
        <c:axId val="604434376"/>
      </c:scatterChart>
      <c:catAx>
        <c:axId val="604438688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majorTickMark val="out"/>
        <c:minorTickMark val="none"/>
        <c:tickLblPos val="nextTo"/>
        <c:crossAx val="604430456"/>
        <c:crosses val="autoZero"/>
        <c:auto val="1"/>
        <c:lblAlgn val="ctr"/>
        <c:lblOffset val="100"/>
        <c:noMultiLvlLbl val="0"/>
      </c:catAx>
      <c:valAx>
        <c:axId val="60443045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04438688"/>
        <c:crosses val="autoZero"/>
        <c:crossBetween val="between"/>
      </c:valAx>
      <c:valAx>
        <c:axId val="604434376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604434768"/>
        <c:crosses val="max"/>
        <c:crossBetween val="midCat"/>
      </c:valAx>
      <c:valAx>
        <c:axId val="604434768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604434376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'SHRINK 4S - 3T'!$D$33</c:f>
              <c:strCache>
                <c:ptCount val="1"/>
                <c:pt idx="0">
                  <c:v>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'SHRINK 4S - 3T'!$D$2:$AC$2</c:f>
              <c:numCache>
                <c:formatCode>d/m;@</c:formatCode>
                <c:ptCount val="26"/>
              </c:numCache>
            </c:num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6F-4364-8E07-5D0356C10DBA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'SHRINK 4S - 3T'!$D$38:$AC$38</c:f>
              <c:numCache>
                <c:formatCode>0</c:formatCode>
                <c:ptCount val="26"/>
                <c:pt idx="0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F-4364-8E07-5D0356C10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35552"/>
        <c:axId val="604437120"/>
      </c:lineChart>
      <c:catAx>
        <c:axId val="604435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d/m;@" sourceLinked="1"/>
        <c:majorTickMark val="none"/>
        <c:minorTickMark val="none"/>
        <c:tickLblPos val="none"/>
        <c:spPr>
          <a:ln w="6350">
            <a:noFill/>
          </a:ln>
        </c:spPr>
        <c:crossAx val="604437120"/>
        <c:crosses val="autoZero"/>
        <c:auto val="1"/>
        <c:lblAlgn val="ctr"/>
        <c:lblOffset val="100"/>
        <c:tickMarkSkip val="1"/>
        <c:noMultiLvlLbl val="1"/>
      </c:catAx>
      <c:valAx>
        <c:axId val="604437120"/>
        <c:scaling>
          <c:orientation val="minMax"/>
          <c:max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604435552"/>
        <c:crosses val="autoZero"/>
        <c:crossBetween val="between"/>
        <c:majorUnit val="400"/>
        <c:minorUnit val="2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Pareto de Falhas - Acabamento</a:t>
            </a:r>
            <a:r>
              <a:rPr lang="pt-BR" baseline="0"/>
              <a:t> </a:t>
            </a:r>
            <a:r>
              <a:rPr lang="pt-BR"/>
              <a:t>UM-4 -2S Dia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45511482254697E-2"/>
          <c:y val="0.12100840336134454"/>
          <c:w val="0.87891440501043838"/>
          <c:h val="0.69243697478991595"/>
        </c:manualLayout>
      </c:layout>
      <c:barChart>
        <c:barDir val="col"/>
        <c:grouping val="clustered"/>
        <c:varyColors val="0"/>
        <c:ser>
          <c:idx val="0"/>
          <c:order val="0"/>
          <c:tx>
            <c:v>Problemas</c:v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60000"/>
                    <a:lumOff val="40000"/>
                  </a:schemeClr>
                </a:gs>
                <a:gs pos="100000">
                  <a:srgbClr val="FF0000"/>
                </a:gs>
              </a:gsLst>
              <a:lin ang="0" scaled="0"/>
            </a:gradFill>
            <a:ln w="3175"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[0]!Lin2SD_X</c:f>
              <c:strCache>
                <c:ptCount val="1"/>
                <c:pt idx="0">
                  <c:v>Outros</c:v>
                </c:pt>
              </c:strCache>
            </c:strRef>
          </c:cat>
          <c:val>
            <c:numRef>
              <c:f>[0]!Lin2SD_PROB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AF-4E29-B0D5-7BC86ECEB5DD}"/>
            </c:ext>
          </c:extLst>
        </c:ser>
        <c:ser>
          <c:idx val="2"/>
          <c:order val="1"/>
          <c:tx>
            <c:v>Falhas</c:v>
          </c:tx>
          <c:spPr>
            <a:gradFill>
              <a:gsLst>
                <a:gs pos="0">
                  <a:srgbClr val="002060"/>
                </a:gs>
                <a:gs pos="50000">
                  <a:schemeClr val="accent1">
                    <a:lumMod val="20000"/>
                    <a:lumOff val="80000"/>
                  </a:schemeClr>
                </a:gs>
                <a:gs pos="100000">
                  <a:srgbClr val="002060"/>
                </a:gs>
              </a:gsLst>
              <a:lin ang="0" scaled="0"/>
            </a:gradFill>
            <a:ln>
              <a:solidFill>
                <a:schemeClr val="tx1"/>
              </a:solidFill>
            </a:ln>
          </c:spPr>
          <c:invertIfNegative val="0"/>
          <c:cat>
            <c:strRef>
              <c:f>[0]!Lin2SD_X</c:f>
              <c:strCache>
                <c:ptCount val="1"/>
                <c:pt idx="0">
                  <c:v>Outros</c:v>
                </c:pt>
              </c:strCache>
            </c:strRef>
          </c:cat>
          <c:val>
            <c:numRef>
              <c:f>[0]!Lin2SD_Y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0-4640-8C89-E8FF17C69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604430848"/>
        <c:axId val="604437904"/>
      </c:barChart>
      <c:lineChart>
        <c:grouping val="standard"/>
        <c:varyColors val="0"/>
        <c:ser>
          <c:idx val="1"/>
          <c:order val="2"/>
          <c:tx>
            <c:v>Acumulado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[0]!Lin2SD_X</c:f>
              <c:strCache>
                <c:ptCount val="1"/>
                <c:pt idx="0">
                  <c:v>Outros</c:v>
                </c:pt>
              </c:strCache>
            </c:strRef>
          </c:cat>
          <c:val>
            <c:numRef>
              <c:f>[0]!Lin2SD_AC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AF-4E29-B0D5-7BC86ECE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38296"/>
        <c:axId val="604431240"/>
      </c:lineChart>
      <c:catAx>
        <c:axId val="604430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Tipos de Falhas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437904"/>
        <c:crosses val="autoZero"/>
        <c:auto val="1"/>
        <c:lblAlgn val="ctr"/>
        <c:lblOffset val="100"/>
        <c:noMultiLvlLbl val="0"/>
      </c:catAx>
      <c:valAx>
        <c:axId val="60443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430848"/>
        <c:crosses val="autoZero"/>
        <c:crossBetween val="between"/>
      </c:valAx>
      <c:catAx>
        <c:axId val="604438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4431240"/>
        <c:crosses val="autoZero"/>
        <c:auto val="1"/>
        <c:lblAlgn val="ctr"/>
        <c:lblOffset val="100"/>
        <c:noMultiLvlLbl val="0"/>
      </c:catAx>
      <c:valAx>
        <c:axId val="60443124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438296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065827083187291"/>
          <c:y val="0.35604504921781438"/>
          <c:w val="9.4316014652471108E-2"/>
          <c:h val="0.10731394664697119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Pareto de Falhas - Acabamento</a:t>
            </a:r>
            <a:r>
              <a:rPr lang="pt-BR" baseline="0"/>
              <a:t> </a:t>
            </a:r>
            <a:r>
              <a:rPr lang="pt-BR"/>
              <a:t>UM-4 -</a:t>
            </a:r>
            <a:r>
              <a:rPr lang="pt-BR" baseline="0"/>
              <a:t> 2º TURNO</a:t>
            </a:r>
            <a:endParaRPr lang="pt-BR"/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45511482254697E-2"/>
          <c:y val="0.12100840336134454"/>
          <c:w val="0.87891440501043838"/>
          <c:h val="0.69243697478991595"/>
        </c:manualLayout>
      </c:layout>
      <c:barChart>
        <c:barDir val="col"/>
        <c:grouping val="clustered"/>
        <c:varyColors val="0"/>
        <c:ser>
          <c:idx val="0"/>
          <c:order val="0"/>
          <c:tx>
            <c:v>Problemas</c:v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60000"/>
                    <a:lumOff val="40000"/>
                  </a:schemeClr>
                </a:gs>
                <a:gs pos="100000">
                  <a:srgbClr val="FF0000"/>
                </a:gs>
              </a:gsLst>
              <a:lin ang="0" scaled="0"/>
            </a:gradFill>
            <a:ln w="9525"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'Dados para grafico'!$J$28:$J$43</c:f>
              <c:strCache>
                <c:ptCount val="16"/>
                <c:pt idx="0">
                  <c:v>Outros</c:v>
                </c:pt>
                <c:pt idx="1">
                  <c:v>Amassada na faca</c:v>
                </c:pt>
                <c:pt idx="2">
                  <c:v>Amassada na saída encaixotadeira</c:v>
                </c:pt>
                <c:pt idx="3">
                  <c:v>Outros (Montagem)</c:v>
                </c:pt>
                <c:pt idx="4">
                  <c:v>Pilha amassada</c:v>
                </c:pt>
                <c:pt idx="5">
                  <c:v>Tubo de Zinco Trincado</c:v>
                </c:pt>
                <c:pt idx="6">
                  <c:v>Fundo sujo</c:v>
                </c:pt>
                <c:pt idx="7">
                  <c:v>Bottom Plate Amassado</c:v>
                </c:pt>
                <c:pt idx="8">
                  <c:v>Sem Bottom Plate</c:v>
                </c:pt>
                <c:pt idx="9">
                  <c:v>Sem PY</c:v>
                </c:pt>
                <c:pt idx="10">
                  <c:v>PY Deslocado</c:v>
                </c:pt>
                <c:pt idx="11">
                  <c:v>Cap Rachado</c:v>
                </c:pt>
                <c:pt idx="12">
                  <c:v>Cap Amassado / Afundado</c:v>
                </c:pt>
                <c:pt idx="13">
                  <c:v>Sem Cap</c:v>
                </c:pt>
                <c:pt idx="14">
                  <c:v>Outros (Sleeve)</c:v>
                </c:pt>
                <c:pt idx="15">
                  <c:v>PVC deformado</c:v>
                </c:pt>
              </c:strCache>
            </c:strRef>
          </c:cat>
          <c:val>
            <c:numRef>
              <c:f>[0]!Lin2S2T_PROB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A-4005-889C-CD99CBE4CA9A}"/>
            </c:ext>
          </c:extLst>
        </c:ser>
        <c:ser>
          <c:idx val="2"/>
          <c:order val="1"/>
          <c:tx>
            <c:v>Falhas</c:v>
          </c:tx>
          <c:spPr>
            <a:gradFill>
              <a:gsLst>
                <a:gs pos="0">
                  <a:srgbClr val="002060"/>
                </a:gs>
                <a:gs pos="50000">
                  <a:srgbClr val="00B0F0"/>
                </a:gs>
                <a:gs pos="100000">
                  <a:srgbClr val="002060"/>
                </a:gs>
              </a:gsLst>
              <a:lin ang="0" scaled="0"/>
            </a:gradFill>
            <a:ln>
              <a:solidFill>
                <a:schemeClr val="tx1"/>
              </a:solidFill>
            </a:ln>
          </c:spPr>
          <c:invertIfNegative val="0"/>
          <c:cat>
            <c:strRef>
              <c:f>'Dados para grafico'!$J$28:$J$43</c:f>
              <c:strCache>
                <c:ptCount val="16"/>
                <c:pt idx="0">
                  <c:v>Outros</c:v>
                </c:pt>
                <c:pt idx="1">
                  <c:v>Amassada na faca</c:v>
                </c:pt>
                <c:pt idx="2">
                  <c:v>Amassada na saída encaixotadeira</c:v>
                </c:pt>
                <c:pt idx="3">
                  <c:v>Outros (Montagem)</c:v>
                </c:pt>
                <c:pt idx="4">
                  <c:v>Pilha amassada</c:v>
                </c:pt>
                <c:pt idx="5">
                  <c:v>Tubo de Zinco Trincado</c:v>
                </c:pt>
                <c:pt idx="6">
                  <c:v>Fundo sujo</c:v>
                </c:pt>
                <c:pt idx="7">
                  <c:v>Bottom Plate Amassado</c:v>
                </c:pt>
                <c:pt idx="8">
                  <c:v>Sem Bottom Plate</c:v>
                </c:pt>
                <c:pt idx="9">
                  <c:v>Sem PY</c:v>
                </c:pt>
                <c:pt idx="10">
                  <c:v>PY Deslocado</c:v>
                </c:pt>
                <c:pt idx="11">
                  <c:v>Cap Rachado</c:v>
                </c:pt>
                <c:pt idx="12">
                  <c:v>Cap Amassado / Afundado</c:v>
                </c:pt>
                <c:pt idx="13">
                  <c:v>Sem Cap</c:v>
                </c:pt>
                <c:pt idx="14">
                  <c:v>Outros (Sleeve)</c:v>
                </c:pt>
                <c:pt idx="15">
                  <c:v>PVC deformado</c:v>
                </c:pt>
              </c:strCache>
            </c:strRef>
          </c:cat>
          <c:val>
            <c:numRef>
              <c:f>[0]!Lin2S2T_Y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CA-4005-889C-CD99CBE4C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4439080"/>
        <c:axId val="604439472"/>
      </c:barChart>
      <c:lineChart>
        <c:grouping val="standard"/>
        <c:varyColors val="0"/>
        <c:ser>
          <c:idx val="1"/>
          <c:order val="2"/>
          <c:tx>
            <c:v>Acumulado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[0]!Lin2S2T_X</c:f>
              <c:strCache>
                <c:ptCount val="1"/>
                <c:pt idx="0">
                  <c:v>Outros</c:v>
                </c:pt>
              </c:strCache>
            </c:strRef>
          </c:cat>
          <c:val>
            <c:numRef>
              <c:f>[0]!Lin2S2T_AC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CA-4005-889C-CD99CBE4C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39864"/>
        <c:axId val="604440256"/>
      </c:lineChart>
      <c:catAx>
        <c:axId val="6044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Tipos de Falhas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439472"/>
        <c:crosses val="autoZero"/>
        <c:auto val="1"/>
        <c:lblAlgn val="ctr"/>
        <c:lblOffset val="100"/>
        <c:noMultiLvlLbl val="0"/>
      </c:catAx>
      <c:valAx>
        <c:axId val="60443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439080"/>
        <c:crosses val="autoZero"/>
        <c:crossBetween val="between"/>
      </c:valAx>
      <c:catAx>
        <c:axId val="604439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4440256"/>
        <c:crosses val="autoZero"/>
        <c:auto val="1"/>
        <c:lblAlgn val="ctr"/>
        <c:lblOffset val="100"/>
        <c:noMultiLvlLbl val="0"/>
      </c:catAx>
      <c:valAx>
        <c:axId val="6044402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439864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7560057218366996"/>
          <c:y val="0.30305087857658497"/>
          <c:w val="9.4316014652471108E-2"/>
          <c:h val="0.13309114580073358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Pareto de Falhas - Acabamento</a:t>
            </a:r>
            <a:r>
              <a:rPr lang="pt-BR" baseline="0"/>
              <a:t> </a:t>
            </a:r>
            <a:r>
              <a:rPr lang="pt-BR"/>
              <a:t>UM-4 -</a:t>
            </a:r>
            <a:r>
              <a:rPr lang="pt-BR" baseline="0"/>
              <a:t> 3º TURNO</a:t>
            </a:r>
            <a:endParaRPr lang="pt-BR"/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45511482254697E-2"/>
          <c:y val="0.12100840336134454"/>
          <c:w val="0.87891440501043838"/>
          <c:h val="0.69243697478991595"/>
        </c:manualLayout>
      </c:layout>
      <c:barChart>
        <c:barDir val="col"/>
        <c:grouping val="clustered"/>
        <c:varyColors val="0"/>
        <c:ser>
          <c:idx val="0"/>
          <c:order val="0"/>
          <c:tx>
            <c:v>Problemas</c:v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60000"/>
                    <a:lumOff val="40000"/>
                  </a:schemeClr>
                </a:gs>
                <a:gs pos="100000">
                  <a:srgbClr val="FF0000"/>
                </a:gs>
              </a:gsLst>
              <a:lin ang="0" scaled="0"/>
            </a:gradFill>
            <a:ln w="9525"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'Dados para grafico'!$J$28:$J$43</c:f>
              <c:strCache>
                <c:ptCount val="16"/>
                <c:pt idx="0">
                  <c:v>Outros</c:v>
                </c:pt>
                <c:pt idx="1">
                  <c:v>Amassada na faca</c:v>
                </c:pt>
                <c:pt idx="2">
                  <c:v>Amassada na saída encaixotadeira</c:v>
                </c:pt>
                <c:pt idx="3">
                  <c:v>Outros (Montagem)</c:v>
                </c:pt>
                <c:pt idx="4">
                  <c:v>Pilha amassada</c:v>
                </c:pt>
                <c:pt idx="5">
                  <c:v>Tubo de Zinco Trincado</c:v>
                </c:pt>
                <c:pt idx="6">
                  <c:v>Fundo sujo</c:v>
                </c:pt>
                <c:pt idx="7">
                  <c:v>Bottom Plate Amassado</c:v>
                </c:pt>
                <c:pt idx="8">
                  <c:v>Sem Bottom Plate</c:v>
                </c:pt>
                <c:pt idx="9">
                  <c:v>Sem PY</c:v>
                </c:pt>
                <c:pt idx="10">
                  <c:v>PY Deslocado</c:v>
                </c:pt>
                <c:pt idx="11">
                  <c:v>Cap Rachado</c:v>
                </c:pt>
                <c:pt idx="12">
                  <c:v>Cap Amassado / Afundado</c:v>
                </c:pt>
                <c:pt idx="13">
                  <c:v>Sem Cap</c:v>
                </c:pt>
                <c:pt idx="14">
                  <c:v>Outros (Sleeve)</c:v>
                </c:pt>
                <c:pt idx="15">
                  <c:v>PVC deformado</c:v>
                </c:pt>
              </c:strCache>
            </c:strRef>
          </c:cat>
          <c:val>
            <c:numRef>
              <c:f>[0]!Lin2S3T_PROB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17-440C-803D-D68BBE6E96B5}"/>
            </c:ext>
          </c:extLst>
        </c:ser>
        <c:ser>
          <c:idx val="2"/>
          <c:order val="1"/>
          <c:tx>
            <c:v>Falhas</c:v>
          </c:tx>
          <c:spPr>
            <a:gradFill>
              <a:gsLst>
                <a:gs pos="0">
                  <a:srgbClr val="002060"/>
                </a:gs>
                <a:gs pos="50000">
                  <a:srgbClr val="00B0F0"/>
                </a:gs>
                <a:gs pos="100000">
                  <a:srgbClr val="002060"/>
                </a:gs>
              </a:gsLst>
              <a:lin ang="0" scaled="0"/>
            </a:gradFill>
            <a:ln>
              <a:solidFill>
                <a:schemeClr val="tx1"/>
              </a:solidFill>
            </a:ln>
          </c:spPr>
          <c:invertIfNegative val="0"/>
          <c:cat>
            <c:strRef>
              <c:f>'Dados para grafico'!$J$28:$J$43</c:f>
              <c:strCache>
                <c:ptCount val="16"/>
                <c:pt idx="0">
                  <c:v>Outros</c:v>
                </c:pt>
                <c:pt idx="1">
                  <c:v>Amassada na faca</c:v>
                </c:pt>
                <c:pt idx="2">
                  <c:v>Amassada na saída encaixotadeira</c:v>
                </c:pt>
                <c:pt idx="3">
                  <c:v>Outros (Montagem)</c:v>
                </c:pt>
                <c:pt idx="4">
                  <c:v>Pilha amassada</c:v>
                </c:pt>
                <c:pt idx="5">
                  <c:v>Tubo de Zinco Trincado</c:v>
                </c:pt>
                <c:pt idx="6">
                  <c:v>Fundo sujo</c:v>
                </c:pt>
                <c:pt idx="7">
                  <c:v>Bottom Plate Amassado</c:v>
                </c:pt>
                <c:pt idx="8">
                  <c:v>Sem Bottom Plate</c:v>
                </c:pt>
                <c:pt idx="9">
                  <c:v>Sem PY</c:v>
                </c:pt>
                <c:pt idx="10">
                  <c:v>PY Deslocado</c:v>
                </c:pt>
                <c:pt idx="11">
                  <c:v>Cap Rachado</c:v>
                </c:pt>
                <c:pt idx="12">
                  <c:v>Cap Amassado / Afundado</c:v>
                </c:pt>
                <c:pt idx="13">
                  <c:v>Sem Cap</c:v>
                </c:pt>
                <c:pt idx="14">
                  <c:v>Outros (Sleeve)</c:v>
                </c:pt>
                <c:pt idx="15">
                  <c:v>PVC deformado</c:v>
                </c:pt>
              </c:strCache>
            </c:strRef>
          </c:cat>
          <c:val>
            <c:numRef>
              <c:f>[0]!Lin2S3T_Y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17-440C-803D-D68BBE6E9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4443784"/>
        <c:axId val="604444176"/>
      </c:barChart>
      <c:lineChart>
        <c:grouping val="standard"/>
        <c:varyColors val="0"/>
        <c:ser>
          <c:idx val="1"/>
          <c:order val="2"/>
          <c:tx>
            <c:v>Acumulado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[0]!Lin2S3T_X</c:f>
              <c:strCache>
                <c:ptCount val="1"/>
                <c:pt idx="0">
                  <c:v>Outros</c:v>
                </c:pt>
              </c:strCache>
            </c:strRef>
          </c:cat>
          <c:val>
            <c:numRef>
              <c:f>[0]!Lin2S3T_AC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17-440C-803D-D68BBE6E9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44568"/>
        <c:axId val="604444960"/>
      </c:lineChart>
      <c:catAx>
        <c:axId val="604443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Tipos de Falhas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444176"/>
        <c:crosses val="autoZero"/>
        <c:auto val="1"/>
        <c:lblAlgn val="ctr"/>
        <c:lblOffset val="100"/>
        <c:noMultiLvlLbl val="0"/>
      </c:catAx>
      <c:valAx>
        <c:axId val="60444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443784"/>
        <c:crosses val="autoZero"/>
        <c:crossBetween val="between"/>
      </c:valAx>
      <c:catAx>
        <c:axId val="604444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4444960"/>
        <c:crosses val="autoZero"/>
        <c:auto val="1"/>
        <c:lblAlgn val="ctr"/>
        <c:lblOffset val="100"/>
        <c:noMultiLvlLbl val="0"/>
      </c:catAx>
      <c:valAx>
        <c:axId val="6044449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444568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7560057218366996"/>
          <c:y val="0.30305087857658497"/>
          <c:w val="9.4316014652471108E-2"/>
          <c:h val="0.13309114580073358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Pareto de Falhas - Acabamento</a:t>
            </a:r>
            <a:r>
              <a:rPr lang="pt-BR" baseline="0"/>
              <a:t> </a:t>
            </a:r>
            <a:r>
              <a:rPr lang="pt-BR"/>
              <a:t>UM-4 -4S Dia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45511482254697E-2"/>
          <c:y val="0.12100840336134454"/>
          <c:w val="0.87891440501043838"/>
          <c:h val="0.69243697478991595"/>
        </c:manualLayout>
      </c:layout>
      <c:barChart>
        <c:barDir val="col"/>
        <c:grouping val="clustered"/>
        <c:varyColors val="0"/>
        <c:ser>
          <c:idx val="0"/>
          <c:order val="0"/>
          <c:tx>
            <c:v>Problemas</c:v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60000"/>
                    <a:lumOff val="40000"/>
                  </a:schemeClr>
                </a:gs>
                <a:gs pos="100000">
                  <a:srgbClr val="FF0000"/>
                </a:gs>
              </a:gsLst>
              <a:lin ang="0" scaled="0"/>
            </a:gradFill>
            <a:ln w="9525"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[0]!Lin4SD_X</c:f>
              <c:strCache>
                <c:ptCount val="1"/>
                <c:pt idx="0">
                  <c:v>Outros (Montagem)</c:v>
                </c:pt>
              </c:strCache>
            </c:strRef>
          </c:cat>
          <c:val>
            <c:numRef>
              <c:f>[0]!Lin4SD_PROB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D-4E3D-9476-21DCFA3B5A1C}"/>
            </c:ext>
          </c:extLst>
        </c:ser>
        <c:ser>
          <c:idx val="2"/>
          <c:order val="1"/>
          <c:tx>
            <c:v>Falhas</c:v>
          </c:tx>
          <c:spPr>
            <a:gradFill>
              <a:gsLst>
                <a:gs pos="0">
                  <a:srgbClr val="002060"/>
                </a:gs>
                <a:gs pos="50000">
                  <a:schemeClr val="accent1">
                    <a:lumMod val="20000"/>
                    <a:lumOff val="80000"/>
                  </a:schemeClr>
                </a:gs>
                <a:gs pos="100000">
                  <a:srgbClr val="002060"/>
                </a:gs>
              </a:gsLst>
              <a:lin ang="0" scaled="0"/>
            </a:gradFill>
            <a:ln>
              <a:solidFill>
                <a:schemeClr val="tx1"/>
              </a:solidFill>
            </a:ln>
          </c:spPr>
          <c:invertIfNegative val="0"/>
          <c:cat>
            <c:strRef>
              <c:f>[0]!Lin4SD_X</c:f>
              <c:strCache>
                <c:ptCount val="1"/>
                <c:pt idx="0">
                  <c:v>Outros (Montagem)</c:v>
                </c:pt>
              </c:strCache>
            </c:strRef>
          </c:cat>
          <c:val>
            <c:numRef>
              <c:f>[0]!Lin4SD_Y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4D-4E3D-9476-21DCFA3B5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604445744"/>
        <c:axId val="604446136"/>
      </c:barChart>
      <c:lineChart>
        <c:grouping val="standard"/>
        <c:varyColors val="0"/>
        <c:ser>
          <c:idx val="1"/>
          <c:order val="2"/>
          <c:tx>
            <c:v>Acumulado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'Dados para grafico'!$J$4:$J$19</c:f>
              <c:strCache>
                <c:ptCount val="16"/>
                <c:pt idx="0">
                  <c:v>Outros</c:v>
                </c:pt>
                <c:pt idx="1">
                  <c:v>Amassada na faca</c:v>
                </c:pt>
                <c:pt idx="2">
                  <c:v>Amassada na saída encaixotadeira</c:v>
                </c:pt>
                <c:pt idx="3">
                  <c:v>Outros (Montagem)</c:v>
                </c:pt>
                <c:pt idx="4">
                  <c:v>Pilha amassada</c:v>
                </c:pt>
                <c:pt idx="5">
                  <c:v>Tubo de Zinco Trincado</c:v>
                </c:pt>
                <c:pt idx="6">
                  <c:v>Fundo sujo</c:v>
                </c:pt>
                <c:pt idx="7">
                  <c:v>Bottom Plate Amassado</c:v>
                </c:pt>
                <c:pt idx="8">
                  <c:v>Sem Bottom Plate</c:v>
                </c:pt>
                <c:pt idx="9">
                  <c:v>Sem PY</c:v>
                </c:pt>
                <c:pt idx="10">
                  <c:v>PY Deslocado</c:v>
                </c:pt>
                <c:pt idx="11">
                  <c:v>Cap Rachado</c:v>
                </c:pt>
                <c:pt idx="12">
                  <c:v>Cap Amassado / Afundado</c:v>
                </c:pt>
                <c:pt idx="13">
                  <c:v>Sem Cap</c:v>
                </c:pt>
                <c:pt idx="14">
                  <c:v>Outros (Sleeve)</c:v>
                </c:pt>
                <c:pt idx="15">
                  <c:v>PVC deformado</c:v>
                </c:pt>
              </c:strCache>
            </c:strRef>
          </c:cat>
          <c:val>
            <c:numRef>
              <c:f>[0]!Lin4SD_AC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4D-4E3D-9476-21DCFA3B5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43000"/>
        <c:axId val="604443392"/>
      </c:lineChart>
      <c:catAx>
        <c:axId val="604445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Tipos de Falhas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446136"/>
        <c:crosses val="autoZero"/>
        <c:auto val="1"/>
        <c:lblAlgn val="ctr"/>
        <c:lblOffset val="100"/>
        <c:noMultiLvlLbl val="0"/>
      </c:catAx>
      <c:valAx>
        <c:axId val="604446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445744"/>
        <c:crosses val="autoZero"/>
        <c:crossBetween val="between"/>
      </c:valAx>
      <c:catAx>
        <c:axId val="604443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4443392"/>
        <c:crosses val="autoZero"/>
        <c:auto val="1"/>
        <c:lblAlgn val="ctr"/>
        <c:lblOffset val="100"/>
        <c:noMultiLvlLbl val="0"/>
      </c:catAx>
      <c:valAx>
        <c:axId val="60444339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443000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989005454436891"/>
          <c:y val="0.1249904652220539"/>
          <c:w val="9.4316014652471108E-2"/>
          <c:h val="0.11189347754424178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Pareto de Falhas - Acabamento</a:t>
            </a:r>
            <a:r>
              <a:rPr lang="pt-BR" baseline="0"/>
              <a:t> </a:t>
            </a:r>
            <a:r>
              <a:rPr lang="pt-BR"/>
              <a:t>UM-4 -4S 2º TURNO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45511482254697E-2"/>
          <c:y val="0.12100840336134454"/>
          <c:w val="0.87891440501043838"/>
          <c:h val="0.69243697478991595"/>
        </c:manualLayout>
      </c:layout>
      <c:barChart>
        <c:barDir val="col"/>
        <c:grouping val="clustered"/>
        <c:varyColors val="0"/>
        <c:ser>
          <c:idx val="0"/>
          <c:order val="0"/>
          <c:tx>
            <c:v>Problemas</c:v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60000"/>
                    <a:lumOff val="40000"/>
                  </a:schemeClr>
                </a:gs>
                <a:gs pos="100000">
                  <a:srgbClr val="FF0000"/>
                </a:gs>
              </a:gsLst>
              <a:lin ang="0" scaled="0"/>
            </a:gradFill>
            <a:ln w="9525"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'Dados para grafico'!$J$76:$J$91</c:f>
              <c:strCache>
                <c:ptCount val="16"/>
                <c:pt idx="0">
                  <c:v>Outros (Montagem)</c:v>
                </c:pt>
                <c:pt idx="1">
                  <c:v>Outros (Montagem)</c:v>
                </c:pt>
                <c:pt idx="2">
                  <c:v>Outros (Montagem)</c:v>
                </c:pt>
                <c:pt idx="3">
                  <c:v>Outros (Montagem)</c:v>
                </c:pt>
                <c:pt idx="4">
                  <c:v>Pilha amassada</c:v>
                </c:pt>
                <c:pt idx="5">
                  <c:v>Tubo de Zinco Trincado</c:v>
                </c:pt>
                <c:pt idx="6">
                  <c:v>Fundo sujo</c:v>
                </c:pt>
                <c:pt idx="7">
                  <c:v>Bottom Plate Amassado</c:v>
                </c:pt>
                <c:pt idx="8">
                  <c:v>Sem Bottom Plate</c:v>
                </c:pt>
                <c:pt idx="9">
                  <c:v>Sem PY</c:v>
                </c:pt>
                <c:pt idx="10">
                  <c:v>PY Deslocado</c:v>
                </c:pt>
                <c:pt idx="11">
                  <c:v>Cap Rachado</c:v>
                </c:pt>
                <c:pt idx="12">
                  <c:v>Cap Amassado / Afundado</c:v>
                </c:pt>
                <c:pt idx="13">
                  <c:v>Sem Cap</c:v>
                </c:pt>
                <c:pt idx="14">
                  <c:v>Outros (Sleeve)</c:v>
                </c:pt>
                <c:pt idx="15">
                  <c:v>PVC deformado</c:v>
                </c:pt>
              </c:strCache>
            </c:strRef>
          </c:cat>
          <c:val>
            <c:numRef>
              <c:f>[0]!Lin4S2T_PROB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BC-44A1-99C0-57A496EC09E2}"/>
            </c:ext>
          </c:extLst>
        </c:ser>
        <c:ser>
          <c:idx val="2"/>
          <c:order val="1"/>
          <c:tx>
            <c:v>Falhas</c:v>
          </c:tx>
          <c:spPr>
            <a:gradFill>
              <a:gsLst>
                <a:gs pos="0">
                  <a:srgbClr val="002060"/>
                </a:gs>
                <a:gs pos="50000">
                  <a:schemeClr val="accent1">
                    <a:lumMod val="40000"/>
                    <a:lumOff val="60000"/>
                  </a:schemeClr>
                </a:gs>
                <a:gs pos="100000">
                  <a:srgbClr val="002060"/>
                </a:gs>
              </a:gsLst>
              <a:lin ang="0" scaled="0"/>
            </a:gradFill>
            <a:ln>
              <a:solidFill>
                <a:schemeClr val="tx1"/>
              </a:solidFill>
            </a:ln>
          </c:spPr>
          <c:invertIfNegative val="0"/>
          <c:dPt>
            <c:idx val="1"/>
            <c:invertIfNegative val="0"/>
            <c:bubble3D val="0"/>
            <c:spPr>
              <a:gradFill>
                <a:gsLst>
                  <a:gs pos="0">
                    <a:srgbClr val="002060"/>
                  </a:gs>
                  <a:gs pos="50000">
                    <a:schemeClr val="accent1">
                      <a:lumMod val="20000"/>
                      <a:lumOff val="80000"/>
                    </a:schemeClr>
                  </a:gs>
                  <a:gs pos="100000">
                    <a:srgbClr val="002060"/>
                  </a:gs>
                </a:gsLst>
                <a:lin ang="0" scaled="0"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0-393A-49E8-AF89-693808753CE5}"/>
              </c:ext>
            </c:extLst>
          </c:dPt>
          <c:cat>
            <c:strRef>
              <c:f>'Dados para grafico'!$J$76:$J$91</c:f>
              <c:strCache>
                <c:ptCount val="16"/>
                <c:pt idx="0">
                  <c:v>Outros (Montagem)</c:v>
                </c:pt>
                <c:pt idx="1">
                  <c:v>Outros (Montagem)</c:v>
                </c:pt>
                <c:pt idx="2">
                  <c:v>Outros (Montagem)</c:v>
                </c:pt>
                <c:pt idx="3">
                  <c:v>Outros (Montagem)</c:v>
                </c:pt>
                <c:pt idx="4">
                  <c:v>Pilha amassada</c:v>
                </c:pt>
                <c:pt idx="5">
                  <c:v>Tubo de Zinco Trincado</c:v>
                </c:pt>
                <c:pt idx="6">
                  <c:v>Fundo sujo</c:v>
                </c:pt>
                <c:pt idx="7">
                  <c:v>Bottom Plate Amassado</c:v>
                </c:pt>
                <c:pt idx="8">
                  <c:v>Sem Bottom Plate</c:v>
                </c:pt>
                <c:pt idx="9">
                  <c:v>Sem PY</c:v>
                </c:pt>
                <c:pt idx="10">
                  <c:v>PY Deslocado</c:v>
                </c:pt>
                <c:pt idx="11">
                  <c:v>Cap Rachado</c:v>
                </c:pt>
                <c:pt idx="12">
                  <c:v>Cap Amassado / Afundado</c:v>
                </c:pt>
                <c:pt idx="13">
                  <c:v>Sem Cap</c:v>
                </c:pt>
                <c:pt idx="14">
                  <c:v>Outros (Sleeve)</c:v>
                </c:pt>
                <c:pt idx="15">
                  <c:v>PVC deformado</c:v>
                </c:pt>
              </c:strCache>
            </c:strRef>
          </c:cat>
          <c:val>
            <c:numRef>
              <c:f>[0]!Lin4S2T_Y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BC-44A1-99C0-57A496EC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603468968"/>
        <c:axId val="603475240"/>
      </c:barChart>
      <c:lineChart>
        <c:grouping val="standard"/>
        <c:varyColors val="0"/>
        <c:ser>
          <c:idx val="1"/>
          <c:order val="2"/>
          <c:tx>
            <c:v>Acumulado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[0]!Lin4S2T_X</c:f>
              <c:strCache>
                <c:ptCount val="1"/>
                <c:pt idx="0">
                  <c:v>Outros</c:v>
                </c:pt>
              </c:strCache>
            </c:strRef>
          </c:cat>
          <c:val>
            <c:numRef>
              <c:f>[0]!Lin4S2T_AC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BC-44A1-99C0-57A496EC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72104"/>
        <c:axId val="603475632"/>
      </c:lineChart>
      <c:catAx>
        <c:axId val="603468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Tipos de Falhas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3475240"/>
        <c:crosses val="autoZero"/>
        <c:auto val="1"/>
        <c:lblAlgn val="ctr"/>
        <c:lblOffset val="100"/>
        <c:noMultiLvlLbl val="0"/>
      </c:catAx>
      <c:valAx>
        <c:axId val="60347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3468968"/>
        <c:crosses val="autoZero"/>
        <c:crossBetween val="between"/>
      </c:valAx>
      <c:catAx>
        <c:axId val="6034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3475632"/>
        <c:crosses val="autoZero"/>
        <c:auto val="1"/>
        <c:lblAlgn val="ctr"/>
        <c:lblOffset val="100"/>
        <c:noMultiLvlLbl val="0"/>
      </c:catAx>
      <c:valAx>
        <c:axId val="6034756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3472104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5165359522938"/>
          <c:y val="0.13134976569900145"/>
          <c:w val="9.4316014652471108E-2"/>
          <c:h val="0.1415702131033303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Pareto de Falhas - Acabamento</a:t>
            </a:r>
            <a:r>
              <a:rPr lang="pt-BR" baseline="0"/>
              <a:t> </a:t>
            </a:r>
            <a:r>
              <a:rPr lang="pt-BR"/>
              <a:t>UM-4 -4S 3º TURNO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45511482254697E-2"/>
          <c:y val="0.12100840336134454"/>
          <c:w val="0.87891440501043838"/>
          <c:h val="0.69243697478991595"/>
        </c:manualLayout>
      </c:layout>
      <c:barChart>
        <c:barDir val="col"/>
        <c:grouping val="clustered"/>
        <c:varyColors val="0"/>
        <c:ser>
          <c:idx val="0"/>
          <c:order val="0"/>
          <c:tx>
            <c:v>Problemas</c:v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60000"/>
                    <a:lumOff val="40000"/>
                  </a:schemeClr>
                </a:gs>
                <a:gs pos="100000">
                  <a:srgbClr val="FF0000"/>
                </a:gs>
              </a:gsLst>
              <a:lin ang="0" scaled="0"/>
            </a:gradFill>
            <a:ln w="9525"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'Dados para grafico'!$J$76:$J$91</c:f>
              <c:strCache>
                <c:ptCount val="16"/>
                <c:pt idx="0">
                  <c:v>Outros (Montagem)</c:v>
                </c:pt>
                <c:pt idx="1">
                  <c:v>Outros (Montagem)</c:v>
                </c:pt>
                <c:pt idx="2">
                  <c:v>Outros (Montagem)</c:v>
                </c:pt>
                <c:pt idx="3">
                  <c:v>Outros (Montagem)</c:v>
                </c:pt>
                <c:pt idx="4">
                  <c:v>Pilha amassada</c:v>
                </c:pt>
                <c:pt idx="5">
                  <c:v>Tubo de Zinco Trincado</c:v>
                </c:pt>
                <c:pt idx="6">
                  <c:v>Fundo sujo</c:v>
                </c:pt>
                <c:pt idx="7">
                  <c:v>Bottom Plate Amassado</c:v>
                </c:pt>
                <c:pt idx="8">
                  <c:v>Sem Bottom Plate</c:v>
                </c:pt>
                <c:pt idx="9">
                  <c:v>Sem PY</c:v>
                </c:pt>
                <c:pt idx="10">
                  <c:v>PY Deslocado</c:v>
                </c:pt>
                <c:pt idx="11">
                  <c:v>Cap Rachado</c:v>
                </c:pt>
                <c:pt idx="12">
                  <c:v>Cap Amassado / Afundado</c:v>
                </c:pt>
                <c:pt idx="13">
                  <c:v>Sem Cap</c:v>
                </c:pt>
                <c:pt idx="14">
                  <c:v>Outros (Sleeve)</c:v>
                </c:pt>
                <c:pt idx="15">
                  <c:v>PVC deformado</c:v>
                </c:pt>
              </c:strCache>
            </c:strRef>
          </c:cat>
          <c:val>
            <c:numRef>
              <c:f>[0]!Lin4S3T_PROB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E2-443A-A656-B9E60D10F413}"/>
            </c:ext>
          </c:extLst>
        </c:ser>
        <c:ser>
          <c:idx val="2"/>
          <c:order val="1"/>
          <c:tx>
            <c:v>Falhas</c:v>
          </c:tx>
          <c:spPr>
            <a:gradFill>
              <a:gsLst>
                <a:gs pos="0">
                  <a:srgbClr val="002060"/>
                </a:gs>
                <a:gs pos="50000">
                  <a:schemeClr val="accent1">
                    <a:lumMod val="40000"/>
                    <a:lumOff val="60000"/>
                  </a:schemeClr>
                </a:gs>
                <a:gs pos="100000">
                  <a:srgbClr val="002060"/>
                </a:gs>
              </a:gsLst>
              <a:lin ang="0" scaled="0"/>
            </a:gradFill>
            <a:ln>
              <a:solidFill>
                <a:schemeClr val="tx1"/>
              </a:solidFill>
            </a:ln>
          </c:spPr>
          <c:invertIfNegative val="0"/>
          <c:dPt>
            <c:idx val="1"/>
            <c:invertIfNegative val="0"/>
            <c:bubble3D val="0"/>
            <c:spPr>
              <a:gradFill>
                <a:gsLst>
                  <a:gs pos="0">
                    <a:srgbClr val="002060"/>
                  </a:gs>
                  <a:gs pos="50000">
                    <a:schemeClr val="accent1">
                      <a:lumMod val="20000"/>
                      <a:lumOff val="80000"/>
                    </a:schemeClr>
                  </a:gs>
                  <a:gs pos="100000">
                    <a:srgbClr val="002060"/>
                  </a:gs>
                </a:gsLst>
                <a:lin ang="0" scaled="0"/>
              </a:gra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6E2-443A-A656-B9E60D10F413}"/>
              </c:ext>
            </c:extLst>
          </c:dPt>
          <c:cat>
            <c:strRef>
              <c:f>'Dados para grafico'!$J$76:$J$91</c:f>
              <c:strCache>
                <c:ptCount val="16"/>
                <c:pt idx="0">
                  <c:v>Outros (Montagem)</c:v>
                </c:pt>
                <c:pt idx="1">
                  <c:v>Outros (Montagem)</c:v>
                </c:pt>
                <c:pt idx="2">
                  <c:v>Outros (Montagem)</c:v>
                </c:pt>
                <c:pt idx="3">
                  <c:v>Outros (Montagem)</c:v>
                </c:pt>
                <c:pt idx="4">
                  <c:v>Pilha amassada</c:v>
                </c:pt>
                <c:pt idx="5">
                  <c:v>Tubo de Zinco Trincado</c:v>
                </c:pt>
                <c:pt idx="6">
                  <c:v>Fundo sujo</c:v>
                </c:pt>
                <c:pt idx="7">
                  <c:v>Bottom Plate Amassado</c:v>
                </c:pt>
                <c:pt idx="8">
                  <c:v>Sem Bottom Plate</c:v>
                </c:pt>
                <c:pt idx="9">
                  <c:v>Sem PY</c:v>
                </c:pt>
                <c:pt idx="10">
                  <c:v>PY Deslocado</c:v>
                </c:pt>
                <c:pt idx="11">
                  <c:v>Cap Rachado</c:v>
                </c:pt>
                <c:pt idx="12">
                  <c:v>Cap Amassado / Afundado</c:v>
                </c:pt>
                <c:pt idx="13">
                  <c:v>Sem Cap</c:v>
                </c:pt>
                <c:pt idx="14">
                  <c:v>Outros (Sleeve)</c:v>
                </c:pt>
                <c:pt idx="15">
                  <c:v>PVC deformado</c:v>
                </c:pt>
              </c:strCache>
            </c:strRef>
          </c:cat>
          <c:val>
            <c:numRef>
              <c:f>[0]!Lin4S3T_Y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E2-443A-A656-B9E60D10F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603467400"/>
        <c:axId val="603470928"/>
      </c:barChart>
      <c:lineChart>
        <c:grouping val="standard"/>
        <c:varyColors val="0"/>
        <c:ser>
          <c:idx val="1"/>
          <c:order val="2"/>
          <c:tx>
            <c:v>Acumulado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[0]!Lin4S3T_X</c:f>
              <c:strCache>
                <c:ptCount val="1"/>
                <c:pt idx="0">
                  <c:v>Outros (Montagem)</c:v>
                </c:pt>
              </c:strCache>
            </c:strRef>
          </c:cat>
          <c:val>
            <c:numRef>
              <c:f>[0]!Lin4S3T_AC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6E2-443A-A656-B9E60D10F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474456"/>
        <c:axId val="603470536"/>
      </c:lineChart>
      <c:catAx>
        <c:axId val="603467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Tipos de Falhas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3470928"/>
        <c:crosses val="autoZero"/>
        <c:auto val="1"/>
        <c:lblAlgn val="ctr"/>
        <c:lblOffset val="100"/>
        <c:noMultiLvlLbl val="0"/>
      </c:catAx>
      <c:valAx>
        <c:axId val="60347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3467400"/>
        <c:crosses val="autoZero"/>
        <c:crossBetween val="between"/>
      </c:valAx>
      <c:catAx>
        <c:axId val="603474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3470536"/>
        <c:crosses val="autoZero"/>
        <c:auto val="1"/>
        <c:lblAlgn val="ctr"/>
        <c:lblOffset val="100"/>
        <c:noMultiLvlLbl val="0"/>
      </c:catAx>
      <c:valAx>
        <c:axId val="60347053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3474456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5165359522938"/>
          <c:y val="0.13134976569900145"/>
          <c:w val="9.4316014652471108E-2"/>
          <c:h val="0.1415702131033303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Gráf1"/>
  <sheetViews>
    <sheetView workbookViewId="0"/>
  </sheetViews>
  <sheetProtection algorithmName="SHA-512" hashValue="+LzRjbziPoY8mt/7afcYEyuIWOt1PYjIJGs4olVzhQyUNGXhUF1nNRYqhK9qGkN8oFxqpk27Yxm9FkT3wmUNqw==" saltValue="kmp5jOZMYBibuiXDlF0Kg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2"/>
  <sheetViews>
    <sheetView workbookViewId="0"/>
  </sheetViews>
  <sheetProtection algorithmName="SHA-512" hashValue="qFZwBhTu5smce/x6zkcMs+na6A5QpAEQ8gEEkbIURvg01awPSYIDuixtprXox6nW7xniQ1nZb4j5WIzCWIgSFg==" saltValue="ZYJG6G/IA54RZu0CGUDSh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5"/>
  <sheetViews>
    <sheetView workbookViewId="0"/>
  </sheetViews>
  <sheetProtection algorithmName="SHA-512" hashValue="mKPOVsWQ728WPtnRkuWGoV4TCn17OLMHwpq+nIlPuEDcW/r+KBGn92ST2/ljIzp6gjuZ0Jo1TnQ2eEqERAAtgw==" saltValue="u+CWJBoBFbscMpy7vxarg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3"/>
  <sheetViews>
    <sheetView workbookViewId="0"/>
  </sheetViews>
  <sheetProtection algorithmName="SHA-512" hashValue="SkcljFqIefwc0UXARljgDSxZhfa3Q7dXpSdKp+/zjM+KcwWZ72z4YY9TUGas+dwtrgVgOBCgOSRcykYrVxwPFg==" saltValue="CBmLWYWuRzkcWi3EaV/IU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4"/>
  <sheetViews>
    <sheetView workbookViewId="0"/>
  </sheetViews>
  <sheetProtection algorithmName="SHA-512" hashValue="OEaT50Oy3g44btQuMpn0wJFqU27bnWl8A+iuvy/8wss0UY3n1ccfNq7lsmlm60N3wM7HelVxYY+yqt3slX/kjg==" saltValue="OL5nT184pUZLle5vYSdR5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Gráf6"/>
  <sheetViews>
    <sheetView workbookViewId="0"/>
  </sheetViews>
  <sheetProtection algorithmName="SHA-512" hashValue="Ncb/c62qh62tlQyjNeSUmggBTi1Msag2FoxrV2Kf5V5zAAShYrUXTonBYCXFx1HdBm+yGZPDmbzlB+25wMq6BQ==" saltValue="Sq6Thz5xtMHYtBs98xeeN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38100</xdr:rowOff>
    </xdr:from>
    <xdr:to>
      <xdr:col>14</xdr:col>
      <xdr:colOff>19050</xdr:colOff>
      <xdr:row>30</xdr:row>
      <xdr:rowOff>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19125" y="3867150"/>
          <a:ext cx="7934325" cy="2371726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5400" cmpd="sng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PARA LIMPAR OS DADOS DAS PLANILHAS: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1 - SALVAR COMO: SALVAR COMO: </a:t>
          </a:r>
        </a:p>
        <a:p>
          <a:endParaRPr lang="pt-BR" sz="1600" b="1" i="0" u="none" strike="noStrike">
            <a:solidFill>
              <a:schemeClr val="accent6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DEFINIR NOME DE NOVO MÊS DE COLETA DE DADOS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>
              <a:solidFill>
                <a:schemeClr val="accent6">
                  <a:lumMod val="50000"/>
                </a:schemeClr>
              </a:solidFill>
            </a:rPr>
            <a:t>2- Utilizar</a:t>
          </a:r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 a tecla de atalho CRTL+SHIFT+r para apagar os dados de todas planilhas.</a:t>
          </a:r>
        </a:p>
        <a:p>
          <a:endParaRPr lang="pt-BR" sz="1600" b="1" baseline="0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3- Utilizar a tecla de atalho CTRL+u para desbloquear a planilha se necessário.</a:t>
          </a:r>
          <a:endParaRPr lang="pt-BR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1</xdr:col>
      <xdr:colOff>28574</xdr:colOff>
      <xdr:row>3</xdr:row>
      <xdr:rowOff>123824</xdr:rowOff>
    </xdr:from>
    <xdr:ext cx="7896225" cy="27849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8174" y="790574"/>
          <a:ext cx="7896225" cy="278493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pt-BR" sz="16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TECLA DE ATALHO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CTRL+SHIFT+p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Protege todas as panilhas de lançamento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CTRL+u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Desprotege todas a planilhas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CTRL+r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Apaga os dados de todas as planilhas</a:t>
          </a:r>
        </a:p>
        <a:p>
          <a:r>
            <a:rPr lang="pt-BR" sz="1600"/>
            <a:t> </a:t>
          </a:r>
          <a:r>
            <a:rPr lang="pt-BR" sz="1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1600"/>
            <a:t> </a:t>
          </a:r>
        </a:p>
      </xdr:txBody>
    </xdr:sp>
    <xdr:clientData/>
  </xdr:oneCellAnchor>
  <xdr:twoCellAnchor>
    <xdr:from>
      <xdr:col>0</xdr:col>
      <xdr:colOff>600074</xdr:colOff>
      <xdr:row>1</xdr:row>
      <xdr:rowOff>0</xdr:rowOff>
    </xdr:from>
    <xdr:to>
      <xdr:col>13</xdr:col>
      <xdr:colOff>609599</xdr:colOff>
      <xdr:row>2</xdr:row>
      <xdr:rowOff>142875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00074" y="161925"/>
          <a:ext cx="7934325" cy="485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ap="rnd" cmpd="sng">
          <a:solidFill>
            <a:schemeClr val="accent6">
              <a:lumMod val="75000"/>
            </a:schemeClr>
          </a:solidFill>
          <a:round/>
        </a:ln>
        <a:effectLst>
          <a:outerShdw blurRad="76200" dist="1016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/>
            <a:t>INSTRUÇÕES DE UTILIZAÇÃO DOS GRÁFICOS DE FALHAS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1219200</xdr:colOff>
      <xdr:row>4</xdr:row>
      <xdr:rowOff>9525</xdr:rowOff>
    </xdr:from>
    <xdr:to>
      <xdr:col>29</xdr:col>
      <xdr:colOff>133350</xdr:colOff>
      <xdr:row>12</xdr:row>
      <xdr:rowOff>57150</xdr:rowOff>
    </xdr:to>
    <xdr:graphicFrame macro="">
      <xdr:nvGraphicFramePr>
        <xdr:cNvPr id="2" name="Gráfico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381000</xdr:rowOff>
    </xdr:to>
    <xdr:sp macro="" textlink="">
      <xdr:nvSpPr>
        <xdr:cNvPr id="3" name="Texto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419100" y="0"/>
          <a:ext cx="17430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2</xdr:col>
      <xdr:colOff>1333500</xdr:colOff>
      <xdr:row>35</xdr:row>
      <xdr:rowOff>0</xdr:rowOff>
    </xdr:from>
    <xdr:to>
      <xdr:col>29</xdr:col>
      <xdr:colOff>123825</xdr:colOff>
      <xdr:row>35</xdr:row>
      <xdr:rowOff>0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209549</xdr:colOff>
      <xdr:row>0</xdr:row>
      <xdr:rowOff>114300</xdr:rowOff>
    </xdr:from>
    <xdr:to>
      <xdr:col>13</xdr:col>
      <xdr:colOff>375149</xdr:colOff>
      <xdr:row>0</xdr:row>
      <xdr:rowOff>280576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848474" y="114300"/>
          <a:ext cx="165600" cy="16627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247650</xdr:colOff>
      <xdr:row>0</xdr:row>
      <xdr:rowOff>123825</xdr:rowOff>
    </xdr:from>
    <xdr:to>
      <xdr:col>15</xdr:col>
      <xdr:colOff>413250</xdr:colOff>
      <xdr:row>0</xdr:row>
      <xdr:rowOff>290101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7781925" y="123825"/>
          <a:ext cx="165600" cy="166276"/>
        </a:xfrm>
        <a:prstGeom prst="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0</xdr:row>
          <xdr:rowOff>114300</xdr:rowOff>
        </xdr:from>
        <xdr:to>
          <xdr:col>22</xdr:col>
          <xdr:colOff>381000</xdr:colOff>
          <xdr:row>0</xdr:row>
          <xdr:rowOff>304800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180975</xdr:colOff>
          <xdr:row>0</xdr:row>
          <xdr:rowOff>104775</xdr:rowOff>
        </xdr:from>
        <xdr:to>
          <xdr:col>23</xdr:col>
          <xdr:colOff>47625</xdr:colOff>
          <xdr:row>0</xdr:row>
          <xdr:rowOff>304800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2°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0</xdr:row>
          <xdr:rowOff>114300</xdr:rowOff>
        </xdr:from>
        <xdr:to>
          <xdr:col>23</xdr:col>
          <xdr:colOff>352425</xdr:colOff>
          <xdr:row>0</xdr:row>
          <xdr:rowOff>304800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3°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0.00501</cdr:x>
      <cdr:y>0.67629</cdr:y>
    </cdr:from>
    <cdr:to>
      <cdr:x>0.03926</cdr:x>
      <cdr:y>0.72577</cdr:y>
    </cdr:to>
    <cdr:sp macro="" textlink="">
      <cdr:nvSpPr>
        <cdr:cNvPr id="6" name="CaixaDeTexto 5"/>
        <cdr:cNvSpPr txBox="1"/>
      </cdr:nvSpPr>
      <cdr:spPr>
        <a:xfrm xmlns:a="http://schemas.openxmlformats.org/drawingml/2006/main">
          <a:off x="57150" y="3124200"/>
          <a:ext cx="39052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0.00422</cdr:x>
      <cdr:y>0.65075</cdr:y>
    </cdr:from>
    <cdr:to>
      <cdr:x>0.02281</cdr:x>
      <cdr:y>0.81781</cdr:y>
    </cdr:to>
    <cdr:sp macro="" textlink="'SHRINK 2S - Dia'!$D$38">
      <cdr:nvSpPr>
        <cdr:cNvPr id="716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0800" y="480451"/>
          <a:ext cx="209848" cy="122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710E647-9314-4E65-A723-AC31FA8F36D3}" type="TxLink">
            <a:rPr lang="pt-BR" sz="800" b="0" i="0" u="none" strike="noStrike" baseline="0">
              <a:solidFill>
                <a:srgbClr val="FF0000"/>
              </a:solidFill>
              <a:latin typeface="Arial"/>
              <a:cs typeface="Arial"/>
            </a:rPr>
            <a:pPr algn="ctr" rtl="0">
              <a:defRPr sz="1000"/>
            </a:pPr>
            <a:t>20</a:t>
          </a:fld>
          <a:endParaRPr lang="pt-BR" sz="800" b="0" i="0" u="none" strike="noStrike" baseline="0">
            <a:solidFill>
              <a:srgbClr val="FF0000"/>
            </a:solidFill>
            <a:latin typeface="Arial"/>
            <a:cs typeface="Arial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1219200</xdr:colOff>
      <xdr:row>4</xdr:row>
      <xdr:rowOff>9525</xdr:rowOff>
    </xdr:from>
    <xdr:to>
      <xdr:col>29</xdr:col>
      <xdr:colOff>133350</xdr:colOff>
      <xdr:row>12</xdr:row>
      <xdr:rowOff>57150</xdr:rowOff>
    </xdr:to>
    <xdr:graphicFrame macro="">
      <xdr:nvGraphicFramePr>
        <xdr:cNvPr id="2" name="Gráfico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381000</xdr:rowOff>
    </xdr:to>
    <xdr:sp macro="" textlink="">
      <xdr:nvSpPr>
        <xdr:cNvPr id="3" name="Texto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419100" y="0"/>
          <a:ext cx="17430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2</xdr:col>
      <xdr:colOff>1333500</xdr:colOff>
      <xdr:row>35</xdr:row>
      <xdr:rowOff>0</xdr:rowOff>
    </xdr:from>
    <xdr:to>
      <xdr:col>29</xdr:col>
      <xdr:colOff>123825</xdr:colOff>
      <xdr:row>35</xdr:row>
      <xdr:rowOff>0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209549</xdr:colOff>
      <xdr:row>0</xdr:row>
      <xdr:rowOff>114300</xdr:rowOff>
    </xdr:from>
    <xdr:to>
      <xdr:col>13</xdr:col>
      <xdr:colOff>375149</xdr:colOff>
      <xdr:row>0</xdr:row>
      <xdr:rowOff>280576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6848474" y="114300"/>
          <a:ext cx="165600" cy="16627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247650</xdr:colOff>
      <xdr:row>0</xdr:row>
      <xdr:rowOff>123825</xdr:rowOff>
    </xdr:from>
    <xdr:to>
      <xdr:col>15</xdr:col>
      <xdr:colOff>413250</xdr:colOff>
      <xdr:row>0</xdr:row>
      <xdr:rowOff>290101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781925" y="123825"/>
          <a:ext cx="165600" cy="166276"/>
        </a:xfrm>
        <a:prstGeom prst="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0</xdr:row>
          <xdr:rowOff>114300</xdr:rowOff>
        </xdr:from>
        <xdr:to>
          <xdr:col>22</xdr:col>
          <xdr:colOff>381000</xdr:colOff>
          <xdr:row>0</xdr:row>
          <xdr:rowOff>304800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180975</xdr:colOff>
          <xdr:row>0</xdr:row>
          <xdr:rowOff>104775</xdr:rowOff>
        </xdr:from>
        <xdr:to>
          <xdr:col>23</xdr:col>
          <xdr:colOff>47625</xdr:colOff>
          <xdr:row>0</xdr:row>
          <xdr:rowOff>304800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2°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0</xdr:row>
          <xdr:rowOff>114300</xdr:rowOff>
        </xdr:from>
        <xdr:to>
          <xdr:col>23</xdr:col>
          <xdr:colOff>352425</xdr:colOff>
          <xdr:row>0</xdr:row>
          <xdr:rowOff>304800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3°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0.00501</cdr:x>
      <cdr:y>0.67629</cdr:y>
    </cdr:from>
    <cdr:to>
      <cdr:x>0.03926</cdr:x>
      <cdr:y>0.72577</cdr:y>
    </cdr:to>
    <cdr:sp macro="" textlink="">
      <cdr:nvSpPr>
        <cdr:cNvPr id="6" name="CaixaDeTexto 5"/>
        <cdr:cNvSpPr txBox="1"/>
      </cdr:nvSpPr>
      <cdr:spPr>
        <a:xfrm xmlns:a="http://schemas.openxmlformats.org/drawingml/2006/main">
          <a:off x="57150" y="3124200"/>
          <a:ext cx="39052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0.00422</cdr:x>
      <cdr:y>0.65075</cdr:y>
    </cdr:from>
    <cdr:to>
      <cdr:x>0.02281</cdr:x>
      <cdr:y>0.81781</cdr:y>
    </cdr:to>
    <cdr:sp macro="" textlink="'SHRINK 2S - 2T'!$D$38">
      <cdr:nvSpPr>
        <cdr:cNvPr id="716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0800" y="480451"/>
          <a:ext cx="209848" cy="122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710E647-9314-4E65-A723-AC31FA8F36D3}" type="TxLink">
            <a:rPr lang="pt-BR" sz="800" b="0" i="0" u="none" strike="noStrike" baseline="0">
              <a:solidFill>
                <a:srgbClr val="FF0000"/>
              </a:solidFill>
              <a:latin typeface="Arial"/>
              <a:cs typeface="Arial"/>
            </a:rPr>
            <a:pPr algn="ctr" rtl="0">
              <a:defRPr sz="1000"/>
            </a:pPr>
            <a:t>20</a:t>
          </a:fld>
          <a:endParaRPr lang="pt-BR" sz="800" b="0" i="0" u="none" strike="noStrike" baseline="0">
            <a:solidFill>
              <a:srgbClr val="FF0000"/>
            </a:solidFill>
            <a:latin typeface="Arial"/>
            <a:cs typeface="Arial"/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1219200</xdr:colOff>
      <xdr:row>4</xdr:row>
      <xdr:rowOff>9525</xdr:rowOff>
    </xdr:from>
    <xdr:to>
      <xdr:col>29</xdr:col>
      <xdr:colOff>133350</xdr:colOff>
      <xdr:row>12</xdr:row>
      <xdr:rowOff>57150</xdr:rowOff>
    </xdr:to>
    <xdr:graphicFrame macro="">
      <xdr:nvGraphicFramePr>
        <xdr:cNvPr id="2" name="Gráfico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381000</xdr:rowOff>
    </xdr:to>
    <xdr:sp macro="" textlink="">
      <xdr:nvSpPr>
        <xdr:cNvPr id="3" name="Texto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419100" y="0"/>
          <a:ext cx="17430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2</xdr:col>
      <xdr:colOff>1333500</xdr:colOff>
      <xdr:row>35</xdr:row>
      <xdr:rowOff>0</xdr:rowOff>
    </xdr:from>
    <xdr:to>
      <xdr:col>29</xdr:col>
      <xdr:colOff>123825</xdr:colOff>
      <xdr:row>35</xdr:row>
      <xdr:rowOff>0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209549</xdr:colOff>
      <xdr:row>0</xdr:row>
      <xdr:rowOff>114300</xdr:rowOff>
    </xdr:from>
    <xdr:to>
      <xdr:col>13</xdr:col>
      <xdr:colOff>375149</xdr:colOff>
      <xdr:row>0</xdr:row>
      <xdr:rowOff>280576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6848474" y="114300"/>
          <a:ext cx="165600" cy="16627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247650</xdr:colOff>
      <xdr:row>0</xdr:row>
      <xdr:rowOff>123825</xdr:rowOff>
    </xdr:from>
    <xdr:to>
      <xdr:col>15</xdr:col>
      <xdr:colOff>413250</xdr:colOff>
      <xdr:row>0</xdr:row>
      <xdr:rowOff>290101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7781925" y="123825"/>
          <a:ext cx="165600" cy="166276"/>
        </a:xfrm>
        <a:prstGeom prst="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0</xdr:row>
          <xdr:rowOff>114300</xdr:rowOff>
        </xdr:from>
        <xdr:to>
          <xdr:col>22</xdr:col>
          <xdr:colOff>381000</xdr:colOff>
          <xdr:row>0</xdr:row>
          <xdr:rowOff>304800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180975</xdr:colOff>
          <xdr:row>0</xdr:row>
          <xdr:rowOff>104775</xdr:rowOff>
        </xdr:from>
        <xdr:to>
          <xdr:col>23</xdr:col>
          <xdr:colOff>47625</xdr:colOff>
          <xdr:row>0</xdr:row>
          <xdr:rowOff>304800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2°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0</xdr:row>
          <xdr:rowOff>114300</xdr:rowOff>
        </xdr:from>
        <xdr:to>
          <xdr:col>23</xdr:col>
          <xdr:colOff>352425</xdr:colOff>
          <xdr:row>0</xdr:row>
          <xdr:rowOff>304800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3°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0.00501</cdr:x>
      <cdr:y>0.67629</cdr:y>
    </cdr:from>
    <cdr:to>
      <cdr:x>0.03926</cdr:x>
      <cdr:y>0.72577</cdr:y>
    </cdr:to>
    <cdr:sp macro="" textlink="">
      <cdr:nvSpPr>
        <cdr:cNvPr id="6" name="CaixaDeTexto 5"/>
        <cdr:cNvSpPr txBox="1"/>
      </cdr:nvSpPr>
      <cdr:spPr>
        <a:xfrm xmlns:a="http://schemas.openxmlformats.org/drawingml/2006/main">
          <a:off x="57150" y="3124200"/>
          <a:ext cx="39052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0.00422</cdr:x>
      <cdr:y>0.65075</cdr:y>
    </cdr:from>
    <cdr:to>
      <cdr:x>0.02281</cdr:x>
      <cdr:y>0.81781</cdr:y>
    </cdr:to>
    <cdr:sp macro="" textlink="'SHRINK 2S - 3T'!$D$38">
      <cdr:nvSpPr>
        <cdr:cNvPr id="716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0800" y="480451"/>
          <a:ext cx="209848" cy="122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710E647-9314-4E65-A723-AC31FA8F36D3}" type="TxLink">
            <a:rPr lang="pt-BR" sz="800" b="0" i="0" u="none" strike="noStrike" baseline="0">
              <a:solidFill>
                <a:srgbClr val="FF0000"/>
              </a:solidFill>
              <a:latin typeface="Arial"/>
              <a:cs typeface="Arial"/>
            </a:rPr>
            <a:pPr algn="ctr" rtl="0">
              <a:defRPr sz="1000"/>
            </a:pPr>
            <a:t>20</a:t>
          </a:fld>
          <a:endParaRPr lang="pt-BR" sz="800" b="0" i="0" u="none" strike="noStrike" baseline="0">
            <a:solidFill>
              <a:srgbClr val="FF0000"/>
            </a:solidFill>
            <a:latin typeface="Arial"/>
            <a:cs typeface="Arial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1219200</xdr:colOff>
      <xdr:row>4</xdr:row>
      <xdr:rowOff>9525</xdr:rowOff>
    </xdr:from>
    <xdr:to>
      <xdr:col>29</xdr:col>
      <xdr:colOff>133350</xdr:colOff>
      <xdr:row>12</xdr:row>
      <xdr:rowOff>57150</xdr:rowOff>
    </xdr:to>
    <xdr:graphicFrame macro="">
      <xdr:nvGraphicFramePr>
        <xdr:cNvPr id="2049" name="Gráfico 3">
          <a:extLst>
            <a:ext uri="{FF2B5EF4-FFF2-40B4-BE49-F238E27FC236}">
              <a16:creationId xmlns:a16="http://schemas.microsoft.com/office/drawing/2014/main" id="{00000000-0008-0000-0400-00000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381000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7430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2</xdr:col>
      <xdr:colOff>1333500</xdr:colOff>
      <xdr:row>35</xdr:row>
      <xdr:rowOff>0</xdr:rowOff>
    </xdr:from>
    <xdr:to>
      <xdr:col>29</xdr:col>
      <xdr:colOff>123825</xdr:colOff>
      <xdr:row>35</xdr:row>
      <xdr:rowOff>0</xdr:rowOff>
    </xdr:to>
    <xdr:graphicFrame macro="">
      <xdr:nvGraphicFramePr>
        <xdr:cNvPr id="2051" name="Gráfico 4">
          <a:extLst>
            <a:ext uri="{FF2B5EF4-FFF2-40B4-BE49-F238E27FC236}">
              <a16:creationId xmlns:a16="http://schemas.microsoft.com/office/drawing/2014/main" id="{00000000-0008-0000-04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209549</xdr:colOff>
      <xdr:row>0</xdr:row>
      <xdr:rowOff>114300</xdr:rowOff>
    </xdr:from>
    <xdr:to>
      <xdr:col>13</xdr:col>
      <xdr:colOff>375149</xdr:colOff>
      <xdr:row>0</xdr:row>
      <xdr:rowOff>280576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6848474" y="114300"/>
          <a:ext cx="165600" cy="166276"/>
        </a:xfrm>
        <a:prstGeom prst="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247650</xdr:colOff>
      <xdr:row>0</xdr:row>
      <xdr:rowOff>123825</xdr:rowOff>
    </xdr:from>
    <xdr:to>
      <xdr:col>15</xdr:col>
      <xdr:colOff>413250</xdr:colOff>
      <xdr:row>0</xdr:row>
      <xdr:rowOff>290101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7781925" y="123825"/>
          <a:ext cx="165600" cy="16627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0</xdr:row>
          <xdr:rowOff>114300</xdr:rowOff>
        </xdr:from>
        <xdr:to>
          <xdr:col>22</xdr:col>
          <xdr:colOff>381000</xdr:colOff>
          <xdr:row>0</xdr:row>
          <xdr:rowOff>304800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180975</xdr:colOff>
          <xdr:row>0</xdr:row>
          <xdr:rowOff>104775</xdr:rowOff>
        </xdr:from>
        <xdr:to>
          <xdr:col>23</xdr:col>
          <xdr:colOff>47625</xdr:colOff>
          <xdr:row>0</xdr:row>
          <xdr:rowOff>304800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2°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0</xdr:row>
          <xdr:rowOff>114300</xdr:rowOff>
        </xdr:from>
        <xdr:to>
          <xdr:col>23</xdr:col>
          <xdr:colOff>352425</xdr:colOff>
          <xdr:row>0</xdr:row>
          <xdr:rowOff>304800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3°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0.00501</cdr:x>
      <cdr:y>0.67629</cdr:y>
    </cdr:from>
    <cdr:to>
      <cdr:x>0.03926</cdr:x>
      <cdr:y>0.72577</cdr:y>
    </cdr:to>
    <cdr:sp macro="" textlink="">
      <cdr:nvSpPr>
        <cdr:cNvPr id="6" name="CaixaDeTexto 5"/>
        <cdr:cNvSpPr txBox="1"/>
      </cdr:nvSpPr>
      <cdr:spPr>
        <a:xfrm xmlns:a="http://schemas.openxmlformats.org/drawingml/2006/main">
          <a:off x="57150" y="3124200"/>
          <a:ext cx="39052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0.00422</cdr:x>
      <cdr:y>0.65075</cdr:y>
    </cdr:from>
    <cdr:to>
      <cdr:x>0.02281</cdr:x>
      <cdr:y>0.81781</cdr:y>
    </cdr:to>
    <cdr:sp macro="" textlink="'SHRINK 4S - Dia'!$D$38">
      <cdr:nvSpPr>
        <cdr:cNvPr id="716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0800" y="480451"/>
          <a:ext cx="209848" cy="122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710E647-9314-4E65-A723-AC31FA8F36D3}" type="TxLink">
            <a:rPr lang="pt-BR" sz="800" b="0" i="0" u="none" strike="noStrike" baseline="0">
              <a:solidFill>
                <a:srgbClr val="FF0000"/>
              </a:solidFill>
              <a:latin typeface="Arial"/>
              <a:cs typeface="Arial"/>
            </a:rPr>
            <a:pPr algn="ctr" rtl="0">
              <a:defRPr sz="1000"/>
            </a:pPr>
            <a:t>40</a:t>
          </a:fld>
          <a:endParaRPr lang="pt-BR" sz="800" b="0" i="0" u="none" strike="noStrike" baseline="0">
            <a:solidFill>
              <a:srgbClr val="FF0000"/>
            </a:solidFill>
            <a:latin typeface="Arial"/>
            <a:cs typeface="Arial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1219200</xdr:colOff>
      <xdr:row>4</xdr:row>
      <xdr:rowOff>9525</xdr:rowOff>
    </xdr:from>
    <xdr:to>
      <xdr:col>29</xdr:col>
      <xdr:colOff>133350</xdr:colOff>
      <xdr:row>12</xdr:row>
      <xdr:rowOff>57150</xdr:rowOff>
    </xdr:to>
    <xdr:graphicFrame macro="">
      <xdr:nvGraphicFramePr>
        <xdr:cNvPr id="3073" name="Gráfico 3">
          <a:extLst>
            <a:ext uri="{FF2B5EF4-FFF2-40B4-BE49-F238E27FC236}">
              <a16:creationId xmlns:a16="http://schemas.microsoft.com/office/drawing/2014/main" id="{00000000-0008-0000-05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381000</xdr:rowOff>
    </xdr:to>
    <xdr:sp macro="" textlink="">
      <xdr:nvSpPr>
        <xdr:cNvPr id="3" name="Texto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419100" y="0"/>
          <a:ext cx="17430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2</xdr:col>
      <xdr:colOff>1333500</xdr:colOff>
      <xdr:row>35</xdr:row>
      <xdr:rowOff>0</xdr:rowOff>
    </xdr:from>
    <xdr:to>
      <xdr:col>29</xdr:col>
      <xdr:colOff>123825</xdr:colOff>
      <xdr:row>35</xdr:row>
      <xdr:rowOff>0</xdr:rowOff>
    </xdr:to>
    <xdr:graphicFrame macro="">
      <xdr:nvGraphicFramePr>
        <xdr:cNvPr id="3075" name="Gráfico 4">
          <a:extLst>
            <a:ext uri="{FF2B5EF4-FFF2-40B4-BE49-F238E27FC236}">
              <a16:creationId xmlns:a16="http://schemas.microsoft.com/office/drawing/2014/main" id="{00000000-0008-0000-0500-000003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209549</xdr:colOff>
      <xdr:row>0</xdr:row>
      <xdr:rowOff>114300</xdr:rowOff>
    </xdr:from>
    <xdr:to>
      <xdr:col>13</xdr:col>
      <xdr:colOff>375149</xdr:colOff>
      <xdr:row>0</xdr:row>
      <xdr:rowOff>280576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6848474" y="114300"/>
          <a:ext cx="165600" cy="166276"/>
        </a:xfrm>
        <a:prstGeom prst="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247650</xdr:colOff>
      <xdr:row>0</xdr:row>
      <xdr:rowOff>123825</xdr:rowOff>
    </xdr:from>
    <xdr:to>
      <xdr:col>15</xdr:col>
      <xdr:colOff>413250</xdr:colOff>
      <xdr:row>0</xdr:row>
      <xdr:rowOff>290101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7781925" y="123825"/>
          <a:ext cx="165600" cy="16627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0</xdr:row>
          <xdr:rowOff>114300</xdr:rowOff>
        </xdr:from>
        <xdr:to>
          <xdr:col>22</xdr:col>
          <xdr:colOff>381000</xdr:colOff>
          <xdr:row>0</xdr:row>
          <xdr:rowOff>304800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180975</xdr:colOff>
          <xdr:row>0</xdr:row>
          <xdr:rowOff>104775</xdr:rowOff>
        </xdr:from>
        <xdr:to>
          <xdr:col>23</xdr:col>
          <xdr:colOff>47625</xdr:colOff>
          <xdr:row>0</xdr:row>
          <xdr:rowOff>304800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2°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0</xdr:row>
          <xdr:rowOff>114300</xdr:rowOff>
        </xdr:from>
        <xdr:to>
          <xdr:col>23</xdr:col>
          <xdr:colOff>352425</xdr:colOff>
          <xdr:row>0</xdr:row>
          <xdr:rowOff>304800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3°</a:t>
              </a:r>
            </a:p>
          </xdr:txBody>
        </xdr:sp>
        <xdr:clientData/>
      </xdr:twoCellAnchor>
    </mc:Choice>
    <mc:Fallback/>
  </mc:AlternateContent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0.00501</cdr:x>
      <cdr:y>0.67629</cdr:y>
    </cdr:from>
    <cdr:to>
      <cdr:x>0.03926</cdr:x>
      <cdr:y>0.72577</cdr:y>
    </cdr:to>
    <cdr:sp macro="" textlink="">
      <cdr:nvSpPr>
        <cdr:cNvPr id="6" name="CaixaDeTexto 5"/>
        <cdr:cNvSpPr txBox="1"/>
      </cdr:nvSpPr>
      <cdr:spPr>
        <a:xfrm xmlns:a="http://schemas.openxmlformats.org/drawingml/2006/main">
          <a:off x="57150" y="3124200"/>
          <a:ext cx="39052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0.00422</cdr:x>
      <cdr:y>0.65075</cdr:y>
    </cdr:from>
    <cdr:to>
      <cdr:x>0.02281</cdr:x>
      <cdr:y>0.81781</cdr:y>
    </cdr:to>
    <cdr:sp macro="" textlink="'SHRINK 4S - 2T'!$D$38">
      <cdr:nvSpPr>
        <cdr:cNvPr id="716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0800" y="480451"/>
          <a:ext cx="209848" cy="122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710E647-9314-4E65-A723-AC31FA8F36D3}" type="TxLink">
            <a:rPr lang="pt-BR" sz="800" b="0" i="0" u="none" strike="noStrike" baseline="0">
              <a:solidFill>
                <a:srgbClr val="FF0000"/>
              </a:solidFill>
              <a:latin typeface="Arial"/>
              <a:cs typeface="Arial"/>
            </a:rPr>
            <a:pPr algn="ctr" rtl="0">
              <a:defRPr sz="1000"/>
            </a:pPr>
            <a:t>40</a:t>
          </a:fld>
          <a:endParaRPr lang="pt-BR" sz="800" b="0" i="0" u="none" strike="noStrike" baseline="0">
            <a:solidFill>
              <a:srgbClr val="FF0000"/>
            </a:solidFill>
            <a:latin typeface="Arial"/>
            <a:cs typeface="Arial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1219200</xdr:colOff>
      <xdr:row>4</xdr:row>
      <xdr:rowOff>9525</xdr:rowOff>
    </xdr:from>
    <xdr:to>
      <xdr:col>29</xdr:col>
      <xdr:colOff>133350</xdr:colOff>
      <xdr:row>12</xdr:row>
      <xdr:rowOff>57150</xdr:rowOff>
    </xdr:to>
    <xdr:graphicFrame macro="">
      <xdr:nvGraphicFramePr>
        <xdr:cNvPr id="2" name="Gráfico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381000</xdr:rowOff>
    </xdr:to>
    <xdr:sp macro="" textlink="">
      <xdr:nvSpPr>
        <xdr:cNvPr id="3" name="Texto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419100" y="0"/>
          <a:ext cx="17430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2</xdr:col>
      <xdr:colOff>1333500</xdr:colOff>
      <xdr:row>35</xdr:row>
      <xdr:rowOff>0</xdr:rowOff>
    </xdr:from>
    <xdr:to>
      <xdr:col>29</xdr:col>
      <xdr:colOff>123825</xdr:colOff>
      <xdr:row>35</xdr:row>
      <xdr:rowOff>0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209549</xdr:colOff>
      <xdr:row>0</xdr:row>
      <xdr:rowOff>114300</xdr:rowOff>
    </xdr:from>
    <xdr:to>
      <xdr:col>13</xdr:col>
      <xdr:colOff>375149</xdr:colOff>
      <xdr:row>0</xdr:row>
      <xdr:rowOff>280576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 bwMode="auto">
        <a:xfrm>
          <a:off x="6848474" y="114300"/>
          <a:ext cx="165600" cy="166276"/>
        </a:xfrm>
        <a:prstGeom prst="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247650</xdr:colOff>
      <xdr:row>0</xdr:row>
      <xdr:rowOff>123825</xdr:rowOff>
    </xdr:from>
    <xdr:to>
      <xdr:col>15</xdr:col>
      <xdr:colOff>413250</xdr:colOff>
      <xdr:row>0</xdr:row>
      <xdr:rowOff>290101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 bwMode="auto">
        <a:xfrm>
          <a:off x="7781925" y="123825"/>
          <a:ext cx="165600" cy="16627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0</xdr:row>
          <xdr:rowOff>114300</xdr:rowOff>
        </xdr:from>
        <xdr:to>
          <xdr:col>22</xdr:col>
          <xdr:colOff>381000</xdr:colOff>
          <xdr:row>0</xdr:row>
          <xdr:rowOff>304800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180975</xdr:colOff>
          <xdr:row>0</xdr:row>
          <xdr:rowOff>104775</xdr:rowOff>
        </xdr:from>
        <xdr:to>
          <xdr:col>23</xdr:col>
          <xdr:colOff>47625</xdr:colOff>
          <xdr:row>0</xdr:row>
          <xdr:rowOff>304800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2°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0</xdr:row>
          <xdr:rowOff>114300</xdr:rowOff>
        </xdr:from>
        <xdr:to>
          <xdr:col>23</xdr:col>
          <xdr:colOff>352425</xdr:colOff>
          <xdr:row>0</xdr:row>
          <xdr:rowOff>304800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3°</a:t>
              </a:r>
            </a:p>
          </xdr:txBody>
        </xdr:sp>
        <xdr:clientData/>
      </xdr:twoCellAnchor>
    </mc:Choice>
    <mc:Fallback/>
  </mc:AlternateContent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0.00501</cdr:x>
      <cdr:y>0.67629</cdr:y>
    </cdr:from>
    <cdr:to>
      <cdr:x>0.03926</cdr:x>
      <cdr:y>0.72577</cdr:y>
    </cdr:to>
    <cdr:sp macro="" textlink="">
      <cdr:nvSpPr>
        <cdr:cNvPr id="6" name="CaixaDeTexto 5"/>
        <cdr:cNvSpPr txBox="1"/>
      </cdr:nvSpPr>
      <cdr:spPr>
        <a:xfrm xmlns:a="http://schemas.openxmlformats.org/drawingml/2006/main">
          <a:off x="57150" y="3124200"/>
          <a:ext cx="39052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0.00422</cdr:x>
      <cdr:y>0.65075</cdr:y>
    </cdr:from>
    <cdr:to>
      <cdr:x>0.02281</cdr:x>
      <cdr:y>0.81781</cdr:y>
    </cdr:to>
    <cdr:sp macro="" textlink="'SHRINK 4S - 3T'!$D$38">
      <cdr:nvSpPr>
        <cdr:cNvPr id="716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0800" y="480451"/>
          <a:ext cx="209848" cy="122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710E647-9314-4E65-A723-AC31FA8F36D3}" type="TxLink">
            <a:rPr lang="pt-BR" sz="800" b="0" i="0" u="none" strike="noStrike" baseline="0">
              <a:solidFill>
                <a:srgbClr val="FF0000"/>
              </a:solidFill>
              <a:latin typeface="Arial"/>
              <a:cs typeface="Arial"/>
            </a:rPr>
            <a:pPr algn="ctr" rtl="0">
              <a:defRPr sz="1000"/>
            </a:pPr>
            <a:t>40</a:t>
          </a:fld>
          <a:endParaRPr lang="pt-BR" sz="800" b="0" i="0" u="none" strike="noStrike" baseline="0">
            <a:solidFill>
              <a:srgbClr val="FF0000"/>
            </a:solidFill>
            <a:latin typeface="Arial"/>
            <a:cs typeface="Arial"/>
          </a:endParaRPr>
        </a:p>
      </cdr:txBody>
    </cdr:sp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629775" cy="59912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629775" cy="59912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629775" cy="59912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629775" cy="59912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629775" cy="59912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629775" cy="59912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22">
          <cell r="Y22">
            <v>20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/>
  <dimension ref="B2:S39"/>
  <sheetViews>
    <sheetView zoomScaleNormal="100" workbookViewId="0">
      <selection activeCell="D2" sqref="D2"/>
    </sheetView>
  </sheetViews>
  <sheetFormatPr defaultRowHeight="12.75"/>
  <cols>
    <col min="1" max="16384" width="9.140625" style="55"/>
  </cols>
  <sheetData>
    <row r="2" spans="2:19" ht="27"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</row>
    <row r="7" spans="2:19" ht="18">
      <c r="N7" s="56"/>
    </row>
    <row r="8" spans="2:19" ht="18">
      <c r="N8" s="56"/>
    </row>
    <row r="9" spans="2:19" ht="18">
      <c r="H9" s="56"/>
    </row>
    <row r="11" spans="2:19" ht="18">
      <c r="H11" s="56"/>
      <c r="I11" s="56"/>
      <c r="K11" s="56"/>
      <c r="M11" s="56"/>
      <c r="N11" s="56"/>
      <c r="O11" s="56"/>
      <c r="P11" s="56"/>
      <c r="Q11" s="56"/>
      <c r="R11" s="56"/>
      <c r="S11" s="56"/>
    </row>
    <row r="12" spans="2:19" ht="18"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</row>
    <row r="13" spans="2:19" ht="18">
      <c r="B13" s="56"/>
      <c r="C13" s="56"/>
      <c r="D13" s="56"/>
      <c r="E13" s="56"/>
      <c r="F13" s="56"/>
      <c r="G13" s="56"/>
      <c r="H13" s="56"/>
      <c r="I13" s="56"/>
      <c r="K13" s="56"/>
      <c r="L13" s="56"/>
      <c r="M13" s="56"/>
      <c r="N13" s="56"/>
      <c r="O13" s="56"/>
      <c r="P13" s="56"/>
      <c r="Q13" s="56"/>
      <c r="R13" s="56"/>
      <c r="S13" s="56"/>
    </row>
    <row r="14" spans="2:19" ht="18"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</row>
    <row r="15" spans="2:19" ht="18"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</row>
    <row r="16" spans="2:19" ht="18"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</row>
    <row r="17" spans="2:14" ht="18"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</row>
    <row r="18" spans="2:14" ht="18"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</row>
    <row r="19" spans="2:14" ht="18"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</row>
    <row r="20" spans="2:14" ht="18"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</row>
    <row r="21" spans="2:14" ht="18"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</row>
    <row r="22" spans="2:14" ht="18"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</row>
    <row r="23" spans="2:14" ht="18"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</row>
    <row r="24" spans="2:14" ht="18"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</row>
    <row r="25" spans="2:14" ht="18"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</row>
    <row r="35" spans="2:6">
      <c r="B35" s="57"/>
      <c r="C35" s="57"/>
      <c r="D35" s="57"/>
      <c r="E35" s="57"/>
      <c r="F35" s="57"/>
    </row>
    <row r="36" spans="2:6">
      <c r="B36" s="57" t="s">
        <v>21</v>
      </c>
      <c r="C36" s="57"/>
      <c r="D36" s="57"/>
      <c r="E36" s="57"/>
      <c r="F36" s="57"/>
    </row>
    <row r="37" spans="2:6">
      <c r="B37" s="57"/>
      <c r="C37" s="57"/>
      <c r="D37" s="57"/>
      <c r="E37" s="57"/>
      <c r="F37" s="57"/>
    </row>
    <row r="38" spans="2:6">
      <c r="B38" s="57" t="s">
        <v>22</v>
      </c>
      <c r="C38" s="57"/>
      <c r="D38" s="57"/>
      <c r="E38" s="57"/>
      <c r="F38" s="57"/>
    </row>
    <row r="39" spans="2:6">
      <c r="B39" s="57" t="s">
        <v>23</v>
      </c>
      <c r="C39" s="57"/>
      <c r="D39" s="57"/>
      <c r="E39" s="57"/>
      <c r="F39" s="57"/>
    </row>
  </sheetData>
  <sheetProtection algorithmName="SHA-512" hashValue="lEsdn2ygZ608NyQBuu3Ahg/3D7paxhM78GJDGWpQudpFwe/WuATAB4WMn23QiG/lBWyCOUSa7oNkli5WAspBTw==" saltValue="g+3gB/pHZaILagkWCVjfIQ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57">
    <tabColor theme="4" tint="0.39997558519241921"/>
    <pageSetUpPr fitToPage="1"/>
  </sheetPr>
  <dimension ref="A1:AF41"/>
  <sheetViews>
    <sheetView showZeros="0" zoomScaleNormal="100" workbookViewId="0">
      <selection activeCell="D2" sqref="D2"/>
    </sheetView>
  </sheetViews>
  <sheetFormatPr defaultColWidth="11.42578125" defaultRowHeight="12.75"/>
  <cols>
    <col min="1" max="1" width="3" bestFit="1" customWidth="1"/>
    <col min="2" max="2" width="3.28515625" bestFit="1" customWidth="1"/>
    <col min="3" max="3" width="26.140625" customWidth="1"/>
    <col min="4" max="29" width="6.7109375" customWidth="1"/>
    <col min="30" max="30" width="11.42578125" customWidth="1"/>
    <col min="31" max="31" width="3.28515625" customWidth="1"/>
  </cols>
  <sheetData>
    <row r="1" spans="1:32" ht="32.25" customHeight="1" thickBot="1">
      <c r="E1" s="23" t="s">
        <v>39</v>
      </c>
      <c r="F1" s="23"/>
      <c r="G1" s="23"/>
      <c r="H1" s="23"/>
      <c r="I1" s="23"/>
      <c r="J1" s="23"/>
      <c r="K1" s="23"/>
      <c r="L1" s="23"/>
      <c r="M1" s="23"/>
      <c r="N1" s="23"/>
      <c r="O1" s="23" t="s">
        <v>42</v>
      </c>
      <c r="P1" s="23"/>
      <c r="Q1" s="23" t="s">
        <v>43</v>
      </c>
      <c r="R1" s="23"/>
      <c r="S1" s="23"/>
      <c r="T1" s="23"/>
      <c r="U1" s="124" t="s">
        <v>90</v>
      </c>
      <c r="V1" s="3"/>
      <c r="W1" s="3"/>
      <c r="Z1" s="88"/>
      <c r="AA1" s="88"/>
      <c r="AB1" s="140" t="s">
        <v>61</v>
      </c>
      <c r="AC1" s="141"/>
      <c r="AD1" s="89" t="str">
        <f ca="1">MID(CELL("nome.arquivo"),SEARCH(".xl",CELL("nome.arquivo"))-2,2)&amp;" / 20"&amp;MID(CELL("nome.arquivo"),SEARCH(".xl",CELL("nome.arquivo"))-4,2)</f>
        <v>03 / 2022</v>
      </c>
    </row>
    <row r="2" spans="1:32" ht="21" customHeight="1">
      <c r="A2" s="131" t="s">
        <v>0</v>
      </c>
      <c r="B2" s="132"/>
      <c r="C2" s="132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2"/>
      <c r="Y2" s="122"/>
      <c r="Z2" s="123"/>
      <c r="AA2" s="123"/>
      <c r="AB2" s="123"/>
      <c r="AC2" s="123"/>
      <c r="AD2" s="87" t="s">
        <v>4</v>
      </c>
    </row>
    <row r="3" spans="1:32" ht="21" customHeight="1">
      <c r="A3" s="133" t="s">
        <v>1</v>
      </c>
      <c r="B3" s="134"/>
      <c r="C3" s="134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4"/>
    </row>
    <row r="4" spans="1:32" ht="21" customHeight="1" thickBot="1">
      <c r="A4" s="135" t="s">
        <v>2</v>
      </c>
      <c r="B4" s="136"/>
      <c r="C4" s="136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58"/>
      <c r="Y4" s="58"/>
      <c r="Z4" s="58"/>
      <c r="AA4" s="58"/>
      <c r="AB4" s="58"/>
      <c r="AC4" s="25"/>
      <c r="AD4" s="26">
        <f>SUM(D4:AC4)</f>
        <v>0</v>
      </c>
      <c r="AF4" s="62"/>
    </row>
    <row r="5" spans="1:32" ht="30" customHeight="1">
      <c r="A5" s="27"/>
      <c r="B5" s="28"/>
      <c r="C5" s="29" t="s">
        <v>12</v>
      </c>
      <c r="D5" s="128">
        <f t="shared" ref="D5:T5" si="0">D41</f>
        <v>0</v>
      </c>
      <c r="E5" s="128">
        <f t="shared" si="0"/>
        <v>0</v>
      </c>
      <c r="F5" s="128">
        <f t="shared" si="0"/>
        <v>0</v>
      </c>
      <c r="G5" s="128">
        <f t="shared" si="0"/>
        <v>0</v>
      </c>
      <c r="H5" s="128">
        <f t="shared" si="0"/>
        <v>0</v>
      </c>
      <c r="I5" s="128">
        <f t="shared" si="0"/>
        <v>0</v>
      </c>
      <c r="J5" s="128">
        <f t="shared" si="0"/>
        <v>0</v>
      </c>
      <c r="K5" s="128">
        <f t="shared" si="0"/>
        <v>0</v>
      </c>
      <c r="L5" s="128">
        <f t="shared" si="0"/>
        <v>0</v>
      </c>
      <c r="M5" s="128">
        <f t="shared" si="0"/>
        <v>0</v>
      </c>
      <c r="N5" s="128">
        <f t="shared" si="0"/>
        <v>0</v>
      </c>
      <c r="O5" s="137">
        <f t="shared" si="0"/>
        <v>0</v>
      </c>
      <c r="P5" s="137">
        <f t="shared" si="0"/>
        <v>0</v>
      </c>
      <c r="Q5" s="137">
        <f t="shared" si="0"/>
        <v>0</v>
      </c>
      <c r="R5" s="137">
        <f t="shared" si="0"/>
        <v>0</v>
      </c>
      <c r="S5" s="137">
        <f t="shared" si="0"/>
        <v>0</v>
      </c>
      <c r="T5" s="137">
        <f t="shared" si="0"/>
        <v>0</v>
      </c>
      <c r="U5" s="137">
        <f>U41</f>
        <v>0</v>
      </c>
      <c r="V5" s="137"/>
      <c r="W5" s="137">
        <f>W41</f>
        <v>0</v>
      </c>
      <c r="X5" s="137">
        <f>X41</f>
        <v>0</v>
      </c>
      <c r="Y5" s="137">
        <f>Y41</f>
        <v>0</v>
      </c>
      <c r="Z5" s="137">
        <f>Z41</f>
        <v>0</v>
      </c>
      <c r="AA5" s="59"/>
      <c r="AB5" s="59"/>
      <c r="AC5" s="137">
        <f>AC41</f>
        <v>0</v>
      </c>
      <c r="AD5" s="30"/>
    </row>
    <row r="6" spans="1:32" ht="30" customHeight="1">
      <c r="A6" s="31"/>
      <c r="C6" s="145" t="s">
        <v>20</v>
      </c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60"/>
      <c r="AB6" s="60"/>
      <c r="AC6" s="138"/>
      <c r="AD6" s="4"/>
    </row>
    <row r="7" spans="1:32" ht="30" customHeight="1">
      <c r="A7" s="31"/>
      <c r="C7" s="146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60"/>
      <c r="AB7" s="60"/>
      <c r="AC7" s="138"/>
      <c r="AD7" s="4"/>
    </row>
    <row r="8" spans="1:32" ht="30" customHeight="1">
      <c r="A8" s="31"/>
      <c r="C8" s="146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60"/>
      <c r="AB8" s="60"/>
      <c r="AC8" s="138"/>
      <c r="AD8" s="4"/>
    </row>
    <row r="9" spans="1:32" ht="30" customHeight="1">
      <c r="A9" s="31"/>
      <c r="C9" s="146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60"/>
      <c r="AB9" s="60"/>
      <c r="AC9" s="138"/>
      <c r="AD9" s="4"/>
    </row>
    <row r="10" spans="1:32" ht="30" customHeight="1">
      <c r="A10" s="31"/>
      <c r="C10" s="146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60"/>
      <c r="AB10" s="60"/>
      <c r="AC10" s="138"/>
      <c r="AD10" s="4"/>
    </row>
    <row r="11" spans="1:32" ht="30" customHeight="1">
      <c r="A11" s="31"/>
      <c r="C11" s="146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60"/>
      <c r="AB11" s="60"/>
      <c r="AC11" s="138"/>
      <c r="AD11" s="4"/>
    </row>
    <row r="12" spans="1:32" ht="30" customHeight="1" thickBot="1">
      <c r="A12" s="32"/>
      <c r="B12" s="33"/>
      <c r="C12" s="147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9"/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61"/>
      <c r="AB12" s="61"/>
      <c r="AC12" s="139"/>
      <c r="AD12" s="34"/>
    </row>
    <row r="13" spans="1:32" ht="21" customHeight="1">
      <c r="A13" s="92">
        <v>1</v>
      </c>
      <c r="B13" s="148" t="s">
        <v>29</v>
      </c>
      <c r="C13" s="76" t="s">
        <v>34</v>
      </c>
      <c r="D13" s="73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46">
        <f t="shared" ref="AD13:AD31" si="1">SUM(D13:AC13)</f>
        <v>0</v>
      </c>
    </row>
    <row r="14" spans="1:32" ht="21" customHeight="1">
      <c r="A14" s="64">
        <v>2</v>
      </c>
      <c r="B14" s="149"/>
      <c r="C14" s="77" t="s">
        <v>35</v>
      </c>
      <c r="D14" s="74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47">
        <f t="shared" si="1"/>
        <v>0</v>
      </c>
    </row>
    <row r="15" spans="1:32" ht="21" customHeight="1">
      <c r="A15" s="64">
        <v>3</v>
      </c>
      <c r="B15" s="149"/>
      <c r="C15" s="78" t="s">
        <v>36</v>
      </c>
      <c r="D15" s="74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47">
        <f t="shared" si="1"/>
        <v>0</v>
      </c>
    </row>
    <row r="16" spans="1:32" ht="21" customHeight="1">
      <c r="A16" s="64">
        <v>4</v>
      </c>
      <c r="B16" s="149"/>
      <c r="C16" s="78" t="s">
        <v>37</v>
      </c>
      <c r="D16" s="74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47">
        <f t="shared" si="1"/>
        <v>0</v>
      </c>
    </row>
    <row r="17" spans="1:30" ht="21" customHeight="1" thickBot="1">
      <c r="A17" s="93">
        <v>5</v>
      </c>
      <c r="B17" s="150"/>
      <c r="C17" s="79" t="s">
        <v>45</v>
      </c>
      <c r="D17" s="75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26">
        <f t="shared" si="1"/>
        <v>0</v>
      </c>
    </row>
    <row r="18" spans="1:30" ht="21" customHeight="1">
      <c r="A18" s="92">
        <v>6</v>
      </c>
      <c r="B18" s="151" t="s">
        <v>13</v>
      </c>
      <c r="C18" s="95" t="s">
        <v>14</v>
      </c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90">
        <f t="shared" si="1"/>
        <v>0</v>
      </c>
    </row>
    <row r="19" spans="1:30" ht="21" customHeight="1">
      <c r="A19" s="64">
        <v>7</v>
      </c>
      <c r="B19" s="152"/>
      <c r="C19" s="96" t="s">
        <v>24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5">
        <f t="shared" si="1"/>
        <v>0</v>
      </c>
    </row>
    <row r="20" spans="1:30" ht="21" customHeight="1">
      <c r="A20" s="64">
        <v>8</v>
      </c>
      <c r="B20" s="152"/>
      <c r="C20" s="96" t="s">
        <v>25</v>
      </c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5">
        <f t="shared" si="1"/>
        <v>0</v>
      </c>
    </row>
    <row r="21" spans="1:30" ht="21" customHeight="1">
      <c r="A21" s="64">
        <v>9</v>
      </c>
      <c r="B21" s="152"/>
      <c r="C21" s="96" t="s">
        <v>30</v>
      </c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5">
        <f t="shared" si="1"/>
        <v>0</v>
      </c>
    </row>
    <row r="22" spans="1:30" ht="21" customHeight="1">
      <c r="A22" s="64">
        <v>10</v>
      </c>
      <c r="B22" s="152"/>
      <c r="C22" s="96" t="s">
        <v>31</v>
      </c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5">
        <f t="shared" si="1"/>
        <v>0</v>
      </c>
    </row>
    <row r="23" spans="1:30" ht="21" customHeight="1">
      <c r="A23" s="64">
        <v>11</v>
      </c>
      <c r="B23" s="152"/>
      <c r="C23" s="96" t="s">
        <v>26</v>
      </c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5">
        <f t="shared" si="1"/>
        <v>0</v>
      </c>
    </row>
    <row r="24" spans="1:30" ht="21" customHeight="1">
      <c r="A24" s="94">
        <v>12</v>
      </c>
      <c r="B24" s="152"/>
      <c r="C24" s="97" t="s">
        <v>27</v>
      </c>
      <c r="D24" s="66"/>
      <c r="E24" s="66"/>
      <c r="F24" s="66"/>
      <c r="G24" s="66"/>
      <c r="H24" s="66"/>
      <c r="I24" s="66"/>
      <c r="J24" s="66"/>
      <c r="K24" s="66"/>
      <c r="L24" s="66"/>
      <c r="M24" s="69"/>
      <c r="N24" s="69"/>
      <c r="O24" s="69"/>
      <c r="P24" s="69"/>
      <c r="Q24" s="69"/>
      <c r="R24" s="69"/>
      <c r="S24" s="69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22">
        <f t="shared" si="1"/>
        <v>0</v>
      </c>
    </row>
    <row r="25" spans="1:30" ht="21" customHeight="1">
      <c r="A25" s="64">
        <v>13</v>
      </c>
      <c r="B25" s="152"/>
      <c r="C25" s="96" t="s">
        <v>28</v>
      </c>
      <c r="D25" s="68"/>
      <c r="E25" s="68"/>
      <c r="F25" s="68"/>
      <c r="G25" s="68"/>
      <c r="H25" s="68"/>
      <c r="I25" s="68"/>
      <c r="J25" s="68"/>
      <c r="K25" s="68"/>
      <c r="L25" s="68"/>
      <c r="M25" s="70"/>
      <c r="N25" s="70"/>
      <c r="O25" s="70"/>
      <c r="P25" s="70"/>
      <c r="Q25" s="70"/>
      <c r="R25" s="70"/>
      <c r="S25" s="70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5">
        <f t="shared" si="1"/>
        <v>0</v>
      </c>
    </row>
    <row r="26" spans="1:30" ht="21" customHeight="1">
      <c r="A26" s="64">
        <v>14</v>
      </c>
      <c r="B26" s="152"/>
      <c r="C26" s="96" t="s">
        <v>32</v>
      </c>
      <c r="D26" s="68"/>
      <c r="E26" s="68"/>
      <c r="F26" s="68"/>
      <c r="G26" s="68"/>
      <c r="H26" s="68"/>
      <c r="I26" s="68"/>
      <c r="J26" s="68"/>
      <c r="K26" s="68"/>
      <c r="L26" s="68"/>
      <c r="M26" s="70"/>
      <c r="N26" s="70"/>
      <c r="O26" s="70"/>
      <c r="P26" s="70"/>
      <c r="Q26" s="70"/>
      <c r="R26" s="70"/>
      <c r="S26" s="70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5">
        <f t="shared" si="1"/>
        <v>0</v>
      </c>
    </row>
    <row r="27" spans="1:30" ht="21" customHeight="1">
      <c r="A27" s="64">
        <v>15</v>
      </c>
      <c r="B27" s="152"/>
      <c r="C27" s="96" t="s">
        <v>33</v>
      </c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5">
        <f t="shared" si="1"/>
        <v>0</v>
      </c>
    </row>
    <row r="28" spans="1:30" ht="21" customHeight="1" thickBot="1">
      <c r="A28" s="103">
        <v>16</v>
      </c>
      <c r="B28" s="152"/>
      <c r="C28" s="99" t="s">
        <v>46</v>
      </c>
      <c r="D28" s="70"/>
      <c r="E28" s="70"/>
      <c r="F28" s="70"/>
      <c r="G28" s="70"/>
      <c r="H28" s="70"/>
      <c r="I28" s="70"/>
      <c r="J28" s="70"/>
      <c r="K28" s="70"/>
      <c r="L28" s="70"/>
      <c r="M28" s="100"/>
      <c r="N28" s="100"/>
      <c r="O28" s="100"/>
      <c r="P28" s="100"/>
      <c r="Q28" s="100"/>
      <c r="R28" s="100"/>
      <c r="S28" s="10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101">
        <f t="shared" si="1"/>
        <v>0</v>
      </c>
    </row>
    <row r="29" spans="1:30" ht="25.5">
      <c r="A29" s="105">
        <v>17</v>
      </c>
      <c r="B29" s="125" t="s">
        <v>65</v>
      </c>
      <c r="C29" s="110" t="s">
        <v>62</v>
      </c>
      <c r="D29" s="73"/>
      <c r="E29" s="65"/>
      <c r="F29" s="65"/>
      <c r="G29" s="65"/>
      <c r="H29" s="65"/>
      <c r="I29" s="65"/>
      <c r="J29" s="65"/>
      <c r="K29" s="65"/>
      <c r="L29" s="65"/>
      <c r="M29" s="104"/>
      <c r="N29" s="104"/>
      <c r="O29" s="104"/>
      <c r="P29" s="104"/>
      <c r="Q29" s="104"/>
      <c r="R29" s="104"/>
      <c r="S29" s="104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46">
        <f t="shared" si="1"/>
        <v>0</v>
      </c>
    </row>
    <row r="30" spans="1:30" ht="21" customHeight="1">
      <c r="A30" s="106">
        <v>18</v>
      </c>
      <c r="B30" s="126"/>
      <c r="C30" s="78" t="s">
        <v>63</v>
      </c>
      <c r="D30" s="108"/>
      <c r="E30" s="68"/>
      <c r="F30" s="68"/>
      <c r="G30" s="68"/>
      <c r="H30" s="68"/>
      <c r="I30" s="68"/>
      <c r="J30" s="68"/>
      <c r="K30" s="68"/>
      <c r="L30" s="68"/>
      <c r="M30" s="102"/>
      <c r="N30" s="102"/>
      <c r="O30" s="102"/>
      <c r="P30" s="102"/>
      <c r="Q30" s="102"/>
      <c r="R30" s="102"/>
      <c r="S30" s="102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47">
        <f t="shared" si="1"/>
        <v>0</v>
      </c>
    </row>
    <row r="31" spans="1:30" ht="21" customHeight="1" thickBot="1">
      <c r="A31" s="107">
        <v>19</v>
      </c>
      <c r="B31" s="127"/>
      <c r="C31" s="79" t="s">
        <v>64</v>
      </c>
      <c r="D31" s="109"/>
      <c r="E31" s="71"/>
      <c r="F31" s="71"/>
      <c r="G31" s="71"/>
      <c r="H31" s="71"/>
      <c r="I31" s="71"/>
      <c r="J31" s="71"/>
      <c r="K31" s="71"/>
      <c r="L31" s="71"/>
      <c r="M31" s="72"/>
      <c r="N31" s="72"/>
      <c r="O31" s="72"/>
      <c r="P31" s="72"/>
      <c r="Q31" s="72"/>
      <c r="R31" s="72"/>
      <c r="S31" s="72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26">
        <f t="shared" si="1"/>
        <v>0</v>
      </c>
    </row>
    <row r="32" spans="1:30" ht="21" customHeight="1">
      <c r="A32" s="153" t="s">
        <v>3</v>
      </c>
      <c r="B32" s="154"/>
      <c r="C32" s="155"/>
      <c r="D32" s="86">
        <f>SUM(D13:D31)</f>
        <v>0</v>
      </c>
      <c r="E32" s="86">
        <f t="shared" ref="E32:AC32" si="2">SUM(E13:E31)</f>
        <v>0</v>
      </c>
      <c r="F32" s="86">
        <f t="shared" si="2"/>
        <v>0</v>
      </c>
      <c r="G32" s="86">
        <f t="shared" si="2"/>
        <v>0</v>
      </c>
      <c r="H32" s="86">
        <f t="shared" si="2"/>
        <v>0</v>
      </c>
      <c r="I32" s="86">
        <f t="shared" si="2"/>
        <v>0</v>
      </c>
      <c r="J32" s="86">
        <f t="shared" si="2"/>
        <v>0</v>
      </c>
      <c r="K32" s="86">
        <f t="shared" si="2"/>
        <v>0</v>
      </c>
      <c r="L32" s="86">
        <f t="shared" si="2"/>
        <v>0</v>
      </c>
      <c r="M32" s="86">
        <f t="shared" si="2"/>
        <v>0</v>
      </c>
      <c r="N32" s="86">
        <f t="shared" si="2"/>
        <v>0</v>
      </c>
      <c r="O32" s="86">
        <f t="shared" si="2"/>
        <v>0</v>
      </c>
      <c r="P32" s="86">
        <f t="shared" si="2"/>
        <v>0</v>
      </c>
      <c r="Q32" s="86">
        <f t="shared" si="2"/>
        <v>0</v>
      </c>
      <c r="R32" s="86">
        <f t="shared" si="2"/>
        <v>0</v>
      </c>
      <c r="S32" s="86">
        <f t="shared" si="2"/>
        <v>0</v>
      </c>
      <c r="T32" s="86">
        <f t="shared" si="2"/>
        <v>0</v>
      </c>
      <c r="U32" s="86">
        <f t="shared" si="2"/>
        <v>0</v>
      </c>
      <c r="V32" s="86">
        <f t="shared" si="2"/>
        <v>0</v>
      </c>
      <c r="W32" s="86">
        <f t="shared" si="2"/>
        <v>0</v>
      </c>
      <c r="X32" s="86">
        <f t="shared" si="2"/>
        <v>0</v>
      </c>
      <c r="Y32" s="86">
        <f t="shared" si="2"/>
        <v>0</v>
      </c>
      <c r="Z32" s="86">
        <f t="shared" si="2"/>
        <v>0</v>
      </c>
      <c r="AA32" s="86">
        <f t="shared" si="2"/>
        <v>0</v>
      </c>
      <c r="AB32" s="86">
        <f t="shared" si="2"/>
        <v>0</v>
      </c>
      <c r="AC32" s="86">
        <f t="shared" si="2"/>
        <v>0</v>
      </c>
      <c r="AD32" s="39">
        <f>SUM(D32:AC32)</f>
        <v>0</v>
      </c>
    </row>
    <row r="33" spans="1:30" ht="21" customHeight="1" thickBot="1">
      <c r="A33" s="142" t="s">
        <v>12</v>
      </c>
      <c r="B33" s="143"/>
      <c r="C33" s="144"/>
      <c r="D33" s="51" t="str">
        <f t="shared" ref="D33:AD33" si="3">IF(D4&gt;0,D32/D4*1000000," ")</f>
        <v xml:space="preserve"> </v>
      </c>
      <c r="E33" s="52" t="str">
        <f t="shared" si="3"/>
        <v xml:space="preserve"> </v>
      </c>
      <c r="F33" s="52" t="str">
        <f t="shared" si="3"/>
        <v xml:space="preserve"> </v>
      </c>
      <c r="G33" s="52" t="str">
        <f t="shared" si="3"/>
        <v xml:space="preserve"> </v>
      </c>
      <c r="H33" s="52" t="str">
        <f t="shared" si="3"/>
        <v xml:space="preserve"> </v>
      </c>
      <c r="I33" s="52" t="str">
        <f t="shared" si="3"/>
        <v xml:space="preserve"> </v>
      </c>
      <c r="J33" s="52" t="str">
        <f t="shared" si="3"/>
        <v xml:space="preserve"> </v>
      </c>
      <c r="K33" s="52" t="str">
        <f t="shared" si="3"/>
        <v xml:space="preserve"> </v>
      </c>
      <c r="L33" s="52" t="str">
        <f t="shared" si="3"/>
        <v xml:space="preserve"> </v>
      </c>
      <c r="M33" s="52" t="str">
        <f t="shared" si="3"/>
        <v xml:space="preserve"> </v>
      </c>
      <c r="N33" s="52" t="str">
        <f t="shared" si="3"/>
        <v xml:space="preserve"> </v>
      </c>
      <c r="O33" s="52" t="str">
        <f t="shared" si="3"/>
        <v xml:space="preserve"> </v>
      </c>
      <c r="P33" s="52" t="str">
        <f t="shared" si="3"/>
        <v xml:space="preserve"> </v>
      </c>
      <c r="Q33" s="52" t="str">
        <f t="shared" si="3"/>
        <v xml:space="preserve"> </v>
      </c>
      <c r="R33" s="52" t="str">
        <f t="shared" si="3"/>
        <v xml:space="preserve"> </v>
      </c>
      <c r="S33" s="52" t="str">
        <f t="shared" si="3"/>
        <v xml:space="preserve"> </v>
      </c>
      <c r="T33" s="52" t="str">
        <f t="shared" si="3"/>
        <v xml:space="preserve"> </v>
      </c>
      <c r="U33" s="52" t="str">
        <f t="shared" si="3"/>
        <v xml:space="preserve"> </v>
      </c>
      <c r="V33" s="52" t="str">
        <f t="shared" si="3"/>
        <v xml:space="preserve"> </v>
      </c>
      <c r="W33" s="52" t="str">
        <f t="shared" si="3"/>
        <v xml:space="preserve"> </v>
      </c>
      <c r="X33" s="52" t="str">
        <f t="shared" si="3"/>
        <v xml:space="preserve"> </v>
      </c>
      <c r="Y33" s="52" t="str">
        <f t="shared" si="3"/>
        <v xml:space="preserve"> </v>
      </c>
      <c r="Z33" s="52" t="str">
        <f t="shared" si="3"/>
        <v xml:space="preserve"> </v>
      </c>
      <c r="AA33" s="52" t="str">
        <f t="shared" si="3"/>
        <v xml:space="preserve"> </v>
      </c>
      <c r="AB33" s="52" t="str">
        <f t="shared" si="3"/>
        <v xml:space="preserve"> </v>
      </c>
      <c r="AC33" s="52" t="str">
        <f t="shared" si="3"/>
        <v xml:space="preserve"> </v>
      </c>
      <c r="AD33" s="19" t="str">
        <f t="shared" si="3"/>
        <v xml:space="preserve"> </v>
      </c>
    </row>
    <row r="34" spans="1:30" ht="21" customHeight="1">
      <c r="A34" s="156" t="s">
        <v>41</v>
      </c>
      <c r="B34" s="157"/>
      <c r="C34" s="158"/>
      <c r="D34" s="80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2"/>
    </row>
    <row r="35" spans="1:30" ht="21" customHeight="1" thickBot="1">
      <c r="A35" s="142" t="s">
        <v>40</v>
      </c>
      <c r="B35" s="143"/>
      <c r="C35" s="144"/>
      <c r="D35" s="83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5"/>
    </row>
    <row r="36" spans="1:30" ht="21" customHeight="1">
      <c r="A36" s="44" t="s">
        <v>8</v>
      </c>
      <c r="B36" s="45"/>
      <c r="C36" s="45"/>
      <c r="D36" s="7"/>
      <c r="E36" s="7"/>
      <c r="F36" s="7"/>
      <c r="G36" s="7"/>
      <c r="H36" s="28"/>
      <c r="I36" s="28"/>
      <c r="J36" s="30"/>
      <c r="K36" s="8" t="s">
        <v>10</v>
      </c>
      <c r="L36" s="7"/>
      <c r="M36" s="7"/>
      <c r="N36" s="7"/>
      <c r="O36" s="7"/>
      <c r="P36" s="7"/>
      <c r="Q36" s="7"/>
      <c r="R36" s="7"/>
      <c r="S36" s="7"/>
      <c r="T36" s="7"/>
      <c r="U36" s="8" t="s">
        <v>11</v>
      </c>
      <c r="V36" s="21"/>
      <c r="W36" s="7"/>
      <c r="X36" s="7"/>
      <c r="Y36" s="7"/>
      <c r="Z36" s="7"/>
      <c r="AA36" s="7"/>
      <c r="AB36" s="7"/>
      <c r="AC36" s="9"/>
      <c r="AD36" s="10"/>
    </row>
    <row r="37" spans="1:30" s="16" customFormat="1" ht="21" customHeight="1" thickBot="1">
      <c r="A37" s="11" t="s">
        <v>9</v>
      </c>
      <c r="B37" s="12"/>
      <c r="C37" s="12"/>
      <c r="D37" s="12"/>
      <c r="E37" s="12"/>
      <c r="F37" s="12"/>
      <c r="G37" s="12"/>
      <c r="H37" s="35"/>
      <c r="I37" s="35"/>
      <c r="J37" s="36"/>
      <c r="K37" s="11" t="s">
        <v>9</v>
      </c>
      <c r="L37" s="12"/>
      <c r="M37" s="12"/>
      <c r="N37" s="12"/>
      <c r="O37" s="12"/>
      <c r="P37" s="12"/>
      <c r="Q37" s="12"/>
      <c r="R37" s="12"/>
      <c r="S37" s="12"/>
      <c r="T37" s="12"/>
      <c r="U37" s="11" t="s">
        <v>9</v>
      </c>
      <c r="V37" s="12"/>
      <c r="W37" s="12"/>
      <c r="X37" s="12"/>
      <c r="Y37" s="14"/>
      <c r="Z37" s="15"/>
      <c r="AA37" s="15"/>
      <c r="AB37" s="15"/>
      <c r="AC37" s="14"/>
      <c r="AD37" s="13"/>
    </row>
    <row r="38" spans="1:30">
      <c r="C38" t="s">
        <v>5</v>
      </c>
      <c r="D38" s="17">
        <f>'[1]SJCPIL 16-006-08'!$Y$22</f>
        <v>20</v>
      </c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40" spans="1:30">
      <c r="C40" s="6" t="s">
        <v>6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</row>
    <row r="41" spans="1:30" ht="170.1" customHeight="1">
      <c r="C41" s="18" t="s">
        <v>7</v>
      </c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</row>
  </sheetData>
  <sheetProtection algorithmName="SHA-512" hashValue="7u83k+qiX5xGjx3LlAydLGUXbUq5Kxi9r8pVdLCyEdT1bhcVnVjuaUKRn3w1yZDV3qJpdEm/tFDpOxBHh6vFyA==" saltValue="ioR+Do1Q2MR9EvLa5TiHeg==" spinCount="100000" sheet="1" objects="1" scenarios="1" selectLockedCells="1"/>
  <mergeCells count="36">
    <mergeCell ref="AB1:AC1"/>
    <mergeCell ref="A35:C35"/>
    <mergeCell ref="C6:C12"/>
    <mergeCell ref="B13:B17"/>
    <mergeCell ref="B18:B28"/>
    <mergeCell ref="A32:C32"/>
    <mergeCell ref="A33:C33"/>
    <mergeCell ref="A34:C34"/>
    <mergeCell ref="AC5:AC12"/>
    <mergeCell ref="P5:P12"/>
    <mergeCell ref="Q5:Q12"/>
    <mergeCell ref="R5:R12"/>
    <mergeCell ref="S5:S12"/>
    <mergeCell ref="T5:T12"/>
    <mergeCell ref="U5:U12"/>
    <mergeCell ref="V5:V12"/>
    <mergeCell ref="W5:W12"/>
    <mergeCell ref="X5:X12"/>
    <mergeCell ref="Y5:Y12"/>
    <mergeCell ref="Z5:Z12"/>
    <mergeCell ref="O5:O12"/>
    <mergeCell ref="A2:C2"/>
    <mergeCell ref="A3:C3"/>
    <mergeCell ref="A4:C4"/>
    <mergeCell ref="D5:D12"/>
    <mergeCell ref="E5:E12"/>
    <mergeCell ref="B29:B31"/>
    <mergeCell ref="K5:K12"/>
    <mergeCell ref="L5:L12"/>
    <mergeCell ref="M5:M12"/>
    <mergeCell ref="N5:N12"/>
    <mergeCell ref="F5:F12"/>
    <mergeCell ref="G5:G12"/>
    <mergeCell ref="H5:H12"/>
    <mergeCell ref="I5:I12"/>
    <mergeCell ref="J5:J12"/>
  </mergeCells>
  <conditionalFormatting sqref="AD32">
    <cfRule type="cellIs" dxfId="5" priority="1" stopIfTrue="1" operator="notEqual">
      <formula>SUM($D$13:$AC$28)</formula>
    </cfRule>
  </conditionalFormatting>
  <dataValidations count="1">
    <dataValidation type="date" allowBlank="1" showInputMessage="1" showErrorMessage="1" promptTitle="Data:" prompt="Favor digitar uma data válida, pelo menos dia/mês." sqref="D2:AC2" xr:uid="{00000000-0002-0000-0100-000000000000}">
      <formula1>44287</formula1>
      <formula2>44651</formula2>
    </dataValidation>
  </dataValidations>
  <printOptions horizontalCentered="1" gridLines="1" gridLinesSet="0"/>
  <pageMargins left="0.47244094488188981" right="0.31496062992125984" top="0.78740157480314965" bottom="0.39370078740157483" header="0.27559055118110237" footer="0.27559055118110237"/>
  <pageSetup paperSize="9" scale="59" orientation="landscape" r:id="rId1"/>
  <headerFooter alignWithMargins="0">
    <oddFooter xml:space="preserve">&amp;RSJCPIL-R 16-423-03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21</xdr:col>
                    <xdr:colOff>200025</xdr:colOff>
                    <xdr:row>0</xdr:row>
                    <xdr:rowOff>114300</xdr:rowOff>
                  </from>
                  <to>
                    <xdr:col>22</xdr:col>
                    <xdr:colOff>381000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22</xdr:col>
                    <xdr:colOff>180975</xdr:colOff>
                    <xdr:row>0</xdr:row>
                    <xdr:rowOff>104775</xdr:rowOff>
                  </from>
                  <to>
                    <xdr:col>23</xdr:col>
                    <xdr:colOff>47625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23</xdr:col>
                    <xdr:colOff>47625</xdr:colOff>
                    <xdr:row>0</xdr:row>
                    <xdr:rowOff>114300</xdr:rowOff>
                  </from>
                  <to>
                    <xdr:col>23</xdr:col>
                    <xdr:colOff>352425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8">
    <tabColor theme="4" tint="-0.249977111117893"/>
    <pageSetUpPr fitToPage="1"/>
  </sheetPr>
  <dimension ref="A1:AF41"/>
  <sheetViews>
    <sheetView showZeros="0" zoomScaleNormal="100" workbookViewId="0">
      <selection activeCell="C6" sqref="C6:C12"/>
    </sheetView>
  </sheetViews>
  <sheetFormatPr defaultColWidth="11.42578125" defaultRowHeight="12.75"/>
  <cols>
    <col min="1" max="1" width="3" bestFit="1" customWidth="1"/>
    <col min="2" max="2" width="3.28515625" bestFit="1" customWidth="1"/>
    <col min="3" max="3" width="26.140625" customWidth="1"/>
    <col min="4" max="29" width="6.7109375" customWidth="1"/>
    <col min="30" max="30" width="11.42578125" customWidth="1"/>
    <col min="31" max="31" width="3.28515625" customWidth="1"/>
  </cols>
  <sheetData>
    <row r="1" spans="1:32" ht="32.25" customHeight="1" thickBot="1">
      <c r="E1" s="23" t="str">
        <f>'SHRINK 4S - Dia'!E1</f>
        <v>FALHAS DO ACABAMENTO  UM-4 (SHRINK)</v>
      </c>
      <c r="F1" s="23"/>
      <c r="G1" s="23"/>
      <c r="H1" s="23"/>
      <c r="I1" s="23"/>
      <c r="J1" s="23"/>
      <c r="K1" s="23"/>
      <c r="L1" s="23"/>
      <c r="M1" s="23"/>
      <c r="N1" s="23"/>
      <c r="O1" s="23" t="s">
        <v>42</v>
      </c>
      <c r="P1" s="23"/>
      <c r="Q1" s="23" t="s">
        <v>43</v>
      </c>
      <c r="R1" s="23"/>
      <c r="S1" s="23"/>
      <c r="T1" s="23"/>
      <c r="U1" s="124" t="s">
        <v>90</v>
      </c>
      <c r="V1" s="3"/>
      <c r="W1" s="3"/>
      <c r="Z1" s="88"/>
      <c r="AA1" s="88"/>
      <c r="AB1" s="140" t="s">
        <v>61</v>
      </c>
      <c r="AC1" s="141"/>
      <c r="AD1" s="89" t="str">
        <f ca="1">'SHRINK 2S - Dia'!AD1</f>
        <v>03 / 2022</v>
      </c>
    </row>
    <row r="2" spans="1:32" ht="21" customHeight="1">
      <c r="A2" s="131" t="s">
        <v>0</v>
      </c>
      <c r="B2" s="132"/>
      <c r="C2" s="132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2"/>
      <c r="Y2" s="122"/>
      <c r="Z2" s="123"/>
      <c r="AA2" s="123"/>
      <c r="AB2" s="123"/>
      <c r="AC2" s="123"/>
      <c r="AD2" s="87" t="s">
        <v>4</v>
      </c>
    </row>
    <row r="3" spans="1:32" ht="21" customHeight="1">
      <c r="A3" s="133" t="s">
        <v>1</v>
      </c>
      <c r="B3" s="134"/>
      <c r="C3" s="134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4"/>
    </row>
    <row r="4" spans="1:32" ht="21" customHeight="1" thickBot="1">
      <c r="A4" s="135" t="s">
        <v>2</v>
      </c>
      <c r="B4" s="136"/>
      <c r="C4" s="136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58"/>
      <c r="Y4" s="58"/>
      <c r="Z4" s="58"/>
      <c r="AA4" s="58"/>
      <c r="AB4" s="58"/>
      <c r="AC4" s="25"/>
      <c r="AD4" s="26">
        <f>SUM(D4:AC4)</f>
        <v>0</v>
      </c>
      <c r="AF4" s="62"/>
    </row>
    <row r="5" spans="1:32" ht="30" customHeight="1">
      <c r="A5" s="27"/>
      <c r="B5" s="28"/>
      <c r="C5" s="29" t="s">
        <v>12</v>
      </c>
      <c r="D5" s="128">
        <f>D41</f>
        <v>0</v>
      </c>
      <c r="E5" s="128">
        <f t="shared" ref="E5:AC5" si="0">E41</f>
        <v>0</v>
      </c>
      <c r="F5" s="128">
        <f>F41</f>
        <v>0</v>
      </c>
      <c r="G5" s="128">
        <f t="shared" si="0"/>
        <v>0</v>
      </c>
      <c r="H5" s="128">
        <f t="shared" si="0"/>
        <v>0</v>
      </c>
      <c r="I5" s="128">
        <f>I41</f>
        <v>0</v>
      </c>
      <c r="J5" s="128">
        <f t="shared" si="0"/>
        <v>0</v>
      </c>
      <c r="K5" s="128">
        <f t="shared" si="0"/>
        <v>0</v>
      </c>
      <c r="L5" s="128">
        <f t="shared" si="0"/>
        <v>0</v>
      </c>
      <c r="M5" s="128">
        <f>M41</f>
        <v>0</v>
      </c>
      <c r="N5" s="128">
        <f>N41</f>
        <v>0</v>
      </c>
      <c r="O5" s="137">
        <f t="shared" ref="O5:T5" si="1">O41</f>
        <v>0</v>
      </c>
      <c r="P5" s="137">
        <f t="shared" si="1"/>
        <v>0</v>
      </c>
      <c r="Q5" s="137">
        <f t="shared" si="1"/>
        <v>0</v>
      </c>
      <c r="R5" s="137">
        <f t="shared" si="1"/>
        <v>0</v>
      </c>
      <c r="S5" s="137">
        <f t="shared" si="1"/>
        <v>0</v>
      </c>
      <c r="T5" s="137">
        <f t="shared" si="1"/>
        <v>0</v>
      </c>
      <c r="U5" s="137">
        <f t="shared" si="0"/>
        <v>0</v>
      </c>
      <c r="V5" s="137"/>
      <c r="W5" s="137">
        <f t="shared" si="0"/>
        <v>0</v>
      </c>
      <c r="X5" s="137">
        <f t="shared" si="0"/>
        <v>0</v>
      </c>
      <c r="Y5" s="137">
        <f t="shared" si="0"/>
        <v>0</v>
      </c>
      <c r="Z5" s="137">
        <f t="shared" si="0"/>
        <v>0</v>
      </c>
      <c r="AA5" s="59"/>
      <c r="AB5" s="59"/>
      <c r="AC5" s="137">
        <f t="shared" si="0"/>
        <v>0</v>
      </c>
      <c r="AD5" s="30"/>
    </row>
    <row r="6" spans="1:32" ht="30" customHeight="1">
      <c r="A6" s="31"/>
      <c r="C6" s="145" t="s">
        <v>67</v>
      </c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60"/>
      <c r="AB6" s="60"/>
      <c r="AC6" s="138"/>
      <c r="AD6" s="4"/>
    </row>
    <row r="7" spans="1:32" ht="30" customHeight="1">
      <c r="A7" s="31"/>
      <c r="C7" s="146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60"/>
      <c r="AB7" s="60"/>
      <c r="AC7" s="138"/>
      <c r="AD7" s="4"/>
    </row>
    <row r="8" spans="1:32" ht="30" customHeight="1">
      <c r="A8" s="31"/>
      <c r="C8" s="146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60"/>
      <c r="AB8" s="60"/>
      <c r="AC8" s="138"/>
      <c r="AD8" s="4"/>
    </row>
    <row r="9" spans="1:32" ht="30" customHeight="1">
      <c r="A9" s="31"/>
      <c r="C9" s="146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60"/>
      <c r="AB9" s="60"/>
      <c r="AC9" s="138"/>
      <c r="AD9" s="4"/>
    </row>
    <row r="10" spans="1:32" ht="30" customHeight="1">
      <c r="A10" s="31"/>
      <c r="C10" s="146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60"/>
      <c r="AB10" s="60"/>
      <c r="AC10" s="138"/>
      <c r="AD10" s="4"/>
    </row>
    <row r="11" spans="1:32" ht="30" customHeight="1">
      <c r="A11" s="31"/>
      <c r="C11" s="146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60"/>
      <c r="AB11" s="60"/>
      <c r="AC11" s="138"/>
      <c r="AD11" s="4"/>
    </row>
    <row r="12" spans="1:32" ht="30" customHeight="1" thickBot="1">
      <c r="A12" s="32"/>
      <c r="B12" s="33"/>
      <c r="C12" s="147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9"/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61"/>
      <c r="AB12" s="61"/>
      <c r="AC12" s="139"/>
      <c r="AD12" s="34"/>
    </row>
    <row r="13" spans="1:32" ht="21" customHeight="1">
      <c r="A13" s="37">
        <v>1</v>
      </c>
      <c r="B13" s="151" t="s">
        <v>29</v>
      </c>
      <c r="C13" s="76" t="s">
        <v>34</v>
      </c>
      <c r="D13" s="73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46">
        <f t="shared" ref="AD13:AD31" si="2">SUM(D13:AC13)</f>
        <v>0</v>
      </c>
    </row>
    <row r="14" spans="1:32" ht="21" customHeight="1">
      <c r="A14" s="38">
        <v>2</v>
      </c>
      <c r="B14" s="152"/>
      <c r="C14" s="77" t="s">
        <v>35</v>
      </c>
      <c r="D14" s="74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47">
        <f t="shared" si="2"/>
        <v>0</v>
      </c>
    </row>
    <row r="15" spans="1:32" ht="21" customHeight="1">
      <c r="A15" s="38">
        <v>3</v>
      </c>
      <c r="B15" s="152"/>
      <c r="C15" s="78" t="s">
        <v>36</v>
      </c>
      <c r="D15" s="74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47">
        <f t="shared" si="2"/>
        <v>0</v>
      </c>
    </row>
    <row r="16" spans="1:32" ht="21" customHeight="1">
      <c r="A16" s="38">
        <v>4</v>
      </c>
      <c r="B16" s="152"/>
      <c r="C16" s="78" t="s">
        <v>37</v>
      </c>
      <c r="D16" s="74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47">
        <f t="shared" si="2"/>
        <v>0</v>
      </c>
    </row>
    <row r="17" spans="1:30" ht="21" customHeight="1" thickBot="1">
      <c r="A17" s="40">
        <v>5</v>
      </c>
      <c r="B17" s="162"/>
      <c r="C17" s="79" t="s">
        <v>45</v>
      </c>
      <c r="D17" s="75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26">
        <f t="shared" si="2"/>
        <v>0</v>
      </c>
    </row>
    <row r="18" spans="1:30" ht="21" customHeight="1">
      <c r="A18" s="63">
        <v>6</v>
      </c>
      <c r="B18" s="151" t="s">
        <v>13</v>
      </c>
      <c r="C18" s="95" t="s">
        <v>14</v>
      </c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22">
        <f t="shared" si="2"/>
        <v>0</v>
      </c>
    </row>
    <row r="19" spans="1:30" ht="21" customHeight="1">
      <c r="A19" s="38">
        <v>7</v>
      </c>
      <c r="B19" s="152"/>
      <c r="C19" s="96" t="s">
        <v>24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5">
        <f t="shared" si="2"/>
        <v>0</v>
      </c>
    </row>
    <row r="20" spans="1:30" ht="21" customHeight="1">
      <c r="A20" s="38">
        <v>8</v>
      </c>
      <c r="B20" s="152"/>
      <c r="C20" s="96" t="s">
        <v>25</v>
      </c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5">
        <f t="shared" si="2"/>
        <v>0</v>
      </c>
    </row>
    <row r="21" spans="1:30" ht="21" customHeight="1">
      <c r="A21" s="38">
        <v>9</v>
      </c>
      <c r="B21" s="152"/>
      <c r="C21" s="96" t="s">
        <v>30</v>
      </c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5">
        <f t="shared" si="2"/>
        <v>0</v>
      </c>
    </row>
    <row r="22" spans="1:30" ht="21" customHeight="1">
      <c r="A22" s="38">
        <v>10</v>
      </c>
      <c r="B22" s="152"/>
      <c r="C22" s="96" t="s">
        <v>31</v>
      </c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5">
        <f t="shared" si="2"/>
        <v>0</v>
      </c>
    </row>
    <row r="23" spans="1:30" ht="21" customHeight="1">
      <c r="A23" s="64">
        <v>11</v>
      </c>
      <c r="B23" s="152"/>
      <c r="C23" s="96" t="s">
        <v>26</v>
      </c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5">
        <f t="shared" si="2"/>
        <v>0</v>
      </c>
    </row>
    <row r="24" spans="1:30" ht="21" customHeight="1">
      <c r="A24" s="63">
        <v>12</v>
      </c>
      <c r="B24" s="152"/>
      <c r="C24" s="97" t="s">
        <v>27</v>
      </c>
      <c r="D24" s="66"/>
      <c r="E24" s="66"/>
      <c r="F24" s="66"/>
      <c r="G24" s="66"/>
      <c r="H24" s="66"/>
      <c r="I24" s="66"/>
      <c r="J24" s="66"/>
      <c r="K24" s="66"/>
      <c r="L24" s="66"/>
      <c r="M24" s="69"/>
      <c r="N24" s="69"/>
      <c r="O24" s="69"/>
      <c r="P24" s="69"/>
      <c r="Q24" s="69"/>
      <c r="R24" s="69"/>
      <c r="S24" s="69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22">
        <f t="shared" si="2"/>
        <v>0</v>
      </c>
    </row>
    <row r="25" spans="1:30" ht="21" customHeight="1">
      <c r="A25" s="38">
        <v>13</v>
      </c>
      <c r="B25" s="152"/>
      <c r="C25" s="96" t="s">
        <v>28</v>
      </c>
      <c r="D25" s="68"/>
      <c r="E25" s="68"/>
      <c r="F25" s="68"/>
      <c r="G25" s="68"/>
      <c r="H25" s="68"/>
      <c r="I25" s="68"/>
      <c r="J25" s="68"/>
      <c r="K25" s="68"/>
      <c r="L25" s="68"/>
      <c r="M25" s="70"/>
      <c r="N25" s="70"/>
      <c r="O25" s="70"/>
      <c r="P25" s="70"/>
      <c r="Q25" s="70"/>
      <c r="R25" s="70"/>
      <c r="S25" s="70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5">
        <f t="shared" si="2"/>
        <v>0</v>
      </c>
    </row>
    <row r="26" spans="1:30" ht="21" customHeight="1">
      <c r="A26" s="38">
        <v>14</v>
      </c>
      <c r="B26" s="152"/>
      <c r="C26" s="96" t="s">
        <v>32</v>
      </c>
      <c r="D26" s="68"/>
      <c r="E26" s="68"/>
      <c r="F26" s="68"/>
      <c r="G26" s="68"/>
      <c r="H26" s="68"/>
      <c r="I26" s="68"/>
      <c r="J26" s="68"/>
      <c r="K26" s="68"/>
      <c r="L26" s="68"/>
      <c r="M26" s="70"/>
      <c r="N26" s="70"/>
      <c r="O26" s="70"/>
      <c r="P26" s="70"/>
      <c r="Q26" s="70"/>
      <c r="R26" s="70"/>
      <c r="S26" s="70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5">
        <f t="shared" si="2"/>
        <v>0</v>
      </c>
    </row>
    <row r="27" spans="1:30" ht="21" customHeight="1">
      <c r="A27" s="38">
        <v>15</v>
      </c>
      <c r="B27" s="152"/>
      <c r="C27" s="96" t="s">
        <v>33</v>
      </c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5">
        <f t="shared" si="2"/>
        <v>0</v>
      </c>
    </row>
    <row r="28" spans="1:30" ht="21" customHeight="1" thickBot="1">
      <c r="A28" s="43">
        <v>16</v>
      </c>
      <c r="B28" s="162"/>
      <c r="C28" s="99" t="s">
        <v>46</v>
      </c>
      <c r="D28" s="70"/>
      <c r="E28" s="70"/>
      <c r="F28" s="70"/>
      <c r="G28" s="70"/>
      <c r="H28" s="70"/>
      <c r="I28" s="70"/>
      <c r="J28" s="70"/>
      <c r="K28" s="70"/>
      <c r="L28" s="70"/>
      <c r="M28" s="100"/>
      <c r="N28" s="100"/>
      <c r="O28" s="100"/>
      <c r="P28" s="100"/>
      <c r="Q28" s="100"/>
      <c r="R28" s="100"/>
      <c r="S28" s="10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101">
        <f t="shared" si="2"/>
        <v>0</v>
      </c>
    </row>
    <row r="29" spans="1:30" ht="25.5">
      <c r="A29" s="92">
        <v>17</v>
      </c>
      <c r="B29" s="159" t="s">
        <v>65</v>
      </c>
      <c r="C29" s="112" t="s">
        <v>66</v>
      </c>
      <c r="D29" s="73"/>
      <c r="E29" s="65"/>
      <c r="F29" s="65"/>
      <c r="G29" s="65"/>
      <c r="H29" s="65"/>
      <c r="I29" s="65"/>
      <c r="J29" s="65"/>
      <c r="K29" s="65"/>
      <c r="L29" s="65"/>
      <c r="M29" s="104"/>
      <c r="N29" s="104"/>
      <c r="O29" s="104"/>
      <c r="P29" s="104"/>
      <c r="Q29" s="104"/>
      <c r="R29" s="104"/>
      <c r="S29" s="104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46">
        <f t="shared" si="2"/>
        <v>0</v>
      </c>
    </row>
    <row r="30" spans="1:30" ht="21" customHeight="1">
      <c r="A30" s="64">
        <v>18</v>
      </c>
      <c r="B30" s="160"/>
      <c r="C30" s="96" t="s">
        <v>63</v>
      </c>
      <c r="D30" s="108"/>
      <c r="E30" s="68"/>
      <c r="F30" s="68"/>
      <c r="G30" s="68"/>
      <c r="H30" s="68"/>
      <c r="I30" s="68"/>
      <c r="J30" s="68"/>
      <c r="K30" s="68"/>
      <c r="L30" s="68"/>
      <c r="M30" s="102"/>
      <c r="N30" s="102"/>
      <c r="O30" s="102"/>
      <c r="P30" s="102"/>
      <c r="Q30" s="102"/>
      <c r="R30" s="102"/>
      <c r="S30" s="102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47">
        <f t="shared" si="2"/>
        <v>0</v>
      </c>
    </row>
    <row r="31" spans="1:30" ht="21" customHeight="1" thickBot="1">
      <c r="A31" s="93">
        <v>19</v>
      </c>
      <c r="B31" s="161"/>
      <c r="C31" s="98" t="s">
        <v>64</v>
      </c>
      <c r="D31" s="109"/>
      <c r="E31" s="71"/>
      <c r="F31" s="71"/>
      <c r="G31" s="71"/>
      <c r="H31" s="71"/>
      <c r="I31" s="71"/>
      <c r="J31" s="71"/>
      <c r="K31" s="71"/>
      <c r="L31" s="71"/>
      <c r="M31" s="72"/>
      <c r="N31" s="72"/>
      <c r="O31" s="72"/>
      <c r="P31" s="72"/>
      <c r="Q31" s="72"/>
      <c r="R31" s="72"/>
      <c r="S31" s="72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26">
        <f t="shared" si="2"/>
        <v>0</v>
      </c>
    </row>
    <row r="32" spans="1:30" ht="21" customHeight="1">
      <c r="A32" s="153" t="s">
        <v>3</v>
      </c>
      <c r="B32" s="154"/>
      <c r="C32" s="155"/>
      <c r="D32" s="86">
        <f>SUM(D13:D31)</f>
        <v>0</v>
      </c>
      <c r="E32" s="86">
        <f t="shared" ref="E32:AC32" si="3">SUM(E13:E31)</f>
        <v>0</v>
      </c>
      <c r="F32" s="86">
        <f t="shared" si="3"/>
        <v>0</v>
      </c>
      <c r="G32" s="86">
        <f t="shared" si="3"/>
        <v>0</v>
      </c>
      <c r="H32" s="86">
        <f t="shared" si="3"/>
        <v>0</v>
      </c>
      <c r="I32" s="86">
        <f t="shared" si="3"/>
        <v>0</v>
      </c>
      <c r="J32" s="86">
        <f t="shared" si="3"/>
        <v>0</v>
      </c>
      <c r="K32" s="86">
        <f t="shared" si="3"/>
        <v>0</v>
      </c>
      <c r="L32" s="86">
        <f t="shared" si="3"/>
        <v>0</v>
      </c>
      <c r="M32" s="86">
        <f t="shared" si="3"/>
        <v>0</v>
      </c>
      <c r="N32" s="86">
        <f t="shared" si="3"/>
        <v>0</v>
      </c>
      <c r="O32" s="86">
        <f t="shared" si="3"/>
        <v>0</v>
      </c>
      <c r="P32" s="86">
        <f t="shared" si="3"/>
        <v>0</v>
      </c>
      <c r="Q32" s="86">
        <f t="shared" si="3"/>
        <v>0</v>
      </c>
      <c r="R32" s="86">
        <f t="shared" si="3"/>
        <v>0</v>
      </c>
      <c r="S32" s="86">
        <f t="shared" si="3"/>
        <v>0</v>
      </c>
      <c r="T32" s="86">
        <f t="shared" si="3"/>
        <v>0</v>
      </c>
      <c r="U32" s="86">
        <f t="shared" si="3"/>
        <v>0</v>
      </c>
      <c r="V32" s="86">
        <f t="shared" si="3"/>
        <v>0</v>
      </c>
      <c r="W32" s="86">
        <f t="shared" si="3"/>
        <v>0</v>
      </c>
      <c r="X32" s="86">
        <f t="shared" si="3"/>
        <v>0</v>
      </c>
      <c r="Y32" s="86">
        <f t="shared" si="3"/>
        <v>0</v>
      </c>
      <c r="Z32" s="86">
        <f t="shared" si="3"/>
        <v>0</v>
      </c>
      <c r="AA32" s="86">
        <f t="shared" si="3"/>
        <v>0</v>
      </c>
      <c r="AB32" s="86">
        <f t="shared" si="3"/>
        <v>0</v>
      </c>
      <c r="AC32" s="86">
        <f t="shared" si="3"/>
        <v>0</v>
      </c>
      <c r="AD32" s="39">
        <f>SUM(D32:AC32)</f>
        <v>0</v>
      </c>
    </row>
    <row r="33" spans="1:30" ht="21" customHeight="1" thickBot="1">
      <c r="A33" s="142" t="s">
        <v>12</v>
      </c>
      <c r="B33" s="143"/>
      <c r="C33" s="144"/>
      <c r="D33" s="51" t="str">
        <f t="shared" ref="D33:AD33" si="4">IF(D4&gt;0,D32/D4*1000000," ")</f>
        <v xml:space="preserve"> </v>
      </c>
      <c r="E33" s="52" t="str">
        <f t="shared" si="4"/>
        <v xml:space="preserve"> </v>
      </c>
      <c r="F33" s="52" t="str">
        <f t="shared" si="4"/>
        <v xml:space="preserve"> </v>
      </c>
      <c r="G33" s="52" t="str">
        <f t="shared" si="4"/>
        <v xml:space="preserve"> </v>
      </c>
      <c r="H33" s="52" t="str">
        <f t="shared" si="4"/>
        <v xml:space="preserve"> </v>
      </c>
      <c r="I33" s="52" t="str">
        <f t="shared" si="4"/>
        <v xml:space="preserve"> </v>
      </c>
      <c r="J33" s="52" t="str">
        <f t="shared" si="4"/>
        <v xml:space="preserve"> </v>
      </c>
      <c r="K33" s="52" t="str">
        <f t="shared" si="4"/>
        <v xml:space="preserve"> </v>
      </c>
      <c r="L33" s="52" t="str">
        <f t="shared" si="4"/>
        <v xml:space="preserve"> </v>
      </c>
      <c r="M33" s="52" t="str">
        <f t="shared" si="4"/>
        <v xml:space="preserve"> </v>
      </c>
      <c r="N33" s="52" t="str">
        <f t="shared" si="4"/>
        <v xml:space="preserve"> </v>
      </c>
      <c r="O33" s="52" t="str">
        <f t="shared" si="4"/>
        <v xml:space="preserve"> </v>
      </c>
      <c r="P33" s="52" t="str">
        <f t="shared" si="4"/>
        <v xml:space="preserve"> </v>
      </c>
      <c r="Q33" s="52" t="str">
        <f t="shared" si="4"/>
        <v xml:space="preserve"> </v>
      </c>
      <c r="R33" s="52" t="str">
        <f t="shared" si="4"/>
        <v xml:space="preserve"> </v>
      </c>
      <c r="S33" s="52" t="str">
        <f t="shared" si="4"/>
        <v xml:space="preserve"> </v>
      </c>
      <c r="T33" s="52" t="str">
        <f t="shared" si="4"/>
        <v xml:space="preserve"> </v>
      </c>
      <c r="U33" s="52" t="str">
        <f t="shared" si="4"/>
        <v xml:space="preserve"> </v>
      </c>
      <c r="V33" s="52" t="str">
        <f t="shared" si="4"/>
        <v xml:space="preserve"> </v>
      </c>
      <c r="W33" s="52" t="str">
        <f t="shared" si="4"/>
        <v xml:space="preserve"> </v>
      </c>
      <c r="X33" s="52" t="str">
        <f t="shared" si="4"/>
        <v xml:space="preserve"> </v>
      </c>
      <c r="Y33" s="52" t="str">
        <f t="shared" si="4"/>
        <v xml:space="preserve"> </v>
      </c>
      <c r="Z33" s="52" t="str">
        <f t="shared" si="4"/>
        <v xml:space="preserve"> </v>
      </c>
      <c r="AA33" s="52" t="str">
        <f t="shared" si="4"/>
        <v xml:space="preserve"> </v>
      </c>
      <c r="AB33" s="52" t="str">
        <f t="shared" si="4"/>
        <v xml:space="preserve"> </v>
      </c>
      <c r="AC33" s="52" t="str">
        <f t="shared" si="4"/>
        <v xml:space="preserve"> </v>
      </c>
      <c r="AD33" s="19" t="str">
        <f t="shared" si="4"/>
        <v xml:space="preserve"> </v>
      </c>
    </row>
    <row r="34" spans="1:30" ht="21" customHeight="1">
      <c r="A34" s="156" t="s">
        <v>41</v>
      </c>
      <c r="B34" s="157"/>
      <c r="C34" s="158"/>
      <c r="D34" s="80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2"/>
    </row>
    <row r="35" spans="1:30" ht="21" customHeight="1" thickBot="1">
      <c r="A35" s="142" t="s">
        <v>40</v>
      </c>
      <c r="B35" s="143"/>
      <c r="C35" s="144"/>
      <c r="D35" s="83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5"/>
    </row>
    <row r="36" spans="1:30" ht="21" customHeight="1">
      <c r="A36" s="44" t="s">
        <v>8</v>
      </c>
      <c r="B36" s="45"/>
      <c r="C36" s="45"/>
      <c r="D36" s="7"/>
      <c r="E36" s="7"/>
      <c r="F36" s="7"/>
      <c r="G36" s="7"/>
      <c r="H36" s="28"/>
      <c r="I36" s="28"/>
      <c r="J36" s="30"/>
      <c r="K36" s="8" t="s">
        <v>10</v>
      </c>
      <c r="L36" s="7"/>
      <c r="M36" s="7"/>
      <c r="N36" s="7"/>
      <c r="O36" s="7"/>
      <c r="P36" s="7"/>
      <c r="Q36" s="7"/>
      <c r="R36" s="7"/>
      <c r="S36" s="7"/>
      <c r="T36" s="7"/>
      <c r="U36" s="8" t="s">
        <v>11</v>
      </c>
      <c r="V36" s="21"/>
      <c r="W36" s="7"/>
      <c r="X36" s="7"/>
      <c r="Y36" s="7"/>
      <c r="Z36" s="7"/>
      <c r="AA36" s="7"/>
      <c r="AB36" s="7"/>
      <c r="AC36" s="9"/>
      <c r="AD36" s="10"/>
    </row>
    <row r="37" spans="1:30" s="16" customFormat="1" ht="21" customHeight="1" thickBot="1">
      <c r="A37" s="11" t="s">
        <v>9</v>
      </c>
      <c r="B37" s="12"/>
      <c r="C37" s="12"/>
      <c r="D37" s="12"/>
      <c r="E37" s="12"/>
      <c r="F37" s="12"/>
      <c r="G37" s="12"/>
      <c r="H37" s="35"/>
      <c r="I37" s="35"/>
      <c r="J37" s="36"/>
      <c r="K37" s="11" t="s">
        <v>9</v>
      </c>
      <c r="L37" s="12"/>
      <c r="M37" s="12"/>
      <c r="N37" s="12"/>
      <c r="O37" s="12"/>
      <c r="P37" s="12"/>
      <c r="Q37" s="12"/>
      <c r="R37" s="12"/>
      <c r="S37" s="12"/>
      <c r="T37" s="12"/>
      <c r="U37" s="11" t="s">
        <v>9</v>
      </c>
      <c r="V37" s="12"/>
      <c r="W37" s="12"/>
      <c r="X37" s="12"/>
      <c r="Y37" s="14"/>
      <c r="Z37" s="15"/>
      <c r="AA37" s="15"/>
      <c r="AB37" s="15"/>
      <c r="AC37" s="14"/>
      <c r="AD37" s="13"/>
    </row>
    <row r="38" spans="1:30">
      <c r="C38" t="s">
        <v>5</v>
      </c>
      <c r="D38" s="17">
        <f>TARGET_2S</f>
        <v>20</v>
      </c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40" spans="1:30">
      <c r="C40" s="6" t="s">
        <v>6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</row>
    <row r="41" spans="1:30" ht="170.1" customHeight="1">
      <c r="C41" s="18" t="s">
        <v>7</v>
      </c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</row>
  </sheetData>
  <sheetProtection algorithmName="SHA-512" hashValue="+hbgJzFbJKcXRof+SPRJ5TUWK2i6Gkk0OxAw7duhOCi+WX8hy3gZkPz576zljh8o9xY6J/oIHd+ht31KOq2tag==" saltValue="uHZeZI3WTLzP86DanooV2g==" spinCount="100000" sheet="1" objects="1" scenarios="1" selectLockedCells="1"/>
  <mergeCells count="36">
    <mergeCell ref="AB1:AC1"/>
    <mergeCell ref="A35:C35"/>
    <mergeCell ref="C6:C12"/>
    <mergeCell ref="B13:B17"/>
    <mergeCell ref="B18:B28"/>
    <mergeCell ref="A32:C32"/>
    <mergeCell ref="A33:C33"/>
    <mergeCell ref="A34:C34"/>
    <mergeCell ref="AC5:AC12"/>
    <mergeCell ref="P5:P12"/>
    <mergeCell ref="Q5:Q12"/>
    <mergeCell ref="R5:R12"/>
    <mergeCell ref="S5:S12"/>
    <mergeCell ref="T5:T12"/>
    <mergeCell ref="U5:U12"/>
    <mergeCell ref="V5:V12"/>
    <mergeCell ref="W5:W12"/>
    <mergeCell ref="X5:X12"/>
    <mergeCell ref="Y5:Y12"/>
    <mergeCell ref="Z5:Z12"/>
    <mergeCell ref="O5:O12"/>
    <mergeCell ref="A2:C2"/>
    <mergeCell ref="A3:C3"/>
    <mergeCell ref="A4:C4"/>
    <mergeCell ref="D5:D12"/>
    <mergeCell ref="E5:E12"/>
    <mergeCell ref="B29:B31"/>
    <mergeCell ref="K5:K12"/>
    <mergeCell ref="L5:L12"/>
    <mergeCell ref="M5:M12"/>
    <mergeCell ref="N5:N12"/>
    <mergeCell ref="F5:F12"/>
    <mergeCell ref="G5:G12"/>
    <mergeCell ref="H5:H12"/>
    <mergeCell ref="I5:I12"/>
    <mergeCell ref="J5:J12"/>
  </mergeCells>
  <conditionalFormatting sqref="AD32">
    <cfRule type="cellIs" dxfId="4" priority="1" stopIfTrue="1" operator="notEqual">
      <formula>SUM($D$13:$AC$28)</formula>
    </cfRule>
  </conditionalFormatting>
  <dataValidations disablePrompts="1" count="1">
    <dataValidation type="date" allowBlank="1" showInputMessage="1" showErrorMessage="1" promptTitle="Data:" prompt="Favor digitar uma data válida, pelo menos dia/mês." sqref="D2:AC2" xr:uid="{00000000-0002-0000-0200-000000000000}">
      <formula1>44287</formula1>
      <formula2>44651</formula2>
    </dataValidation>
  </dataValidations>
  <printOptions horizontalCentered="1" gridLines="1" gridLinesSet="0"/>
  <pageMargins left="0.47244094488188981" right="0.31496062992125984" top="0.78740157480314965" bottom="0.39370078740157483" header="0.27559055118110237" footer="0.27559055118110237"/>
  <pageSetup paperSize="9" scale="59" orientation="landscape" r:id="rId1"/>
  <headerFooter alignWithMargins="0">
    <oddFooter xml:space="preserve">&amp;RSJCPIL-R 16-423-03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21</xdr:col>
                    <xdr:colOff>200025</xdr:colOff>
                    <xdr:row>0</xdr:row>
                    <xdr:rowOff>114300</xdr:rowOff>
                  </from>
                  <to>
                    <xdr:col>22</xdr:col>
                    <xdr:colOff>381000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22</xdr:col>
                    <xdr:colOff>180975</xdr:colOff>
                    <xdr:row>0</xdr:row>
                    <xdr:rowOff>104775</xdr:rowOff>
                  </from>
                  <to>
                    <xdr:col>23</xdr:col>
                    <xdr:colOff>47625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23</xdr:col>
                    <xdr:colOff>47625</xdr:colOff>
                    <xdr:row>0</xdr:row>
                    <xdr:rowOff>114300</xdr:rowOff>
                  </from>
                  <to>
                    <xdr:col>23</xdr:col>
                    <xdr:colOff>352425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9">
    <tabColor theme="4" tint="-0.499984740745262"/>
    <pageSetUpPr fitToPage="1"/>
  </sheetPr>
  <dimension ref="A1:AF41"/>
  <sheetViews>
    <sheetView showZeros="0" zoomScaleNormal="100" workbookViewId="0">
      <selection activeCell="C6" sqref="C6:C12"/>
    </sheetView>
  </sheetViews>
  <sheetFormatPr defaultColWidth="11.42578125" defaultRowHeight="12.75"/>
  <cols>
    <col min="1" max="1" width="3" bestFit="1" customWidth="1"/>
    <col min="2" max="2" width="3.28515625" bestFit="1" customWidth="1"/>
    <col min="3" max="3" width="26.140625" customWidth="1"/>
    <col min="4" max="29" width="6.7109375" customWidth="1"/>
    <col min="30" max="30" width="11.42578125" customWidth="1"/>
    <col min="31" max="31" width="3.28515625" customWidth="1"/>
  </cols>
  <sheetData>
    <row r="1" spans="1:32" ht="32.25" customHeight="1" thickBot="1">
      <c r="E1" s="23" t="str">
        <f>'SHRINK 4S - Dia'!E1</f>
        <v>FALHAS DO ACABAMENTO  UM-4 (SHRINK)</v>
      </c>
      <c r="F1" s="23"/>
      <c r="G1" s="23"/>
      <c r="H1" s="23"/>
      <c r="I1" s="23"/>
      <c r="J1" s="23"/>
      <c r="K1" s="23"/>
      <c r="L1" s="23"/>
      <c r="M1" s="23"/>
      <c r="N1" s="23"/>
      <c r="O1" s="23" t="s">
        <v>42</v>
      </c>
      <c r="P1" s="23"/>
      <c r="Q1" s="23" t="s">
        <v>43</v>
      </c>
      <c r="R1" s="23"/>
      <c r="S1" s="23"/>
      <c r="T1" s="23"/>
      <c r="U1" s="124" t="s">
        <v>90</v>
      </c>
      <c r="V1" s="3"/>
      <c r="W1" s="3"/>
      <c r="Z1" s="88"/>
      <c r="AA1" s="88"/>
      <c r="AB1" s="140" t="s">
        <v>61</v>
      </c>
      <c r="AC1" s="141"/>
      <c r="AD1" s="89" t="str">
        <f ca="1">'SHRINK 2S - Dia'!AD1</f>
        <v>03 / 2022</v>
      </c>
    </row>
    <row r="2" spans="1:32" ht="21" customHeight="1">
      <c r="A2" s="131" t="s">
        <v>0</v>
      </c>
      <c r="B2" s="132"/>
      <c r="C2" s="132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2"/>
      <c r="Y2" s="122"/>
      <c r="Z2" s="123"/>
      <c r="AA2" s="123"/>
      <c r="AB2" s="123"/>
      <c r="AC2" s="123"/>
      <c r="AD2" s="87" t="s">
        <v>4</v>
      </c>
    </row>
    <row r="3" spans="1:32" ht="21" customHeight="1">
      <c r="A3" s="133" t="s">
        <v>1</v>
      </c>
      <c r="B3" s="134"/>
      <c r="C3" s="134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4"/>
    </row>
    <row r="4" spans="1:32" ht="21" customHeight="1" thickBot="1">
      <c r="A4" s="135" t="s">
        <v>2</v>
      </c>
      <c r="B4" s="136"/>
      <c r="C4" s="136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58"/>
      <c r="Y4" s="58"/>
      <c r="Z4" s="58"/>
      <c r="AA4" s="58"/>
      <c r="AB4" s="58"/>
      <c r="AC4" s="25"/>
      <c r="AD4" s="26">
        <f>SUM(D4:AC4)</f>
        <v>0</v>
      </c>
      <c r="AF4" s="62"/>
    </row>
    <row r="5" spans="1:32" ht="30" customHeight="1">
      <c r="A5" s="27"/>
      <c r="B5" s="28"/>
      <c r="C5" s="29" t="s">
        <v>12</v>
      </c>
      <c r="D5" s="128">
        <f>D41</f>
        <v>0</v>
      </c>
      <c r="E5" s="128">
        <f t="shared" ref="E5:AC5" si="0">E41</f>
        <v>0</v>
      </c>
      <c r="F5" s="128">
        <f>F41</f>
        <v>0</v>
      </c>
      <c r="G5" s="128">
        <f t="shared" si="0"/>
        <v>0</v>
      </c>
      <c r="H5" s="128">
        <f t="shared" si="0"/>
        <v>0</v>
      </c>
      <c r="I5" s="128">
        <f>I41</f>
        <v>0</v>
      </c>
      <c r="J5" s="128">
        <f t="shared" si="0"/>
        <v>0</v>
      </c>
      <c r="K5" s="128">
        <f t="shared" si="0"/>
        <v>0</v>
      </c>
      <c r="L5" s="128">
        <f t="shared" si="0"/>
        <v>0</v>
      </c>
      <c r="M5" s="128">
        <f>M41</f>
        <v>0</v>
      </c>
      <c r="N5" s="128">
        <f>N41</f>
        <v>0</v>
      </c>
      <c r="O5" s="137">
        <f t="shared" ref="O5:T5" si="1">O41</f>
        <v>0</v>
      </c>
      <c r="P5" s="137">
        <f t="shared" si="1"/>
        <v>0</v>
      </c>
      <c r="Q5" s="137">
        <f t="shared" si="1"/>
        <v>0</v>
      </c>
      <c r="R5" s="137">
        <f t="shared" si="1"/>
        <v>0</v>
      </c>
      <c r="S5" s="137">
        <f t="shared" si="1"/>
        <v>0</v>
      </c>
      <c r="T5" s="137">
        <f t="shared" si="1"/>
        <v>0</v>
      </c>
      <c r="U5" s="137">
        <f t="shared" si="0"/>
        <v>0</v>
      </c>
      <c r="V5" s="137"/>
      <c r="W5" s="137">
        <f t="shared" si="0"/>
        <v>0</v>
      </c>
      <c r="X5" s="137">
        <f t="shared" si="0"/>
        <v>0</v>
      </c>
      <c r="Y5" s="137">
        <f t="shared" si="0"/>
        <v>0</v>
      </c>
      <c r="Z5" s="137">
        <f t="shared" si="0"/>
        <v>0</v>
      </c>
      <c r="AA5" s="116"/>
      <c r="AB5" s="116"/>
      <c r="AC5" s="137">
        <f t="shared" si="0"/>
        <v>0</v>
      </c>
      <c r="AD5" s="30"/>
    </row>
    <row r="6" spans="1:32" ht="30" customHeight="1">
      <c r="A6" s="31"/>
      <c r="C6" s="145" t="s">
        <v>68</v>
      </c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17"/>
      <c r="AB6" s="117"/>
      <c r="AC6" s="138"/>
      <c r="AD6" s="4"/>
    </row>
    <row r="7" spans="1:32" ht="30" customHeight="1">
      <c r="A7" s="31"/>
      <c r="C7" s="146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17"/>
      <c r="AB7" s="117"/>
      <c r="AC7" s="138"/>
      <c r="AD7" s="4"/>
    </row>
    <row r="8" spans="1:32" ht="30" customHeight="1">
      <c r="A8" s="31"/>
      <c r="C8" s="146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17"/>
      <c r="AB8" s="117"/>
      <c r="AC8" s="138"/>
      <c r="AD8" s="4"/>
    </row>
    <row r="9" spans="1:32" ht="30" customHeight="1">
      <c r="A9" s="31"/>
      <c r="C9" s="146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17"/>
      <c r="AB9" s="117"/>
      <c r="AC9" s="138"/>
      <c r="AD9" s="4"/>
    </row>
    <row r="10" spans="1:32" ht="30" customHeight="1">
      <c r="A10" s="31"/>
      <c r="C10" s="146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17"/>
      <c r="AB10" s="117"/>
      <c r="AC10" s="138"/>
      <c r="AD10" s="4"/>
    </row>
    <row r="11" spans="1:32" ht="30" customHeight="1">
      <c r="A11" s="31"/>
      <c r="C11" s="146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17"/>
      <c r="AB11" s="117"/>
      <c r="AC11" s="138"/>
      <c r="AD11" s="4"/>
    </row>
    <row r="12" spans="1:32" ht="30" customHeight="1" thickBot="1">
      <c r="A12" s="32"/>
      <c r="B12" s="33"/>
      <c r="C12" s="147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9"/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18"/>
      <c r="AB12" s="118"/>
      <c r="AC12" s="139"/>
      <c r="AD12" s="34"/>
    </row>
    <row r="13" spans="1:32" ht="21" customHeight="1">
      <c r="A13" s="37">
        <v>1</v>
      </c>
      <c r="B13" s="151" t="s">
        <v>29</v>
      </c>
      <c r="C13" s="76" t="s">
        <v>34</v>
      </c>
      <c r="D13" s="73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46">
        <f t="shared" ref="AD13:AD31" si="2">SUM(D13:AC13)</f>
        <v>0</v>
      </c>
    </row>
    <row r="14" spans="1:32" ht="21" customHeight="1">
      <c r="A14" s="38">
        <v>2</v>
      </c>
      <c r="B14" s="152"/>
      <c r="C14" s="77" t="s">
        <v>35</v>
      </c>
      <c r="D14" s="74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47">
        <f t="shared" si="2"/>
        <v>0</v>
      </c>
    </row>
    <row r="15" spans="1:32" ht="21" customHeight="1">
      <c r="A15" s="38">
        <v>3</v>
      </c>
      <c r="B15" s="152"/>
      <c r="C15" s="78" t="s">
        <v>36</v>
      </c>
      <c r="D15" s="74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47">
        <f t="shared" si="2"/>
        <v>0</v>
      </c>
    </row>
    <row r="16" spans="1:32" ht="21" customHeight="1">
      <c r="A16" s="38">
        <v>4</v>
      </c>
      <c r="B16" s="152"/>
      <c r="C16" s="78" t="s">
        <v>37</v>
      </c>
      <c r="D16" s="74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47">
        <f t="shared" si="2"/>
        <v>0</v>
      </c>
    </row>
    <row r="17" spans="1:30" ht="21" customHeight="1" thickBot="1">
      <c r="A17" s="40">
        <v>5</v>
      </c>
      <c r="B17" s="162"/>
      <c r="C17" s="79" t="s">
        <v>45</v>
      </c>
      <c r="D17" s="75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26">
        <f t="shared" si="2"/>
        <v>0</v>
      </c>
    </row>
    <row r="18" spans="1:30" ht="21" customHeight="1">
      <c r="A18" s="63">
        <v>6</v>
      </c>
      <c r="B18" s="151" t="s">
        <v>13</v>
      </c>
      <c r="C18" s="95" t="s">
        <v>14</v>
      </c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22">
        <f t="shared" si="2"/>
        <v>0</v>
      </c>
    </row>
    <row r="19" spans="1:30" ht="21" customHeight="1">
      <c r="A19" s="38">
        <v>7</v>
      </c>
      <c r="B19" s="152"/>
      <c r="C19" s="96" t="s">
        <v>24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5">
        <f t="shared" si="2"/>
        <v>0</v>
      </c>
    </row>
    <row r="20" spans="1:30" ht="21" customHeight="1">
      <c r="A20" s="38">
        <v>8</v>
      </c>
      <c r="B20" s="152"/>
      <c r="C20" s="96" t="s">
        <v>25</v>
      </c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5">
        <f t="shared" si="2"/>
        <v>0</v>
      </c>
    </row>
    <row r="21" spans="1:30" ht="21" customHeight="1">
      <c r="A21" s="38">
        <v>9</v>
      </c>
      <c r="B21" s="152"/>
      <c r="C21" s="96" t="s">
        <v>30</v>
      </c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5">
        <f t="shared" si="2"/>
        <v>0</v>
      </c>
    </row>
    <row r="22" spans="1:30" ht="21" customHeight="1">
      <c r="A22" s="38">
        <v>10</v>
      </c>
      <c r="B22" s="152"/>
      <c r="C22" s="96" t="s">
        <v>31</v>
      </c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5">
        <f t="shared" si="2"/>
        <v>0</v>
      </c>
    </row>
    <row r="23" spans="1:30" ht="21" customHeight="1">
      <c r="A23" s="64">
        <v>11</v>
      </c>
      <c r="B23" s="152"/>
      <c r="C23" s="96" t="s">
        <v>26</v>
      </c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5">
        <f t="shared" si="2"/>
        <v>0</v>
      </c>
    </row>
    <row r="24" spans="1:30" ht="21" customHeight="1">
      <c r="A24" s="63">
        <v>12</v>
      </c>
      <c r="B24" s="152"/>
      <c r="C24" s="97" t="s">
        <v>27</v>
      </c>
      <c r="D24" s="66"/>
      <c r="E24" s="66"/>
      <c r="F24" s="66"/>
      <c r="G24" s="66"/>
      <c r="H24" s="66"/>
      <c r="I24" s="66"/>
      <c r="J24" s="66"/>
      <c r="K24" s="66"/>
      <c r="L24" s="66"/>
      <c r="M24" s="69"/>
      <c r="N24" s="69"/>
      <c r="O24" s="69"/>
      <c r="P24" s="69"/>
      <c r="Q24" s="69"/>
      <c r="R24" s="69"/>
      <c r="S24" s="69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22">
        <f t="shared" si="2"/>
        <v>0</v>
      </c>
    </row>
    <row r="25" spans="1:30" ht="21" customHeight="1">
      <c r="A25" s="38">
        <v>13</v>
      </c>
      <c r="B25" s="152"/>
      <c r="C25" s="96" t="s">
        <v>28</v>
      </c>
      <c r="D25" s="68"/>
      <c r="E25" s="68"/>
      <c r="F25" s="68"/>
      <c r="G25" s="68"/>
      <c r="H25" s="68"/>
      <c r="I25" s="68"/>
      <c r="J25" s="68"/>
      <c r="K25" s="68"/>
      <c r="L25" s="68"/>
      <c r="M25" s="70"/>
      <c r="N25" s="70"/>
      <c r="O25" s="70"/>
      <c r="P25" s="70"/>
      <c r="Q25" s="70"/>
      <c r="R25" s="70"/>
      <c r="S25" s="70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5">
        <f t="shared" si="2"/>
        <v>0</v>
      </c>
    </row>
    <row r="26" spans="1:30" ht="21" customHeight="1">
      <c r="A26" s="38">
        <v>14</v>
      </c>
      <c r="B26" s="152"/>
      <c r="C26" s="96" t="s">
        <v>32</v>
      </c>
      <c r="D26" s="68"/>
      <c r="E26" s="68"/>
      <c r="F26" s="68"/>
      <c r="G26" s="68"/>
      <c r="H26" s="68"/>
      <c r="I26" s="68"/>
      <c r="J26" s="68"/>
      <c r="K26" s="68"/>
      <c r="L26" s="68"/>
      <c r="M26" s="70"/>
      <c r="N26" s="70"/>
      <c r="O26" s="70"/>
      <c r="P26" s="70"/>
      <c r="Q26" s="70"/>
      <c r="R26" s="70"/>
      <c r="S26" s="70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5">
        <f t="shared" si="2"/>
        <v>0</v>
      </c>
    </row>
    <row r="27" spans="1:30" ht="21" customHeight="1">
      <c r="A27" s="38">
        <v>15</v>
      </c>
      <c r="B27" s="152"/>
      <c r="C27" s="96" t="s">
        <v>33</v>
      </c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5">
        <f t="shared" si="2"/>
        <v>0</v>
      </c>
    </row>
    <row r="28" spans="1:30" ht="21" customHeight="1" thickBot="1">
      <c r="A28" s="43">
        <v>16</v>
      </c>
      <c r="B28" s="162"/>
      <c r="C28" s="99" t="s">
        <v>46</v>
      </c>
      <c r="D28" s="70"/>
      <c r="E28" s="70"/>
      <c r="F28" s="70"/>
      <c r="G28" s="70"/>
      <c r="H28" s="70"/>
      <c r="I28" s="70"/>
      <c r="J28" s="70"/>
      <c r="K28" s="70"/>
      <c r="L28" s="70"/>
      <c r="M28" s="100"/>
      <c r="N28" s="100"/>
      <c r="O28" s="100"/>
      <c r="P28" s="100"/>
      <c r="Q28" s="100"/>
      <c r="R28" s="100"/>
      <c r="S28" s="10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101">
        <f t="shared" si="2"/>
        <v>0</v>
      </c>
    </row>
    <row r="29" spans="1:30" ht="25.5">
      <c r="A29" s="92">
        <v>17</v>
      </c>
      <c r="B29" s="159" t="s">
        <v>65</v>
      </c>
      <c r="C29" s="112" t="s">
        <v>66</v>
      </c>
      <c r="D29" s="73"/>
      <c r="E29" s="65"/>
      <c r="F29" s="65"/>
      <c r="G29" s="65"/>
      <c r="H29" s="65"/>
      <c r="I29" s="65"/>
      <c r="J29" s="65"/>
      <c r="K29" s="65"/>
      <c r="L29" s="65"/>
      <c r="M29" s="104"/>
      <c r="N29" s="104"/>
      <c r="O29" s="104"/>
      <c r="P29" s="104"/>
      <c r="Q29" s="104"/>
      <c r="R29" s="104"/>
      <c r="S29" s="104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46">
        <f t="shared" si="2"/>
        <v>0</v>
      </c>
    </row>
    <row r="30" spans="1:30" ht="21" customHeight="1">
      <c r="A30" s="64">
        <v>18</v>
      </c>
      <c r="B30" s="160"/>
      <c r="C30" s="96" t="s">
        <v>63</v>
      </c>
      <c r="D30" s="108"/>
      <c r="E30" s="68"/>
      <c r="F30" s="68"/>
      <c r="G30" s="68"/>
      <c r="H30" s="68"/>
      <c r="I30" s="68"/>
      <c r="J30" s="68"/>
      <c r="K30" s="68"/>
      <c r="L30" s="68"/>
      <c r="M30" s="102"/>
      <c r="N30" s="102"/>
      <c r="O30" s="102"/>
      <c r="P30" s="102"/>
      <c r="Q30" s="102"/>
      <c r="R30" s="102"/>
      <c r="S30" s="102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47">
        <f t="shared" si="2"/>
        <v>0</v>
      </c>
    </row>
    <row r="31" spans="1:30" ht="21" customHeight="1" thickBot="1">
      <c r="A31" s="93">
        <v>19</v>
      </c>
      <c r="B31" s="161"/>
      <c r="C31" s="98" t="s">
        <v>64</v>
      </c>
      <c r="D31" s="109"/>
      <c r="E31" s="71"/>
      <c r="F31" s="71"/>
      <c r="G31" s="71"/>
      <c r="H31" s="71"/>
      <c r="I31" s="71"/>
      <c r="J31" s="71"/>
      <c r="K31" s="71"/>
      <c r="L31" s="71"/>
      <c r="M31" s="72"/>
      <c r="N31" s="72"/>
      <c r="O31" s="72"/>
      <c r="P31" s="72"/>
      <c r="Q31" s="72"/>
      <c r="R31" s="72"/>
      <c r="S31" s="72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26">
        <f t="shared" si="2"/>
        <v>0</v>
      </c>
    </row>
    <row r="32" spans="1:30" ht="21" customHeight="1">
      <c r="A32" s="153" t="s">
        <v>3</v>
      </c>
      <c r="B32" s="154"/>
      <c r="C32" s="155"/>
      <c r="D32" s="86">
        <f>SUM(D13:D31)</f>
        <v>0</v>
      </c>
      <c r="E32" s="86">
        <f t="shared" ref="E32:AC32" si="3">SUM(E13:E31)</f>
        <v>0</v>
      </c>
      <c r="F32" s="86">
        <f t="shared" si="3"/>
        <v>0</v>
      </c>
      <c r="G32" s="86">
        <f t="shared" si="3"/>
        <v>0</v>
      </c>
      <c r="H32" s="86">
        <f t="shared" si="3"/>
        <v>0</v>
      </c>
      <c r="I32" s="86">
        <f t="shared" si="3"/>
        <v>0</v>
      </c>
      <c r="J32" s="86">
        <f t="shared" si="3"/>
        <v>0</v>
      </c>
      <c r="K32" s="86">
        <f t="shared" si="3"/>
        <v>0</v>
      </c>
      <c r="L32" s="86">
        <f t="shared" si="3"/>
        <v>0</v>
      </c>
      <c r="M32" s="86">
        <f t="shared" si="3"/>
        <v>0</v>
      </c>
      <c r="N32" s="86">
        <f t="shared" si="3"/>
        <v>0</v>
      </c>
      <c r="O32" s="86">
        <f t="shared" si="3"/>
        <v>0</v>
      </c>
      <c r="P32" s="86">
        <f t="shared" si="3"/>
        <v>0</v>
      </c>
      <c r="Q32" s="86">
        <f t="shared" si="3"/>
        <v>0</v>
      </c>
      <c r="R32" s="86">
        <f t="shared" si="3"/>
        <v>0</v>
      </c>
      <c r="S32" s="86">
        <f t="shared" si="3"/>
        <v>0</v>
      </c>
      <c r="T32" s="86">
        <f t="shared" si="3"/>
        <v>0</v>
      </c>
      <c r="U32" s="86">
        <f t="shared" si="3"/>
        <v>0</v>
      </c>
      <c r="V32" s="86">
        <f t="shared" si="3"/>
        <v>0</v>
      </c>
      <c r="W32" s="86">
        <f t="shared" si="3"/>
        <v>0</v>
      </c>
      <c r="X32" s="86">
        <f t="shared" si="3"/>
        <v>0</v>
      </c>
      <c r="Y32" s="86">
        <f t="shared" si="3"/>
        <v>0</v>
      </c>
      <c r="Z32" s="86">
        <f t="shared" si="3"/>
        <v>0</v>
      </c>
      <c r="AA32" s="86">
        <f t="shared" si="3"/>
        <v>0</v>
      </c>
      <c r="AB32" s="86">
        <f t="shared" si="3"/>
        <v>0</v>
      </c>
      <c r="AC32" s="86">
        <f t="shared" si="3"/>
        <v>0</v>
      </c>
      <c r="AD32" s="39">
        <f>SUM(D32:AC32)</f>
        <v>0</v>
      </c>
    </row>
    <row r="33" spans="1:30" ht="21" customHeight="1" thickBot="1">
      <c r="A33" s="142" t="s">
        <v>12</v>
      </c>
      <c r="B33" s="143"/>
      <c r="C33" s="144"/>
      <c r="D33" s="51" t="str">
        <f t="shared" ref="D33:AD33" si="4">IF(D4&gt;0,D32/D4*1000000," ")</f>
        <v xml:space="preserve"> </v>
      </c>
      <c r="E33" s="52" t="str">
        <f t="shared" si="4"/>
        <v xml:space="preserve"> </v>
      </c>
      <c r="F33" s="52" t="str">
        <f t="shared" si="4"/>
        <v xml:space="preserve"> </v>
      </c>
      <c r="G33" s="52" t="str">
        <f t="shared" si="4"/>
        <v xml:space="preserve"> </v>
      </c>
      <c r="H33" s="52" t="str">
        <f t="shared" si="4"/>
        <v xml:space="preserve"> </v>
      </c>
      <c r="I33" s="52" t="str">
        <f t="shared" si="4"/>
        <v xml:space="preserve"> </v>
      </c>
      <c r="J33" s="52" t="str">
        <f t="shared" si="4"/>
        <v xml:space="preserve"> </v>
      </c>
      <c r="K33" s="52" t="str">
        <f t="shared" si="4"/>
        <v xml:space="preserve"> </v>
      </c>
      <c r="L33" s="52" t="str">
        <f t="shared" si="4"/>
        <v xml:space="preserve"> </v>
      </c>
      <c r="M33" s="52" t="str">
        <f t="shared" si="4"/>
        <v xml:space="preserve"> </v>
      </c>
      <c r="N33" s="52" t="str">
        <f t="shared" si="4"/>
        <v xml:space="preserve"> </v>
      </c>
      <c r="O33" s="52" t="str">
        <f t="shared" si="4"/>
        <v xml:space="preserve"> </v>
      </c>
      <c r="P33" s="52" t="str">
        <f t="shared" si="4"/>
        <v xml:space="preserve"> </v>
      </c>
      <c r="Q33" s="52" t="str">
        <f t="shared" si="4"/>
        <v xml:space="preserve"> </v>
      </c>
      <c r="R33" s="52" t="str">
        <f t="shared" si="4"/>
        <v xml:space="preserve"> </v>
      </c>
      <c r="S33" s="52" t="str">
        <f t="shared" si="4"/>
        <v xml:space="preserve"> </v>
      </c>
      <c r="T33" s="52" t="str">
        <f t="shared" si="4"/>
        <v xml:space="preserve"> </v>
      </c>
      <c r="U33" s="52" t="str">
        <f t="shared" si="4"/>
        <v xml:space="preserve"> </v>
      </c>
      <c r="V33" s="52" t="str">
        <f t="shared" si="4"/>
        <v xml:space="preserve"> </v>
      </c>
      <c r="W33" s="52" t="str">
        <f t="shared" si="4"/>
        <v xml:space="preserve"> </v>
      </c>
      <c r="X33" s="52" t="str">
        <f t="shared" si="4"/>
        <v xml:space="preserve"> </v>
      </c>
      <c r="Y33" s="52" t="str">
        <f t="shared" si="4"/>
        <v xml:space="preserve"> </v>
      </c>
      <c r="Z33" s="52" t="str">
        <f t="shared" si="4"/>
        <v xml:space="preserve"> </v>
      </c>
      <c r="AA33" s="52" t="str">
        <f t="shared" si="4"/>
        <v xml:space="preserve"> </v>
      </c>
      <c r="AB33" s="52" t="str">
        <f t="shared" si="4"/>
        <v xml:space="preserve"> </v>
      </c>
      <c r="AC33" s="52" t="str">
        <f t="shared" si="4"/>
        <v xml:space="preserve"> </v>
      </c>
      <c r="AD33" s="19" t="str">
        <f t="shared" si="4"/>
        <v xml:space="preserve"> </v>
      </c>
    </row>
    <row r="34" spans="1:30" ht="21" customHeight="1">
      <c r="A34" s="156" t="s">
        <v>41</v>
      </c>
      <c r="B34" s="157"/>
      <c r="C34" s="158"/>
      <c r="D34" s="80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2"/>
    </row>
    <row r="35" spans="1:30" ht="21" customHeight="1" thickBot="1">
      <c r="A35" s="142" t="s">
        <v>40</v>
      </c>
      <c r="B35" s="143"/>
      <c r="C35" s="144"/>
      <c r="D35" s="83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5"/>
    </row>
    <row r="36" spans="1:30" ht="21" customHeight="1">
      <c r="A36" s="44" t="s">
        <v>8</v>
      </c>
      <c r="B36" s="45"/>
      <c r="C36" s="45"/>
      <c r="D36" s="7"/>
      <c r="E36" s="7"/>
      <c r="F36" s="7"/>
      <c r="G36" s="7"/>
      <c r="H36" s="28"/>
      <c r="I36" s="28"/>
      <c r="J36" s="30"/>
      <c r="K36" s="8" t="s">
        <v>10</v>
      </c>
      <c r="L36" s="7"/>
      <c r="M36" s="7"/>
      <c r="N36" s="7"/>
      <c r="O36" s="7"/>
      <c r="P36" s="7"/>
      <c r="Q36" s="7"/>
      <c r="R36" s="7"/>
      <c r="S36" s="7"/>
      <c r="T36" s="7"/>
      <c r="U36" s="8" t="s">
        <v>11</v>
      </c>
      <c r="V36" s="21"/>
      <c r="W36" s="7"/>
      <c r="X36" s="7"/>
      <c r="Y36" s="7"/>
      <c r="Z36" s="7"/>
      <c r="AA36" s="7"/>
      <c r="AB36" s="7"/>
      <c r="AC36" s="9"/>
      <c r="AD36" s="10"/>
    </row>
    <row r="37" spans="1:30" s="16" customFormat="1" ht="21" customHeight="1" thickBot="1">
      <c r="A37" s="11" t="s">
        <v>9</v>
      </c>
      <c r="B37" s="12"/>
      <c r="C37" s="12"/>
      <c r="D37" s="12"/>
      <c r="E37" s="12"/>
      <c r="F37" s="12"/>
      <c r="G37" s="12"/>
      <c r="H37" s="35"/>
      <c r="I37" s="35"/>
      <c r="J37" s="36"/>
      <c r="K37" s="11" t="s">
        <v>9</v>
      </c>
      <c r="L37" s="12"/>
      <c r="M37" s="12"/>
      <c r="N37" s="12"/>
      <c r="O37" s="12"/>
      <c r="P37" s="12"/>
      <c r="Q37" s="12"/>
      <c r="R37" s="12"/>
      <c r="S37" s="12"/>
      <c r="T37" s="12"/>
      <c r="U37" s="11" t="s">
        <v>9</v>
      </c>
      <c r="V37" s="12"/>
      <c r="W37" s="12"/>
      <c r="X37" s="12"/>
      <c r="Y37" s="14"/>
      <c r="Z37" s="15"/>
      <c r="AA37" s="15"/>
      <c r="AB37" s="15"/>
      <c r="AC37" s="14"/>
      <c r="AD37" s="13"/>
    </row>
    <row r="38" spans="1:30">
      <c r="C38" t="s">
        <v>5</v>
      </c>
      <c r="D38" s="17">
        <f>TARGET_2S</f>
        <v>20</v>
      </c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40" spans="1:30">
      <c r="C40" s="6" t="s">
        <v>6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</row>
    <row r="41" spans="1:30" ht="170.1" customHeight="1">
      <c r="C41" s="18" t="s">
        <v>7</v>
      </c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</row>
  </sheetData>
  <sheetProtection algorithmName="SHA-512" hashValue="0e5qRBV9sFPHfTP5jUpACB2FEbcrGqwfdv6MDp3Z8QSD9X8zGXdw3opayh4lLqzOJu97luJG0cP2wiA6Jw8YHg==" saltValue="CPnd5Zc/FoA7lWKHFIQ+VQ==" spinCount="100000" sheet="1" objects="1" scenarios="1" selectLockedCells="1"/>
  <mergeCells count="36">
    <mergeCell ref="O5:O12"/>
    <mergeCell ref="AB1:AC1"/>
    <mergeCell ref="A2:C2"/>
    <mergeCell ref="A3:C3"/>
    <mergeCell ref="A4:C4"/>
    <mergeCell ref="D5:D12"/>
    <mergeCell ref="E5:E12"/>
    <mergeCell ref="F5:F12"/>
    <mergeCell ref="G5:G12"/>
    <mergeCell ref="H5:H12"/>
    <mergeCell ref="I5:I12"/>
    <mergeCell ref="J5:J12"/>
    <mergeCell ref="K5:K12"/>
    <mergeCell ref="L5:L12"/>
    <mergeCell ref="M5:M12"/>
    <mergeCell ref="N5:N12"/>
    <mergeCell ref="AC5:AC12"/>
    <mergeCell ref="P5:P12"/>
    <mergeCell ref="Q5:Q12"/>
    <mergeCell ref="R5:R12"/>
    <mergeCell ref="S5:S12"/>
    <mergeCell ref="T5:T12"/>
    <mergeCell ref="U5:U12"/>
    <mergeCell ref="V5:V12"/>
    <mergeCell ref="W5:W12"/>
    <mergeCell ref="X5:X12"/>
    <mergeCell ref="Y5:Y12"/>
    <mergeCell ref="Z5:Z12"/>
    <mergeCell ref="A34:C34"/>
    <mergeCell ref="A35:C35"/>
    <mergeCell ref="C6:C12"/>
    <mergeCell ref="B13:B17"/>
    <mergeCell ref="B18:B28"/>
    <mergeCell ref="B29:B31"/>
    <mergeCell ref="A32:C32"/>
    <mergeCell ref="A33:C33"/>
  </mergeCells>
  <conditionalFormatting sqref="AD32">
    <cfRule type="cellIs" dxfId="3" priority="1" stopIfTrue="1" operator="notEqual">
      <formula>SUM($D$13:$AC$28)</formula>
    </cfRule>
  </conditionalFormatting>
  <dataValidations disablePrompts="1" count="1">
    <dataValidation type="date" allowBlank="1" showInputMessage="1" showErrorMessage="1" promptTitle="Data:" prompt="Favor digitar uma data válida, pelo menos dia/mês." sqref="D2:AC2" xr:uid="{00000000-0002-0000-0300-000000000000}">
      <formula1>44287</formula1>
      <formula2>44651</formula2>
    </dataValidation>
  </dataValidations>
  <printOptions horizontalCentered="1" gridLines="1" gridLinesSet="0"/>
  <pageMargins left="0.47244094488188981" right="0.31496062992125984" top="0.78740157480314965" bottom="0.39370078740157483" header="0.27559055118110237" footer="0.27559055118110237"/>
  <pageSetup paperSize="9" scale="59" orientation="landscape" r:id="rId1"/>
  <headerFooter alignWithMargins="0">
    <oddFooter xml:space="preserve">&amp;RSJCPIL-R 16-423-03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21</xdr:col>
                    <xdr:colOff>200025</xdr:colOff>
                    <xdr:row>0</xdr:row>
                    <xdr:rowOff>114300</xdr:rowOff>
                  </from>
                  <to>
                    <xdr:col>22</xdr:col>
                    <xdr:colOff>381000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22</xdr:col>
                    <xdr:colOff>180975</xdr:colOff>
                    <xdr:row>0</xdr:row>
                    <xdr:rowOff>104775</xdr:rowOff>
                  </from>
                  <to>
                    <xdr:col>23</xdr:col>
                    <xdr:colOff>47625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23</xdr:col>
                    <xdr:colOff>47625</xdr:colOff>
                    <xdr:row>0</xdr:row>
                    <xdr:rowOff>114300</xdr:rowOff>
                  </from>
                  <to>
                    <xdr:col>23</xdr:col>
                    <xdr:colOff>352425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5">
    <tabColor theme="4" tint="0.39997558519241921"/>
    <pageSetUpPr fitToPage="1"/>
  </sheetPr>
  <dimension ref="A1:AF41"/>
  <sheetViews>
    <sheetView showZeros="0" zoomScaleNormal="100" workbookViewId="0">
      <selection activeCell="C6" sqref="C6:C12"/>
    </sheetView>
  </sheetViews>
  <sheetFormatPr defaultColWidth="11.42578125" defaultRowHeight="12.75"/>
  <cols>
    <col min="1" max="1" width="3" bestFit="1" customWidth="1"/>
    <col min="2" max="2" width="3.28515625" bestFit="1" customWidth="1"/>
    <col min="3" max="3" width="26.140625" customWidth="1"/>
    <col min="4" max="29" width="6.7109375" customWidth="1"/>
    <col min="30" max="30" width="11.42578125" customWidth="1"/>
    <col min="31" max="31" width="3.28515625" customWidth="1"/>
  </cols>
  <sheetData>
    <row r="1" spans="1:32" ht="32.25" customHeight="1" thickBot="1">
      <c r="E1" s="23" t="s">
        <v>39</v>
      </c>
      <c r="F1" s="23"/>
      <c r="G1" s="23"/>
      <c r="H1" s="23"/>
      <c r="I1" s="23"/>
      <c r="J1" s="23"/>
      <c r="K1" s="23"/>
      <c r="L1" s="23"/>
      <c r="M1" s="23"/>
      <c r="N1" s="23"/>
      <c r="O1" s="23" t="s">
        <v>42</v>
      </c>
      <c r="P1" s="23"/>
      <c r="Q1" s="23" t="s">
        <v>43</v>
      </c>
      <c r="R1" s="23"/>
      <c r="S1" s="23"/>
      <c r="T1" s="23"/>
      <c r="U1" s="124" t="s">
        <v>90</v>
      </c>
      <c r="V1" s="3"/>
      <c r="W1" s="3"/>
      <c r="Z1" s="88"/>
      <c r="AA1" s="88"/>
      <c r="AB1" s="140" t="s">
        <v>61</v>
      </c>
      <c r="AC1" s="141"/>
      <c r="AD1" s="89" t="str">
        <f ca="1">'SHRINK 2S - Dia'!AD1</f>
        <v>03 / 2022</v>
      </c>
    </row>
    <row r="2" spans="1:32" ht="21" customHeight="1">
      <c r="A2" s="131" t="s">
        <v>0</v>
      </c>
      <c r="B2" s="132"/>
      <c r="C2" s="132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2"/>
      <c r="Y2" s="122"/>
      <c r="Z2" s="123"/>
      <c r="AA2" s="123"/>
      <c r="AB2" s="123"/>
      <c r="AC2" s="123"/>
      <c r="AD2" s="87" t="s">
        <v>4</v>
      </c>
    </row>
    <row r="3" spans="1:32" ht="21" customHeight="1">
      <c r="A3" s="133" t="s">
        <v>1</v>
      </c>
      <c r="B3" s="134"/>
      <c r="C3" s="134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4"/>
    </row>
    <row r="4" spans="1:32" ht="21" customHeight="1" thickBot="1">
      <c r="A4" s="135" t="s">
        <v>2</v>
      </c>
      <c r="B4" s="136"/>
      <c r="C4" s="136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58"/>
      <c r="Y4" s="58"/>
      <c r="Z4" s="58"/>
      <c r="AA4" s="58"/>
      <c r="AB4" s="58"/>
      <c r="AC4" s="25"/>
      <c r="AD4" s="26">
        <f>SUM(D4:AC4)</f>
        <v>0</v>
      </c>
      <c r="AF4" s="62"/>
    </row>
    <row r="5" spans="1:32" ht="30" customHeight="1">
      <c r="A5" s="27"/>
      <c r="B5" s="28"/>
      <c r="C5" s="29" t="s">
        <v>12</v>
      </c>
      <c r="D5" s="128">
        <f t="shared" ref="D5:N5" si="0">D41</f>
        <v>0</v>
      </c>
      <c r="E5" s="128">
        <f t="shared" si="0"/>
        <v>0</v>
      </c>
      <c r="F5" s="128">
        <f t="shared" si="0"/>
        <v>0</v>
      </c>
      <c r="G5" s="128">
        <f t="shared" si="0"/>
        <v>0</v>
      </c>
      <c r="H5" s="128">
        <f t="shared" si="0"/>
        <v>0</v>
      </c>
      <c r="I5" s="128">
        <f t="shared" si="0"/>
        <v>0</v>
      </c>
      <c r="J5" s="128">
        <f t="shared" si="0"/>
        <v>0</v>
      </c>
      <c r="K5" s="128">
        <f t="shared" si="0"/>
        <v>0</v>
      </c>
      <c r="L5" s="128">
        <f t="shared" si="0"/>
        <v>0</v>
      </c>
      <c r="M5" s="128">
        <f t="shared" si="0"/>
        <v>0</v>
      </c>
      <c r="N5" s="128">
        <f t="shared" si="0"/>
        <v>0</v>
      </c>
      <c r="O5" s="137">
        <f t="shared" ref="O5:T5" si="1">O41</f>
        <v>0</v>
      </c>
      <c r="P5" s="137">
        <f t="shared" si="1"/>
        <v>0</v>
      </c>
      <c r="Q5" s="137">
        <f t="shared" si="1"/>
        <v>0</v>
      </c>
      <c r="R5" s="137">
        <f t="shared" si="1"/>
        <v>0</v>
      </c>
      <c r="S5" s="137">
        <f t="shared" si="1"/>
        <v>0</v>
      </c>
      <c r="T5" s="137">
        <f t="shared" si="1"/>
        <v>0</v>
      </c>
      <c r="U5" s="137">
        <f>U41</f>
        <v>0</v>
      </c>
      <c r="V5" s="137"/>
      <c r="W5" s="137">
        <f>W41</f>
        <v>0</v>
      </c>
      <c r="X5" s="137">
        <f>X41</f>
        <v>0</v>
      </c>
      <c r="Y5" s="137">
        <f>Y41</f>
        <v>0</v>
      </c>
      <c r="Z5" s="137">
        <f>Z41</f>
        <v>0</v>
      </c>
      <c r="AA5" s="59"/>
      <c r="AB5" s="59"/>
      <c r="AC5" s="137">
        <f>AC41</f>
        <v>0</v>
      </c>
      <c r="AD5" s="30"/>
    </row>
    <row r="6" spans="1:32" ht="30" customHeight="1">
      <c r="A6" s="31"/>
      <c r="C6" s="145" t="s">
        <v>20</v>
      </c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60"/>
      <c r="AB6" s="60"/>
      <c r="AC6" s="138"/>
      <c r="AD6" s="4"/>
    </row>
    <row r="7" spans="1:32" ht="30" customHeight="1">
      <c r="A7" s="31"/>
      <c r="C7" s="146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60"/>
      <c r="AB7" s="60"/>
      <c r="AC7" s="138"/>
      <c r="AD7" s="4"/>
    </row>
    <row r="8" spans="1:32" ht="30" customHeight="1">
      <c r="A8" s="31"/>
      <c r="C8" s="146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60"/>
      <c r="AB8" s="60"/>
      <c r="AC8" s="138"/>
      <c r="AD8" s="4"/>
    </row>
    <row r="9" spans="1:32" ht="30" customHeight="1">
      <c r="A9" s="31"/>
      <c r="C9" s="146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60"/>
      <c r="AB9" s="60"/>
      <c r="AC9" s="138"/>
      <c r="AD9" s="4"/>
    </row>
    <row r="10" spans="1:32" ht="30" customHeight="1">
      <c r="A10" s="31"/>
      <c r="C10" s="146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60"/>
      <c r="AB10" s="60"/>
      <c r="AC10" s="138"/>
      <c r="AD10" s="4"/>
    </row>
    <row r="11" spans="1:32" ht="30" customHeight="1">
      <c r="A11" s="31"/>
      <c r="C11" s="146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60"/>
      <c r="AB11" s="60"/>
      <c r="AC11" s="138"/>
      <c r="AD11" s="4"/>
    </row>
    <row r="12" spans="1:32" ht="30" customHeight="1" thickBot="1">
      <c r="A12" s="32"/>
      <c r="B12" s="33"/>
      <c r="C12" s="147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9"/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61"/>
      <c r="AB12" s="61"/>
      <c r="AC12" s="139"/>
      <c r="AD12" s="34"/>
    </row>
    <row r="13" spans="1:32" ht="21" customHeight="1">
      <c r="A13" s="37">
        <v>1</v>
      </c>
      <c r="B13" s="151" t="s">
        <v>29</v>
      </c>
      <c r="C13" s="76" t="s">
        <v>34</v>
      </c>
      <c r="D13" s="73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46">
        <f t="shared" ref="AD13:AD31" si="2">SUM(D13:AC13)</f>
        <v>0</v>
      </c>
      <c r="AF13" s="48">
        <f>AD13+'SHRINK 2S - Dia'!AD13</f>
        <v>0</v>
      </c>
    </row>
    <row r="14" spans="1:32" ht="21" customHeight="1">
      <c r="A14" s="38">
        <v>2</v>
      </c>
      <c r="B14" s="152"/>
      <c r="C14" s="77" t="s">
        <v>35</v>
      </c>
      <c r="D14" s="74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47">
        <f t="shared" si="2"/>
        <v>0</v>
      </c>
      <c r="AF14" s="48">
        <f>AD14+'SHRINK 2S - Dia'!AD14</f>
        <v>0</v>
      </c>
    </row>
    <row r="15" spans="1:32" ht="21" customHeight="1">
      <c r="A15" s="38">
        <v>3</v>
      </c>
      <c r="B15" s="152"/>
      <c r="C15" s="78" t="s">
        <v>36</v>
      </c>
      <c r="D15" s="74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47">
        <f t="shared" si="2"/>
        <v>0</v>
      </c>
      <c r="AF15" s="48">
        <f>AD15+'SHRINK 2S - Dia'!AD15</f>
        <v>0</v>
      </c>
    </row>
    <row r="16" spans="1:32" ht="21" customHeight="1">
      <c r="A16" s="38">
        <v>4</v>
      </c>
      <c r="B16" s="152"/>
      <c r="C16" s="78" t="s">
        <v>37</v>
      </c>
      <c r="D16" s="74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47">
        <f t="shared" si="2"/>
        <v>0</v>
      </c>
      <c r="AF16" s="48">
        <f>AD16+'SHRINK 2S - Dia'!AD16</f>
        <v>0</v>
      </c>
    </row>
    <row r="17" spans="1:32" ht="21" customHeight="1" thickBot="1">
      <c r="A17" s="40">
        <v>5</v>
      </c>
      <c r="B17" s="162"/>
      <c r="C17" s="79" t="s">
        <v>45</v>
      </c>
      <c r="D17" s="75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26">
        <f t="shared" si="2"/>
        <v>0</v>
      </c>
      <c r="AF17" s="48">
        <f>AD17+'SHRINK 2S - Dia'!AD17</f>
        <v>0</v>
      </c>
    </row>
    <row r="18" spans="1:32" ht="21" customHeight="1">
      <c r="A18" s="37">
        <v>6</v>
      </c>
      <c r="B18" s="151" t="s">
        <v>13</v>
      </c>
      <c r="C18" s="95" t="s">
        <v>14</v>
      </c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22">
        <f t="shared" si="2"/>
        <v>0</v>
      </c>
      <c r="AF18" s="48">
        <f>AD18+'SHRINK 2S - Dia'!AD18</f>
        <v>0</v>
      </c>
    </row>
    <row r="19" spans="1:32" ht="21" customHeight="1">
      <c r="A19" s="38">
        <v>7</v>
      </c>
      <c r="B19" s="152"/>
      <c r="C19" s="96" t="s">
        <v>24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5">
        <f t="shared" si="2"/>
        <v>0</v>
      </c>
      <c r="AF19" s="48">
        <f>AD19+'SHRINK 2S - Dia'!AD19</f>
        <v>0</v>
      </c>
    </row>
    <row r="20" spans="1:32" ht="21" customHeight="1">
      <c r="A20" s="38">
        <v>8</v>
      </c>
      <c r="B20" s="152"/>
      <c r="C20" s="96" t="s">
        <v>25</v>
      </c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5">
        <f t="shared" si="2"/>
        <v>0</v>
      </c>
      <c r="AF20" s="48">
        <f>AD20+'SHRINK 2S - Dia'!AD20</f>
        <v>0</v>
      </c>
    </row>
    <row r="21" spans="1:32" ht="21" customHeight="1">
      <c r="A21" s="38">
        <v>9</v>
      </c>
      <c r="B21" s="152"/>
      <c r="C21" s="96" t="s">
        <v>30</v>
      </c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5">
        <f t="shared" si="2"/>
        <v>0</v>
      </c>
      <c r="AF21" s="48">
        <f>AD21+'SHRINK 2S - Dia'!AD21</f>
        <v>0</v>
      </c>
    </row>
    <row r="22" spans="1:32" ht="21" customHeight="1">
      <c r="A22" s="38">
        <v>10</v>
      </c>
      <c r="B22" s="152"/>
      <c r="C22" s="96" t="s">
        <v>31</v>
      </c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5">
        <f t="shared" si="2"/>
        <v>0</v>
      </c>
      <c r="AF22" s="48">
        <f>AD22+'SHRINK 2S - Dia'!AD22</f>
        <v>0</v>
      </c>
    </row>
    <row r="23" spans="1:32" ht="21" customHeight="1">
      <c r="A23" s="64">
        <v>11</v>
      </c>
      <c r="B23" s="152"/>
      <c r="C23" s="96" t="s">
        <v>26</v>
      </c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5">
        <f t="shared" si="2"/>
        <v>0</v>
      </c>
      <c r="AF23" s="48">
        <f>AD23+'SHRINK 2S - Dia'!AD23</f>
        <v>0</v>
      </c>
    </row>
    <row r="24" spans="1:32" ht="21" customHeight="1">
      <c r="A24" s="63">
        <v>12</v>
      </c>
      <c r="B24" s="152"/>
      <c r="C24" s="97" t="s">
        <v>27</v>
      </c>
      <c r="D24" s="66"/>
      <c r="E24" s="66"/>
      <c r="F24" s="66"/>
      <c r="G24" s="66"/>
      <c r="H24" s="66"/>
      <c r="I24" s="66"/>
      <c r="J24" s="66"/>
      <c r="K24" s="66"/>
      <c r="L24" s="66"/>
      <c r="M24" s="69"/>
      <c r="N24" s="69"/>
      <c r="O24" s="69"/>
      <c r="P24" s="69"/>
      <c r="Q24" s="69"/>
      <c r="R24" s="69"/>
      <c r="S24" s="69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22">
        <f t="shared" si="2"/>
        <v>0</v>
      </c>
      <c r="AF24" s="48">
        <f>AD24+'SHRINK 2S - Dia'!AD24</f>
        <v>0</v>
      </c>
    </row>
    <row r="25" spans="1:32" ht="21" customHeight="1">
      <c r="A25" s="38">
        <v>13</v>
      </c>
      <c r="B25" s="152"/>
      <c r="C25" s="96" t="s">
        <v>28</v>
      </c>
      <c r="D25" s="68"/>
      <c r="E25" s="68"/>
      <c r="F25" s="68"/>
      <c r="G25" s="68"/>
      <c r="H25" s="68"/>
      <c r="I25" s="68"/>
      <c r="J25" s="68"/>
      <c r="K25" s="68"/>
      <c r="L25" s="68"/>
      <c r="M25" s="70"/>
      <c r="N25" s="70"/>
      <c r="O25" s="70"/>
      <c r="P25" s="70"/>
      <c r="Q25" s="70"/>
      <c r="R25" s="70"/>
      <c r="S25" s="70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5">
        <f t="shared" si="2"/>
        <v>0</v>
      </c>
      <c r="AF25" s="48">
        <f>AD25+'SHRINK 2S - Dia'!AD25</f>
        <v>0</v>
      </c>
    </row>
    <row r="26" spans="1:32" ht="21" customHeight="1">
      <c r="A26" s="38">
        <v>14</v>
      </c>
      <c r="B26" s="152"/>
      <c r="C26" s="96" t="s">
        <v>32</v>
      </c>
      <c r="D26" s="68"/>
      <c r="E26" s="68"/>
      <c r="F26" s="68"/>
      <c r="G26" s="68"/>
      <c r="H26" s="68"/>
      <c r="I26" s="68"/>
      <c r="J26" s="68"/>
      <c r="K26" s="68"/>
      <c r="L26" s="68"/>
      <c r="M26" s="70"/>
      <c r="N26" s="70"/>
      <c r="O26" s="70"/>
      <c r="P26" s="70"/>
      <c r="Q26" s="70"/>
      <c r="R26" s="70"/>
      <c r="S26" s="70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5">
        <f t="shared" si="2"/>
        <v>0</v>
      </c>
      <c r="AF26" s="48">
        <f>AD26+'SHRINK 2S - Dia'!AD26</f>
        <v>0</v>
      </c>
    </row>
    <row r="27" spans="1:32" ht="21" customHeight="1">
      <c r="A27" s="38">
        <v>15</v>
      </c>
      <c r="B27" s="152"/>
      <c r="C27" s="96" t="s">
        <v>33</v>
      </c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5">
        <f t="shared" si="2"/>
        <v>0</v>
      </c>
      <c r="AF27" s="48">
        <f>AD27+'SHRINK 2S - Dia'!AD27</f>
        <v>0</v>
      </c>
    </row>
    <row r="28" spans="1:32" ht="21" customHeight="1" thickBot="1">
      <c r="A28" s="40">
        <v>16</v>
      </c>
      <c r="B28" s="162"/>
      <c r="C28" s="99" t="s">
        <v>46</v>
      </c>
      <c r="D28" s="70"/>
      <c r="E28" s="70"/>
      <c r="F28" s="70"/>
      <c r="G28" s="70"/>
      <c r="H28" s="70"/>
      <c r="I28" s="70"/>
      <c r="J28" s="70"/>
      <c r="K28" s="70"/>
      <c r="L28" s="70"/>
      <c r="M28" s="100"/>
      <c r="N28" s="100"/>
      <c r="O28" s="100"/>
      <c r="P28" s="100"/>
      <c r="Q28" s="100"/>
      <c r="R28" s="100"/>
      <c r="S28" s="10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101">
        <f t="shared" si="2"/>
        <v>0</v>
      </c>
      <c r="AF28" s="48">
        <f>AD28+'SHRINK 2S - Dia'!AD28</f>
        <v>0</v>
      </c>
    </row>
    <row r="29" spans="1:32" ht="31.5" customHeight="1">
      <c r="A29" s="37">
        <v>17</v>
      </c>
      <c r="B29" s="163" t="s">
        <v>65</v>
      </c>
      <c r="C29" s="111" t="s">
        <v>66</v>
      </c>
      <c r="D29" s="73"/>
      <c r="E29" s="65"/>
      <c r="F29" s="65"/>
      <c r="G29" s="65"/>
      <c r="H29" s="65"/>
      <c r="I29" s="65"/>
      <c r="J29" s="65"/>
      <c r="K29" s="65"/>
      <c r="L29" s="65"/>
      <c r="M29" s="104"/>
      <c r="N29" s="104"/>
      <c r="O29" s="104"/>
      <c r="P29" s="104"/>
      <c r="Q29" s="104"/>
      <c r="R29" s="104"/>
      <c r="S29" s="104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46">
        <f t="shared" si="2"/>
        <v>0</v>
      </c>
      <c r="AF29" s="48">
        <f>AD29+'SHRINK 2S - Dia'!AD29</f>
        <v>0</v>
      </c>
    </row>
    <row r="30" spans="1:32" ht="21" customHeight="1">
      <c r="A30" s="38">
        <v>18</v>
      </c>
      <c r="B30" s="164"/>
      <c r="C30" s="42" t="s">
        <v>63</v>
      </c>
      <c r="D30" s="108"/>
      <c r="E30" s="68"/>
      <c r="F30" s="68"/>
      <c r="G30" s="68"/>
      <c r="H30" s="68"/>
      <c r="I30" s="68"/>
      <c r="J30" s="68"/>
      <c r="K30" s="68"/>
      <c r="L30" s="68"/>
      <c r="M30" s="102"/>
      <c r="N30" s="102"/>
      <c r="O30" s="102"/>
      <c r="P30" s="102"/>
      <c r="Q30" s="102"/>
      <c r="R30" s="102"/>
      <c r="S30" s="102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47">
        <f t="shared" si="2"/>
        <v>0</v>
      </c>
      <c r="AF30" s="48">
        <f>AD30+'SHRINK 2S - Dia'!AD30</f>
        <v>0</v>
      </c>
    </row>
    <row r="31" spans="1:32" ht="21" customHeight="1" thickBot="1">
      <c r="A31" s="40">
        <v>19</v>
      </c>
      <c r="B31" s="165"/>
      <c r="C31" s="91" t="s">
        <v>64</v>
      </c>
      <c r="D31" s="109"/>
      <c r="E31" s="71"/>
      <c r="F31" s="71"/>
      <c r="G31" s="71"/>
      <c r="H31" s="71"/>
      <c r="I31" s="71"/>
      <c r="J31" s="71"/>
      <c r="K31" s="71"/>
      <c r="L31" s="71"/>
      <c r="M31" s="72"/>
      <c r="N31" s="72"/>
      <c r="O31" s="72"/>
      <c r="P31" s="72"/>
      <c r="Q31" s="72"/>
      <c r="R31" s="72"/>
      <c r="S31" s="72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26">
        <f t="shared" si="2"/>
        <v>0</v>
      </c>
      <c r="AF31" s="48">
        <f>AD31+'SHRINK 2S - Dia'!AD31</f>
        <v>0</v>
      </c>
    </row>
    <row r="32" spans="1:32" ht="21" customHeight="1">
      <c r="A32" s="153" t="s">
        <v>3</v>
      </c>
      <c r="B32" s="154"/>
      <c r="C32" s="155"/>
      <c r="D32" s="86">
        <f>SUM(D13:D31)</f>
        <v>0</v>
      </c>
      <c r="E32" s="86">
        <f t="shared" ref="E32:AC32" si="3">SUM(E13:E31)</f>
        <v>0</v>
      </c>
      <c r="F32" s="86">
        <f t="shared" si="3"/>
        <v>0</v>
      </c>
      <c r="G32" s="86">
        <f t="shared" si="3"/>
        <v>0</v>
      </c>
      <c r="H32" s="86">
        <f t="shared" si="3"/>
        <v>0</v>
      </c>
      <c r="I32" s="86">
        <f t="shared" si="3"/>
        <v>0</v>
      </c>
      <c r="J32" s="86">
        <f t="shared" si="3"/>
        <v>0</v>
      </c>
      <c r="K32" s="86">
        <f t="shared" si="3"/>
        <v>0</v>
      </c>
      <c r="L32" s="86">
        <f t="shared" si="3"/>
        <v>0</v>
      </c>
      <c r="M32" s="86">
        <f t="shared" si="3"/>
        <v>0</v>
      </c>
      <c r="N32" s="86">
        <f t="shared" si="3"/>
        <v>0</v>
      </c>
      <c r="O32" s="86">
        <f t="shared" si="3"/>
        <v>0</v>
      </c>
      <c r="P32" s="86">
        <f t="shared" si="3"/>
        <v>0</v>
      </c>
      <c r="Q32" s="86">
        <f t="shared" si="3"/>
        <v>0</v>
      </c>
      <c r="R32" s="86">
        <f t="shared" si="3"/>
        <v>0</v>
      </c>
      <c r="S32" s="86">
        <f t="shared" si="3"/>
        <v>0</v>
      </c>
      <c r="T32" s="86">
        <f t="shared" si="3"/>
        <v>0</v>
      </c>
      <c r="U32" s="86">
        <f t="shared" si="3"/>
        <v>0</v>
      </c>
      <c r="V32" s="86">
        <f t="shared" si="3"/>
        <v>0</v>
      </c>
      <c r="W32" s="86">
        <f t="shared" si="3"/>
        <v>0</v>
      </c>
      <c r="X32" s="86">
        <f t="shared" si="3"/>
        <v>0</v>
      </c>
      <c r="Y32" s="86">
        <f t="shared" si="3"/>
        <v>0</v>
      </c>
      <c r="Z32" s="86">
        <f t="shared" si="3"/>
        <v>0</v>
      </c>
      <c r="AA32" s="86">
        <f t="shared" si="3"/>
        <v>0</v>
      </c>
      <c r="AB32" s="86">
        <f t="shared" si="3"/>
        <v>0</v>
      </c>
      <c r="AC32" s="86">
        <f t="shared" si="3"/>
        <v>0</v>
      </c>
      <c r="AD32" s="39">
        <f>SUM(D32:AC32)</f>
        <v>0</v>
      </c>
      <c r="AF32" s="48">
        <f>AD32+'SHRINK 2S - Dia'!AD32</f>
        <v>0</v>
      </c>
    </row>
    <row r="33" spans="1:30" ht="21" customHeight="1" thickBot="1">
      <c r="A33" s="142" t="s">
        <v>12</v>
      </c>
      <c r="B33" s="143"/>
      <c r="C33" s="144"/>
      <c r="D33" s="51" t="str">
        <f t="shared" ref="D33:AD33" si="4">IF(D4&gt;0,D32/D4*1000000," ")</f>
        <v xml:space="preserve"> </v>
      </c>
      <c r="E33" s="52" t="str">
        <f t="shared" si="4"/>
        <v xml:space="preserve"> </v>
      </c>
      <c r="F33" s="52" t="str">
        <f t="shared" si="4"/>
        <v xml:space="preserve"> </v>
      </c>
      <c r="G33" s="52" t="str">
        <f t="shared" si="4"/>
        <v xml:space="preserve"> </v>
      </c>
      <c r="H33" s="52" t="str">
        <f t="shared" si="4"/>
        <v xml:space="preserve"> </v>
      </c>
      <c r="I33" s="52" t="str">
        <f t="shared" si="4"/>
        <v xml:space="preserve"> </v>
      </c>
      <c r="J33" s="52" t="str">
        <f t="shared" si="4"/>
        <v xml:space="preserve"> </v>
      </c>
      <c r="K33" s="52" t="str">
        <f t="shared" si="4"/>
        <v xml:space="preserve"> </v>
      </c>
      <c r="L33" s="52" t="str">
        <f t="shared" si="4"/>
        <v xml:space="preserve"> </v>
      </c>
      <c r="M33" s="52" t="str">
        <f t="shared" si="4"/>
        <v xml:space="preserve"> </v>
      </c>
      <c r="N33" s="52" t="str">
        <f t="shared" si="4"/>
        <v xml:space="preserve"> </v>
      </c>
      <c r="O33" s="52" t="str">
        <f t="shared" si="4"/>
        <v xml:space="preserve"> </v>
      </c>
      <c r="P33" s="52" t="str">
        <f t="shared" si="4"/>
        <v xml:space="preserve"> </v>
      </c>
      <c r="Q33" s="52" t="str">
        <f t="shared" si="4"/>
        <v xml:space="preserve"> </v>
      </c>
      <c r="R33" s="52" t="str">
        <f t="shared" si="4"/>
        <v xml:space="preserve"> </v>
      </c>
      <c r="S33" s="52" t="str">
        <f t="shared" si="4"/>
        <v xml:space="preserve"> </v>
      </c>
      <c r="T33" s="52" t="str">
        <f t="shared" si="4"/>
        <v xml:space="preserve"> </v>
      </c>
      <c r="U33" s="52" t="str">
        <f t="shared" si="4"/>
        <v xml:space="preserve"> </v>
      </c>
      <c r="V33" s="52" t="str">
        <f t="shared" si="4"/>
        <v xml:space="preserve"> </v>
      </c>
      <c r="W33" s="52" t="str">
        <f t="shared" si="4"/>
        <v xml:space="preserve"> </v>
      </c>
      <c r="X33" s="52" t="str">
        <f t="shared" si="4"/>
        <v xml:space="preserve"> </v>
      </c>
      <c r="Y33" s="52" t="str">
        <f t="shared" si="4"/>
        <v xml:space="preserve"> </v>
      </c>
      <c r="Z33" s="52" t="str">
        <f t="shared" si="4"/>
        <v xml:space="preserve"> </v>
      </c>
      <c r="AA33" s="52" t="str">
        <f t="shared" si="4"/>
        <v xml:space="preserve"> </v>
      </c>
      <c r="AB33" s="52" t="str">
        <f t="shared" si="4"/>
        <v xml:space="preserve"> </v>
      </c>
      <c r="AC33" s="52" t="str">
        <f t="shared" si="4"/>
        <v xml:space="preserve"> </v>
      </c>
      <c r="AD33" s="19" t="str">
        <f t="shared" si="4"/>
        <v xml:space="preserve"> </v>
      </c>
    </row>
    <row r="34" spans="1:30" ht="21" customHeight="1">
      <c r="A34" s="156" t="s">
        <v>41</v>
      </c>
      <c r="B34" s="157"/>
      <c r="C34" s="158"/>
      <c r="D34" s="80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2"/>
    </row>
    <row r="35" spans="1:30" ht="21" customHeight="1" thickBot="1">
      <c r="A35" s="142" t="s">
        <v>40</v>
      </c>
      <c r="B35" s="143"/>
      <c r="C35" s="144"/>
      <c r="D35" s="83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5"/>
    </row>
    <row r="36" spans="1:30" ht="21" customHeight="1">
      <c r="A36" s="44" t="s">
        <v>8</v>
      </c>
      <c r="B36" s="45"/>
      <c r="C36" s="45"/>
      <c r="D36" s="7"/>
      <c r="E36" s="7"/>
      <c r="F36" s="7"/>
      <c r="G36" s="7"/>
      <c r="H36" s="28"/>
      <c r="I36" s="28"/>
      <c r="J36" s="30"/>
      <c r="K36" s="8" t="s">
        <v>10</v>
      </c>
      <c r="L36" s="7"/>
      <c r="M36" s="7"/>
      <c r="N36" s="7"/>
      <c r="O36" s="7"/>
      <c r="P36" s="7"/>
      <c r="Q36" s="7"/>
      <c r="R36" s="7"/>
      <c r="S36" s="7"/>
      <c r="T36" s="7"/>
      <c r="U36" s="8" t="s">
        <v>11</v>
      </c>
      <c r="V36" s="21"/>
      <c r="W36" s="7"/>
      <c r="X36" s="7"/>
      <c r="Y36" s="7"/>
      <c r="Z36" s="7"/>
      <c r="AA36" s="7"/>
      <c r="AB36" s="7"/>
      <c r="AC36" s="9"/>
      <c r="AD36" s="10"/>
    </row>
    <row r="37" spans="1:30" s="16" customFormat="1" ht="21" customHeight="1" thickBot="1">
      <c r="A37" s="11" t="s">
        <v>9</v>
      </c>
      <c r="B37" s="12"/>
      <c r="C37" s="12"/>
      <c r="D37" s="12"/>
      <c r="E37" s="12"/>
      <c r="F37" s="12"/>
      <c r="G37" s="12"/>
      <c r="H37" s="35"/>
      <c r="I37" s="35"/>
      <c r="J37" s="36"/>
      <c r="K37" s="11" t="s">
        <v>9</v>
      </c>
      <c r="L37" s="12"/>
      <c r="M37" s="12"/>
      <c r="N37" s="12"/>
      <c r="O37" s="12"/>
      <c r="P37" s="12"/>
      <c r="Q37" s="12"/>
      <c r="R37" s="12"/>
      <c r="S37" s="12"/>
      <c r="T37" s="12"/>
      <c r="U37" s="11" t="s">
        <v>9</v>
      </c>
      <c r="V37" s="12"/>
      <c r="W37" s="12"/>
      <c r="X37" s="12"/>
      <c r="Y37" s="14"/>
      <c r="Z37" s="15"/>
      <c r="AA37" s="15"/>
      <c r="AB37" s="15"/>
      <c r="AC37" s="14"/>
      <c r="AD37" s="13"/>
    </row>
    <row r="38" spans="1:30">
      <c r="C38" t="s">
        <v>5</v>
      </c>
      <c r="D38" s="17">
        <f>TARGET_2S*2</f>
        <v>40</v>
      </c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40" spans="1:30">
      <c r="C40" s="6" t="s">
        <v>6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</row>
    <row r="41" spans="1:30" ht="170.1" customHeight="1">
      <c r="C41" s="18" t="s">
        <v>7</v>
      </c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</row>
  </sheetData>
  <sheetProtection algorithmName="SHA-512" hashValue="XFSncojQ0JqpbIua6A1vXRZEgl+5NlCtftIdGyhLX7JLSP1UvzKmFt6vY6SdC3khIV++wu3dww6etZUxhKaGYw==" saltValue="5nEykWQhckVXNzPPDqFtFg==" spinCount="100000" sheet="1" objects="1" scenarios="1" selectLockedCells="1"/>
  <mergeCells count="36">
    <mergeCell ref="H5:H12"/>
    <mergeCell ref="A33:C33"/>
    <mergeCell ref="A2:C2"/>
    <mergeCell ref="A3:C3"/>
    <mergeCell ref="A4:C4"/>
    <mergeCell ref="B13:B17"/>
    <mergeCell ref="A32:C32"/>
    <mergeCell ref="C6:C12"/>
    <mergeCell ref="B18:B28"/>
    <mergeCell ref="B29:B31"/>
    <mergeCell ref="I5:I12"/>
    <mergeCell ref="J5:J12"/>
    <mergeCell ref="T5:T12"/>
    <mergeCell ref="AC5:AC12"/>
    <mergeCell ref="X5:X12"/>
    <mergeCell ref="U5:U12"/>
    <mergeCell ref="W5:W12"/>
    <mergeCell ref="Y5:Y12"/>
    <mergeCell ref="Z5:Z12"/>
    <mergeCell ref="V5:V12"/>
    <mergeCell ref="AB1:AC1"/>
    <mergeCell ref="A34:C34"/>
    <mergeCell ref="A35:C35"/>
    <mergeCell ref="S5:S12"/>
    <mergeCell ref="Q5:Q12"/>
    <mergeCell ref="R5:R12"/>
    <mergeCell ref="M5:M12"/>
    <mergeCell ref="N5:N12"/>
    <mergeCell ref="O5:O12"/>
    <mergeCell ref="P5:P12"/>
    <mergeCell ref="D5:D12"/>
    <mergeCell ref="E5:E12"/>
    <mergeCell ref="F5:F12"/>
    <mergeCell ref="K5:K12"/>
    <mergeCell ref="L5:L12"/>
    <mergeCell ref="G5:G12"/>
  </mergeCells>
  <phoneticPr fontId="0" type="noConversion"/>
  <conditionalFormatting sqref="AD32">
    <cfRule type="cellIs" dxfId="2" priority="4" stopIfTrue="1" operator="notEqual">
      <formula>SUM($D$13:$AC$28)</formula>
    </cfRule>
  </conditionalFormatting>
  <dataValidations count="1">
    <dataValidation type="date" allowBlank="1" showInputMessage="1" showErrorMessage="1" promptTitle="Data:" prompt="Favor digitar uma data válida, pelo menos dia/mês." sqref="D2:AC2" xr:uid="{00000000-0002-0000-0400-000000000000}">
      <formula1>44287</formula1>
      <formula2>44651</formula2>
    </dataValidation>
  </dataValidations>
  <printOptions horizontalCentered="1" gridLines="1" gridLinesSet="0"/>
  <pageMargins left="0.47244094488188981" right="0.31496062992125984" top="0.78740157480314965" bottom="0.39370078740157483" header="0.27559055118110237" footer="0.27559055118110237"/>
  <pageSetup paperSize="9" scale="58" orientation="landscape" r:id="rId1"/>
  <headerFooter alignWithMargins="0">
    <oddFooter xml:space="preserve">&amp;RSJCPIL-R 16-423-03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>
                <anchor moveWithCells="1">
                  <from>
                    <xdr:col>21</xdr:col>
                    <xdr:colOff>200025</xdr:colOff>
                    <xdr:row>0</xdr:row>
                    <xdr:rowOff>114300</xdr:rowOff>
                  </from>
                  <to>
                    <xdr:col>22</xdr:col>
                    <xdr:colOff>381000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22</xdr:col>
                    <xdr:colOff>180975</xdr:colOff>
                    <xdr:row>0</xdr:row>
                    <xdr:rowOff>104775</xdr:rowOff>
                  </from>
                  <to>
                    <xdr:col>23</xdr:col>
                    <xdr:colOff>47625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>
                <anchor moveWithCells="1">
                  <from>
                    <xdr:col>23</xdr:col>
                    <xdr:colOff>47625</xdr:colOff>
                    <xdr:row>0</xdr:row>
                    <xdr:rowOff>114300</xdr:rowOff>
                  </from>
                  <to>
                    <xdr:col>23</xdr:col>
                    <xdr:colOff>352425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6">
    <tabColor theme="4" tint="-0.249977111117893"/>
    <pageSetUpPr fitToPage="1"/>
  </sheetPr>
  <dimension ref="A1:AF41"/>
  <sheetViews>
    <sheetView showZeros="0" zoomScaleNormal="100" workbookViewId="0">
      <selection activeCell="C6" sqref="C6:C12"/>
    </sheetView>
  </sheetViews>
  <sheetFormatPr defaultColWidth="11.42578125" defaultRowHeight="12.75"/>
  <cols>
    <col min="1" max="1" width="3" bestFit="1" customWidth="1"/>
    <col min="2" max="2" width="3.28515625" bestFit="1" customWidth="1"/>
    <col min="3" max="3" width="26.140625" customWidth="1"/>
    <col min="4" max="29" width="6.7109375" customWidth="1"/>
    <col min="30" max="30" width="11.42578125" customWidth="1"/>
    <col min="31" max="31" width="3.28515625" customWidth="1"/>
  </cols>
  <sheetData>
    <row r="1" spans="1:32" ht="32.25" customHeight="1" thickBot="1">
      <c r="E1" s="23" t="str">
        <f>'SHRINK 4S - Dia'!E1</f>
        <v>FALHAS DO ACABAMENTO  UM-4 (SHRINK)</v>
      </c>
      <c r="F1" s="23"/>
      <c r="G1" s="23"/>
      <c r="H1" s="23"/>
      <c r="I1" s="23"/>
      <c r="J1" s="23"/>
      <c r="K1" s="23"/>
      <c r="L1" s="23"/>
      <c r="M1" s="23"/>
      <c r="N1" s="23"/>
      <c r="O1" s="23" t="s">
        <v>42</v>
      </c>
      <c r="P1" s="23"/>
      <c r="Q1" s="23" t="s">
        <v>43</v>
      </c>
      <c r="R1" s="23"/>
      <c r="S1" s="23"/>
      <c r="T1" s="23"/>
      <c r="U1" s="124" t="s">
        <v>90</v>
      </c>
      <c r="V1" s="3"/>
      <c r="W1" s="3"/>
      <c r="Z1" s="88"/>
      <c r="AA1" s="88"/>
      <c r="AB1" s="140" t="s">
        <v>61</v>
      </c>
      <c r="AC1" s="141"/>
      <c r="AD1" s="89" t="str">
        <f ca="1">'SHRINK 2S - Dia'!AD1</f>
        <v>03 / 2022</v>
      </c>
    </row>
    <row r="2" spans="1:32" ht="21" customHeight="1">
      <c r="A2" s="131" t="s">
        <v>0</v>
      </c>
      <c r="B2" s="132"/>
      <c r="C2" s="132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2"/>
      <c r="Y2" s="122"/>
      <c r="Z2" s="123"/>
      <c r="AA2" s="123"/>
      <c r="AB2" s="123"/>
      <c r="AC2" s="123"/>
      <c r="AD2" s="87" t="s">
        <v>4</v>
      </c>
    </row>
    <row r="3" spans="1:32" ht="21" customHeight="1">
      <c r="A3" s="133" t="s">
        <v>1</v>
      </c>
      <c r="B3" s="134"/>
      <c r="C3" s="134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4"/>
    </row>
    <row r="4" spans="1:32" ht="21" customHeight="1" thickBot="1">
      <c r="A4" s="135" t="s">
        <v>2</v>
      </c>
      <c r="B4" s="136"/>
      <c r="C4" s="136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58"/>
      <c r="Y4" s="58"/>
      <c r="Z4" s="58"/>
      <c r="AA4" s="58"/>
      <c r="AB4" s="58"/>
      <c r="AC4" s="25"/>
      <c r="AD4" s="26">
        <f>SUM(D4:AC4)</f>
        <v>0</v>
      </c>
      <c r="AF4" s="62"/>
    </row>
    <row r="5" spans="1:32" ht="30" customHeight="1">
      <c r="A5" s="27"/>
      <c r="B5" s="28"/>
      <c r="C5" s="29" t="s">
        <v>12</v>
      </c>
      <c r="D5" s="128">
        <f>D41</f>
        <v>0</v>
      </c>
      <c r="E5" s="128">
        <f t="shared" ref="E5:AC5" si="0">E41</f>
        <v>0</v>
      </c>
      <c r="F5" s="128">
        <f>F41</f>
        <v>0</v>
      </c>
      <c r="G5" s="128">
        <f t="shared" si="0"/>
        <v>0</v>
      </c>
      <c r="H5" s="128">
        <f t="shared" si="0"/>
        <v>0</v>
      </c>
      <c r="I5" s="128">
        <f>I41</f>
        <v>0</v>
      </c>
      <c r="J5" s="128">
        <f t="shared" si="0"/>
        <v>0</v>
      </c>
      <c r="K5" s="128">
        <f t="shared" si="0"/>
        <v>0</v>
      </c>
      <c r="L5" s="128">
        <f t="shared" si="0"/>
        <v>0</v>
      </c>
      <c r="M5" s="128">
        <f>M41</f>
        <v>0</v>
      </c>
      <c r="N5" s="128">
        <f>N41</f>
        <v>0</v>
      </c>
      <c r="O5" s="137">
        <f t="shared" ref="O5:T5" si="1">O41</f>
        <v>0</v>
      </c>
      <c r="P5" s="137">
        <f t="shared" si="1"/>
        <v>0</v>
      </c>
      <c r="Q5" s="137">
        <f t="shared" si="1"/>
        <v>0</v>
      </c>
      <c r="R5" s="137">
        <f t="shared" si="1"/>
        <v>0</v>
      </c>
      <c r="S5" s="137">
        <f t="shared" si="1"/>
        <v>0</v>
      </c>
      <c r="T5" s="137">
        <f t="shared" si="1"/>
        <v>0</v>
      </c>
      <c r="U5" s="137">
        <f t="shared" si="0"/>
        <v>0</v>
      </c>
      <c r="V5" s="137"/>
      <c r="W5" s="137">
        <f t="shared" si="0"/>
        <v>0</v>
      </c>
      <c r="X5" s="137">
        <f t="shared" si="0"/>
        <v>0</v>
      </c>
      <c r="Y5" s="137">
        <f t="shared" si="0"/>
        <v>0</v>
      </c>
      <c r="Z5" s="137">
        <f t="shared" si="0"/>
        <v>0</v>
      </c>
      <c r="AA5" s="59"/>
      <c r="AB5" s="59"/>
      <c r="AC5" s="137">
        <f t="shared" si="0"/>
        <v>0</v>
      </c>
      <c r="AD5" s="30"/>
    </row>
    <row r="6" spans="1:32" ht="30" customHeight="1">
      <c r="A6" s="31"/>
      <c r="C6" s="145" t="s">
        <v>67</v>
      </c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60"/>
      <c r="AB6" s="60"/>
      <c r="AC6" s="138"/>
      <c r="AD6" s="4"/>
    </row>
    <row r="7" spans="1:32" ht="30" customHeight="1">
      <c r="A7" s="31"/>
      <c r="C7" s="146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60"/>
      <c r="AB7" s="60"/>
      <c r="AC7" s="138"/>
      <c r="AD7" s="4"/>
    </row>
    <row r="8" spans="1:32" ht="30" customHeight="1">
      <c r="A8" s="31"/>
      <c r="C8" s="146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60"/>
      <c r="AB8" s="60"/>
      <c r="AC8" s="138"/>
      <c r="AD8" s="4"/>
    </row>
    <row r="9" spans="1:32" ht="30" customHeight="1">
      <c r="A9" s="31"/>
      <c r="C9" s="146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60"/>
      <c r="AB9" s="60"/>
      <c r="AC9" s="138"/>
      <c r="AD9" s="4"/>
    </row>
    <row r="10" spans="1:32" ht="30" customHeight="1">
      <c r="A10" s="31"/>
      <c r="C10" s="146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60"/>
      <c r="AB10" s="60"/>
      <c r="AC10" s="138"/>
      <c r="AD10" s="4"/>
    </row>
    <row r="11" spans="1:32" ht="30" customHeight="1">
      <c r="A11" s="31"/>
      <c r="C11" s="146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60"/>
      <c r="AB11" s="60"/>
      <c r="AC11" s="138"/>
      <c r="AD11" s="4"/>
    </row>
    <row r="12" spans="1:32" ht="30" customHeight="1" thickBot="1">
      <c r="A12" s="32"/>
      <c r="B12" s="33"/>
      <c r="C12" s="147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9"/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61"/>
      <c r="AB12" s="61"/>
      <c r="AC12" s="139"/>
      <c r="AD12" s="34"/>
    </row>
    <row r="13" spans="1:32" ht="21" customHeight="1">
      <c r="A13" s="37">
        <v>1</v>
      </c>
      <c r="B13" s="148" t="s">
        <v>29</v>
      </c>
      <c r="C13" s="76" t="s">
        <v>34</v>
      </c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46">
        <f t="shared" ref="AD13:AD31" si="2">SUM(D13:AC13)</f>
        <v>0</v>
      </c>
      <c r="AF13" s="48">
        <f>AD13+'SHRINK 2S - 2T'!AD13</f>
        <v>0</v>
      </c>
    </row>
    <row r="14" spans="1:32" ht="21" customHeight="1">
      <c r="A14" s="38">
        <v>2</v>
      </c>
      <c r="B14" s="149"/>
      <c r="C14" s="77" t="s">
        <v>35</v>
      </c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47">
        <f t="shared" si="2"/>
        <v>0</v>
      </c>
      <c r="AF14" s="48">
        <f>AD14+'SHRINK 2S - 2T'!AD14</f>
        <v>0</v>
      </c>
    </row>
    <row r="15" spans="1:32" ht="21" customHeight="1">
      <c r="A15" s="38">
        <v>3</v>
      </c>
      <c r="B15" s="149"/>
      <c r="C15" s="78" t="s">
        <v>36</v>
      </c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47">
        <f t="shared" si="2"/>
        <v>0</v>
      </c>
      <c r="AF15" s="48">
        <f>AD15+'SHRINK 2S - 2T'!AD15</f>
        <v>0</v>
      </c>
    </row>
    <row r="16" spans="1:32" ht="21" customHeight="1">
      <c r="A16" s="38">
        <v>4</v>
      </c>
      <c r="B16" s="149"/>
      <c r="C16" s="78" t="s">
        <v>37</v>
      </c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47">
        <f t="shared" si="2"/>
        <v>0</v>
      </c>
      <c r="AF16" s="48">
        <f>AD16+'SHRINK 2S - 2T'!AD16</f>
        <v>0</v>
      </c>
    </row>
    <row r="17" spans="1:32" ht="21" customHeight="1" thickBot="1">
      <c r="A17" s="43">
        <v>5</v>
      </c>
      <c r="B17" s="149"/>
      <c r="C17" s="79" t="s">
        <v>45</v>
      </c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26">
        <f t="shared" si="2"/>
        <v>0</v>
      </c>
      <c r="AF17" s="48">
        <f>AD17+'SHRINK 2S - 2T'!AD17</f>
        <v>0</v>
      </c>
    </row>
    <row r="18" spans="1:32" ht="21" customHeight="1">
      <c r="A18" s="37">
        <v>6</v>
      </c>
      <c r="B18" s="151" t="s">
        <v>13</v>
      </c>
      <c r="C18" s="95" t="s">
        <v>14</v>
      </c>
      <c r="D18" s="66"/>
      <c r="E18" s="66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22">
        <f t="shared" si="2"/>
        <v>0</v>
      </c>
      <c r="AF18" s="48">
        <f>AD18+'SHRINK 2S - 2T'!AD18</f>
        <v>0</v>
      </c>
    </row>
    <row r="19" spans="1:32" ht="21" customHeight="1">
      <c r="A19" s="38">
        <v>7</v>
      </c>
      <c r="B19" s="152"/>
      <c r="C19" s="96" t="s">
        <v>24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5">
        <f t="shared" si="2"/>
        <v>0</v>
      </c>
      <c r="AF19" s="48">
        <f>AD19+'SHRINK 2S - 2T'!AD19</f>
        <v>0</v>
      </c>
    </row>
    <row r="20" spans="1:32" ht="21" customHeight="1">
      <c r="A20" s="38">
        <v>8</v>
      </c>
      <c r="B20" s="152"/>
      <c r="C20" s="96" t="s">
        <v>25</v>
      </c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5">
        <f t="shared" si="2"/>
        <v>0</v>
      </c>
      <c r="AF20" s="48">
        <f>AD20+'SHRINK 2S - 2T'!AD20</f>
        <v>0</v>
      </c>
    </row>
    <row r="21" spans="1:32" ht="21" customHeight="1">
      <c r="A21" s="38">
        <v>9</v>
      </c>
      <c r="B21" s="152"/>
      <c r="C21" s="96" t="s">
        <v>30</v>
      </c>
      <c r="D21" s="66"/>
      <c r="E21" s="66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5">
        <f t="shared" si="2"/>
        <v>0</v>
      </c>
      <c r="AF21" s="48">
        <f>AD21+'SHRINK 2S - 2T'!AD21</f>
        <v>0</v>
      </c>
    </row>
    <row r="22" spans="1:32" ht="21" customHeight="1">
      <c r="A22" s="38">
        <v>10</v>
      </c>
      <c r="B22" s="152"/>
      <c r="C22" s="96" t="s">
        <v>31</v>
      </c>
      <c r="D22" s="66"/>
      <c r="E22" s="66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5">
        <f t="shared" si="2"/>
        <v>0</v>
      </c>
      <c r="AF22" s="48">
        <f>AD22+'SHRINK 2S - 2T'!AD22</f>
        <v>0</v>
      </c>
    </row>
    <row r="23" spans="1:32" ht="21" customHeight="1">
      <c r="A23" s="64">
        <v>11</v>
      </c>
      <c r="B23" s="152"/>
      <c r="C23" s="96" t="s">
        <v>26</v>
      </c>
      <c r="D23" s="66"/>
      <c r="E23" s="66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5">
        <f t="shared" si="2"/>
        <v>0</v>
      </c>
      <c r="AF23" s="48">
        <f>AD23+'SHRINK 2S - 2T'!AD23</f>
        <v>0</v>
      </c>
    </row>
    <row r="24" spans="1:32" ht="21" customHeight="1">
      <c r="A24" s="63">
        <v>12</v>
      </c>
      <c r="B24" s="152"/>
      <c r="C24" s="97" t="s">
        <v>27</v>
      </c>
      <c r="D24" s="66"/>
      <c r="E24" s="66"/>
      <c r="F24" s="66"/>
      <c r="G24" s="66"/>
      <c r="H24" s="66"/>
      <c r="I24" s="66"/>
      <c r="J24" s="66"/>
      <c r="K24" s="66"/>
      <c r="L24" s="66"/>
      <c r="M24" s="69"/>
      <c r="N24" s="69"/>
      <c r="O24" s="69"/>
      <c r="P24" s="69"/>
      <c r="Q24" s="69"/>
      <c r="R24" s="69"/>
      <c r="S24" s="69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22">
        <f t="shared" si="2"/>
        <v>0</v>
      </c>
      <c r="AF24" s="48">
        <f>AD24+'SHRINK 2S - 2T'!AD24</f>
        <v>0</v>
      </c>
    </row>
    <row r="25" spans="1:32" ht="21" customHeight="1">
      <c r="A25" s="38">
        <v>13</v>
      </c>
      <c r="B25" s="152"/>
      <c r="C25" s="96" t="s">
        <v>28</v>
      </c>
      <c r="D25" s="66"/>
      <c r="E25" s="66"/>
      <c r="F25" s="68"/>
      <c r="G25" s="68"/>
      <c r="H25" s="68"/>
      <c r="I25" s="68"/>
      <c r="J25" s="68"/>
      <c r="K25" s="68"/>
      <c r="L25" s="68"/>
      <c r="M25" s="70"/>
      <c r="N25" s="70"/>
      <c r="O25" s="70"/>
      <c r="P25" s="70"/>
      <c r="Q25" s="70"/>
      <c r="R25" s="70"/>
      <c r="S25" s="70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5">
        <f t="shared" si="2"/>
        <v>0</v>
      </c>
      <c r="AF25" s="48">
        <f>AD25+'SHRINK 2S - 2T'!AD25</f>
        <v>0</v>
      </c>
    </row>
    <row r="26" spans="1:32" ht="21" customHeight="1">
      <c r="A26" s="38">
        <v>14</v>
      </c>
      <c r="B26" s="152"/>
      <c r="C26" s="96" t="s">
        <v>32</v>
      </c>
      <c r="D26" s="66"/>
      <c r="E26" s="66"/>
      <c r="F26" s="68"/>
      <c r="G26" s="68"/>
      <c r="H26" s="68"/>
      <c r="I26" s="68"/>
      <c r="J26" s="68"/>
      <c r="K26" s="68"/>
      <c r="L26" s="68"/>
      <c r="M26" s="70"/>
      <c r="N26" s="70"/>
      <c r="O26" s="70"/>
      <c r="P26" s="70"/>
      <c r="Q26" s="70"/>
      <c r="R26" s="70"/>
      <c r="S26" s="70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5">
        <f t="shared" si="2"/>
        <v>0</v>
      </c>
      <c r="AF26" s="48">
        <f>AD26+'SHRINK 2S - 2T'!AD26</f>
        <v>0</v>
      </c>
    </row>
    <row r="27" spans="1:32" ht="21" customHeight="1">
      <c r="A27" s="38">
        <v>15</v>
      </c>
      <c r="B27" s="152"/>
      <c r="C27" s="96" t="s">
        <v>33</v>
      </c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5">
        <f t="shared" si="2"/>
        <v>0</v>
      </c>
      <c r="AF27" s="48">
        <f>AD27+'SHRINK 2S - 2T'!AD27</f>
        <v>0</v>
      </c>
    </row>
    <row r="28" spans="1:32" ht="21" customHeight="1" thickBot="1">
      <c r="A28" s="40">
        <v>16</v>
      </c>
      <c r="B28" s="162"/>
      <c r="C28" s="99" t="s">
        <v>46</v>
      </c>
      <c r="D28" s="70"/>
      <c r="E28" s="70"/>
      <c r="F28" s="70"/>
      <c r="G28" s="70"/>
      <c r="H28" s="70"/>
      <c r="I28" s="70"/>
      <c r="J28" s="70"/>
      <c r="K28" s="70"/>
      <c r="L28" s="70"/>
      <c r="M28" s="100"/>
      <c r="N28" s="100"/>
      <c r="O28" s="100"/>
      <c r="P28" s="100"/>
      <c r="Q28" s="100"/>
      <c r="R28" s="100"/>
      <c r="S28" s="10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101">
        <f t="shared" si="2"/>
        <v>0</v>
      </c>
      <c r="AF28" s="48">
        <f>AD28+'SHRINK 2S - 2T'!AD28</f>
        <v>0</v>
      </c>
    </row>
    <row r="29" spans="1:32" ht="25.5">
      <c r="A29" s="113">
        <v>17</v>
      </c>
      <c r="B29" s="159" t="s">
        <v>65</v>
      </c>
      <c r="C29" s="112" t="s">
        <v>66</v>
      </c>
      <c r="D29" s="73"/>
      <c r="E29" s="65"/>
      <c r="F29" s="65"/>
      <c r="G29" s="65"/>
      <c r="H29" s="65"/>
      <c r="I29" s="65"/>
      <c r="J29" s="65"/>
      <c r="K29" s="65"/>
      <c r="L29" s="65"/>
      <c r="M29" s="104"/>
      <c r="N29" s="104"/>
      <c r="O29" s="104"/>
      <c r="P29" s="104"/>
      <c r="Q29" s="104"/>
      <c r="R29" s="104"/>
      <c r="S29" s="104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46">
        <f t="shared" si="2"/>
        <v>0</v>
      </c>
      <c r="AF29" s="48">
        <f>AD29+'SHRINK 2S - 2T'!AD29</f>
        <v>0</v>
      </c>
    </row>
    <row r="30" spans="1:32" ht="21" customHeight="1">
      <c r="A30" s="114">
        <v>18</v>
      </c>
      <c r="B30" s="160"/>
      <c r="C30" s="96" t="s">
        <v>63</v>
      </c>
      <c r="D30" s="108"/>
      <c r="E30" s="68"/>
      <c r="F30" s="68"/>
      <c r="G30" s="68"/>
      <c r="H30" s="68"/>
      <c r="I30" s="68"/>
      <c r="J30" s="68"/>
      <c r="K30" s="68"/>
      <c r="L30" s="68"/>
      <c r="M30" s="102"/>
      <c r="N30" s="102"/>
      <c r="O30" s="102"/>
      <c r="P30" s="102"/>
      <c r="Q30" s="102"/>
      <c r="R30" s="102"/>
      <c r="S30" s="102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47">
        <f t="shared" si="2"/>
        <v>0</v>
      </c>
      <c r="AF30" s="48">
        <f>AD30+'SHRINK 2S - 2T'!AD30</f>
        <v>0</v>
      </c>
    </row>
    <row r="31" spans="1:32" ht="21" customHeight="1" thickBot="1">
      <c r="A31" s="107">
        <v>19</v>
      </c>
      <c r="B31" s="161"/>
      <c r="C31" s="98" t="s">
        <v>64</v>
      </c>
      <c r="D31" s="109"/>
      <c r="E31" s="71"/>
      <c r="F31" s="71"/>
      <c r="G31" s="71"/>
      <c r="H31" s="71"/>
      <c r="I31" s="71"/>
      <c r="J31" s="71"/>
      <c r="K31" s="71"/>
      <c r="L31" s="71"/>
      <c r="M31" s="72"/>
      <c r="N31" s="72"/>
      <c r="O31" s="72"/>
      <c r="P31" s="72"/>
      <c r="Q31" s="72"/>
      <c r="R31" s="72"/>
      <c r="S31" s="72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26">
        <f t="shared" si="2"/>
        <v>0</v>
      </c>
      <c r="AF31" s="48">
        <f>AD31+'SHRINK 2S - 2T'!AD31</f>
        <v>0</v>
      </c>
    </row>
    <row r="32" spans="1:32" ht="21" customHeight="1">
      <c r="A32" s="153" t="s">
        <v>3</v>
      </c>
      <c r="B32" s="154"/>
      <c r="C32" s="155"/>
      <c r="D32" s="86">
        <f>SUM(D13:D31)</f>
        <v>0</v>
      </c>
      <c r="E32" s="86">
        <f t="shared" ref="E32:AC32" si="3">SUM(E13:E31)</f>
        <v>0</v>
      </c>
      <c r="F32" s="86">
        <f t="shared" si="3"/>
        <v>0</v>
      </c>
      <c r="G32" s="86">
        <f t="shared" si="3"/>
        <v>0</v>
      </c>
      <c r="H32" s="86">
        <f t="shared" si="3"/>
        <v>0</v>
      </c>
      <c r="I32" s="86">
        <f t="shared" si="3"/>
        <v>0</v>
      </c>
      <c r="J32" s="86">
        <f t="shared" si="3"/>
        <v>0</v>
      </c>
      <c r="K32" s="86">
        <f t="shared" si="3"/>
        <v>0</v>
      </c>
      <c r="L32" s="86">
        <f t="shared" si="3"/>
        <v>0</v>
      </c>
      <c r="M32" s="86">
        <f t="shared" si="3"/>
        <v>0</v>
      </c>
      <c r="N32" s="86">
        <f t="shared" si="3"/>
        <v>0</v>
      </c>
      <c r="O32" s="86">
        <f t="shared" si="3"/>
        <v>0</v>
      </c>
      <c r="P32" s="86">
        <f t="shared" si="3"/>
        <v>0</v>
      </c>
      <c r="Q32" s="86">
        <f t="shared" si="3"/>
        <v>0</v>
      </c>
      <c r="R32" s="86">
        <f t="shared" si="3"/>
        <v>0</v>
      </c>
      <c r="S32" s="86">
        <f t="shared" si="3"/>
        <v>0</v>
      </c>
      <c r="T32" s="86">
        <f t="shared" si="3"/>
        <v>0</v>
      </c>
      <c r="U32" s="86">
        <f t="shared" si="3"/>
        <v>0</v>
      </c>
      <c r="V32" s="86">
        <f t="shared" si="3"/>
        <v>0</v>
      </c>
      <c r="W32" s="86">
        <f t="shared" si="3"/>
        <v>0</v>
      </c>
      <c r="X32" s="86">
        <f t="shared" si="3"/>
        <v>0</v>
      </c>
      <c r="Y32" s="86">
        <f t="shared" si="3"/>
        <v>0</v>
      </c>
      <c r="Z32" s="86">
        <f t="shared" si="3"/>
        <v>0</v>
      </c>
      <c r="AA32" s="86">
        <f t="shared" si="3"/>
        <v>0</v>
      </c>
      <c r="AB32" s="86">
        <f t="shared" si="3"/>
        <v>0</v>
      </c>
      <c r="AC32" s="86">
        <f t="shared" si="3"/>
        <v>0</v>
      </c>
      <c r="AD32" s="39">
        <f>SUM(D32:AC32)</f>
        <v>0</v>
      </c>
      <c r="AF32" s="48">
        <f>AD32+'SHRINK 2S - 2T'!AD32</f>
        <v>0</v>
      </c>
    </row>
    <row r="33" spans="1:30" ht="21" customHeight="1" thickBot="1">
      <c r="A33" s="142" t="s">
        <v>12</v>
      </c>
      <c r="B33" s="143"/>
      <c r="C33" s="144"/>
      <c r="D33" s="51" t="str">
        <f t="shared" ref="D33:AD33" si="4">IF(D4&gt;0,D32/D4*1000000," ")</f>
        <v xml:space="preserve"> </v>
      </c>
      <c r="E33" s="52" t="str">
        <f t="shared" si="4"/>
        <v xml:space="preserve"> </v>
      </c>
      <c r="F33" s="52" t="str">
        <f t="shared" si="4"/>
        <v xml:space="preserve"> </v>
      </c>
      <c r="G33" s="52" t="str">
        <f t="shared" si="4"/>
        <v xml:space="preserve"> </v>
      </c>
      <c r="H33" s="52" t="str">
        <f t="shared" si="4"/>
        <v xml:space="preserve"> </v>
      </c>
      <c r="I33" s="52" t="str">
        <f t="shared" si="4"/>
        <v xml:space="preserve"> </v>
      </c>
      <c r="J33" s="52" t="str">
        <f t="shared" si="4"/>
        <v xml:space="preserve"> </v>
      </c>
      <c r="K33" s="52" t="str">
        <f t="shared" si="4"/>
        <v xml:space="preserve"> </v>
      </c>
      <c r="L33" s="52" t="str">
        <f t="shared" si="4"/>
        <v xml:space="preserve"> </v>
      </c>
      <c r="M33" s="52" t="str">
        <f t="shared" si="4"/>
        <v xml:space="preserve"> </v>
      </c>
      <c r="N33" s="52" t="str">
        <f t="shared" si="4"/>
        <v xml:space="preserve"> </v>
      </c>
      <c r="O33" s="52" t="str">
        <f t="shared" si="4"/>
        <v xml:space="preserve"> </v>
      </c>
      <c r="P33" s="52" t="str">
        <f t="shared" si="4"/>
        <v xml:space="preserve"> </v>
      </c>
      <c r="Q33" s="52" t="str">
        <f t="shared" si="4"/>
        <v xml:space="preserve"> </v>
      </c>
      <c r="R33" s="52" t="str">
        <f t="shared" si="4"/>
        <v xml:space="preserve"> </v>
      </c>
      <c r="S33" s="52" t="str">
        <f t="shared" si="4"/>
        <v xml:space="preserve"> </v>
      </c>
      <c r="T33" s="52" t="str">
        <f t="shared" si="4"/>
        <v xml:space="preserve"> </v>
      </c>
      <c r="U33" s="52" t="str">
        <f t="shared" si="4"/>
        <v xml:space="preserve"> </v>
      </c>
      <c r="V33" s="52" t="str">
        <f t="shared" si="4"/>
        <v xml:space="preserve"> </v>
      </c>
      <c r="W33" s="52" t="str">
        <f t="shared" si="4"/>
        <v xml:space="preserve"> </v>
      </c>
      <c r="X33" s="52" t="str">
        <f t="shared" si="4"/>
        <v xml:space="preserve"> </v>
      </c>
      <c r="Y33" s="52" t="str">
        <f t="shared" si="4"/>
        <v xml:space="preserve"> </v>
      </c>
      <c r="Z33" s="52" t="str">
        <f t="shared" si="4"/>
        <v xml:space="preserve"> </v>
      </c>
      <c r="AA33" s="52" t="str">
        <f t="shared" si="4"/>
        <v xml:space="preserve"> </v>
      </c>
      <c r="AB33" s="52" t="str">
        <f t="shared" si="4"/>
        <v xml:space="preserve"> </v>
      </c>
      <c r="AC33" s="52" t="str">
        <f t="shared" si="4"/>
        <v xml:space="preserve"> </v>
      </c>
      <c r="AD33" s="19" t="str">
        <f t="shared" si="4"/>
        <v xml:space="preserve"> </v>
      </c>
    </row>
    <row r="34" spans="1:30" ht="21" customHeight="1">
      <c r="A34" s="156" t="s">
        <v>41</v>
      </c>
      <c r="B34" s="157"/>
      <c r="C34" s="158"/>
      <c r="D34" s="80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2"/>
    </row>
    <row r="35" spans="1:30" ht="21" customHeight="1" thickBot="1">
      <c r="A35" s="142" t="s">
        <v>40</v>
      </c>
      <c r="B35" s="143"/>
      <c r="C35" s="144"/>
      <c r="D35" s="83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5"/>
    </row>
    <row r="36" spans="1:30" ht="21" customHeight="1">
      <c r="A36" s="44" t="s">
        <v>8</v>
      </c>
      <c r="B36" s="45"/>
      <c r="C36" s="45"/>
      <c r="D36" s="7"/>
      <c r="E36" s="7"/>
      <c r="F36" s="7"/>
      <c r="G36" s="7"/>
      <c r="H36" s="28"/>
      <c r="I36" s="28"/>
      <c r="J36" s="30"/>
      <c r="K36" s="8" t="s">
        <v>10</v>
      </c>
      <c r="L36" s="7"/>
      <c r="M36" s="7"/>
      <c r="N36" s="7"/>
      <c r="O36" s="7"/>
      <c r="P36" s="7"/>
      <c r="Q36" s="7"/>
      <c r="R36" s="7"/>
      <c r="S36" s="7"/>
      <c r="T36" s="7"/>
      <c r="U36" s="8" t="s">
        <v>11</v>
      </c>
      <c r="V36" s="21"/>
      <c r="W36" s="7"/>
      <c r="X36" s="7"/>
      <c r="Y36" s="7"/>
      <c r="Z36" s="7"/>
      <c r="AA36" s="7"/>
      <c r="AB36" s="7"/>
      <c r="AC36" s="9"/>
      <c r="AD36" s="10"/>
    </row>
    <row r="37" spans="1:30" s="16" customFormat="1" ht="21" customHeight="1" thickBot="1">
      <c r="A37" s="11" t="s">
        <v>9</v>
      </c>
      <c r="B37" s="12"/>
      <c r="C37" s="12"/>
      <c r="D37" s="12"/>
      <c r="E37" s="12"/>
      <c r="F37" s="12"/>
      <c r="G37" s="12"/>
      <c r="H37" s="35"/>
      <c r="I37" s="35"/>
      <c r="J37" s="36"/>
      <c r="K37" s="11" t="s">
        <v>9</v>
      </c>
      <c r="L37" s="12"/>
      <c r="M37" s="12"/>
      <c r="N37" s="12"/>
      <c r="O37" s="12"/>
      <c r="P37" s="12"/>
      <c r="Q37" s="12"/>
      <c r="R37" s="12"/>
      <c r="S37" s="12"/>
      <c r="T37" s="12"/>
      <c r="U37" s="11" t="s">
        <v>9</v>
      </c>
      <c r="V37" s="12"/>
      <c r="W37" s="12"/>
      <c r="X37" s="12"/>
      <c r="Y37" s="14"/>
      <c r="Z37" s="15"/>
      <c r="AA37" s="15"/>
      <c r="AB37" s="15"/>
      <c r="AC37" s="14"/>
      <c r="AD37" s="13"/>
    </row>
    <row r="38" spans="1:30">
      <c r="C38" t="s">
        <v>5</v>
      </c>
      <c r="D38" s="17">
        <f>TARGET_4S</f>
        <v>40</v>
      </c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40" spans="1:30">
      <c r="C40" s="6" t="s">
        <v>6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</row>
    <row r="41" spans="1:30" ht="170.1" customHeight="1">
      <c r="C41" s="18" t="s">
        <v>7</v>
      </c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</row>
  </sheetData>
  <sheetProtection algorithmName="SHA-512" hashValue="SAdqNQHXlL2141M3n5B9agl18al6pWLIdKNjk3wzjpyWtPIVA+kYRjT6CaJ5ei5pjeHd13F6D88OKMIS2tZn0Q==" saltValue="qWzjESDHxeoXAD2AZlGvfA==" spinCount="100000" sheet="1" objects="1" scenarios="1" selectLockedCells="1"/>
  <mergeCells count="36">
    <mergeCell ref="AB1:AC1"/>
    <mergeCell ref="A2:C2"/>
    <mergeCell ref="A3:C3"/>
    <mergeCell ref="A4:C4"/>
    <mergeCell ref="D5:D12"/>
    <mergeCell ref="E5:E12"/>
    <mergeCell ref="F5:F12"/>
    <mergeCell ref="G5:G12"/>
    <mergeCell ref="H5:H12"/>
    <mergeCell ref="AC5:AC12"/>
    <mergeCell ref="P5:P12"/>
    <mergeCell ref="Q5:Q12"/>
    <mergeCell ref="R5:R12"/>
    <mergeCell ref="K5:K12"/>
    <mergeCell ref="L5:L12"/>
    <mergeCell ref="S5:S12"/>
    <mergeCell ref="Z5:Z12"/>
    <mergeCell ref="C6:C12"/>
    <mergeCell ref="M5:M12"/>
    <mergeCell ref="N5:N12"/>
    <mergeCell ref="O5:O12"/>
    <mergeCell ref="V5:V12"/>
    <mergeCell ref="W5:W12"/>
    <mergeCell ref="X5:X12"/>
    <mergeCell ref="T5:T12"/>
    <mergeCell ref="U5:U12"/>
    <mergeCell ref="Y5:Y12"/>
    <mergeCell ref="A34:C34"/>
    <mergeCell ref="A35:C35"/>
    <mergeCell ref="A32:C32"/>
    <mergeCell ref="I5:I12"/>
    <mergeCell ref="J5:J12"/>
    <mergeCell ref="B13:B17"/>
    <mergeCell ref="B18:B28"/>
    <mergeCell ref="A33:C33"/>
    <mergeCell ref="B29:B31"/>
  </mergeCells>
  <conditionalFormatting sqref="AD32">
    <cfRule type="cellIs" dxfId="1" priority="1" stopIfTrue="1" operator="notEqual">
      <formula>SUM($D$13:$AC$28)</formula>
    </cfRule>
  </conditionalFormatting>
  <dataValidations count="1">
    <dataValidation type="date" allowBlank="1" showInputMessage="1" showErrorMessage="1" promptTitle="Data:" prompt="Favor digitar uma data válida, pelo menos dia/mês." sqref="D2:AC2" xr:uid="{00000000-0002-0000-0500-000000000000}">
      <formula1>44287</formula1>
      <formula2>44651</formula2>
    </dataValidation>
  </dataValidations>
  <printOptions horizontalCentered="1" gridLines="1" gridLinesSet="0"/>
  <pageMargins left="0.47244094488188981" right="0.31496062992125984" top="0.78740157480314965" bottom="0.39370078740157483" header="0.27559055118110237" footer="0.27559055118110237"/>
  <pageSetup paperSize="9" scale="59" orientation="landscape" r:id="rId1"/>
  <headerFooter alignWithMargins="0">
    <oddFooter xml:space="preserve">&amp;RSJCPIL-R 16-423-03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21</xdr:col>
                    <xdr:colOff>200025</xdr:colOff>
                    <xdr:row>0</xdr:row>
                    <xdr:rowOff>114300</xdr:rowOff>
                  </from>
                  <to>
                    <xdr:col>22</xdr:col>
                    <xdr:colOff>381000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defaultSize="0" autoFill="0" autoLine="0" autoPict="0">
                <anchor moveWithCells="1">
                  <from>
                    <xdr:col>22</xdr:col>
                    <xdr:colOff>180975</xdr:colOff>
                    <xdr:row>0</xdr:row>
                    <xdr:rowOff>104775</xdr:rowOff>
                  </from>
                  <to>
                    <xdr:col>23</xdr:col>
                    <xdr:colOff>47625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autoFill="0" autoLine="0" autoPict="0">
                <anchor moveWithCells="1">
                  <from>
                    <xdr:col>23</xdr:col>
                    <xdr:colOff>47625</xdr:colOff>
                    <xdr:row>0</xdr:row>
                    <xdr:rowOff>114300</xdr:rowOff>
                  </from>
                  <to>
                    <xdr:col>23</xdr:col>
                    <xdr:colOff>352425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0">
    <tabColor theme="4" tint="-0.499984740745262"/>
    <pageSetUpPr fitToPage="1"/>
  </sheetPr>
  <dimension ref="A1:AF41"/>
  <sheetViews>
    <sheetView showZeros="0" zoomScaleNormal="100" workbookViewId="0">
      <selection activeCell="C6" sqref="C6:C12"/>
    </sheetView>
  </sheetViews>
  <sheetFormatPr defaultColWidth="11.42578125" defaultRowHeight="12.75"/>
  <cols>
    <col min="1" max="1" width="3" bestFit="1" customWidth="1"/>
    <col min="2" max="2" width="3.28515625" bestFit="1" customWidth="1"/>
    <col min="3" max="3" width="26.140625" customWidth="1"/>
    <col min="4" max="29" width="6.7109375" customWidth="1"/>
    <col min="30" max="30" width="11.42578125" customWidth="1"/>
    <col min="31" max="31" width="3.28515625" customWidth="1"/>
  </cols>
  <sheetData>
    <row r="1" spans="1:32" ht="32.25" customHeight="1" thickBot="1">
      <c r="E1" s="23" t="str">
        <f>'SHRINK 4S - Dia'!E1</f>
        <v>FALHAS DO ACABAMENTO  UM-4 (SHRINK)</v>
      </c>
      <c r="F1" s="23"/>
      <c r="G1" s="23"/>
      <c r="H1" s="23"/>
      <c r="I1" s="23"/>
      <c r="J1" s="23"/>
      <c r="K1" s="23"/>
      <c r="L1" s="23"/>
      <c r="M1" s="23"/>
      <c r="N1" s="23"/>
      <c r="O1" s="23" t="s">
        <v>42</v>
      </c>
      <c r="P1" s="23"/>
      <c r="Q1" s="23" t="s">
        <v>43</v>
      </c>
      <c r="R1" s="23"/>
      <c r="S1" s="23"/>
      <c r="T1" s="23"/>
      <c r="U1" s="124" t="s">
        <v>90</v>
      </c>
      <c r="V1" s="3"/>
      <c r="W1" s="3"/>
      <c r="Z1" s="88"/>
      <c r="AA1" s="88"/>
      <c r="AB1" s="140" t="s">
        <v>61</v>
      </c>
      <c r="AC1" s="141"/>
      <c r="AD1" s="89" t="str">
        <f ca="1">'SHRINK 2S - Dia'!AD1</f>
        <v>03 / 2022</v>
      </c>
    </row>
    <row r="2" spans="1:32" ht="21" customHeight="1">
      <c r="A2" s="131" t="s">
        <v>0</v>
      </c>
      <c r="B2" s="132"/>
      <c r="C2" s="132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2"/>
      <c r="Y2" s="122"/>
      <c r="Z2" s="123"/>
      <c r="AA2" s="123"/>
      <c r="AB2" s="123"/>
      <c r="AC2" s="123"/>
      <c r="AD2" s="87" t="s">
        <v>4</v>
      </c>
    </row>
    <row r="3" spans="1:32" ht="21" customHeight="1">
      <c r="A3" s="133" t="s">
        <v>1</v>
      </c>
      <c r="B3" s="134"/>
      <c r="C3" s="134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4"/>
    </row>
    <row r="4" spans="1:32" ht="21" customHeight="1" thickBot="1">
      <c r="A4" s="135" t="s">
        <v>2</v>
      </c>
      <c r="B4" s="136"/>
      <c r="C4" s="136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58"/>
      <c r="Y4" s="58"/>
      <c r="Z4" s="58"/>
      <c r="AA4" s="58"/>
      <c r="AB4" s="58"/>
      <c r="AC4" s="25"/>
      <c r="AD4" s="26">
        <f>SUM(D4:AC4)</f>
        <v>0</v>
      </c>
      <c r="AF4" s="62"/>
    </row>
    <row r="5" spans="1:32" ht="30" customHeight="1">
      <c r="A5" s="27"/>
      <c r="B5" s="28"/>
      <c r="C5" s="29" t="s">
        <v>12</v>
      </c>
      <c r="D5" s="128">
        <f>D41</f>
        <v>0</v>
      </c>
      <c r="E5" s="128">
        <f t="shared" ref="E5:AC5" si="0">E41</f>
        <v>0</v>
      </c>
      <c r="F5" s="128">
        <f>F41</f>
        <v>0</v>
      </c>
      <c r="G5" s="128">
        <f t="shared" si="0"/>
        <v>0</v>
      </c>
      <c r="H5" s="128">
        <f t="shared" si="0"/>
        <v>0</v>
      </c>
      <c r="I5" s="128">
        <f>I41</f>
        <v>0</v>
      </c>
      <c r="J5" s="128">
        <f t="shared" si="0"/>
        <v>0</v>
      </c>
      <c r="K5" s="128">
        <f t="shared" si="0"/>
        <v>0</v>
      </c>
      <c r="L5" s="128">
        <f t="shared" si="0"/>
        <v>0</v>
      </c>
      <c r="M5" s="128">
        <f>M41</f>
        <v>0</v>
      </c>
      <c r="N5" s="128">
        <f>N41</f>
        <v>0</v>
      </c>
      <c r="O5" s="137">
        <f t="shared" ref="O5:T5" si="1">O41</f>
        <v>0</v>
      </c>
      <c r="P5" s="137">
        <f t="shared" si="1"/>
        <v>0</v>
      </c>
      <c r="Q5" s="137">
        <f t="shared" si="1"/>
        <v>0</v>
      </c>
      <c r="R5" s="137">
        <f t="shared" si="1"/>
        <v>0</v>
      </c>
      <c r="S5" s="137">
        <f t="shared" si="1"/>
        <v>0</v>
      </c>
      <c r="T5" s="137">
        <f t="shared" si="1"/>
        <v>0</v>
      </c>
      <c r="U5" s="137">
        <f t="shared" si="0"/>
        <v>0</v>
      </c>
      <c r="V5" s="137"/>
      <c r="W5" s="137">
        <f t="shared" si="0"/>
        <v>0</v>
      </c>
      <c r="X5" s="137">
        <f t="shared" si="0"/>
        <v>0</v>
      </c>
      <c r="Y5" s="137">
        <f t="shared" si="0"/>
        <v>0</v>
      </c>
      <c r="Z5" s="137">
        <f t="shared" si="0"/>
        <v>0</v>
      </c>
      <c r="AA5" s="116"/>
      <c r="AB5" s="116"/>
      <c r="AC5" s="137">
        <f t="shared" si="0"/>
        <v>0</v>
      </c>
      <c r="AD5" s="30"/>
    </row>
    <row r="6" spans="1:32" ht="30" customHeight="1">
      <c r="A6" s="31"/>
      <c r="C6" s="145" t="s">
        <v>38</v>
      </c>
      <c r="D6" s="129"/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17"/>
      <c r="AB6" s="117"/>
      <c r="AC6" s="138"/>
      <c r="AD6" s="4"/>
    </row>
    <row r="7" spans="1:32" ht="30" customHeight="1">
      <c r="A7" s="31"/>
      <c r="C7" s="146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17"/>
      <c r="AB7" s="117"/>
      <c r="AC7" s="138"/>
      <c r="AD7" s="4"/>
    </row>
    <row r="8" spans="1:32" ht="30" customHeight="1">
      <c r="A8" s="31"/>
      <c r="C8" s="146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17"/>
      <c r="AB8" s="117"/>
      <c r="AC8" s="138"/>
      <c r="AD8" s="4"/>
    </row>
    <row r="9" spans="1:32" ht="30" customHeight="1">
      <c r="A9" s="31"/>
      <c r="C9" s="146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17"/>
      <c r="AB9" s="117"/>
      <c r="AC9" s="138"/>
      <c r="AD9" s="4"/>
    </row>
    <row r="10" spans="1:32" ht="30" customHeight="1">
      <c r="A10" s="31"/>
      <c r="C10" s="146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17"/>
      <c r="AB10" s="117"/>
      <c r="AC10" s="138"/>
      <c r="AD10" s="4"/>
    </row>
    <row r="11" spans="1:32" ht="30" customHeight="1">
      <c r="A11" s="31"/>
      <c r="C11" s="146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17"/>
      <c r="AB11" s="117"/>
      <c r="AC11" s="138"/>
      <c r="AD11" s="4"/>
    </row>
    <row r="12" spans="1:32" ht="30" customHeight="1" thickBot="1">
      <c r="A12" s="32"/>
      <c r="B12" s="33"/>
      <c r="C12" s="147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9"/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18"/>
      <c r="AB12" s="118"/>
      <c r="AC12" s="139"/>
      <c r="AD12" s="34"/>
    </row>
    <row r="13" spans="1:32" ht="21" customHeight="1">
      <c r="A13" s="37">
        <v>1</v>
      </c>
      <c r="B13" s="148" t="s">
        <v>29</v>
      </c>
      <c r="C13" s="76" t="s">
        <v>34</v>
      </c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46">
        <f t="shared" ref="AD13:AD31" si="2">SUM(D13:AC13)</f>
        <v>0</v>
      </c>
      <c r="AF13" s="48">
        <f>AD13+'SHRINK 2S - 2T'!AD13</f>
        <v>0</v>
      </c>
    </row>
    <row r="14" spans="1:32" ht="21" customHeight="1">
      <c r="A14" s="38">
        <v>2</v>
      </c>
      <c r="B14" s="149"/>
      <c r="C14" s="77" t="s">
        <v>35</v>
      </c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47">
        <f t="shared" si="2"/>
        <v>0</v>
      </c>
      <c r="AF14" s="48">
        <f>AD14+'SHRINK 2S - 2T'!AD14</f>
        <v>0</v>
      </c>
    </row>
    <row r="15" spans="1:32" ht="21" customHeight="1">
      <c r="A15" s="38">
        <v>3</v>
      </c>
      <c r="B15" s="149"/>
      <c r="C15" s="78" t="s">
        <v>36</v>
      </c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47">
        <f t="shared" si="2"/>
        <v>0</v>
      </c>
      <c r="AF15" s="48">
        <f>AD15+'SHRINK 2S - 2T'!AD15</f>
        <v>0</v>
      </c>
    </row>
    <row r="16" spans="1:32" ht="21" customHeight="1">
      <c r="A16" s="38">
        <v>4</v>
      </c>
      <c r="B16" s="149"/>
      <c r="C16" s="78" t="s">
        <v>37</v>
      </c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47">
        <f t="shared" si="2"/>
        <v>0</v>
      </c>
      <c r="AF16" s="48">
        <f>AD16+'SHRINK 2S - 2T'!AD16</f>
        <v>0</v>
      </c>
    </row>
    <row r="17" spans="1:32" ht="21" customHeight="1" thickBot="1">
      <c r="A17" s="43">
        <v>5</v>
      </c>
      <c r="B17" s="149"/>
      <c r="C17" s="79" t="s">
        <v>45</v>
      </c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26">
        <f t="shared" si="2"/>
        <v>0</v>
      </c>
      <c r="AF17" s="48">
        <f>AD17+'SHRINK 2S - 2T'!AD17</f>
        <v>0</v>
      </c>
    </row>
    <row r="18" spans="1:32" ht="21" customHeight="1">
      <c r="A18" s="37">
        <v>6</v>
      </c>
      <c r="B18" s="151" t="s">
        <v>13</v>
      </c>
      <c r="C18" s="95" t="s">
        <v>14</v>
      </c>
      <c r="D18" s="66"/>
      <c r="E18" s="66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22">
        <f t="shared" si="2"/>
        <v>0</v>
      </c>
      <c r="AF18" s="48">
        <f>AD18+'SHRINK 2S - 2T'!AD18</f>
        <v>0</v>
      </c>
    </row>
    <row r="19" spans="1:32" ht="21" customHeight="1">
      <c r="A19" s="38">
        <v>7</v>
      </c>
      <c r="B19" s="152"/>
      <c r="C19" s="96" t="s">
        <v>24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5">
        <f t="shared" si="2"/>
        <v>0</v>
      </c>
      <c r="AF19" s="48">
        <f>AD19+'SHRINK 2S - 2T'!AD19</f>
        <v>0</v>
      </c>
    </row>
    <row r="20" spans="1:32" ht="21" customHeight="1">
      <c r="A20" s="38">
        <v>8</v>
      </c>
      <c r="B20" s="152"/>
      <c r="C20" s="96" t="s">
        <v>25</v>
      </c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5">
        <f t="shared" si="2"/>
        <v>0</v>
      </c>
      <c r="AF20" s="48">
        <f>AD20+'SHRINK 2S - 2T'!AD20</f>
        <v>0</v>
      </c>
    </row>
    <row r="21" spans="1:32" ht="21" customHeight="1">
      <c r="A21" s="38">
        <v>9</v>
      </c>
      <c r="B21" s="152"/>
      <c r="C21" s="96" t="s">
        <v>30</v>
      </c>
      <c r="D21" s="66"/>
      <c r="E21" s="66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5">
        <f t="shared" si="2"/>
        <v>0</v>
      </c>
      <c r="AF21" s="48">
        <f>AD21+'SHRINK 2S - 2T'!AD21</f>
        <v>0</v>
      </c>
    </row>
    <row r="22" spans="1:32" ht="21" customHeight="1">
      <c r="A22" s="38">
        <v>10</v>
      </c>
      <c r="B22" s="152"/>
      <c r="C22" s="96" t="s">
        <v>31</v>
      </c>
      <c r="D22" s="66"/>
      <c r="E22" s="66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5">
        <f t="shared" si="2"/>
        <v>0</v>
      </c>
      <c r="AF22" s="48">
        <f>AD22+'SHRINK 2S - 2T'!AD22</f>
        <v>0</v>
      </c>
    </row>
    <row r="23" spans="1:32" ht="21" customHeight="1">
      <c r="A23" s="64">
        <v>11</v>
      </c>
      <c r="B23" s="152"/>
      <c r="C23" s="96" t="s">
        <v>26</v>
      </c>
      <c r="D23" s="66"/>
      <c r="E23" s="66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5">
        <f t="shared" si="2"/>
        <v>0</v>
      </c>
      <c r="AF23" s="48">
        <f>AD23+'SHRINK 2S - 2T'!AD23</f>
        <v>0</v>
      </c>
    </row>
    <row r="24" spans="1:32" ht="21" customHeight="1">
      <c r="A24" s="63">
        <v>12</v>
      </c>
      <c r="B24" s="152"/>
      <c r="C24" s="97" t="s">
        <v>27</v>
      </c>
      <c r="D24" s="66"/>
      <c r="E24" s="66"/>
      <c r="F24" s="66"/>
      <c r="G24" s="66"/>
      <c r="H24" s="66"/>
      <c r="I24" s="66"/>
      <c r="J24" s="66"/>
      <c r="K24" s="66"/>
      <c r="L24" s="66"/>
      <c r="M24" s="69"/>
      <c r="N24" s="69"/>
      <c r="O24" s="69"/>
      <c r="P24" s="69"/>
      <c r="Q24" s="69"/>
      <c r="R24" s="69"/>
      <c r="S24" s="69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22">
        <f t="shared" si="2"/>
        <v>0</v>
      </c>
      <c r="AF24" s="48">
        <f>AD24+'SHRINK 2S - 2T'!AD24</f>
        <v>0</v>
      </c>
    </row>
    <row r="25" spans="1:32" ht="21" customHeight="1">
      <c r="A25" s="38">
        <v>13</v>
      </c>
      <c r="B25" s="152"/>
      <c r="C25" s="96" t="s">
        <v>28</v>
      </c>
      <c r="D25" s="66"/>
      <c r="E25" s="66"/>
      <c r="F25" s="68"/>
      <c r="G25" s="68"/>
      <c r="H25" s="68"/>
      <c r="I25" s="68"/>
      <c r="J25" s="68"/>
      <c r="K25" s="68"/>
      <c r="L25" s="68"/>
      <c r="M25" s="70"/>
      <c r="N25" s="70"/>
      <c r="O25" s="70"/>
      <c r="P25" s="70"/>
      <c r="Q25" s="70"/>
      <c r="R25" s="70"/>
      <c r="S25" s="70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5">
        <f t="shared" si="2"/>
        <v>0</v>
      </c>
      <c r="AF25" s="48">
        <f>AD25+'SHRINK 2S - 2T'!AD25</f>
        <v>0</v>
      </c>
    </row>
    <row r="26" spans="1:32" ht="21" customHeight="1">
      <c r="A26" s="38">
        <v>14</v>
      </c>
      <c r="B26" s="152"/>
      <c r="C26" s="96" t="s">
        <v>32</v>
      </c>
      <c r="D26" s="66"/>
      <c r="E26" s="66"/>
      <c r="F26" s="68"/>
      <c r="G26" s="68"/>
      <c r="H26" s="68"/>
      <c r="I26" s="68"/>
      <c r="J26" s="68"/>
      <c r="K26" s="68"/>
      <c r="L26" s="68"/>
      <c r="M26" s="70"/>
      <c r="N26" s="70"/>
      <c r="O26" s="70"/>
      <c r="P26" s="70"/>
      <c r="Q26" s="70"/>
      <c r="R26" s="70"/>
      <c r="S26" s="70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5">
        <f t="shared" si="2"/>
        <v>0</v>
      </c>
      <c r="AF26" s="48">
        <f>AD26+'SHRINK 2S - 2T'!AD26</f>
        <v>0</v>
      </c>
    </row>
    <row r="27" spans="1:32" ht="21" customHeight="1">
      <c r="A27" s="38">
        <v>15</v>
      </c>
      <c r="B27" s="152"/>
      <c r="C27" s="96" t="s">
        <v>33</v>
      </c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5">
        <f t="shared" si="2"/>
        <v>0</v>
      </c>
      <c r="AF27" s="48">
        <f>AD27+'SHRINK 2S - 2T'!AD27</f>
        <v>0</v>
      </c>
    </row>
    <row r="28" spans="1:32" ht="21" customHeight="1" thickBot="1">
      <c r="A28" s="40">
        <v>16</v>
      </c>
      <c r="B28" s="162"/>
      <c r="C28" s="99" t="s">
        <v>46</v>
      </c>
      <c r="D28" s="70"/>
      <c r="E28" s="70"/>
      <c r="F28" s="70"/>
      <c r="G28" s="70"/>
      <c r="H28" s="70"/>
      <c r="I28" s="70"/>
      <c r="J28" s="70"/>
      <c r="K28" s="70"/>
      <c r="L28" s="70"/>
      <c r="M28" s="100"/>
      <c r="N28" s="100"/>
      <c r="O28" s="100"/>
      <c r="P28" s="100"/>
      <c r="Q28" s="100"/>
      <c r="R28" s="100"/>
      <c r="S28" s="10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101">
        <f t="shared" si="2"/>
        <v>0</v>
      </c>
      <c r="AF28" s="48">
        <f>AD28+'SHRINK 2S - 2T'!AD28</f>
        <v>0</v>
      </c>
    </row>
    <row r="29" spans="1:32" ht="25.5">
      <c r="A29" s="113">
        <v>17</v>
      </c>
      <c r="B29" s="159" t="s">
        <v>65</v>
      </c>
      <c r="C29" s="112" t="s">
        <v>66</v>
      </c>
      <c r="D29" s="73"/>
      <c r="E29" s="65"/>
      <c r="F29" s="65"/>
      <c r="G29" s="65"/>
      <c r="H29" s="65"/>
      <c r="I29" s="65"/>
      <c r="J29" s="65"/>
      <c r="K29" s="65"/>
      <c r="L29" s="65"/>
      <c r="M29" s="104"/>
      <c r="N29" s="104"/>
      <c r="O29" s="104"/>
      <c r="P29" s="104"/>
      <c r="Q29" s="104"/>
      <c r="R29" s="104"/>
      <c r="S29" s="104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46">
        <f t="shared" si="2"/>
        <v>0</v>
      </c>
      <c r="AF29" s="48">
        <f>AD29+'SHRINK 2S - 2T'!AD29</f>
        <v>0</v>
      </c>
    </row>
    <row r="30" spans="1:32" ht="21" customHeight="1">
      <c r="A30" s="114">
        <v>18</v>
      </c>
      <c r="B30" s="160"/>
      <c r="C30" s="96" t="s">
        <v>63</v>
      </c>
      <c r="D30" s="108"/>
      <c r="E30" s="68"/>
      <c r="F30" s="68"/>
      <c r="G30" s="68"/>
      <c r="H30" s="68"/>
      <c r="I30" s="68"/>
      <c r="J30" s="68"/>
      <c r="K30" s="68"/>
      <c r="L30" s="68"/>
      <c r="M30" s="102"/>
      <c r="N30" s="102"/>
      <c r="O30" s="102"/>
      <c r="P30" s="102"/>
      <c r="Q30" s="102"/>
      <c r="R30" s="102"/>
      <c r="S30" s="102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47">
        <f t="shared" si="2"/>
        <v>0</v>
      </c>
      <c r="AF30" s="48">
        <f>AD30+'SHRINK 2S - 2T'!AD30</f>
        <v>0</v>
      </c>
    </row>
    <row r="31" spans="1:32" ht="21" customHeight="1" thickBot="1">
      <c r="A31" s="107">
        <v>19</v>
      </c>
      <c r="B31" s="161"/>
      <c r="C31" s="98" t="s">
        <v>64</v>
      </c>
      <c r="D31" s="109"/>
      <c r="E31" s="71"/>
      <c r="F31" s="71"/>
      <c r="G31" s="71"/>
      <c r="H31" s="71"/>
      <c r="I31" s="71"/>
      <c r="J31" s="71"/>
      <c r="K31" s="71"/>
      <c r="L31" s="71"/>
      <c r="M31" s="72"/>
      <c r="N31" s="72"/>
      <c r="O31" s="72"/>
      <c r="P31" s="72"/>
      <c r="Q31" s="72"/>
      <c r="R31" s="72"/>
      <c r="S31" s="72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26">
        <f t="shared" si="2"/>
        <v>0</v>
      </c>
      <c r="AF31" s="48">
        <f>AD31+'SHRINK 2S - 2T'!AD31</f>
        <v>0</v>
      </c>
    </row>
    <row r="32" spans="1:32" ht="21" customHeight="1">
      <c r="A32" s="153" t="s">
        <v>3</v>
      </c>
      <c r="B32" s="154"/>
      <c r="C32" s="155"/>
      <c r="D32" s="86">
        <f>SUM(D13:D31)</f>
        <v>0</v>
      </c>
      <c r="E32" s="86">
        <f t="shared" ref="E32:AC32" si="3">SUM(E13:E31)</f>
        <v>0</v>
      </c>
      <c r="F32" s="86">
        <f t="shared" si="3"/>
        <v>0</v>
      </c>
      <c r="G32" s="86">
        <f t="shared" si="3"/>
        <v>0</v>
      </c>
      <c r="H32" s="86">
        <f t="shared" si="3"/>
        <v>0</v>
      </c>
      <c r="I32" s="86">
        <f t="shared" si="3"/>
        <v>0</v>
      </c>
      <c r="J32" s="86">
        <f t="shared" si="3"/>
        <v>0</v>
      </c>
      <c r="K32" s="86">
        <f t="shared" si="3"/>
        <v>0</v>
      </c>
      <c r="L32" s="86">
        <f t="shared" si="3"/>
        <v>0</v>
      </c>
      <c r="M32" s="86">
        <f t="shared" si="3"/>
        <v>0</v>
      </c>
      <c r="N32" s="86">
        <f t="shared" si="3"/>
        <v>0</v>
      </c>
      <c r="O32" s="86">
        <f t="shared" si="3"/>
        <v>0</v>
      </c>
      <c r="P32" s="86">
        <f t="shared" si="3"/>
        <v>0</v>
      </c>
      <c r="Q32" s="86">
        <f t="shared" si="3"/>
        <v>0</v>
      </c>
      <c r="R32" s="86">
        <f t="shared" si="3"/>
        <v>0</v>
      </c>
      <c r="S32" s="86">
        <f t="shared" si="3"/>
        <v>0</v>
      </c>
      <c r="T32" s="86">
        <f t="shared" si="3"/>
        <v>0</v>
      </c>
      <c r="U32" s="86">
        <f t="shared" si="3"/>
        <v>0</v>
      </c>
      <c r="V32" s="86">
        <f t="shared" si="3"/>
        <v>0</v>
      </c>
      <c r="W32" s="86">
        <f t="shared" si="3"/>
        <v>0</v>
      </c>
      <c r="X32" s="86">
        <f t="shared" si="3"/>
        <v>0</v>
      </c>
      <c r="Y32" s="86">
        <f t="shared" si="3"/>
        <v>0</v>
      </c>
      <c r="Z32" s="86">
        <f t="shared" si="3"/>
        <v>0</v>
      </c>
      <c r="AA32" s="86">
        <f t="shared" si="3"/>
        <v>0</v>
      </c>
      <c r="AB32" s="86">
        <f t="shared" si="3"/>
        <v>0</v>
      </c>
      <c r="AC32" s="86">
        <f t="shared" si="3"/>
        <v>0</v>
      </c>
      <c r="AD32" s="39">
        <f>SUM(D32:AC32)</f>
        <v>0</v>
      </c>
      <c r="AF32" s="48">
        <f>AD32+'SHRINK 2S - 2T'!AD32</f>
        <v>0</v>
      </c>
    </row>
    <row r="33" spans="1:30" ht="21" customHeight="1" thickBot="1">
      <c r="A33" s="142" t="s">
        <v>12</v>
      </c>
      <c r="B33" s="143"/>
      <c r="C33" s="144"/>
      <c r="D33" s="51" t="str">
        <f t="shared" ref="D33:AD33" si="4">IF(D4&gt;0,D32/D4*1000000," ")</f>
        <v xml:space="preserve"> </v>
      </c>
      <c r="E33" s="52" t="str">
        <f t="shared" si="4"/>
        <v xml:space="preserve"> </v>
      </c>
      <c r="F33" s="52" t="str">
        <f t="shared" si="4"/>
        <v xml:space="preserve"> </v>
      </c>
      <c r="G33" s="52" t="str">
        <f t="shared" si="4"/>
        <v xml:space="preserve"> </v>
      </c>
      <c r="H33" s="52" t="str">
        <f t="shared" si="4"/>
        <v xml:space="preserve"> </v>
      </c>
      <c r="I33" s="52" t="str">
        <f t="shared" si="4"/>
        <v xml:space="preserve"> </v>
      </c>
      <c r="J33" s="52" t="str">
        <f t="shared" si="4"/>
        <v xml:space="preserve"> </v>
      </c>
      <c r="K33" s="52" t="str">
        <f t="shared" si="4"/>
        <v xml:space="preserve"> </v>
      </c>
      <c r="L33" s="52" t="str">
        <f t="shared" si="4"/>
        <v xml:space="preserve"> </v>
      </c>
      <c r="M33" s="52" t="str">
        <f t="shared" si="4"/>
        <v xml:space="preserve"> </v>
      </c>
      <c r="N33" s="52" t="str">
        <f t="shared" si="4"/>
        <v xml:space="preserve"> </v>
      </c>
      <c r="O33" s="52" t="str">
        <f t="shared" si="4"/>
        <v xml:space="preserve"> </v>
      </c>
      <c r="P33" s="52" t="str">
        <f t="shared" si="4"/>
        <v xml:space="preserve"> </v>
      </c>
      <c r="Q33" s="52" t="str">
        <f t="shared" si="4"/>
        <v xml:space="preserve"> </v>
      </c>
      <c r="R33" s="52" t="str">
        <f t="shared" si="4"/>
        <v xml:space="preserve"> </v>
      </c>
      <c r="S33" s="52" t="str">
        <f t="shared" si="4"/>
        <v xml:space="preserve"> </v>
      </c>
      <c r="T33" s="52" t="str">
        <f t="shared" si="4"/>
        <v xml:space="preserve"> </v>
      </c>
      <c r="U33" s="52" t="str">
        <f t="shared" si="4"/>
        <v xml:space="preserve"> </v>
      </c>
      <c r="V33" s="52" t="str">
        <f t="shared" si="4"/>
        <v xml:space="preserve"> </v>
      </c>
      <c r="W33" s="52" t="str">
        <f t="shared" si="4"/>
        <v xml:space="preserve"> </v>
      </c>
      <c r="X33" s="52" t="str">
        <f t="shared" si="4"/>
        <v xml:space="preserve"> </v>
      </c>
      <c r="Y33" s="52" t="str">
        <f t="shared" si="4"/>
        <v xml:space="preserve"> </v>
      </c>
      <c r="Z33" s="52" t="str">
        <f t="shared" si="4"/>
        <v xml:space="preserve"> </v>
      </c>
      <c r="AA33" s="52" t="str">
        <f t="shared" si="4"/>
        <v xml:space="preserve"> </v>
      </c>
      <c r="AB33" s="52" t="str">
        <f t="shared" si="4"/>
        <v xml:space="preserve"> </v>
      </c>
      <c r="AC33" s="52" t="str">
        <f t="shared" si="4"/>
        <v xml:space="preserve"> </v>
      </c>
      <c r="AD33" s="19" t="str">
        <f t="shared" si="4"/>
        <v xml:space="preserve"> </v>
      </c>
    </row>
    <row r="34" spans="1:30" ht="21" customHeight="1">
      <c r="A34" s="156" t="s">
        <v>41</v>
      </c>
      <c r="B34" s="157"/>
      <c r="C34" s="158"/>
      <c r="D34" s="80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2"/>
    </row>
    <row r="35" spans="1:30" ht="21" customHeight="1" thickBot="1">
      <c r="A35" s="142" t="s">
        <v>40</v>
      </c>
      <c r="B35" s="143"/>
      <c r="C35" s="144"/>
      <c r="D35" s="83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5"/>
    </row>
    <row r="36" spans="1:30" ht="21" customHeight="1">
      <c r="A36" s="44" t="s">
        <v>8</v>
      </c>
      <c r="B36" s="45"/>
      <c r="C36" s="45"/>
      <c r="D36" s="7"/>
      <c r="E36" s="7"/>
      <c r="F36" s="7"/>
      <c r="G36" s="7"/>
      <c r="H36" s="28"/>
      <c r="I36" s="28"/>
      <c r="J36" s="30"/>
      <c r="K36" s="8" t="s">
        <v>10</v>
      </c>
      <c r="L36" s="7"/>
      <c r="M36" s="7"/>
      <c r="N36" s="7"/>
      <c r="O36" s="7"/>
      <c r="P36" s="7"/>
      <c r="Q36" s="7"/>
      <c r="R36" s="7"/>
      <c r="S36" s="7"/>
      <c r="T36" s="7"/>
      <c r="U36" s="8" t="s">
        <v>11</v>
      </c>
      <c r="V36" s="21"/>
      <c r="W36" s="7"/>
      <c r="X36" s="7"/>
      <c r="Y36" s="7"/>
      <c r="Z36" s="7"/>
      <c r="AA36" s="7"/>
      <c r="AB36" s="7"/>
      <c r="AC36" s="9"/>
      <c r="AD36" s="10"/>
    </row>
    <row r="37" spans="1:30" s="16" customFormat="1" ht="21" customHeight="1" thickBot="1">
      <c r="A37" s="11" t="s">
        <v>9</v>
      </c>
      <c r="B37" s="12"/>
      <c r="C37" s="12"/>
      <c r="D37" s="12"/>
      <c r="E37" s="12"/>
      <c r="F37" s="12"/>
      <c r="G37" s="12"/>
      <c r="H37" s="35"/>
      <c r="I37" s="35"/>
      <c r="J37" s="36"/>
      <c r="K37" s="11" t="s">
        <v>9</v>
      </c>
      <c r="L37" s="12"/>
      <c r="M37" s="12"/>
      <c r="N37" s="12"/>
      <c r="O37" s="12"/>
      <c r="P37" s="12"/>
      <c r="Q37" s="12"/>
      <c r="R37" s="12"/>
      <c r="S37" s="12"/>
      <c r="T37" s="12"/>
      <c r="U37" s="11" t="s">
        <v>9</v>
      </c>
      <c r="V37" s="12"/>
      <c r="W37" s="12"/>
      <c r="X37" s="12"/>
      <c r="Y37" s="14"/>
      <c r="Z37" s="15"/>
      <c r="AA37" s="15"/>
      <c r="AB37" s="15"/>
      <c r="AC37" s="14"/>
      <c r="AD37" s="13"/>
    </row>
    <row r="38" spans="1:30">
      <c r="C38" t="s">
        <v>5</v>
      </c>
      <c r="D38" s="17">
        <f>TARGET_4S</f>
        <v>40</v>
      </c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40" spans="1:30">
      <c r="C40" s="6" t="s">
        <v>6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</row>
    <row r="41" spans="1:30" ht="170.1" customHeight="1">
      <c r="C41" s="18" t="s">
        <v>7</v>
      </c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</row>
  </sheetData>
  <sheetProtection algorithmName="SHA-512" hashValue="Op6A2tO7cgdtefET8WjaPuGpjyWNr5OH3CKdVnkDCQe9Wq5PyB5g5q6L9ico4tLiuojGXWtS12i7pTI/ck3Wew==" saltValue="4mXNEPbmYvHCX0EdriMZ/g==" spinCount="100000" sheet="1" objects="1" scenarios="1" selectLockedCells="1"/>
  <mergeCells count="36">
    <mergeCell ref="O5:O12"/>
    <mergeCell ref="AB1:AC1"/>
    <mergeCell ref="A2:C2"/>
    <mergeCell ref="A3:C3"/>
    <mergeCell ref="A4:C4"/>
    <mergeCell ref="D5:D12"/>
    <mergeCell ref="E5:E12"/>
    <mergeCell ref="F5:F12"/>
    <mergeCell ref="G5:G12"/>
    <mergeCell ref="H5:H12"/>
    <mergeCell ref="I5:I12"/>
    <mergeCell ref="J5:J12"/>
    <mergeCell ref="K5:K12"/>
    <mergeCell ref="L5:L12"/>
    <mergeCell ref="M5:M12"/>
    <mergeCell ref="N5:N12"/>
    <mergeCell ref="AC5:AC12"/>
    <mergeCell ref="P5:P12"/>
    <mergeCell ref="Q5:Q12"/>
    <mergeCell ref="R5:R12"/>
    <mergeCell ref="S5:S12"/>
    <mergeCell ref="T5:T12"/>
    <mergeCell ref="U5:U12"/>
    <mergeCell ref="V5:V12"/>
    <mergeCell ref="W5:W12"/>
    <mergeCell ref="X5:X12"/>
    <mergeCell ref="Y5:Y12"/>
    <mergeCell ref="Z5:Z12"/>
    <mergeCell ref="A34:C34"/>
    <mergeCell ref="A35:C35"/>
    <mergeCell ref="C6:C12"/>
    <mergeCell ref="B13:B17"/>
    <mergeCell ref="B18:B28"/>
    <mergeCell ref="B29:B31"/>
    <mergeCell ref="A32:C32"/>
    <mergeCell ref="A33:C33"/>
  </mergeCells>
  <conditionalFormatting sqref="AD32">
    <cfRule type="cellIs" dxfId="0" priority="1" stopIfTrue="1" operator="notEqual">
      <formula>SUM($D$13:$AC$28)</formula>
    </cfRule>
  </conditionalFormatting>
  <dataValidations count="1">
    <dataValidation type="date" allowBlank="1" showInputMessage="1" showErrorMessage="1" promptTitle="Data:" prompt="Favor digitar uma data válida, pelo menos dia/mês." sqref="D2:AC2" xr:uid="{00000000-0002-0000-0600-000000000000}">
      <formula1>44287</formula1>
      <formula2>44651</formula2>
    </dataValidation>
  </dataValidations>
  <printOptions horizontalCentered="1" gridLines="1" gridLinesSet="0"/>
  <pageMargins left="0.47244094488188981" right="0.31496062992125984" top="0.78740157480314965" bottom="0.39370078740157483" header="0.27559055118110237" footer="0.27559055118110237"/>
  <pageSetup paperSize="9" scale="59" orientation="landscape" r:id="rId1"/>
  <headerFooter alignWithMargins="0">
    <oddFooter xml:space="preserve">&amp;RSJCPIL-R 16-423-03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autoFill="0" autoLine="0" autoPict="0">
                <anchor moveWithCells="1">
                  <from>
                    <xdr:col>21</xdr:col>
                    <xdr:colOff>200025</xdr:colOff>
                    <xdr:row>0</xdr:row>
                    <xdr:rowOff>114300</xdr:rowOff>
                  </from>
                  <to>
                    <xdr:col>22</xdr:col>
                    <xdr:colOff>381000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autoFill="0" autoLine="0" autoPict="0">
                <anchor moveWithCells="1">
                  <from>
                    <xdr:col>22</xdr:col>
                    <xdr:colOff>180975</xdr:colOff>
                    <xdr:row>0</xdr:row>
                    <xdr:rowOff>104775</xdr:rowOff>
                  </from>
                  <to>
                    <xdr:col>23</xdr:col>
                    <xdr:colOff>47625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defaultSize="0" autoFill="0" autoLine="0" autoPict="0">
                <anchor moveWithCells="1">
                  <from>
                    <xdr:col>23</xdr:col>
                    <xdr:colOff>47625</xdr:colOff>
                    <xdr:row>0</xdr:row>
                    <xdr:rowOff>114300</xdr:rowOff>
                  </from>
                  <to>
                    <xdr:col>23</xdr:col>
                    <xdr:colOff>352425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2"/>
  <dimension ref="A1:U143"/>
  <sheetViews>
    <sheetView tabSelected="1" topLeftCell="A94" zoomScaleNormal="100" workbookViewId="0">
      <selection activeCell="U126" sqref="U126"/>
    </sheetView>
  </sheetViews>
  <sheetFormatPr defaultRowHeight="12.75"/>
  <cols>
    <col min="2" max="2" width="25.140625" bestFit="1" customWidth="1"/>
    <col min="6" max="6" width="10.140625" bestFit="1" customWidth="1"/>
    <col min="10" max="10" width="24.28515625" bestFit="1" customWidth="1"/>
    <col min="17" max="17" width="14.28515625" bestFit="1" customWidth="1"/>
    <col min="18" max="18" width="13.85546875" bestFit="1" customWidth="1"/>
    <col min="20" max="20" width="12.5703125" customWidth="1"/>
  </cols>
  <sheetData>
    <row r="1" spans="1:21">
      <c r="C1" s="53" t="s">
        <v>44</v>
      </c>
    </row>
    <row r="2" spans="1:21">
      <c r="C2" t="s">
        <v>15</v>
      </c>
      <c r="D2" t="s">
        <v>12</v>
      </c>
      <c r="F2" t="s">
        <v>17</v>
      </c>
      <c r="G2" t="s">
        <v>18</v>
      </c>
      <c r="H2" t="s">
        <v>19</v>
      </c>
    </row>
    <row r="3" spans="1:21" ht="13.5" thickBot="1">
      <c r="C3" s="48">
        <f>PROD_2SD</f>
        <v>0</v>
      </c>
      <c r="D3" s="48"/>
      <c r="K3" t="s">
        <v>47</v>
      </c>
      <c r="L3" t="s">
        <v>48</v>
      </c>
      <c r="M3" t="s">
        <v>49</v>
      </c>
      <c r="N3" t="s">
        <v>50</v>
      </c>
      <c r="O3" t="s">
        <v>51</v>
      </c>
      <c r="Q3" t="s">
        <v>52</v>
      </c>
      <c r="R3" s="49">
        <f>COUNTIF($N$4:$N$19,"&lt;100")+1</f>
        <v>1</v>
      </c>
    </row>
    <row r="4" spans="1:21" ht="12.75" customHeight="1" thickBot="1">
      <c r="A4" s="37">
        <v>1</v>
      </c>
      <c r="B4" s="41" t="str">
        <f>'SHRINK 4S - Dia'!C13</f>
        <v>Pilha deformada</v>
      </c>
      <c r="C4" s="48">
        <f>'SHRINK 2S - Dia'!AD13</f>
        <v>0</v>
      </c>
      <c r="D4" s="48" t="e">
        <f t="shared" ref="D4:D23" si="0">C4/C$3*1000000</f>
        <v>#DIV/0!</v>
      </c>
      <c r="F4" s="48">
        <f>C4*10000+A4</f>
        <v>1</v>
      </c>
      <c r="G4">
        <f>LARGE(F$4:F$22,A4)</f>
        <v>19</v>
      </c>
      <c r="H4">
        <f>MATCH(G4,F$4:F$22,0)</f>
        <v>19</v>
      </c>
      <c r="J4" t="str">
        <f t="shared" ref="J4:J22" si="1">VLOOKUP(H4,A$4:D$22,2,TRUE)</f>
        <v>Outros</v>
      </c>
      <c r="K4" s="49" t="e">
        <f t="shared" ref="K4:K22" si="2">VLOOKUP(H4,A$4:D$22,4,FALSE)</f>
        <v>#DIV/0!</v>
      </c>
      <c r="L4" s="49">
        <f t="shared" ref="L4:L22" si="3">VLOOKUP(H4,A$4:C$22,3,FALSE)</f>
        <v>0</v>
      </c>
      <c r="M4" s="49">
        <f>L4</f>
        <v>0</v>
      </c>
      <c r="N4" s="49" t="e">
        <f t="shared" ref="N4:N22" si="4">M4/$M$22*100</f>
        <v>#DIV/0!</v>
      </c>
      <c r="O4" s="49" t="e">
        <f t="shared" ref="O4:O22" si="5">IF(($D$23&gt;TARGET_2S)*(N4&lt;=80),0,K4)</f>
        <v>#DIV/0!</v>
      </c>
      <c r="Q4" t="s">
        <v>53</v>
      </c>
      <c r="R4" t="str">
        <f ca="1">OFFSET($J$4,0,0,COUNTIF($N$4:$N$22,"&lt;100")+1,1)</f>
        <v>Outros</v>
      </c>
      <c r="T4" t="s">
        <v>55</v>
      </c>
      <c r="U4" t="e">
        <f ca="1">OFFSET($N$4,0,0,COUNTIF($N$4:$N$22,"&lt;100")+1,1)</f>
        <v>#DIV/0!</v>
      </c>
    </row>
    <row r="5" spans="1:21" ht="13.5" thickBot="1">
      <c r="A5" s="38">
        <v>2</v>
      </c>
      <c r="B5" s="41" t="str">
        <f>'SHRINK 4S - Dia'!C14</f>
        <v>PVC Mal impresso</v>
      </c>
      <c r="C5" s="48">
        <f>'SHRINK 2S - Dia'!AD14</f>
        <v>0</v>
      </c>
      <c r="D5" s="48" t="e">
        <f t="shared" si="0"/>
        <v>#DIV/0!</v>
      </c>
      <c r="F5" s="48">
        <f t="shared" ref="F5:F22" si="6">C5*10000+A5</f>
        <v>2</v>
      </c>
      <c r="G5">
        <f t="shared" ref="G5:G22" si="7">LARGE(F$4:F$22,A5)</f>
        <v>18</v>
      </c>
      <c r="H5">
        <f t="shared" ref="H5:H22" si="8">MATCH(G5,F$4:F$22,0)</f>
        <v>18</v>
      </c>
      <c r="J5" t="str">
        <f t="shared" si="1"/>
        <v>Amassada na faca</v>
      </c>
      <c r="K5" s="49" t="e">
        <f t="shared" si="2"/>
        <v>#DIV/0!</v>
      </c>
      <c r="L5" s="49">
        <f t="shared" si="3"/>
        <v>0</v>
      </c>
      <c r="M5" s="49">
        <f>L5+M4</f>
        <v>0</v>
      </c>
      <c r="N5" s="49" t="e">
        <f t="shared" si="4"/>
        <v>#DIV/0!</v>
      </c>
      <c r="O5" s="49" t="e">
        <f t="shared" si="5"/>
        <v>#DIV/0!</v>
      </c>
      <c r="Q5" t="s">
        <v>54</v>
      </c>
      <c r="R5" t="e">
        <f ca="1">OFFSET($K$4,0,0,COUNTIF($N$4:$N$22,"&lt;100")+1,1)</f>
        <v>#DIV/0!</v>
      </c>
      <c r="T5" t="s">
        <v>56</v>
      </c>
      <c r="U5" t="e">
        <f ca="1">OFFSET($O$4,0,0,COUNTIF($N$4:$N$22,"&lt;100")+1,1)</f>
        <v>#DIV/0!</v>
      </c>
    </row>
    <row r="6" spans="1:21" ht="13.5" thickBot="1">
      <c r="A6" s="38">
        <v>3</v>
      </c>
      <c r="B6" s="41" t="str">
        <f>'SHRINK 4S - Dia'!C15</f>
        <v>PVC rasgado</v>
      </c>
      <c r="C6" s="48">
        <f>'SHRINK 2S - Dia'!AD15</f>
        <v>0</v>
      </c>
      <c r="D6" s="48" t="e">
        <f t="shared" si="0"/>
        <v>#DIV/0!</v>
      </c>
      <c r="F6" s="48">
        <f t="shared" si="6"/>
        <v>3</v>
      </c>
      <c r="G6">
        <f t="shared" si="7"/>
        <v>17</v>
      </c>
      <c r="H6">
        <f t="shared" si="8"/>
        <v>17</v>
      </c>
      <c r="J6" t="str">
        <f t="shared" si="1"/>
        <v>Amassada na saída encaixotadeira</v>
      </c>
      <c r="K6" s="49" t="e">
        <f t="shared" si="2"/>
        <v>#DIV/0!</v>
      </c>
      <c r="L6" s="49">
        <f t="shared" si="3"/>
        <v>0</v>
      </c>
      <c r="M6" s="49">
        <f t="shared" ref="M6:M22" si="9">L6+M5</f>
        <v>0</v>
      </c>
      <c r="N6" s="49" t="e">
        <f t="shared" si="4"/>
        <v>#DIV/0!</v>
      </c>
      <c r="O6" s="49" t="e">
        <f t="shared" si="5"/>
        <v>#DIV/0!</v>
      </c>
    </row>
    <row r="7" spans="1:21" ht="13.5" thickBot="1">
      <c r="A7" s="38">
        <v>4</v>
      </c>
      <c r="B7" s="41" t="str">
        <f>'SHRINK 4S - Dia'!C16</f>
        <v>PVC deformado</v>
      </c>
      <c r="C7" s="48">
        <f>'SHRINK 2S - Dia'!AD16</f>
        <v>0</v>
      </c>
      <c r="D7" s="48" t="e">
        <f t="shared" si="0"/>
        <v>#DIV/0!</v>
      </c>
      <c r="F7" s="48">
        <f t="shared" si="6"/>
        <v>4</v>
      </c>
      <c r="G7">
        <f t="shared" si="7"/>
        <v>16</v>
      </c>
      <c r="H7">
        <f t="shared" si="8"/>
        <v>16</v>
      </c>
      <c r="J7" t="str">
        <f t="shared" si="1"/>
        <v>Outros (Montagem)</v>
      </c>
      <c r="K7" s="49" t="e">
        <f t="shared" si="2"/>
        <v>#DIV/0!</v>
      </c>
      <c r="L7" s="49">
        <f t="shared" si="3"/>
        <v>0</v>
      </c>
      <c r="M7" s="49">
        <f t="shared" si="9"/>
        <v>0</v>
      </c>
      <c r="N7" s="49" t="e">
        <f t="shared" si="4"/>
        <v>#DIV/0!</v>
      </c>
      <c r="O7" s="49" t="e">
        <f t="shared" si="5"/>
        <v>#DIV/0!</v>
      </c>
    </row>
    <row r="8" spans="1:21" ht="13.5" thickBot="1">
      <c r="A8" s="38">
        <v>5</v>
      </c>
      <c r="B8" s="41" t="str">
        <f>'SHRINK 4S - Dia'!C17</f>
        <v>Outros (Sleeve)</v>
      </c>
      <c r="C8" s="48">
        <f>'SHRINK 2S - Dia'!AD17</f>
        <v>0</v>
      </c>
      <c r="D8" s="48" t="e">
        <f t="shared" si="0"/>
        <v>#DIV/0!</v>
      </c>
      <c r="F8" s="48">
        <f t="shared" si="6"/>
        <v>5</v>
      </c>
      <c r="G8">
        <f t="shared" si="7"/>
        <v>15</v>
      </c>
      <c r="H8">
        <f t="shared" si="8"/>
        <v>15</v>
      </c>
      <c r="J8" t="str">
        <f t="shared" si="1"/>
        <v>Pilha amassada</v>
      </c>
      <c r="K8" s="49" t="e">
        <f t="shared" si="2"/>
        <v>#DIV/0!</v>
      </c>
      <c r="L8" s="49">
        <f t="shared" si="3"/>
        <v>0</v>
      </c>
      <c r="M8" s="49">
        <f t="shared" si="9"/>
        <v>0</v>
      </c>
      <c r="N8" s="49" t="e">
        <f t="shared" si="4"/>
        <v>#DIV/0!</v>
      </c>
      <c r="O8" s="49" t="e">
        <f t="shared" si="5"/>
        <v>#DIV/0!</v>
      </c>
    </row>
    <row r="9" spans="1:21" ht="12.75" customHeight="1" thickBot="1">
      <c r="A9" s="38">
        <v>6</v>
      </c>
      <c r="B9" s="41" t="str">
        <f>'SHRINK 4S - Dia'!C18</f>
        <v>Sem Cap</v>
      </c>
      <c r="C9" s="48">
        <f>'SHRINK 2S - Dia'!AD18</f>
        <v>0</v>
      </c>
      <c r="D9" s="48" t="e">
        <f t="shared" si="0"/>
        <v>#DIV/0!</v>
      </c>
      <c r="F9" s="48">
        <f t="shared" si="6"/>
        <v>6</v>
      </c>
      <c r="G9">
        <f t="shared" si="7"/>
        <v>14</v>
      </c>
      <c r="H9">
        <f t="shared" si="8"/>
        <v>14</v>
      </c>
      <c r="J9" t="str">
        <f t="shared" si="1"/>
        <v>Tubo de Zinco Trincado</v>
      </c>
      <c r="K9" s="49" t="e">
        <f t="shared" si="2"/>
        <v>#DIV/0!</v>
      </c>
      <c r="L9" s="49">
        <f t="shared" si="3"/>
        <v>0</v>
      </c>
      <c r="M9" s="49">
        <f t="shared" si="9"/>
        <v>0</v>
      </c>
      <c r="N9" s="49" t="e">
        <f t="shared" si="4"/>
        <v>#DIV/0!</v>
      </c>
      <c r="O9" s="49" t="e">
        <f t="shared" si="5"/>
        <v>#DIV/0!</v>
      </c>
    </row>
    <row r="10" spans="1:21" ht="13.5" thickBot="1">
      <c r="A10" s="38">
        <v>7</v>
      </c>
      <c r="B10" s="41" t="str">
        <f>'SHRINK 4S - Dia'!C19</f>
        <v>Cap Amassado / Afundado</v>
      </c>
      <c r="C10" s="48">
        <f>'SHRINK 2S - Dia'!AD19</f>
        <v>0</v>
      </c>
      <c r="D10" s="48" t="e">
        <f t="shared" si="0"/>
        <v>#DIV/0!</v>
      </c>
      <c r="F10" s="48">
        <f t="shared" si="6"/>
        <v>7</v>
      </c>
      <c r="G10">
        <f t="shared" si="7"/>
        <v>13</v>
      </c>
      <c r="H10">
        <f t="shared" si="8"/>
        <v>13</v>
      </c>
      <c r="J10" t="str">
        <f t="shared" si="1"/>
        <v>Fundo sujo</v>
      </c>
      <c r="K10" s="49" t="e">
        <f t="shared" si="2"/>
        <v>#DIV/0!</v>
      </c>
      <c r="L10" s="49">
        <f t="shared" si="3"/>
        <v>0</v>
      </c>
      <c r="M10" s="49">
        <f t="shared" si="9"/>
        <v>0</v>
      </c>
      <c r="N10" s="49" t="e">
        <f t="shared" si="4"/>
        <v>#DIV/0!</v>
      </c>
      <c r="O10" s="49" t="e">
        <f t="shared" si="5"/>
        <v>#DIV/0!</v>
      </c>
    </row>
    <row r="11" spans="1:21" ht="13.5" thickBot="1">
      <c r="A11" s="38">
        <v>8</v>
      </c>
      <c r="B11" s="41" t="str">
        <f>'SHRINK 4S - Dia'!C20</f>
        <v>Cap Rachado</v>
      </c>
      <c r="C11" s="48">
        <f>'SHRINK 2S - Dia'!AD20</f>
        <v>0</v>
      </c>
      <c r="D11" s="48" t="e">
        <f t="shared" si="0"/>
        <v>#DIV/0!</v>
      </c>
      <c r="F11" s="48">
        <f t="shared" si="6"/>
        <v>8</v>
      </c>
      <c r="G11">
        <f t="shared" si="7"/>
        <v>12</v>
      </c>
      <c r="H11">
        <f t="shared" si="8"/>
        <v>12</v>
      </c>
      <c r="J11" t="str">
        <f t="shared" si="1"/>
        <v>Bottom Plate Amassado</v>
      </c>
      <c r="K11" s="49" t="e">
        <f t="shared" si="2"/>
        <v>#DIV/0!</v>
      </c>
      <c r="L11" s="49">
        <f t="shared" si="3"/>
        <v>0</v>
      </c>
      <c r="M11" s="49">
        <f t="shared" si="9"/>
        <v>0</v>
      </c>
      <c r="N11" s="49" t="e">
        <f t="shared" si="4"/>
        <v>#DIV/0!</v>
      </c>
      <c r="O11" s="49" t="e">
        <f t="shared" si="5"/>
        <v>#DIV/0!</v>
      </c>
    </row>
    <row r="12" spans="1:21" ht="13.5" thickBot="1">
      <c r="A12" s="38">
        <v>9</v>
      </c>
      <c r="B12" s="41" t="str">
        <f>'SHRINK 4S - Dia'!C21</f>
        <v>PY Deslocado</v>
      </c>
      <c r="C12" s="48">
        <f>'SHRINK 2S - Dia'!AD21</f>
        <v>0</v>
      </c>
      <c r="D12" s="48" t="e">
        <f t="shared" si="0"/>
        <v>#DIV/0!</v>
      </c>
      <c r="F12" s="48">
        <f t="shared" si="6"/>
        <v>9</v>
      </c>
      <c r="G12">
        <f t="shared" si="7"/>
        <v>11</v>
      </c>
      <c r="H12">
        <f t="shared" si="8"/>
        <v>11</v>
      </c>
      <c r="J12" t="str">
        <f t="shared" si="1"/>
        <v>Sem Bottom Plate</v>
      </c>
      <c r="K12" s="49" t="e">
        <f t="shared" si="2"/>
        <v>#DIV/0!</v>
      </c>
      <c r="L12" s="49">
        <f t="shared" si="3"/>
        <v>0</v>
      </c>
      <c r="M12" s="49">
        <f t="shared" si="9"/>
        <v>0</v>
      </c>
      <c r="N12" s="49" t="e">
        <f t="shared" si="4"/>
        <v>#DIV/0!</v>
      </c>
      <c r="O12" s="49" t="e">
        <f t="shared" si="5"/>
        <v>#DIV/0!</v>
      </c>
    </row>
    <row r="13" spans="1:21" ht="13.5" thickBot="1">
      <c r="A13" s="38">
        <v>10</v>
      </c>
      <c r="B13" s="41" t="str">
        <f>'SHRINK 4S - Dia'!C22</f>
        <v>Sem PY</v>
      </c>
      <c r="C13" s="48">
        <f>'SHRINK 2S - Dia'!AD22</f>
        <v>0</v>
      </c>
      <c r="D13" s="48" t="e">
        <f t="shared" si="0"/>
        <v>#DIV/0!</v>
      </c>
      <c r="F13" s="48">
        <f t="shared" si="6"/>
        <v>10</v>
      </c>
      <c r="G13">
        <f t="shared" si="7"/>
        <v>10</v>
      </c>
      <c r="H13">
        <f t="shared" si="8"/>
        <v>10</v>
      </c>
      <c r="J13" t="str">
        <f t="shared" si="1"/>
        <v>Sem PY</v>
      </c>
      <c r="K13" s="49" t="e">
        <f t="shared" si="2"/>
        <v>#DIV/0!</v>
      </c>
      <c r="L13" s="49">
        <f t="shared" si="3"/>
        <v>0</v>
      </c>
      <c r="M13" s="49">
        <f t="shared" si="9"/>
        <v>0</v>
      </c>
      <c r="N13" s="49" t="e">
        <f t="shared" si="4"/>
        <v>#DIV/0!</v>
      </c>
      <c r="O13" s="49" t="e">
        <f t="shared" si="5"/>
        <v>#DIV/0!</v>
      </c>
    </row>
    <row r="14" spans="1:21" ht="13.5" thickBot="1">
      <c r="A14" s="40">
        <v>11</v>
      </c>
      <c r="B14" s="41" t="str">
        <f>'SHRINK 4S - Dia'!C23</f>
        <v>Sem Bottom Plate</v>
      </c>
      <c r="C14" s="48">
        <f>'SHRINK 2S - Dia'!AD23</f>
        <v>0</v>
      </c>
      <c r="D14" s="48" t="e">
        <f t="shared" si="0"/>
        <v>#DIV/0!</v>
      </c>
      <c r="F14" s="48">
        <f t="shared" si="6"/>
        <v>11</v>
      </c>
      <c r="G14">
        <f t="shared" si="7"/>
        <v>9</v>
      </c>
      <c r="H14">
        <f t="shared" si="8"/>
        <v>9</v>
      </c>
      <c r="J14" t="str">
        <f t="shared" si="1"/>
        <v>PY Deslocado</v>
      </c>
      <c r="K14" s="49" t="e">
        <f t="shared" si="2"/>
        <v>#DIV/0!</v>
      </c>
      <c r="L14" s="49">
        <f t="shared" si="3"/>
        <v>0</v>
      </c>
      <c r="M14" s="49">
        <f t="shared" si="9"/>
        <v>0</v>
      </c>
      <c r="N14" s="49" t="e">
        <f t="shared" si="4"/>
        <v>#DIV/0!</v>
      </c>
      <c r="O14" s="49" t="e">
        <f t="shared" si="5"/>
        <v>#DIV/0!</v>
      </c>
    </row>
    <row r="15" spans="1:21" ht="12.75" customHeight="1" thickBot="1">
      <c r="A15" s="37">
        <v>12</v>
      </c>
      <c r="B15" s="41" t="str">
        <f>'SHRINK 4S - Dia'!C24</f>
        <v>Bottom Plate Amassado</v>
      </c>
      <c r="C15" s="48">
        <f>'SHRINK 2S - Dia'!AD24</f>
        <v>0</v>
      </c>
      <c r="D15" s="48" t="e">
        <f t="shared" si="0"/>
        <v>#DIV/0!</v>
      </c>
      <c r="F15" s="48">
        <f t="shared" si="6"/>
        <v>12</v>
      </c>
      <c r="G15">
        <f t="shared" si="7"/>
        <v>8</v>
      </c>
      <c r="H15">
        <f t="shared" si="8"/>
        <v>8</v>
      </c>
      <c r="J15" t="str">
        <f t="shared" si="1"/>
        <v>Cap Rachado</v>
      </c>
      <c r="K15" s="49" t="e">
        <f t="shared" si="2"/>
        <v>#DIV/0!</v>
      </c>
      <c r="L15" s="49">
        <f t="shared" si="3"/>
        <v>0</v>
      </c>
      <c r="M15" s="49">
        <f t="shared" si="9"/>
        <v>0</v>
      </c>
      <c r="N15" s="49" t="e">
        <f t="shared" si="4"/>
        <v>#DIV/0!</v>
      </c>
      <c r="O15" s="49" t="e">
        <f t="shared" si="5"/>
        <v>#DIV/0!</v>
      </c>
    </row>
    <row r="16" spans="1:21" ht="13.5" thickBot="1">
      <c r="A16" s="38">
        <v>13</v>
      </c>
      <c r="B16" s="41" t="str">
        <f>'SHRINK 4S - Dia'!C25</f>
        <v>Fundo sujo</v>
      </c>
      <c r="C16" s="48">
        <f>'SHRINK 2S - Dia'!AD25</f>
        <v>0</v>
      </c>
      <c r="D16" s="48" t="e">
        <f t="shared" si="0"/>
        <v>#DIV/0!</v>
      </c>
      <c r="F16" s="48">
        <f t="shared" si="6"/>
        <v>13</v>
      </c>
      <c r="G16">
        <f t="shared" si="7"/>
        <v>7</v>
      </c>
      <c r="H16">
        <f t="shared" si="8"/>
        <v>7</v>
      </c>
      <c r="J16" t="str">
        <f t="shared" si="1"/>
        <v>Cap Amassado / Afundado</v>
      </c>
      <c r="K16" s="49" t="e">
        <f t="shared" si="2"/>
        <v>#DIV/0!</v>
      </c>
      <c r="L16" s="49">
        <f t="shared" si="3"/>
        <v>0</v>
      </c>
      <c r="M16" s="49">
        <f t="shared" si="9"/>
        <v>0</v>
      </c>
      <c r="N16" s="49" t="e">
        <f t="shared" si="4"/>
        <v>#DIV/0!</v>
      </c>
      <c r="O16" s="49" t="e">
        <f t="shared" si="5"/>
        <v>#DIV/0!</v>
      </c>
    </row>
    <row r="17" spans="1:21" ht="13.5" thickBot="1">
      <c r="A17" s="38">
        <v>14</v>
      </c>
      <c r="B17" s="41" t="str">
        <f>'SHRINK 4S - Dia'!C26</f>
        <v>Tubo de Zinco Trincado</v>
      </c>
      <c r="C17" s="48">
        <f>'SHRINK 2S - Dia'!AD26</f>
        <v>0</v>
      </c>
      <c r="D17" s="48" t="e">
        <f t="shared" si="0"/>
        <v>#DIV/0!</v>
      </c>
      <c r="F17" s="48">
        <f t="shared" si="6"/>
        <v>14</v>
      </c>
      <c r="G17">
        <f t="shared" si="7"/>
        <v>6</v>
      </c>
      <c r="H17">
        <f t="shared" si="8"/>
        <v>6</v>
      </c>
      <c r="J17" t="str">
        <f t="shared" si="1"/>
        <v>Sem Cap</v>
      </c>
      <c r="K17" s="49" t="e">
        <f t="shared" si="2"/>
        <v>#DIV/0!</v>
      </c>
      <c r="L17" s="49">
        <f t="shared" si="3"/>
        <v>0</v>
      </c>
      <c r="M17" s="49">
        <f t="shared" si="9"/>
        <v>0</v>
      </c>
      <c r="N17" s="49" t="e">
        <f t="shared" si="4"/>
        <v>#DIV/0!</v>
      </c>
      <c r="O17" s="49" t="e">
        <f t="shared" si="5"/>
        <v>#DIV/0!</v>
      </c>
    </row>
    <row r="18" spans="1:21" ht="13.5" thickBot="1">
      <c r="A18" s="38">
        <v>15</v>
      </c>
      <c r="B18" s="41" t="str">
        <f>'SHRINK 4S - Dia'!C27</f>
        <v>Pilha amassada</v>
      </c>
      <c r="C18" s="48">
        <f>'SHRINK 2S - Dia'!AD27</f>
        <v>0</v>
      </c>
      <c r="D18" s="48" t="e">
        <f t="shared" si="0"/>
        <v>#DIV/0!</v>
      </c>
      <c r="F18" s="48">
        <f t="shared" si="6"/>
        <v>15</v>
      </c>
      <c r="G18">
        <f t="shared" si="7"/>
        <v>5</v>
      </c>
      <c r="H18">
        <f t="shared" si="8"/>
        <v>5</v>
      </c>
      <c r="J18" t="str">
        <f t="shared" si="1"/>
        <v>Outros (Sleeve)</v>
      </c>
      <c r="K18" s="49" t="e">
        <f t="shared" si="2"/>
        <v>#DIV/0!</v>
      </c>
      <c r="L18" s="49">
        <f t="shared" si="3"/>
        <v>0</v>
      </c>
      <c r="M18" s="49">
        <f t="shared" si="9"/>
        <v>0</v>
      </c>
      <c r="N18" s="49" t="e">
        <f t="shared" si="4"/>
        <v>#DIV/0!</v>
      </c>
      <c r="O18" s="49" t="e">
        <f t="shared" si="5"/>
        <v>#DIV/0!</v>
      </c>
    </row>
    <row r="19" spans="1:21" ht="13.5" thickBot="1">
      <c r="A19" s="38">
        <v>16</v>
      </c>
      <c r="B19" s="41" t="str">
        <f>'SHRINK 4S - Dia'!C28</f>
        <v>Outros (Montagem)</v>
      </c>
      <c r="C19" s="48">
        <f>'SHRINK 2S - Dia'!AD28</f>
        <v>0</v>
      </c>
      <c r="D19" s="48" t="e">
        <f t="shared" si="0"/>
        <v>#DIV/0!</v>
      </c>
      <c r="F19" s="48">
        <f t="shared" si="6"/>
        <v>16</v>
      </c>
      <c r="G19">
        <f t="shared" si="7"/>
        <v>4</v>
      </c>
      <c r="H19">
        <f t="shared" si="8"/>
        <v>4</v>
      </c>
      <c r="J19" t="str">
        <f t="shared" si="1"/>
        <v>PVC deformado</v>
      </c>
      <c r="K19" s="49" t="e">
        <f t="shared" si="2"/>
        <v>#DIV/0!</v>
      </c>
      <c r="L19" s="49">
        <f t="shared" si="3"/>
        <v>0</v>
      </c>
      <c r="M19" s="49">
        <f t="shared" si="9"/>
        <v>0</v>
      </c>
      <c r="N19" s="49" t="e">
        <f t="shared" si="4"/>
        <v>#DIV/0!</v>
      </c>
      <c r="O19" s="49" t="e">
        <f t="shared" si="5"/>
        <v>#DIV/0!</v>
      </c>
    </row>
    <row r="20" spans="1:21" ht="25.5">
      <c r="A20" s="63">
        <v>17</v>
      </c>
      <c r="B20" s="110" t="s">
        <v>62</v>
      </c>
      <c r="C20" s="48">
        <f>'SHRINK 2S - Dia'!AD29</f>
        <v>0</v>
      </c>
      <c r="D20" s="48" t="e">
        <f t="shared" si="0"/>
        <v>#DIV/0!</v>
      </c>
      <c r="F20" s="48">
        <f t="shared" si="6"/>
        <v>17</v>
      </c>
      <c r="G20">
        <f t="shared" si="7"/>
        <v>3</v>
      </c>
      <c r="H20">
        <f t="shared" si="8"/>
        <v>3</v>
      </c>
      <c r="J20" t="str">
        <f t="shared" si="1"/>
        <v>PVC rasgado</v>
      </c>
      <c r="K20" s="49" t="e">
        <f t="shared" si="2"/>
        <v>#DIV/0!</v>
      </c>
      <c r="L20" s="49">
        <f t="shared" si="3"/>
        <v>0</v>
      </c>
      <c r="M20" s="49">
        <f t="shared" si="9"/>
        <v>0</v>
      </c>
      <c r="N20" s="49" t="e">
        <f t="shared" si="4"/>
        <v>#DIV/0!</v>
      </c>
      <c r="O20" s="49" t="e">
        <f t="shared" si="5"/>
        <v>#DIV/0!</v>
      </c>
    </row>
    <row r="21" spans="1:21">
      <c r="A21" s="63">
        <v>18</v>
      </c>
      <c r="B21" s="78" t="s">
        <v>63</v>
      </c>
      <c r="C21" s="48">
        <f>'SHRINK 2S - Dia'!AD30</f>
        <v>0</v>
      </c>
      <c r="D21" s="48" t="e">
        <f t="shared" si="0"/>
        <v>#DIV/0!</v>
      </c>
      <c r="F21" s="48">
        <f t="shared" si="6"/>
        <v>18</v>
      </c>
      <c r="G21">
        <f t="shared" si="7"/>
        <v>2</v>
      </c>
      <c r="H21">
        <f t="shared" si="8"/>
        <v>2</v>
      </c>
      <c r="J21" t="str">
        <f t="shared" si="1"/>
        <v>PVC Mal impresso</v>
      </c>
      <c r="K21" s="49" t="e">
        <f t="shared" si="2"/>
        <v>#DIV/0!</v>
      </c>
      <c r="L21" s="49">
        <f t="shared" si="3"/>
        <v>0</v>
      </c>
      <c r="M21" s="49">
        <f t="shared" si="9"/>
        <v>0</v>
      </c>
      <c r="N21" s="49" t="e">
        <f t="shared" si="4"/>
        <v>#DIV/0!</v>
      </c>
      <c r="O21" s="49" t="e">
        <f t="shared" si="5"/>
        <v>#DIV/0!</v>
      </c>
    </row>
    <row r="22" spans="1:21" ht="13.5" thickBot="1">
      <c r="A22" s="63">
        <v>19</v>
      </c>
      <c r="B22" s="79" t="s">
        <v>64</v>
      </c>
      <c r="C22" s="48">
        <f>'SHRINK 2S - Dia'!AD31</f>
        <v>0</v>
      </c>
      <c r="D22" s="48" t="e">
        <f t="shared" si="0"/>
        <v>#DIV/0!</v>
      </c>
      <c r="F22" s="48">
        <f t="shared" si="6"/>
        <v>19</v>
      </c>
      <c r="G22">
        <f t="shared" si="7"/>
        <v>1</v>
      </c>
      <c r="H22">
        <f t="shared" si="8"/>
        <v>1</v>
      </c>
      <c r="J22" t="str">
        <f t="shared" si="1"/>
        <v>Pilha deformada</v>
      </c>
      <c r="K22" s="49" t="e">
        <f t="shared" si="2"/>
        <v>#DIV/0!</v>
      </c>
      <c r="L22" s="49">
        <f t="shared" si="3"/>
        <v>0</v>
      </c>
      <c r="M22" s="49">
        <f t="shared" si="9"/>
        <v>0</v>
      </c>
      <c r="N22" s="49" t="e">
        <f t="shared" si="4"/>
        <v>#DIV/0!</v>
      </c>
      <c r="O22" s="49" t="e">
        <f t="shared" si="5"/>
        <v>#DIV/0!</v>
      </c>
    </row>
    <row r="23" spans="1:21">
      <c r="A23" s="156" t="s">
        <v>3</v>
      </c>
      <c r="B23" s="158"/>
      <c r="C23" s="48">
        <f>'SHRINK 2S - Dia'!AD32</f>
        <v>0</v>
      </c>
      <c r="D23" s="48" t="e">
        <f t="shared" si="0"/>
        <v>#DIV/0!</v>
      </c>
      <c r="K23" s="49"/>
    </row>
    <row r="25" spans="1:21">
      <c r="C25" s="53" t="s">
        <v>69</v>
      </c>
    </row>
    <row r="26" spans="1:21">
      <c r="C26" t="s">
        <v>16</v>
      </c>
      <c r="D26" t="s">
        <v>12</v>
      </c>
    </row>
    <row r="27" spans="1:21" ht="13.5" thickBot="1">
      <c r="C27" s="48">
        <f>PROD_2S2T</f>
        <v>0</v>
      </c>
      <c r="Q27" t="s">
        <v>52</v>
      </c>
      <c r="R27" s="49">
        <f>COUNTIF($N$4:$N$19,"&lt;100")+1</f>
        <v>1</v>
      </c>
    </row>
    <row r="28" spans="1:21" ht="12.75" customHeight="1" thickBot="1">
      <c r="A28" s="37">
        <v>1</v>
      </c>
      <c r="B28" s="41" t="str">
        <f>'SHRINK 4S - 2T'!C13</f>
        <v>Pilha deformada</v>
      </c>
      <c r="C28" s="48">
        <f>'SHRINK 2S - 2T'!AD13</f>
        <v>0</v>
      </c>
      <c r="D28" s="48" t="e">
        <f t="shared" ref="D28:D47" si="10">C28/C$27*1000000</f>
        <v>#DIV/0!</v>
      </c>
      <c r="F28" s="48">
        <f>C28*10000+A28</f>
        <v>1</v>
      </c>
      <c r="G28">
        <f>LARGE(F$28:F$46,A28)</f>
        <v>19</v>
      </c>
      <c r="H28">
        <f>MATCH(G28,F$28:F$46,0)</f>
        <v>19</v>
      </c>
      <c r="J28" t="str">
        <f t="shared" ref="J28:J46" si="11">VLOOKUP(H28,A$28:D$46,2,TRUE)</f>
        <v>Outros</v>
      </c>
      <c r="K28" s="49" t="e">
        <f>VLOOKUP(H28,A$28:D$47,4,FALSE)</f>
        <v>#DIV/0!</v>
      </c>
      <c r="L28" s="49">
        <f>VLOOKUP(H28,A$28:C$46,3,FALSE)</f>
        <v>0</v>
      </c>
      <c r="M28" s="49">
        <f>L28</f>
        <v>0</v>
      </c>
      <c r="N28" s="49" t="e">
        <f t="shared" ref="N28:N42" si="12">M28/$M$46*100</f>
        <v>#DIV/0!</v>
      </c>
      <c r="O28" s="49" t="e">
        <f t="shared" ref="O28:O46" si="13">IF(($D$47&gt;TARGET_2S)*(N28&lt;=80),0,K28)</f>
        <v>#DIV/0!</v>
      </c>
      <c r="Q28" s="120" t="s">
        <v>74</v>
      </c>
      <c r="R28" t="str">
        <f ca="1">OFFSET($J$28,0,0,COUNTIF($N$28:$N$46,"&lt;100")+1,1)</f>
        <v>Outros</v>
      </c>
      <c r="T28" s="120" t="s">
        <v>76</v>
      </c>
      <c r="U28" t="e">
        <f ca="1">OFFSET($N$28,0,0,COUNTIF($N$28:$N$46,"&lt;100")+1,1)</f>
        <v>#DIV/0!</v>
      </c>
    </row>
    <row r="29" spans="1:21" ht="13.5" thickBot="1">
      <c r="A29" s="38">
        <v>2</v>
      </c>
      <c r="B29" s="41" t="str">
        <f>'SHRINK 4S - 2T'!C14</f>
        <v>PVC Mal impresso</v>
      </c>
      <c r="C29" s="48">
        <f>'SHRINK 2S - 2T'!AD14</f>
        <v>0</v>
      </c>
      <c r="D29" s="48" t="e">
        <f t="shared" si="10"/>
        <v>#DIV/0!</v>
      </c>
      <c r="F29" s="48">
        <f t="shared" ref="F29:F46" si="14">C29*10000+A29</f>
        <v>2</v>
      </c>
      <c r="G29">
        <f t="shared" ref="G29:G46" si="15">LARGE(F$28:F$46,A29)</f>
        <v>18</v>
      </c>
      <c r="H29">
        <f t="shared" ref="H29:H46" si="16">MATCH(G29,F$28:F$46,0)</f>
        <v>18</v>
      </c>
      <c r="J29" t="str">
        <f t="shared" si="11"/>
        <v>Amassada na faca</v>
      </c>
      <c r="K29" s="49" t="e">
        <f t="shared" ref="K29:K46" si="17">VLOOKUP(H29,A$28:D$47,4,FALSE)</f>
        <v>#DIV/0!</v>
      </c>
      <c r="L29" s="49">
        <f t="shared" ref="L29:L46" si="18">VLOOKUP(H29,A$28:C$46,3,FALSE)</f>
        <v>0</v>
      </c>
      <c r="M29" s="49">
        <f>L29+M28</f>
        <v>0</v>
      </c>
      <c r="N29" s="49" t="e">
        <f t="shared" si="12"/>
        <v>#DIV/0!</v>
      </c>
      <c r="O29" s="49" t="e">
        <f t="shared" si="13"/>
        <v>#DIV/0!</v>
      </c>
      <c r="Q29" s="120" t="s">
        <v>75</v>
      </c>
      <c r="R29" t="e">
        <f ca="1">OFFSET($K$28,0,0,COUNTIF($N$28:$N$46,"&lt;100")+1,1)</f>
        <v>#DIV/0!</v>
      </c>
      <c r="T29" s="120" t="s">
        <v>77</v>
      </c>
      <c r="U29" t="e">
        <f ca="1">OFFSET($O$28,0,0,COUNTIF($N$28:$N$46,"&lt;100")+1,1)</f>
        <v>#DIV/0!</v>
      </c>
    </row>
    <row r="30" spans="1:21" ht="13.5" thickBot="1">
      <c r="A30" s="38">
        <v>3</v>
      </c>
      <c r="B30" s="41" t="str">
        <f>'SHRINK 4S - 2T'!C15</f>
        <v>PVC rasgado</v>
      </c>
      <c r="C30" s="48">
        <f>'SHRINK 2S - 2T'!AD15</f>
        <v>0</v>
      </c>
      <c r="D30" s="48" t="e">
        <f t="shared" si="10"/>
        <v>#DIV/0!</v>
      </c>
      <c r="F30" s="48">
        <f t="shared" si="14"/>
        <v>3</v>
      </c>
      <c r="G30">
        <f t="shared" si="15"/>
        <v>17</v>
      </c>
      <c r="H30">
        <f t="shared" si="16"/>
        <v>17</v>
      </c>
      <c r="J30" t="str">
        <f t="shared" si="11"/>
        <v>Amassada na saída encaixotadeira</v>
      </c>
      <c r="K30" s="49" t="e">
        <f t="shared" si="17"/>
        <v>#DIV/0!</v>
      </c>
      <c r="L30" s="49">
        <f t="shared" si="18"/>
        <v>0</v>
      </c>
      <c r="M30" s="49">
        <f t="shared" ref="M30:M46" si="19">L30+M29</f>
        <v>0</v>
      </c>
      <c r="N30" s="49" t="e">
        <f t="shared" si="12"/>
        <v>#DIV/0!</v>
      </c>
      <c r="O30" s="49" t="e">
        <f t="shared" si="13"/>
        <v>#DIV/0!</v>
      </c>
    </row>
    <row r="31" spans="1:21" ht="13.5" thickBot="1">
      <c r="A31" s="38">
        <v>4</v>
      </c>
      <c r="B31" s="41" t="str">
        <f>'SHRINK 4S - 2T'!C16</f>
        <v>PVC deformado</v>
      </c>
      <c r="C31" s="48">
        <f>'SHRINK 2S - 2T'!AD16</f>
        <v>0</v>
      </c>
      <c r="D31" s="48" t="e">
        <f t="shared" si="10"/>
        <v>#DIV/0!</v>
      </c>
      <c r="F31" s="48">
        <f t="shared" si="14"/>
        <v>4</v>
      </c>
      <c r="G31">
        <f t="shared" si="15"/>
        <v>16</v>
      </c>
      <c r="H31">
        <f t="shared" si="16"/>
        <v>16</v>
      </c>
      <c r="J31" t="str">
        <f t="shared" si="11"/>
        <v>Outros (Montagem)</v>
      </c>
      <c r="K31" s="49" t="e">
        <f t="shared" si="17"/>
        <v>#DIV/0!</v>
      </c>
      <c r="L31" s="49">
        <f t="shared" si="18"/>
        <v>0</v>
      </c>
      <c r="M31" s="49">
        <f t="shared" si="19"/>
        <v>0</v>
      </c>
      <c r="N31" s="49" t="e">
        <f t="shared" si="12"/>
        <v>#DIV/0!</v>
      </c>
      <c r="O31" s="49" t="e">
        <f t="shared" si="13"/>
        <v>#DIV/0!</v>
      </c>
    </row>
    <row r="32" spans="1:21" ht="13.5" thickBot="1">
      <c r="A32" s="38">
        <v>5</v>
      </c>
      <c r="B32" s="41" t="str">
        <f>'SHRINK 4S - 2T'!C17</f>
        <v>Outros (Sleeve)</v>
      </c>
      <c r="C32" s="48">
        <f>'SHRINK 2S - 2T'!AD17</f>
        <v>0</v>
      </c>
      <c r="D32" s="48" t="e">
        <f t="shared" si="10"/>
        <v>#DIV/0!</v>
      </c>
      <c r="F32" s="48">
        <f t="shared" si="14"/>
        <v>5</v>
      </c>
      <c r="G32">
        <f t="shared" si="15"/>
        <v>15</v>
      </c>
      <c r="H32">
        <f t="shared" si="16"/>
        <v>15</v>
      </c>
      <c r="J32" t="str">
        <f t="shared" si="11"/>
        <v>Pilha amassada</v>
      </c>
      <c r="K32" s="49" t="e">
        <f t="shared" si="17"/>
        <v>#DIV/0!</v>
      </c>
      <c r="L32" s="49">
        <f t="shared" si="18"/>
        <v>0</v>
      </c>
      <c r="M32" s="49">
        <f t="shared" si="19"/>
        <v>0</v>
      </c>
      <c r="N32" s="49" t="e">
        <f t="shared" si="12"/>
        <v>#DIV/0!</v>
      </c>
      <c r="O32" s="49" t="e">
        <f t="shared" si="13"/>
        <v>#DIV/0!</v>
      </c>
    </row>
    <row r="33" spans="1:15" ht="12.75" customHeight="1" thickBot="1">
      <c r="A33" s="38">
        <v>6</v>
      </c>
      <c r="B33" s="41" t="str">
        <f>'SHRINK 4S - 2T'!C18</f>
        <v>Sem Cap</v>
      </c>
      <c r="C33" s="48">
        <f>'SHRINK 2S - 2T'!AD18</f>
        <v>0</v>
      </c>
      <c r="D33" s="48" t="e">
        <f t="shared" si="10"/>
        <v>#DIV/0!</v>
      </c>
      <c r="F33" s="48">
        <f t="shared" si="14"/>
        <v>6</v>
      </c>
      <c r="G33">
        <f t="shared" si="15"/>
        <v>14</v>
      </c>
      <c r="H33">
        <f t="shared" si="16"/>
        <v>14</v>
      </c>
      <c r="J33" t="str">
        <f t="shared" si="11"/>
        <v>Tubo de Zinco Trincado</v>
      </c>
      <c r="K33" s="49" t="e">
        <f t="shared" si="17"/>
        <v>#DIV/0!</v>
      </c>
      <c r="L33" s="49">
        <f t="shared" si="18"/>
        <v>0</v>
      </c>
      <c r="M33" s="49">
        <f t="shared" si="19"/>
        <v>0</v>
      </c>
      <c r="N33" s="49" t="e">
        <f t="shared" si="12"/>
        <v>#DIV/0!</v>
      </c>
      <c r="O33" s="49" t="e">
        <f t="shared" si="13"/>
        <v>#DIV/0!</v>
      </c>
    </row>
    <row r="34" spans="1:15" ht="13.5" thickBot="1">
      <c r="A34" s="38">
        <v>7</v>
      </c>
      <c r="B34" s="41" t="str">
        <f>'SHRINK 4S - 2T'!C19</f>
        <v>Cap Amassado / Afundado</v>
      </c>
      <c r="C34" s="48">
        <f>'SHRINK 2S - 2T'!AD19</f>
        <v>0</v>
      </c>
      <c r="D34" s="48" t="e">
        <f t="shared" si="10"/>
        <v>#DIV/0!</v>
      </c>
      <c r="F34" s="48">
        <f t="shared" si="14"/>
        <v>7</v>
      </c>
      <c r="G34">
        <f t="shared" si="15"/>
        <v>13</v>
      </c>
      <c r="H34">
        <f t="shared" si="16"/>
        <v>13</v>
      </c>
      <c r="J34" t="str">
        <f t="shared" si="11"/>
        <v>Fundo sujo</v>
      </c>
      <c r="K34" s="49" t="e">
        <f t="shared" si="17"/>
        <v>#DIV/0!</v>
      </c>
      <c r="L34" s="49">
        <f t="shared" si="18"/>
        <v>0</v>
      </c>
      <c r="M34" s="49">
        <f t="shared" si="19"/>
        <v>0</v>
      </c>
      <c r="N34" s="49" t="e">
        <f t="shared" si="12"/>
        <v>#DIV/0!</v>
      </c>
      <c r="O34" s="49" t="e">
        <f t="shared" si="13"/>
        <v>#DIV/0!</v>
      </c>
    </row>
    <row r="35" spans="1:15" ht="13.5" thickBot="1">
      <c r="A35" s="38">
        <v>8</v>
      </c>
      <c r="B35" s="41" t="str">
        <f>'SHRINK 4S - 2T'!C20</f>
        <v>Cap Rachado</v>
      </c>
      <c r="C35" s="48">
        <f>'SHRINK 2S - 2T'!AD20</f>
        <v>0</v>
      </c>
      <c r="D35" s="48" t="e">
        <f t="shared" si="10"/>
        <v>#DIV/0!</v>
      </c>
      <c r="F35" s="48">
        <f t="shared" si="14"/>
        <v>8</v>
      </c>
      <c r="G35">
        <f t="shared" si="15"/>
        <v>12</v>
      </c>
      <c r="H35">
        <f t="shared" si="16"/>
        <v>12</v>
      </c>
      <c r="J35" t="str">
        <f t="shared" si="11"/>
        <v>Bottom Plate Amassado</v>
      </c>
      <c r="K35" s="49" t="e">
        <f t="shared" si="17"/>
        <v>#DIV/0!</v>
      </c>
      <c r="L35" s="49">
        <f t="shared" si="18"/>
        <v>0</v>
      </c>
      <c r="M35" s="49">
        <f t="shared" si="19"/>
        <v>0</v>
      </c>
      <c r="N35" s="49" t="e">
        <f t="shared" si="12"/>
        <v>#DIV/0!</v>
      </c>
      <c r="O35" s="49" t="e">
        <f t="shared" si="13"/>
        <v>#DIV/0!</v>
      </c>
    </row>
    <row r="36" spans="1:15" ht="13.5" thickBot="1">
      <c r="A36" s="38">
        <v>9</v>
      </c>
      <c r="B36" s="41" t="str">
        <f>'SHRINK 4S - 2T'!C21</f>
        <v>PY Deslocado</v>
      </c>
      <c r="C36" s="48">
        <f>'SHRINK 2S - 2T'!AD21</f>
        <v>0</v>
      </c>
      <c r="D36" s="48" t="e">
        <f t="shared" si="10"/>
        <v>#DIV/0!</v>
      </c>
      <c r="F36" s="48">
        <f t="shared" si="14"/>
        <v>9</v>
      </c>
      <c r="G36">
        <f t="shared" si="15"/>
        <v>11</v>
      </c>
      <c r="H36">
        <f t="shared" si="16"/>
        <v>11</v>
      </c>
      <c r="J36" t="str">
        <f t="shared" si="11"/>
        <v>Sem Bottom Plate</v>
      </c>
      <c r="K36" s="49" t="e">
        <f t="shared" si="17"/>
        <v>#DIV/0!</v>
      </c>
      <c r="L36" s="49">
        <f t="shared" si="18"/>
        <v>0</v>
      </c>
      <c r="M36" s="49">
        <f t="shared" si="19"/>
        <v>0</v>
      </c>
      <c r="N36" s="49" t="e">
        <f t="shared" si="12"/>
        <v>#DIV/0!</v>
      </c>
      <c r="O36" s="49" t="e">
        <f t="shared" si="13"/>
        <v>#DIV/0!</v>
      </c>
    </row>
    <row r="37" spans="1:15" ht="13.5" thickBot="1">
      <c r="A37" s="38">
        <v>10</v>
      </c>
      <c r="B37" s="41" t="str">
        <f>'SHRINK 4S - 2T'!C22</f>
        <v>Sem PY</v>
      </c>
      <c r="C37" s="48">
        <f>'SHRINK 2S - 2T'!AD22</f>
        <v>0</v>
      </c>
      <c r="D37" s="48" t="e">
        <f t="shared" si="10"/>
        <v>#DIV/0!</v>
      </c>
      <c r="F37" s="48">
        <f t="shared" si="14"/>
        <v>10</v>
      </c>
      <c r="G37">
        <f t="shared" si="15"/>
        <v>10</v>
      </c>
      <c r="H37">
        <f t="shared" si="16"/>
        <v>10</v>
      </c>
      <c r="J37" t="str">
        <f t="shared" si="11"/>
        <v>Sem PY</v>
      </c>
      <c r="K37" s="49" t="e">
        <f t="shared" si="17"/>
        <v>#DIV/0!</v>
      </c>
      <c r="L37" s="49">
        <f t="shared" si="18"/>
        <v>0</v>
      </c>
      <c r="M37" s="49">
        <f t="shared" si="19"/>
        <v>0</v>
      </c>
      <c r="N37" s="49" t="e">
        <f t="shared" si="12"/>
        <v>#DIV/0!</v>
      </c>
      <c r="O37" s="49" t="e">
        <f t="shared" si="13"/>
        <v>#DIV/0!</v>
      </c>
    </row>
    <row r="38" spans="1:15" ht="13.5" thickBot="1">
      <c r="A38" s="40">
        <v>11</v>
      </c>
      <c r="B38" s="41" t="str">
        <f>'SHRINK 4S - 2T'!C23</f>
        <v>Sem Bottom Plate</v>
      </c>
      <c r="C38" s="48">
        <f>'SHRINK 2S - 2T'!AD23</f>
        <v>0</v>
      </c>
      <c r="D38" s="48" t="e">
        <f t="shared" si="10"/>
        <v>#DIV/0!</v>
      </c>
      <c r="F38" s="48">
        <f t="shared" si="14"/>
        <v>11</v>
      </c>
      <c r="G38">
        <f t="shared" si="15"/>
        <v>9</v>
      </c>
      <c r="H38">
        <f t="shared" si="16"/>
        <v>9</v>
      </c>
      <c r="J38" t="str">
        <f t="shared" si="11"/>
        <v>PY Deslocado</v>
      </c>
      <c r="K38" s="49" t="e">
        <f t="shared" si="17"/>
        <v>#DIV/0!</v>
      </c>
      <c r="L38" s="49">
        <f t="shared" si="18"/>
        <v>0</v>
      </c>
      <c r="M38" s="49">
        <f t="shared" si="19"/>
        <v>0</v>
      </c>
      <c r="N38" s="49" t="e">
        <f t="shared" si="12"/>
        <v>#DIV/0!</v>
      </c>
      <c r="O38" s="49" t="e">
        <f t="shared" si="13"/>
        <v>#DIV/0!</v>
      </c>
    </row>
    <row r="39" spans="1:15" ht="12.75" customHeight="1" thickBot="1">
      <c r="A39" s="37">
        <v>12</v>
      </c>
      <c r="B39" s="41" t="str">
        <f>'SHRINK 4S - 2T'!C24</f>
        <v>Bottom Plate Amassado</v>
      </c>
      <c r="C39" s="48">
        <f>'SHRINK 2S - 2T'!AD24</f>
        <v>0</v>
      </c>
      <c r="D39" s="48" t="e">
        <f t="shared" si="10"/>
        <v>#DIV/0!</v>
      </c>
      <c r="F39" s="48">
        <f t="shared" si="14"/>
        <v>12</v>
      </c>
      <c r="G39">
        <f t="shared" si="15"/>
        <v>8</v>
      </c>
      <c r="H39">
        <f t="shared" si="16"/>
        <v>8</v>
      </c>
      <c r="J39" t="str">
        <f t="shared" si="11"/>
        <v>Cap Rachado</v>
      </c>
      <c r="K39" s="49" t="e">
        <f t="shared" si="17"/>
        <v>#DIV/0!</v>
      </c>
      <c r="L39" s="49">
        <f t="shared" si="18"/>
        <v>0</v>
      </c>
      <c r="M39" s="49">
        <f t="shared" si="19"/>
        <v>0</v>
      </c>
      <c r="N39" s="49" t="e">
        <f t="shared" si="12"/>
        <v>#DIV/0!</v>
      </c>
      <c r="O39" s="49" t="e">
        <f t="shared" si="13"/>
        <v>#DIV/0!</v>
      </c>
    </row>
    <row r="40" spans="1:15" ht="13.5" thickBot="1">
      <c r="A40" s="38">
        <v>13</v>
      </c>
      <c r="B40" s="41" t="str">
        <f>'SHRINK 4S - 2T'!C25</f>
        <v>Fundo sujo</v>
      </c>
      <c r="C40" s="48">
        <f>'SHRINK 2S - 2T'!AD25</f>
        <v>0</v>
      </c>
      <c r="D40" s="48" t="e">
        <f t="shared" si="10"/>
        <v>#DIV/0!</v>
      </c>
      <c r="F40" s="48">
        <f t="shared" si="14"/>
        <v>13</v>
      </c>
      <c r="G40">
        <f t="shared" si="15"/>
        <v>7</v>
      </c>
      <c r="H40">
        <f t="shared" si="16"/>
        <v>7</v>
      </c>
      <c r="J40" t="str">
        <f t="shared" si="11"/>
        <v>Cap Amassado / Afundado</v>
      </c>
      <c r="K40" s="49" t="e">
        <f t="shared" si="17"/>
        <v>#DIV/0!</v>
      </c>
      <c r="L40" s="49">
        <f t="shared" si="18"/>
        <v>0</v>
      </c>
      <c r="M40" s="49">
        <f t="shared" si="19"/>
        <v>0</v>
      </c>
      <c r="N40" s="49" t="e">
        <f t="shared" si="12"/>
        <v>#DIV/0!</v>
      </c>
      <c r="O40" s="49" t="e">
        <f t="shared" si="13"/>
        <v>#DIV/0!</v>
      </c>
    </row>
    <row r="41" spans="1:15" ht="13.5" thickBot="1">
      <c r="A41" s="38">
        <v>14</v>
      </c>
      <c r="B41" s="41" t="str">
        <f>'SHRINK 4S - 2T'!C26</f>
        <v>Tubo de Zinco Trincado</v>
      </c>
      <c r="C41" s="48">
        <f>'SHRINK 2S - 2T'!AD26</f>
        <v>0</v>
      </c>
      <c r="D41" s="48" t="e">
        <f t="shared" si="10"/>
        <v>#DIV/0!</v>
      </c>
      <c r="F41" s="48">
        <f t="shared" si="14"/>
        <v>14</v>
      </c>
      <c r="G41">
        <f t="shared" si="15"/>
        <v>6</v>
      </c>
      <c r="H41">
        <f t="shared" si="16"/>
        <v>6</v>
      </c>
      <c r="J41" t="str">
        <f t="shared" si="11"/>
        <v>Sem Cap</v>
      </c>
      <c r="K41" s="49" t="e">
        <f t="shared" si="17"/>
        <v>#DIV/0!</v>
      </c>
      <c r="L41" s="49">
        <f t="shared" si="18"/>
        <v>0</v>
      </c>
      <c r="M41" s="49">
        <f t="shared" si="19"/>
        <v>0</v>
      </c>
      <c r="N41" s="49" t="e">
        <f t="shared" si="12"/>
        <v>#DIV/0!</v>
      </c>
      <c r="O41" s="49" t="e">
        <f t="shared" si="13"/>
        <v>#DIV/0!</v>
      </c>
    </row>
    <row r="42" spans="1:15" ht="13.5" thickBot="1">
      <c r="A42" s="38">
        <v>15</v>
      </c>
      <c r="B42" s="41" t="str">
        <f>'SHRINK 4S - 2T'!C27</f>
        <v>Pilha amassada</v>
      </c>
      <c r="C42" s="48">
        <f>'SHRINK 2S - 2T'!AD27</f>
        <v>0</v>
      </c>
      <c r="D42" s="48" t="e">
        <f t="shared" si="10"/>
        <v>#DIV/0!</v>
      </c>
      <c r="F42" s="48">
        <f t="shared" si="14"/>
        <v>15</v>
      </c>
      <c r="G42">
        <f t="shared" si="15"/>
        <v>5</v>
      </c>
      <c r="H42">
        <f t="shared" si="16"/>
        <v>5</v>
      </c>
      <c r="J42" t="str">
        <f t="shared" si="11"/>
        <v>Outros (Sleeve)</v>
      </c>
      <c r="K42" s="49" t="e">
        <f t="shared" si="17"/>
        <v>#DIV/0!</v>
      </c>
      <c r="L42" s="49">
        <f t="shared" si="18"/>
        <v>0</v>
      </c>
      <c r="M42" s="49">
        <f t="shared" si="19"/>
        <v>0</v>
      </c>
      <c r="N42" s="49" t="e">
        <f t="shared" si="12"/>
        <v>#DIV/0!</v>
      </c>
      <c r="O42" s="49" t="e">
        <f t="shared" si="13"/>
        <v>#DIV/0!</v>
      </c>
    </row>
    <row r="43" spans="1:15" ht="13.5" thickBot="1">
      <c r="A43" s="38">
        <v>16</v>
      </c>
      <c r="B43" s="41" t="str">
        <f>'SHRINK 4S - 2T'!C28</f>
        <v>Outros (Montagem)</v>
      </c>
      <c r="C43" s="48">
        <f>'SHRINK 2S - 2T'!AD28</f>
        <v>0</v>
      </c>
      <c r="D43" s="48" t="e">
        <f t="shared" si="10"/>
        <v>#DIV/0!</v>
      </c>
      <c r="F43" s="48">
        <f t="shared" si="14"/>
        <v>16</v>
      </c>
      <c r="G43">
        <f t="shared" si="15"/>
        <v>4</v>
      </c>
      <c r="H43">
        <f t="shared" si="16"/>
        <v>4</v>
      </c>
      <c r="J43" t="str">
        <f t="shared" si="11"/>
        <v>PVC deformado</v>
      </c>
      <c r="K43" s="49" t="e">
        <f t="shared" si="17"/>
        <v>#DIV/0!</v>
      </c>
      <c r="L43" s="49">
        <f t="shared" si="18"/>
        <v>0</v>
      </c>
      <c r="M43" s="49">
        <f t="shared" si="19"/>
        <v>0</v>
      </c>
      <c r="N43" s="49" t="e">
        <f>M46/$M$46*100</f>
        <v>#DIV/0!</v>
      </c>
      <c r="O43" s="49" t="e">
        <f t="shared" si="13"/>
        <v>#DIV/0!</v>
      </c>
    </row>
    <row r="44" spans="1:15" ht="25.5">
      <c r="A44" s="63">
        <v>17</v>
      </c>
      <c r="B44" s="110" t="s">
        <v>62</v>
      </c>
      <c r="C44" s="48">
        <f>'SHRINK 2S - 2T'!AD29</f>
        <v>0</v>
      </c>
      <c r="D44" s="48" t="e">
        <f t="shared" ref="D44:D46" si="20">C44/C$27*1000000</f>
        <v>#DIV/0!</v>
      </c>
      <c r="F44" s="48">
        <f t="shared" si="14"/>
        <v>17</v>
      </c>
      <c r="G44">
        <f t="shared" si="15"/>
        <v>3</v>
      </c>
      <c r="H44">
        <f t="shared" si="16"/>
        <v>3</v>
      </c>
      <c r="J44" t="str">
        <f t="shared" si="11"/>
        <v>PVC rasgado</v>
      </c>
      <c r="K44" s="49" t="e">
        <f t="shared" si="17"/>
        <v>#DIV/0!</v>
      </c>
      <c r="L44" s="49">
        <f t="shared" si="18"/>
        <v>0</v>
      </c>
      <c r="M44" s="49">
        <f t="shared" si="19"/>
        <v>0</v>
      </c>
      <c r="N44" s="49" t="e">
        <f>M47/$M$46*100</f>
        <v>#DIV/0!</v>
      </c>
      <c r="O44" s="49" t="e">
        <f t="shared" si="13"/>
        <v>#DIV/0!</v>
      </c>
    </row>
    <row r="45" spans="1:15">
      <c r="A45" s="63">
        <v>18</v>
      </c>
      <c r="B45" s="78" t="s">
        <v>63</v>
      </c>
      <c r="C45" s="48">
        <f>'SHRINK 2S - 2T'!AD30</f>
        <v>0</v>
      </c>
      <c r="D45" s="48" t="e">
        <f t="shared" si="20"/>
        <v>#DIV/0!</v>
      </c>
      <c r="F45" s="48">
        <f t="shared" si="14"/>
        <v>18</v>
      </c>
      <c r="G45">
        <f t="shared" si="15"/>
        <v>2</v>
      </c>
      <c r="H45">
        <f t="shared" si="16"/>
        <v>2</v>
      </c>
      <c r="J45" t="str">
        <f t="shared" si="11"/>
        <v>PVC Mal impresso</v>
      </c>
      <c r="K45" s="49" t="e">
        <f t="shared" si="17"/>
        <v>#DIV/0!</v>
      </c>
      <c r="L45" s="49">
        <f t="shared" si="18"/>
        <v>0</v>
      </c>
      <c r="M45" s="49">
        <f t="shared" si="19"/>
        <v>0</v>
      </c>
      <c r="N45" s="49" t="e">
        <f>M48/$M$46*100</f>
        <v>#DIV/0!</v>
      </c>
      <c r="O45" s="49" t="e">
        <f t="shared" si="13"/>
        <v>#DIV/0!</v>
      </c>
    </row>
    <row r="46" spans="1:15" ht="13.5" thickBot="1">
      <c r="A46" s="63">
        <v>19</v>
      </c>
      <c r="B46" s="79" t="s">
        <v>64</v>
      </c>
      <c r="C46" s="48">
        <f>'SHRINK 2S - 2T'!AD31</f>
        <v>0</v>
      </c>
      <c r="D46" s="48" t="e">
        <f t="shared" si="20"/>
        <v>#DIV/0!</v>
      </c>
      <c r="F46" s="48">
        <f t="shared" si="14"/>
        <v>19</v>
      </c>
      <c r="G46">
        <f t="shared" si="15"/>
        <v>1</v>
      </c>
      <c r="H46">
        <f t="shared" si="16"/>
        <v>1</v>
      </c>
      <c r="J46" t="str">
        <f t="shared" si="11"/>
        <v>Pilha deformada</v>
      </c>
      <c r="K46" s="49" t="e">
        <f t="shared" si="17"/>
        <v>#DIV/0!</v>
      </c>
      <c r="L46" s="49">
        <f t="shared" si="18"/>
        <v>0</v>
      </c>
      <c r="M46" s="49">
        <f t="shared" si="19"/>
        <v>0</v>
      </c>
      <c r="N46" s="49" t="e">
        <f>M49/$M$46*100</f>
        <v>#DIV/0!</v>
      </c>
      <c r="O46" s="49" t="e">
        <f t="shared" si="13"/>
        <v>#DIV/0!</v>
      </c>
    </row>
    <row r="47" spans="1:15">
      <c r="A47" s="156" t="s">
        <v>3</v>
      </c>
      <c r="B47" s="158"/>
      <c r="C47" s="48">
        <f>'SHRINK 2S - 2T'!AD32</f>
        <v>0</v>
      </c>
      <c r="D47" s="48" t="e">
        <f t="shared" si="10"/>
        <v>#DIV/0!</v>
      </c>
    </row>
    <row r="49" spans="1:21">
      <c r="C49" s="53" t="s">
        <v>70</v>
      </c>
    </row>
    <row r="50" spans="1:21">
      <c r="C50" t="s">
        <v>16</v>
      </c>
      <c r="D50" t="s">
        <v>12</v>
      </c>
    </row>
    <row r="51" spans="1:21" ht="13.5" thickBot="1">
      <c r="C51" s="48">
        <f>PROD_4SD</f>
        <v>0</v>
      </c>
      <c r="Q51" t="s">
        <v>52</v>
      </c>
      <c r="R51" s="49">
        <f>COUNTIF($N$52:$N$67,"&lt;100")+1</f>
        <v>1</v>
      </c>
    </row>
    <row r="52" spans="1:21" ht="13.5" thickBot="1">
      <c r="A52" s="37">
        <v>1</v>
      </c>
      <c r="B52" s="41" t="str">
        <f>'SHRINK 4S - 2T'!C13</f>
        <v>Pilha deformada</v>
      </c>
      <c r="C52" s="48">
        <f>'SHRINK 2S - 3T'!AD13</f>
        <v>0</v>
      </c>
      <c r="D52" s="48" t="e">
        <f t="shared" ref="D52:D71" si="21">C52/C$51*1000000</f>
        <v>#DIV/0!</v>
      </c>
      <c r="F52" s="48">
        <f>C52*10000+A52</f>
        <v>1</v>
      </c>
      <c r="G52">
        <f t="shared" ref="G52:G70" si="22">LARGE(F$52:F$70,A52)</f>
        <v>19</v>
      </c>
      <c r="H52">
        <f t="shared" ref="H52:H70" si="23">MATCH(G52,F$52:F$70,0)</f>
        <v>19</v>
      </c>
      <c r="J52" t="str">
        <f t="shared" ref="J52:J70" si="24">VLOOKUP(H52,A$52:D$70,2,TRUE)</f>
        <v>Outros</v>
      </c>
      <c r="K52" s="49" t="e">
        <f t="shared" ref="K52:K70" si="25">VLOOKUP(H52,A$52:D$70,4,FALSE)</f>
        <v>#DIV/0!</v>
      </c>
      <c r="L52" s="49">
        <f t="shared" ref="L52:L70" si="26">VLOOKUP(H52,A$52:C$70,3,FALSE)</f>
        <v>0</v>
      </c>
      <c r="M52" s="49">
        <f>L52</f>
        <v>0</v>
      </c>
      <c r="N52" s="49" t="e">
        <f t="shared" ref="N52:N70" si="27">M52/$M$70*100</f>
        <v>#DIV/0!</v>
      </c>
      <c r="O52" s="49" t="e">
        <f t="shared" ref="O52:O70" si="28">IF(($D$71&gt;TARGET_2S)*(N52&lt;=80),0,K52)</f>
        <v>#DIV/0!</v>
      </c>
      <c r="Q52" s="120" t="s">
        <v>78</v>
      </c>
      <c r="R52" t="str">
        <f ca="1">OFFSET($J$52,0,0,COUNTIF($N$52:$N$70,"&lt;100")+1,1)</f>
        <v>Outros</v>
      </c>
      <c r="T52" s="120" t="s">
        <v>80</v>
      </c>
      <c r="U52" t="e">
        <f ca="1">OFFSET($N$52,0,0,COUNTIF($N$52:$N$70,"&lt;100")+1,1)</f>
        <v>#DIV/0!</v>
      </c>
    </row>
    <row r="53" spans="1:21" ht="13.5" thickBot="1">
      <c r="A53" s="38">
        <v>2</v>
      </c>
      <c r="B53" s="41" t="str">
        <f>'SHRINK 4S - 2T'!C14</f>
        <v>PVC Mal impresso</v>
      </c>
      <c r="C53" s="48">
        <f>'SHRINK 2S - 3T'!AD14</f>
        <v>0</v>
      </c>
      <c r="D53" s="48" t="e">
        <f t="shared" si="21"/>
        <v>#DIV/0!</v>
      </c>
      <c r="F53" s="48">
        <f t="shared" ref="F53:F70" si="29">C53*10000+A53</f>
        <v>2</v>
      </c>
      <c r="G53">
        <f t="shared" si="22"/>
        <v>18</v>
      </c>
      <c r="H53">
        <f t="shared" si="23"/>
        <v>18</v>
      </c>
      <c r="J53" t="str">
        <f t="shared" si="24"/>
        <v>Amassada na faca</v>
      </c>
      <c r="K53" s="49" t="e">
        <f t="shared" si="25"/>
        <v>#DIV/0!</v>
      </c>
      <c r="L53" s="49">
        <f t="shared" si="26"/>
        <v>0</v>
      </c>
      <c r="M53" s="49">
        <f>L53+M52</f>
        <v>0</v>
      </c>
      <c r="N53" s="49" t="e">
        <f t="shared" si="27"/>
        <v>#DIV/0!</v>
      </c>
      <c r="O53" s="49" t="e">
        <f t="shared" si="28"/>
        <v>#DIV/0!</v>
      </c>
      <c r="Q53" s="120" t="s">
        <v>79</v>
      </c>
      <c r="R53" t="e">
        <f ca="1">OFFSET($K$52,0,0,COUNTIF($N$52:$N$70,"&lt;100")+1,1)</f>
        <v>#DIV/0!</v>
      </c>
      <c r="T53" s="120" t="s">
        <v>81</v>
      </c>
      <c r="U53" t="e">
        <f ca="1">OFFSET($O$52,0,0,COUNTIF($N$52:$N$70,"&lt;100")+1,1)</f>
        <v>#DIV/0!</v>
      </c>
    </row>
    <row r="54" spans="1:21" ht="13.5" thickBot="1">
      <c r="A54" s="38">
        <v>3</v>
      </c>
      <c r="B54" s="41" t="str">
        <f>'SHRINK 4S - 2T'!C15</f>
        <v>PVC rasgado</v>
      </c>
      <c r="C54" s="48">
        <f>'SHRINK 2S - 3T'!AD15</f>
        <v>0</v>
      </c>
      <c r="D54" s="48" t="e">
        <f t="shared" si="21"/>
        <v>#DIV/0!</v>
      </c>
      <c r="F54" s="48">
        <f t="shared" si="29"/>
        <v>3</v>
      </c>
      <c r="G54">
        <f t="shared" si="22"/>
        <v>17</v>
      </c>
      <c r="H54">
        <f t="shared" si="23"/>
        <v>17</v>
      </c>
      <c r="J54" t="str">
        <f t="shared" si="24"/>
        <v>Amassada na saída encaixotadeira</v>
      </c>
      <c r="K54" s="49" t="e">
        <f t="shared" si="25"/>
        <v>#DIV/0!</v>
      </c>
      <c r="L54" s="49">
        <f t="shared" si="26"/>
        <v>0</v>
      </c>
      <c r="M54" s="49">
        <f t="shared" ref="M54:M67" si="30">L54+M53</f>
        <v>0</v>
      </c>
      <c r="N54" s="49" t="e">
        <f t="shared" si="27"/>
        <v>#DIV/0!</v>
      </c>
      <c r="O54" s="49" t="e">
        <f t="shared" si="28"/>
        <v>#DIV/0!</v>
      </c>
    </row>
    <row r="55" spans="1:21" ht="13.5" thickBot="1">
      <c r="A55" s="38">
        <v>4</v>
      </c>
      <c r="B55" s="41" t="str">
        <f>'SHRINK 4S - 2T'!C16</f>
        <v>PVC deformado</v>
      </c>
      <c r="C55" s="48">
        <f>'SHRINK 2S - 3T'!AD16</f>
        <v>0</v>
      </c>
      <c r="D55" s="48" t="e">
        <f t="shared" si="21"/>
        <v>#DIV/0!</v>
      </c>
      <c r="F55" s="48">
        <f t="shared" si="29"/>
        <v>4</v>
      </c>
      <c r="G55">
        <f t="shared" si="22"/>
        <v>16</v>
      </c>
      <c r="H55">
        <f t="shared" si="23"/>
        <v>16</v>
      </c>
      <c r="J55" t="str">
        <f t="shared" si="24"/>
        <v>Outros (Montagem)</v>
      </c>
      <c r="K55" s="49" t="e">
        <f t="shared" si="25"/>
        <v>#DIV/0!</v>
      </c>
      <c r="L55" s="49">
        <f t="shared" si="26"/>
        <v>0</v>
      </c>
      <c r="M55" s="49">
        <f t="shared" si="30"/>
        <v>0</v>
      </c>
      <c r="N55" s="49" t="e">
        <f t="shared" si="27"/>
        <v>#DIV/0!</v>
      </c>
      <c r="O55" s="49" t="e">
        <f t="shared" si="28"/>
        <v>#DIV/0!</v>
      </c>
    </row>
    <row r="56" spans="1:21" ht="13.5" thickBot="1">
      <c r="A56" s="38">
        <v>5</v>
      </c>
      <c r="B56" s="41" t="str">
        <f>'SHRINK 4S - 2T'!C17</f>
        <v>Outros (Sleeve)</v>
      </c>
      <c r="C56" s="48">
        <f>'SHRINK 2S - 3T'!AD17</f>
        <v>0</v>
      </c>
      <c r="D56" s="48" t="e">
        <f t="shared" si="21"/>
        <v>#DIV/0!</v>
      </c>
      <c r="F56" s="48">
        <f t="shared" si="29"/>
        <v>5</v>
      </c>
      <c r="G56">
        <f t="shared" si="22"/>
        <v>15</v>
      </c>
      <c r="H56">
        <f t="shared" si="23"/>
        <v>15</v>
      </c>
      <c r="J56" t="str">
        <f t="shared" si="24"/>
        <v>Pilha amassada</v>
      </c>
      <c r="K56" s="49" t="e">
        <f t="shared" si="25"/>
        <v>#DIV/0!</v>
      </c>
      <c r="L56" s="49">
        <f t="shared" si="26"/>
        <v>0</v>
      </c>
      <c r="M56" s="49">
        <f t="shared" si="30"/>
        <v>0</v>
      </c>
      <c r="N56" s="49" t="e">
        <f t="shared" si="27"/>
        <v>#DIV/0!</v>
      </c>
      <c r="O56" s="49" t="e">
        <f t="shared" si="28"/>
        <v>#DIV/0!</v>
      </c>
    </row>
    <row r="57" spans="1:21" ht="13.5" thickBot="1">
      <c r="A57" s="38">
        <v>6</v>
      </c>
      <c r="B57" s="41" t="str">
        <f>'SHRINK 4S - 2T'!C18</f>
        <v>Sem Cap</v>
      </c>
      <c r="C57" s="48">
        <f>'SHRINK 2S - 3T'!AD18</f>
        <v>0</v>
      </c>
      <c r="D57" s="48" t="e">
        <f t="shared" si="21"/>
        <v>#DIV/0!</v>
      </c>
      <c r="F57" s="48">
        <f t="shared" si="29"/>
        <v>6</v>
      </c>
      <c r="G57">
        <f t="shared" si="22"/>
        <v>14</v>
      </c>
      <c r="H57">
        <f t="shared" si="23"/>
        <v>14</v>
      </c>
      <c r="J57" t="str">
        <f t="shared" si="24"/>
        <v>Tubo de Zinco Trincado</v>
      </c>
      <c r="K57" s="49" t="e">
        <f t="shared" si="25"/>
        <v>#DIV/0!</v>
      </c>
      <c r="L57" s="49">
        <f t="shared" si="26"/>
        <v>0</v>
      </c>
      <c r="M57" s="49">
        <f t="shared" si="30"/>
        <v>0</v>
      </c>
      <c r="N57" s="49" t="e">
        <f t="shared" si="27"/>
        <v>#DIV/0!</v>
      </c>
      <c r="O57" s="49" t="e">
        <f t="shared" si="28"/>
        <v>#DIV/0!</v>
      </c>
    </row>
    <row r="58" spans="1:21" ht="13.5" thickBot="1">
      <c r="A58" s="38">
        <v>7</v>
      </c>
      <c r="B58" s="41" t="str">
        <f>'SHRINK 4S - 2T'!C19</f>
        <v>Cap Amassado / Afundado</v>
      </c>
      <c r="C58" s="48">
        <f>'SHRINK 2S - 3T'!AD19</f>
        <v>0</v>
      </c>
      <c r="D58" s="48" t="e">
        <f t="shared" si="21"/>
        <v>#DIV/0!</v>
      </c>
      <c r="F58" s="48">
        <f t="shared" si="29"/>
        <v>7</v>
      </c>
      <c r="G58">
        <f t="shared" si="22"/>
        <v>13</v>
      </c>
      <c r="H58">
        <f t="shared" si="23"/>
        <v>13</v>
      </c>
      <c r="J58" t="str">
        <f t="shared" si="24"/>
        <v>Fundo sujo</v>
      </c>
      <c r="K58" s="49" t="e">
        <f t="shared" si="25"/>
        <v>#DIV/0!</v>
      </c>
      <c r="L58" s="49">
        <f t="shared" si="26"/>
        <v>0</v>
      </c>
      <c r="M58" s="49">
        <f t="shared" si="30"/>
        <v>0</v>
      </c>
      <c r="N58" s="49" t="e">
        <f t="shared" si="27"/>
        <v>#DIV/0!</v>
      </c>
      <c r="O58" s="49" t="e">
        <f t="shared" si="28"/>
        <v>#DIV/0!</v>
      </c>
    </row>
    <row r="59" spans="1:21" ht="13.5" thickBot="1">
      <c r="A59" s="38">
        <v>8</v>
      </c>
      <c r="B59" s="41" t="str">
        <f>'SHRINK 4S - 2T'!C20</f>
        <v>Cap Rachado</v>
      </c>
      <c r="C59" s="48">
        <f>'SHRINK 2S - 3T'!AD20</f>
        <v>0</v>
      </c>
      <c r="D59" s="48" t="e">
        <f t="shared" si="21"/>
        <v>#DIV/0!</v>
      </c>
      <c r="F59" s="48">
        <f t="shared" si="29"/>
        <v>8</v>
      </c>
      <c r="G59">
        <f t="shared" si="22"/>
        <v>12</v>
      </c>
      <c r="H59">
        <f t="shared" si="23"/>
        <v>12</v>
      </c>
      <c r="J59" t="str">
        <f t="shared" si="24"/>
        <v>Bottom Plate Amassado</v>
      </c>
      <c r="K59" s="49" t="e">
        <f t="shared" si="25"/>
        <v>#DIV/0!</v>
      </c>
      <c r="L59" s="49">
        <f t="shared" si="26"/>
        <v>0</v>
      </c>
      <c r="M59" s="49">
        <f t="shared" si="30"/>
        <v>0</v>
      </c>
      <c r="N59" s="49" t="e">
        <f t="shared" si="27"/>
        <v>#DIV/0!</v>
      </c>
      <c r="O59" s="49" t="e">
        <f t="shared" si="28"/>
        <v>#DIV/0!</v>
      </c>
    </row>
    <row r="60" spans="1:21" ht="13.5" thickBot="1">
      <c r="A60" s="38">
        <v>9</v>
      </c>
      <c r="B60" s="41" t="str">
        <f>'SHRINK 4S - 2T'!C21</f>
        <v>PY Deslocado</v>
      </c>
      <c r="C60" s="48">
        <f>'SHRINK 2S - 3T'!AD21</f>
        <v>0</v>
      </c>
      <c r="D60" s="48" t="e">
        <f t="shared" si="21"/>
        <v>#DIV/0!</v>
      </c>
      <c r="F60" s="48">
        <f t="shared" si="29"/>
        <v>9</v>
      </c>
      <c r="G60">
        <f t="shared" si="22"/>
        <v>11</v>
      </c>
      <c r="H60">
        <f t="shared" si="23"/>
        <v>11</v>
      </c>
      <c r="J60" t="str">
        <f t="shared" si="24"/>
        <v>Sem Bottom Plate</v>
      </c>
      <c r="K60" s="49" t="e">
        <f t="shared" si="25"/>
        <v>#DIV/0!</v>
      </c>
      <c r="L60" s="49">
        <f t="shared" si="26"/>
        <v>0</v>
      </c>
      <c r="M60" s="49">
        <f t="shared" si="30"/>
        <v>0</v>
      </c>
      <c r="N60" s="49" t="e">
        <f t="shared" si="27"/>
        <v>#DIV/0!</v>
      </c>
      <c r="O60" s="49" t="e">
        <f t="shared" si="28"/>
        <v>#DIV/0!</v>
      </c>
    </row>
    <row r="61" spans="1:21" ht="13.5" thickBot="1">
      <c r="A61" s="38">
        <v>10</v>
      </c>
      <c r="B61" s="41" t="str">
        <f>'SHRINK 4S - 2T'!C22</f>
        <v>Sem PY</v>
      </c>
      <c r="C61" s="48">
        <f>'SHRINK 2S - 3T'!AD22</f>
        <v>0</v>
      </c>
      <c r="D61" s="48" t="e">
        <f t="shared" si="21"/>
        <v>#DIV/0!</v>
      </c>
      <c r="F61" s="48">
        <f t="shared" si="29"/>
        <v>10</v>
      </c>
      <c r="G61">
        <f t="shared" si="22"/>
        <v>10</v>
      </c>
      <c r="H61">
        <f t="shared" si="23"/>
        <v>10</v>
      </c>
      <c r="J61" t="str">
        <f t="shared" si="24"/>
        <v>Sem PY</v>
      </c>
      <c r="K61" s="49" t="e">
        <f t="shared" si="25"/>
        <v>#DIV/0!</v>
      </c>
      <c r="L61" s="49">
        <f t="shared" si="26"/>
        <v>0</v>
      </c>
      <c r="M61" s="49">
        <f t="shared" si="30"/>
        <v>0</v>
      </c>
      <c r="N61" s="49" t="e">
        <f t="shared" si="27"/>
        <v>#DIV/0!</v>
      </c>
      <c r="O61" s="49" t="e">
        <f t="shared" si="28"/>
        <v>#DIV/0!</v>
      </c>
    </row>
    <row r="62" spans="1:21" ht="13.5" thickBot="1">
      <c r="A62" s="40">
        <v>11</v>
      </c>
      <c r="B62" s="41" t="str">
        <f>'SHRINK 4S - 2T'!C23</f>
        <v>Sem Bottom Plate</v>
      </c>
      <c r="C62" s="48">
        <f>'SHRINK 2S - 3T'!AD23</f>
        <v>0</v>
      </c>
      <c r="D62" s="48" t="e">
        <f t="shared" si="21"/>
        <v>#DIV/0!</v>
      </c>
      <c r="F62" s="48">
        <f t="shared" si="29"/>
        <v>11</v>
      </c>
      <c r="G62">
        <f t="shared" si="22"/>
        <v>9</v>
      </c>
      <c r="H62">
        <f t="shared" si="23"/>
        <v>9</v>
      </c>
      <c r="J62" t="str">
        <f t="shared" si="24"/>
        <v>PY Deslocado</v>
      </c>
      <c r="K62" s="49" t="e">
        <f t="shared" si="25"/>
        <v>#DIV/0!</v>
      </c>
      <c r="L62" s="49">
        <f t="shared" si="26"/>
        <v>0</v>
      </c>
      <c r="M62" s="49">
        <f t="shared" si="30"/>
        <v>0</v>
      </c>
      <c r="N62" s="49" t="e">
        <f t="shared" si="27"/>
        <v>#DIV/0!</v>
      </c>
      <c r="O62" s="49" t="e">
        <f t="shared" si="28"/>
        <v>#DIV/0!</v>
      </c>
    </row>
    <row r="63" spans="1:21" ht="13.5" thickBot="1">
      <c r="A63" s="37">
        <v>12</v>
      </c>
      <c r="B63" s="41" t="str">
        <f>'SHRINK 4S - 2T'!C24</f>
        <v>Bottom Plate Amassado</v>
      </c>
      <c r="C63" s="48">
        <f>'SHRINK 2S - 3T'!AD24</f>
        <v>0</v>
      </c>
      <c r="D63" s="48" t="e">
        <f t="shared" si="21"/>
        <v>#DIV/0!</v>
      </c>
      <c r="F63" s="48">
        <f t="shared" si="29"/>
        <v>12</v>
      </c>
      <c r="G63">
        <f t="shared" si="22"/>
        <v>8</v>
      </c>
      <c r="H63">
        <f t="shared" si="23"/>
        <v>8</v>
      </c>
      <c r="J63" t="str">
        <f t="shared" si="24"/>
        <v>Cap Rachado</v>
      </c>
      <c r="K63" s="49" t="e">
        <f t="shared" si="25"/>
        <v>#DIV/0!</v>
      </c>
      <c r="L63" s="49">
        <f t="shared" si="26"/>
        <v>0</v>
      </c>
      <c r="M63" s="49">
        <f t="shared" si="30"/>
        <v>0</v>
      </c>
      <c r="N63" s="49" t="e">
        <f t="shared" si="27"/>
        <v>#DIV/0!</v>
      </c>
      <c r="O63" s="49" t="e">
        <f t="shared" si="28"/>
        <v>#DIV/0!</v>
      </c>
    </row>
    <row r="64" spans="1:21" ht="13.5" thickBot="1">
      <c r="A64" s="38">
        <v>13</v>
      </c>
      <c r="B64" s="41" t="str">
        <f>'SHRINK 4S - 2T'!C25</f>
        <v>Fundo sujo</v>
      </c>
      <c r="C64" s="48">
        <f>'SHRINK 2S - 3T'!AD25</f>
        <v>0</v>
      </c>
      <c r="D64" s="48" t="e">
        <f t="shared" si="21"/>
        <v>#DIV/0!</v>
      </c>
      <c r="F64" s="48">
        <f t="shared" si="29"/>
        <v>13</v>
      </c>
      <c r="G64">
        <f t="shared" si="22"/>
        <v>7</v>
      </c>
      <c r="H64">
        <f t="shared" si="23"/>
        <v>7</v>
      </c>
      <c r="J64" t="str">
        <f t="shared" si="24"/>
        <v>Cap Amassado / Afundado</v>
      </c>
      <c r="K64" s="49" t="e">
        <f t="shared" si="25"/>
        <v>#DIV/0!</v>
      </c>
      <c r="L64" s="49">
        <f t="shared" si="26"/>
        <v>0</v>
      </c>
      <c r="M64" s="49">
        <f t="shared" si="30"/>
        <v>0</v>
      </c>
      <c r="N64" s="49" t="e">
        <f t="shared" si="27"/>
        <v>#DIV/0!</v>
      </c>
      <c r="O64" s="49" t="e">
        <f t="shared" si="28"/>
        <v>#DIV/0!</v>
      </c>
    </row>
    <row r="65" spans="1:21" ht="13.5" thickBot="1">
      <c r="A65" s="38">
        <v>14</v>
      </c>
      <c r="B65" s="41" t="str">
        <f>'SHRINK 4S - 2T'!C26</f>
        <v>Tubo de Zinco Trincado</v>
      </c>
      <c r="C65" s="48">
        <f>'SHRINK 2S - 3T'!AD26</f>
        <v>0</v>
      </c>
      <c r="D65" s="48" t="e">
        <f t="shared" si="21"/>
        <v>#DIV/0!</v>
      </c>
      <c r="F65" s="48">
        <f t="shared" si="29"/>
        <v>14</v>
      </c>
      <c r="G65">
        <f t="shared" si="22"/>
        <v>6</v>
      </c>
      <c r="H65">
        <f t="shared" si="23"/>
        <v>6</v>
      </c>
      <c r="J65" t="str">
        <f t="shared" si="24"/>
        <v>Sem Cap</v>
      </c>
      <c r="K65" s="49" t="e">
        <f t="shared" si="25"/>
        <v>#DIV/0!</v>
      </c>
      <c r="L65" s="49">
        <f t="shared" si="26"/>
        <v>0</v>
      </c>
      <c r="M65" s="49">
        <f t="shared" si="30"/>
        <v>0</v>
      </c>
      <c r="N65" s="49" t="e">
        <f t="shared" si="27"/>
        <v>#DIV/0!</v>
      </c>
      <c r="O65" s="49" t="e">
        <f t="shared" si="28"/>
        <v>#DIV/0!</v>
      </c>
    </row>
    <row r="66" spans="1:21" ht="13.5" thickBot="1">
      <c r="A66" s="38">
        <v>15</v>
      </c>
      <c r="B66" s="41" t="str">
        <f>'SHRINK 4S - 2T'!C27</f>
        <v>Pilha amassada</v>
      </c>
      <c r="C66" s="48">
        <f>'SHRINK 2S - 3T'!AD27</f>
        <v>0</v>
      </c>
      <c r="D66" s="48" t="e">
        <f t="shared" si="21"/>
        <v>#DIV/0!</v>
      </c>
      <c r="F66" s="48">
        <f t="shared" si="29"/>
        <v>15</v>
      </c>
      <c r="G66">
        <f t="shared" si="22"/>
        <v>5</v>
      </c>
      <c r="H66">
        <f t="shared" si="23"/>
        <v>5</v>
      </c>
      <c r="J66" t="str">
        <f t="shared" si="24"/>
        <v>Outros (Sleeve)</v>
      </c>
      <c r="K66" s="49" t="e">
        <f t="shared" si="25"/>
        <v>#DIV/0!</v>
      </c>
      <c r="L66" s="49">
        <f t="shared" si="26"/>
        <v>0</v>
      </c>
      <c r="M66" s="49">
        <f t="shared" si="30"/>
        <v>0</v>
      </c>
      <c r="N66" s="49" t="e">
        <f t="shared" si="27"/>
        <v>#DIV/0!</v>
      </c>
      <c r="O66" s="49" t="e">
        <f t="shared" si="28"/>
        <v>#DIV/0!</v>
      </c>
    </row>
    <row r="67" spans="1:21" ht="13.5" thickBot="1">
      <c r="A67" s="38">
        <v>16</v>
      </c>
      <c r="B67" s="41" t="str">
        <f>'SHRINK 4S - 2T'!C28</f>
        <v>Outros (Montagem)</v>
      </c>
      <c r="C67" s="48">
        <f>'SHRINK 2S - 3T'!AD28</f>
        <v>0</v>
      </c>
      <c r="D67" s="48" t="e">
        <f t="shared" si="21"/>
        <v>#DIV/0!</v>
      </c>
      <c r="F67" s="48">
        <f t="shared" si="29"/>
        <v>16</v>
      </c>
      <c r="G67">
        <f t="shared" si="22"/>
        <v>4</v>
      </c>
      <c r="H67">
        <f t="shared" si="23"/>
        <v>4</v>
      </c>
      <c r="J67" t="str">
        <f t="shared" si="24"/>
        <v>PVC deformado</v>
      </c>
      <c r="K67" s="49" t="e">
        <f t="shared" si="25"/>
        <v>#DIV/0!</v>
      </c>
      <c r="L67" s="49">
        <f t="shared" si="26"/>
        <v>0</v>
      </c>
      <c r="M67" s="49">
        <f t="shared" si="30"/>
        <v>0</v>
      </c>
      <c r="N67" s="49" t="e">
        <f t="shared" si="27"/>
        <v>#DIV/0!</v>
      </c>
      <c r="O67" s="49" t="e">
        <f t="shared" si="28"/>
        <v>#DIV/0!</v>
      </c>
    </row>
    <row r="68" spans="1:21" ht="25.5">
      <c r="A68" s="63">
        <v>17</v>
      </c>
      <c r="B68" s="110" t="s">
        <v>62</v>
      </c>
      <c r="C68" s="48">
        <f>'SHRINK 2S - 3T'!AD29</f>
        <v>0</v>
      </c>
      <c r="D68" s="48" t="e">
        <f t="shared" si="21"/>
        <v>#DIV/0!</v>
      </c>
      <c r="F68" s="48">
        <f t="shared" si="29"/>
        <v>17</v>
      </c>
      <c r="G68">
        <f t="shared" si="22"/>
        <v>3</v>
      </c>
      <c r="H68">
        <f t="shared" si="23"/>
        <v>3</v>
      </c>
      <c r="J68" t="str">
        <f t="shared" si="24"/>
        <v>PVC rasgado</v>
      </c>
      <c r="K68" s="49" t="e">
        <f t="shared" si="25"/>
        <v>#DIV/0!</v>
      </c>
      <c r="L68" s="49">
        <f t="shared" si="26"/>
        <v>0</v>
      </c>
      <c r="M68" s="49">
        <f t="shared" ref="M68:M70" si="31">L68+M67</f>
        <v>0</v>
      </c>
      <c r="N68" s="49" t="e">
        <f t="shared" si="27"/>
        <v>#DIV/0!</v>
      </c>
      <c r="O68" s="49" t="e">
        <f t="shared" si="28"/>
        <v>#DIV/0!</v>
      </c>
    </row>
    <row r="69" spans="1:21">
      <c r="A69" s="63">
        <v>18</v>
      </c>
      <c r="B69" s="78" t="s">
        <v>63</v>
      </c>
      <c r="C69" s="48">
        <f>'SHRINK 2S - 3T'!AD30</f>
        <v>0</v>
      </c>
      <c r="D69" s="48" t="e">
        <f t="shared" si="21"/>
        <v>#DIV/0!</v>
      </c>
      <c r="F69" s="48">
        <f t="shared" si="29"/>
        <v>18</v>
      </c>
      <c r="G69">
        <f t="shared" si="22"/>
        <v>2</v>
      </c>
      <c r="H69">
        <f t="shared" si="23"/>
        <v>2</v>
      </c>
      <c r="J69" t="str">
        <f t="shared" si="24"/>
        <v>PVC Mal impresso</v>
      </c>
      <c r="K69" s="49" t="e">
        <f t="shared" si="25"/>
        <v>#DIV/0!</v>
      </c>
      <c r="L69" s="49">
        <f t="shared" si="26"/>
        <v>0</v>
      </c>
      <c r="M69" s="49">
        <f t="shared" si="31"/>
        <v>0</v>
      </c>
      <c r="N69" s="49" t="e">
        <f t="shared" si="27"/>
        <v>#DIV/0!</v>
      </c>
      <c r="O69" s="49" t="e">
        <f t="shared" si="28"/>
        <v>#DIV/0!</v>
      </c>
    </row>
    <row r="70" spans="1:21" ht="13.5" thickBot="1">
      <c r="A70" s="63">
        <v>19</v>
      </c>
      <c r="B70" s="79" t="s">
        <v>64</v>
      </c>
      <c r="C70" s="48">
        <f>'SHRINK 2S - 3T'!AD31</f>
        <v>0</v>
      </c>
      <c r="D70" s="48" t="e">
        <f t="shared" si="21"/>
        <v>#DIV/0!</v>
      </c>
      <c r="F70" s="48">
        <f t="shared" si="29"/>
        <v>19</v>
      </c>
      <c r="G70">
        <f t="shared" si="22"/>
        <v>1</v>
      </c>
      <c r="H70">
        <f t="shared" si="23"/>
        <v>1</v>
      </c>
      <c r="J70" t="str">
        <f t="shared" si="24"/>
        <v>Pilha deformada</v>
      </c>
      <c r="K70" s="49" t="e">
        <f t="shared" si="25"/>
        <v>#DIV/0!</v>
      </c>
      <c r="L70" s="49">
        <f t="shared" si="26"/>
        <v>0</v>
      </c>
      <c r="M70" s="49">
        <f t="shared" si="31"/>
        <v>0</v>
      </c>
      <c r="N70" s="49" t="e">
        <f t="shared" si="27"/>
        <v>#DIV/0!</v>
      </c>
      <c r="O70" s="49" t="e">
        <f t="shared" si="28"/>
        <v>#DIV/0!</v>
      </c>
    </row>
    <row r="71" spans="1:21">
      <c r="A71" s="156" t="s">
        <v>3</v>
      </c>
      <c r="B71" s="158"/>
      <c r="C71" s="48">
        <f>'SHRINK 2S - 3T'!AD32</f>
        <v>0</v>
      </c>
      <c r="D71" s="48" t="e">
        <f t="shared" si="21"/>
        <v>#DIV/0!</v>
      </c>
    </row>
    <row r="73" spans="1:21">
      <c r="C73" s="53" t="s">
        <v>71</v>
      </c>
    </row>
    <row r="74" spans="1:21">
      <c r="C74" t="s">
        <v>16</v>
      </c>
      <c r="D74" t="s">
        <v>12</v>
      </c>
    </row>
    <row r="75" spans="1:21" ht="13.5" thickBot="1">
      <c r="C75" s="48">
        <f>PROD_4S2T</f>
        <v>0</v>
      </c>
      <c r="Q75" t="s">
        <v>52</v>
      </c>
      <c r="R75" s="49">
        <f>COUNTIF($N$76:$N$91,"&lt;100")+1</f>
        <v>1</v>
      </c>
    </row>
    <row r="76" spans="1:21">
      <c r="A76" s="37">
        <v>1</v>
      </c>
      <c r="B76" s="41" t="str">
        <f>'SHRINK 4S - 2T'!C13</f>
        <v>Pilha deformada</v>
      </c>
      <c r="C76" s="48">
        <f>'SHRINK 4S - Dia'!AD13</f>
        <v>0</v>
      </c>
      <c r="D76" s="48" t="e">
        <f t="shared" ref="D76:D95" si="32">C76/C$75*1000000</f>
        <v>#DIV/0!</v>
      </c>
      <c r="F76" s="48">
        <f>C76*10000+A76</f>
        <v>1</v>
      </c>
      <c r="G76">
        <f t="shared" ref="G76:G94" si="33">LARGE(F$76:F$94,A76)</f>
        <v>19</v>
      </c>
      <c r="H76">
        <f t="shared" ref="H76:H94" si="34">MATCH(G76,F$76:F$94,0)</f>
        <v>19</v>
      </c>
      <c r="J76" t="str">
        <f t="shared" ref="J76:J94" si="35">VLOOKUP(H76,A$28:D$43,2,TRUE)</f>
        <v>Outros (Montagem)</v>
      </c>
      <c r="K76" s="49" t="e">
        <f t="shared" ref="K76:K94" si="36">VLOOKUP(H76,A$76:D$94,4,FALSE)</f>
        <v>#DIV/0!</v>
      </c>
      <c r="L76" s="49">
        <f t="shared" ref="L76:L94" si="37">VLOOKUP(H76,A$76:C$94,3,FALSE)</f>
        <v>0</v>
      </c>
      <c r="M76" s="49">
        <f>L76</f>
        <v>0</v>
      </c>
      <c r="N76" s="49" t="e">
        <f t="shared" ref="N76:N94" si="38">M76/$M$94*100</f>
        <v>#DIV/0!</v>
      </c>
      <c r="O76" s="49" t="e">
        <f t="shared" ref="O76:O94" si="39">IF(($D$95&gt;TARGET_2S)*(N76&lt;=80),0,K76)</f>
        <v>#DIV/0!</v>
      </c>
      <c r="Q76" t="s">
        <v>57</v>
      </c>
      <c r="R76" t="str">
        <f ca="1">OFFSET($J$76,0,0,COUNTIF($N$76:$N$94,"&lt;100")+1,1)</f>
        <v>Outros (Montagem)</v>
      </c>
      <c r="T76" t="s">
        <v>58</v>
      </c>
      <c r="U76" t="e">
        <f ca="1">OFFSET($N$76,0,0,COUNTIF($N$76:$N$94,"&lt;100")+1,1)</f>
        <v>#DIV/0!</v>
      </c>
    </row>
    <row r="77" spans="1:21">
      <c r="A77" s="38">
        <v>2</v>
      </c>
      <c r="B77" s="42" t="str">
        <f>'SHRINK 4S - 2T'!C14</f>
        <v>PVC Mal impresso</v>
      </c>
      <c r="C77" s="48">
        <f>'SHRINK 4S - Dia'!AD14</f>
        <v>0</v>
      </c>
      <c r="D77" s="48" t="e">
        <f t="shared" si="32"/>
        <v>#DIV/0!</v>
      </c>
      <c r="F77" s="48">
        <f t="shared" ref="F77:F94" si="40">C77*10000+A77</f>
        <v>2</v>
      </c>
      <c r="G77">
        <f t="shared" si="33"/>
        <v>18</v>
      </c>
      <c r="H77">
        <f t="shared" si="34"/>
        <v>18</v>
      </c>
      <c r="J77" t="str">
        <f t="shared" si="35"/>
        <v>Outros (Montagem)</v>
      </c>
      <c r="K77" s="49" t="e">
        <f t="shared" si="36"/>
        <v>#DIV/0!</v>
      </c>
      <c r="L77" s="49">
        <f t="shared" si="37"/>
        <v>0</v>
      </c>
      <c r="M77" s="49">
        <f>L77+M76</f>
        <v>0</v>
      </c>
      <c r="N77" s="49" t="e">
        <f t="shared" si="38"/>
        <v>#DIV/0!</v>
      </c>
      <c r="O77" s="49" t="e">
        <f t="shared" si="39"/>
        <v>#DIV/0!</v>
      </c>
      <c r="Q77" t="s">
        <v>59</v>
      </c>
      <c r="R77" t="e">
        <f ca="1">OFFSET($K$76,0,0,COUNTIF($N$76:$N$94,"&lt;100")+1,1)</f>
        <v>#DIV/0!</v>
      </c>
      <c r="T77" t="s">
        <v>60</v>
      </c>
      <c r="U77" t="e">
        <f ca="1">OFFSET($O$76,0,0,COUNTIF($N$76:$N$94,"&lt;100")+1,1)</f>
        <v>#DIV/0!</v>
      </c>
    </row>
    <row r="78" spans="1:21">
      <c r="A78" s="38">
        <v>3</v>
      </c>
      <c r="B78" s="42" t="str">
        <f>'SHRINK 4S - 2T'!C15</f>
        <v>PVC rasgado</v>
      </c>
      <c r="C78" s="48">
        <f>'SHRINK 4S - Dia'!AD15</f>
        <v>0</v>
      </c>
      <c r="D78" s="48" t="e">
        <f t="shared" si="32"/>
        <v>#DIV/0!</v>
      </c>
      <c r="F78" s="48">
        <f t="shared" si="40"/>
        <v>3</v>
      </c>
      <c r="G78">
        <f t="shared" si="33"/>
        <v>17</v>
      </c>
      <c r="H78">
        <f t="shared" si="34"/>
        <v>17</v>
      </c>
      <c r="J78" t="str">
        <f t="shared" si="35"/>
        <v>Outros (Montagem)</v>
      </c>
      <c r="K78" s="49" t="e">
        <f t="shared" si="36"/>
        <v>#DIV/0!</v>
      </c>
      <c r="L78" s="49">
        <f t="shared" si="37"/>
        <v>0</v>
      </c>
      <c r="M78" s="49">
        <f t="shared" ref="M78:M91" si="41">L78+M77</f>
        <v>0</v>
      </c>
      <c r="N78" s="49" t="e">
        <f t="shared" si="38"/>
        <v>#DIV/0!</v>
      </c>
      <c r="O78" s="49" t="e">
        <f t="shared" si="39"/>
        <v>#DIV/0!</v>
      </c>
    </row>
    <row r="79" spans="1:21">
      <c r="A79" s="38">
        <v>4</v>
      </c>
      <c r="B79" s="42" t="str">
        <f>'SHRINK 4S - 2T'!C16</f>
        <v>PVC deformado</v>
      </c>
      <c r="C79" s="48">
        <f>'SHRINK 4S - Dia'!AD16</f>
        <v>0</v>
      </c>
      <c r="D79" s="48" t="e">
        <f t="shared" si="32"/>
        <v>#DIV/0!</v>
      </c>
      <c r="F79" s="48">
        <f t="shared" si="40"/>
        <v>4</v>
      </c>
      <c r="G79">
        <f t="shared" si="33"/>
        <v>16</v>
      </c>
      <c r="H79">
        <f t="shared" si="34"/>
        <v>16</v>
      </c>
      <c r="J79" t="str">
        <f t="shared" si="35"/>
        <v>Outros (Montagem)</v>
      </c>
      <c r="K79" s="49" t="e">
        <f t="shared" si="36"/>
        <v>#DIV/0!</v>
      </c>
      <c r="L79" s="49">
        <f t="shared" si="37"/>
        <v>0</v>
      </c>
      <c r="M79" s="49">
        <f t="shared" si="41"/>
        <v>0</v>
      </c>
      <c r="N79" s="49" t="e">
        <f t="shared" si="38"/>
        <v>#DIV/0!</v>
      </c>
      <c r="O79" s="49" t="e">
        <f t="shared" si="39"/>
        <v>#DIV/0!</v>
      </c>
    </row>
    <row r="80" spans="1:21">
      <c r="A80" s="38">
        <v>5</v>
      </c>
      <c r="B80" s="42" t="str">
        <f>'SHRINK 4S - 2T'!C17</f>
        <v>Outros (Sleeve)</v>
      </c>
      <c r="C80" s="48">
        <f>'SHRINK 4S - Dia'!AD17</f>
        <v>0</v>
      </c>
      <c r="D80" s="48" t="e">
        <f t="shared" si="32"/>
        <v>#DIV/0!</v>
      </c>
      <c r="F80" s="48">
        <f t="shared" si="40"/>
        <v>5</v>
      </c>
      <c r="G80">
        <f t="shared" si="33"/>
        <v>15</v>
      </c>
      <c r="H80">
        <f t="shared" si="34"/>
        <v>15</v>
      </c>
      <c r="J80" t="str">
        <f t="shared" si="35"/>
        <v>Pilha amassada</v>
      </c>
      <c r="K80" s="49" t="e">
        <f t="shared" si="36"/>
        <v>#DIV/0!</v>
      </c>
      <c r="L80" s="49">
        <f t="shared" si="37"/>
        <v>0</v>
      </c>
      <c r="M80" s="49">
        <f t="shared" si="41"/>
        <v>0</v>
      </c>
      <c r="N80" s="49" t="e">
        <f t="shared" si="38"/>
        <v>#DIV/0!</v>
      </c>
      <c r="O80" s="49" t="e">
        <f t="shared" si="39"/>
        <v>#DIV/0!</v>
      </c>
    </row>
    <row r="81" spans="1:15">
      <c r="A81" s="38">
        <v>6</v>
      </c>
      <c r="B81" s="42" t="str">
        <f>'SHRINK 4S - 2T'!C18</f>
        <v>Sem Cap</v>
      </c>
      <c r="C81" s="48">
        <f>'SHRINK 4S - Dia'!AD18</f>
        <v>0</v>
      </c>
      <c r="D81" s="48" t="e">
        <f t="shared" si="32"/>
        <v>#DIV/0!</v>
      </c>
      <c r="F81" s="48">
        <f t="shared" si="40"/>
        <v>6</v>
      </c>
      <c r="G81">
        <f t="shared" si="33"/>
        <v>14</v>
      </c>
      <c r="H81">
        <f t="shared" si="34"/>
        <v>14</v>
      </c>
      <c r="J81" t="str">
        <f t="shared" si="35"/>
        <v>Tubo de Zinco Trincado</v>
      </c>
      <c r="K81" s="49" t="e">
        <f t="shared" si="36"/>
        <v>#DIV/0!</v>
      </c>
      <c r="L81" s="49">
        <f t="shared" si="37"/>
        <v>0</v>
      </c>
      <c r="M81" s="49">
        <f t="shared" si="41"/>
        <v>0</v>
      </c>
      <c r="N81" s="49" t="e">
        <f t="shared" si="38"/>
        <v>#DIV/0!</v>
      </c>
      <c r="O81" s="49" t="e">
        <f t="shared" si="39"/>
        <v>#DIV/0!</v>
      </c>
    </row>
    <row r="82" spans="1:15">
      <c r="A82" s="38">
        <v>7</v>
      </c>
      <c r="B82" s="42" t="str">
        <f>'SHRINK 4S - 2T'!C19</f>
        <v>Cap Amassado / Afundado</v>
      </c>
      <c r="C82" s="48">
        <f>'SHRINK 4S - Dia'!AD19</f>
        <v>0</v>
      </c>
      <c r="D82" s="48" t="e">
        <f t="shared" si="32"/>
        <v>#DIV/0!</v>
      </c>
      <c r="F82" s="48">
        <f t="shared" si="40"/>
        <v>7</v>
      </c>
      <c r="G82">
        <f t="shared" si="33"/>
        <v>13</v>
      </c>
      <c r="H82">
        <f t="shared" si="34"/>
        <v>13</v>
      </c>
      <c r="J82" t="str">
        <f t="shared" si="35"/>
        <v>Fundo sujo</v>
      </c>
      <c r="K82" s="49" t="e">
        <f t="shared" si="36"/>
        <v>#DIV/0!</v>
      </c>
      <c r="L82" s="49">
        <f t="shared" si="37"/>
        <v>0</v>
      </c>
      <c r="M82" s="49">
        <f t="shared" si="41"/>
        <v>0</v>
      </c>
      <c r="N82" s="49" t="e">
        <f t="shared" si="38"/>
        <v>#DIV/0!</v>
      </c>
      <c r="O82" s="49" t="e">
        <f t="shared" si="39"/>
        <v>#DIV/0!</v>
      </c>
    </row>
    <row r="83" spans="1:15">
      <c r="A83" s="38">
        <v>8</v>
      </c>
      <c r="B83" s="42" t="str">
        <f>'SHRINK 4S - 2T'!C20</f>
        <v>Cap Rachado</v>
      </c>
      <c r="C83" s="48">
        <f>'SHRINK 4S - Dia'!AD20</f>
        <v>0</v>
      </c>
      <c r="D83" s="48" t="e">
        <f t="shared" si="32"/>
        <v>#DIV/0!</v>
      </c>
      <c r="F83" s="48">
        <f t="shared" si="40"/>
        <v>8</v>
      </c>
      <c r="G83">
        <f t="shared" si="33"/>
        <v>12</v>
      </c>
      <c r="H83">
        <f t="shared" si="34"/>
        <v>12</v>
      </c>
      <c r="J83" t="str">
        <f t="shared" si="35"/>
        <v>Bottom Plate Amassado</v>
      </c>
      <c r="K83" s="49" t="e">
        <f t="shared" si="36"/>
        <v>#DIV/0!</v>
      </c>
      <c r="L83" s="49">
        <f t="shared" si="37"/>
        <v>0</v>
      </c>
      <c r="M83" s="49">
        <f t="shared" si="41"/>
        <v>0</v>
      </c>
      <c r="N83" s="49" t="e">
        <f t="shared" si="38"/>
        <v>#DIV/0!</v>
      </c>
      <c r="O83" s="49" t="e">
        <f t="shared" si="39"/>
        <v>#DIV/0!</v>
      </c>
    </row>
    <row r="84" spans="1:15">
      <c r="A84" s="38">
        <v>9</v>
      </c>
      <c r="B84" s="42" t="str">
        <f>'SHRINK 4S - 2T'!C21</f>
        <v>PY Deslocado</v>
      </c>
      <c r="C84" s="48">
        <f>'SHRINK 4S - Dia'!AD21</f>
        <v>0</v>
      </c>
      <c r="D84" s="48" t="e">
        <f t="shared" si="32"/>
        <v>#DIV/0!</v>
      </c>
      <c r="F84" s="48">
        <f t="shared" si="40"/>
        <v>9</v>
      </c>
      <c r="G84">
        <f t="shared" si="33"/>
        <v>11</v>
      </c>
      <c r="H84">
        <f t="shared" si="34"/>
        <v>11</v>
      </c>
      <c r="J84" t="str">
        <f t="shared" si="35"/>
        <v>Sem Bottom Plate</v>
      </c>
      <c r="K84" s="49" t="e">
        <f t="shared" si="36"/>
        <v>#DIV/0!</v>
      </c>
      <c r="L84" s="49">
        <f t="shared" si="37"/>
        <v>0</v>
      </c>
      <c r="M84" s="49">
        <f t="shared" si="41"/>
        <v>0</v>
      </c>
      <c r="N84" s="49" t="e">
        <f t="shared" si="38"/>
        <v>#DIV/0!</v>
      </c>
      <c r="O84" s="49" t="e">
        <f t="shared" si="39"/>
        <v>#DIV/0!</v>
      </c>
    </row>
    <row r="85" spans="1:15">
      <c r="A85" s="38">
        <v>10</v>
      </c>
      <c r="B85" s="42" t="str">
        <f>'SHRINK 4S - 2T'!C22</f>
        <v>Sem PY</v>
      </c>
      <c r="C85" s="48">
        <f>'SHRINK 4S - Dia'!AD22</f>
        <v>0</v>
      </c>
      <c r="D85" s="48" t="e">
        <f t="shared" si="32"/>
        <v>#DIV/0!</v>
      </c>
      <c r="F85" s="48">
        <f t="shared" si="40"/>
        <v>10</v>
      </c>
      <c r="G85">
        <f t="shared" si="33"/>
        <v>10</v>
      </c>
      <c r="H85">
        <f t="shared" si="34"/>
        <v>10</v>
      </c>
      <c r="J85" t="str">
        <f t="shared" si="35"/>
        <v>Sem PY</v>
      </c>
      <c r="K85" s="49" t="e">
        <f t="shared" si="36"/>
        <v>#DIV/0!</v>
      </c>
      <c r="L85" s="49">
        <f t="shared" si="37"/>
        <v>0</v>
      </c>
      <c r="M85" s="49">
        <f t="shared" si="41"/>
        <v>0</v>
      </c>
      <c r="N85" s="49" t="e">
        <f t="shared" si="38"/>
        <v>#DIV/0!</v>
      </c>
      <c r="O85" s="49" t="e">
        <f t="shared" si="39"/>
        <v>#DIV/0!</v>
      </c>
    </row>
    <row r="86" spans="1:15">
      <c r="A86" s="38">
        <v>11</v>
      </c>
      <c r="B86" s="42" t="str">
        <f>'SHRINK 4S - 2T'!C23</f>
        <v>Sem Bottom Plate</v>
      </c>
      <c r="C86" s="48">
        <f>'SHRINK 4S - Dia'!AD23</f>
        <v>0</v>
      </c>
      <c r="D86" s="48" t="e">
        <f t="shared" si="32"/>
        <v>#DIV/0!</v>
      </c>
      <c r="F86" s="48">
        <f t="shared" si="40"/>
        <v>11</v>
      </c>
      <c r="G86">
        <f t="shared" si="33"/>
        <v>9</v>
      </c>
      <c r="H86">
        <f t="shared" si="34"/>
        <v>9</v>
      </c>
      <c r="J86" t="str">
        <f t="shared" si="35"/>
        <v>PY Deslocado</v>
      </c>
      <c r="K86" s="49" t="e">
        <f t="shared" si="36"/>
        <v>#DIV/0!</v>
      </c>
      <c r="L86" s="49">
        <f t="shared" si="37"/>
        <v>0</v>
      </c>
      <c r="M86" s="49">
        <f t="shared" si="41"/>
        <v>0</v>
      </c>
      <c r="N86" s="49" t="e">
        <f t="shared" si="38"/>
        <v>#DIV/0!</v>
      </c>
      <c r="O86" s="49" t="e">
        <f t="shared" si="39"/>
        <v>#DIV/0!</v>
      </c>
    </row>
    <row r="87" spans="1:15">
      <c r="A87" s="38">
        <v>12</v>
      </c>
      <c r="B87" s="42" t="str">
        <f>'SHRINK 4S - 2T'!C24</f>
        <v>Bottom Plate Amassado</v>
      </c>
      <c r="C87" s="48">
        <f>'SHRINK 4S - Dia'!AD24</f>
        <v>0</v>
      </c>
      <c r="D87" s="48" t="e">
        <f t="shared" si="32"/>
        <v>#DIV/0!</v>
      </c>
      <c r="F87" s="48">
        <f t="shared" si="40"/>
        <v>12</v>
      </c>
      <c r="G87">
        <f t="shared" si="33"/>
        <v>8</v>
      </c>
      <c r="H87">
        <f t="shared" si="34"/>
        <v>8</v>
      </c>
      <c r="J87" t="str">
        <f t="shared" si="35"/>
        <v>Cap Rachado</v>
      </c>
      <c r="K87" s="49" t="e">
        <f t="shared" si="36"/>
        <v>#DIV/0!</v>
      </c>
      <c r="L87" s="49">
        <f t="shared" si="37"/>
        <v>0</v>
      </c>
      <c r="M87" s="49">
        <f t="shared" si="41"/>
        <v>0</v>
      </c>
      <c r="N87" s="49" t="e">
        <f t="shared" si="38"/>
        <v>#DIV/0!</v>
      </c>
      <c r="O87" s="49" t="e">
        <f t="shared" si="39"/>
        <v>#DIV/0!</v>
      </c>
    </row>
    <row r="88" spans="1:15">
      <c r="A88" s="38">
        <v>13</v>
      </c>
      <c r="B88" s="42" t="str">
        <f>'SHRINK 4S - 2T'!C25</f>
        <v>Fundo sujo</v>
      </c>
      <c r="C88" s="48">
        <f>'SHRINK 4S - Dia'!AD25</f>
        <v>0</v>
      </c>
      <c r="D88" s="48" t="e">
        <f t="shared" si="32"/>
        <v>#DIV/0!</v>
      </c>
      <c r="F88" s="48">
        <f t="shared" si="40"/>
        <v>13</v>
      </c>
      <c r="G88">
        <f t="shared" si="33"/>
        <v>7</v>
      </c>
      <c r="H88">
        <f t="shared" si="34"/>
        <v>7</v>
      </c>
      <c r="J88" t="str">
        <f t="shared" si="35"/>
        <v>Cap Amassado / Afundado</v>
      </c>
      <c r="K88" s="49" t="e">
        <f t="shared" si="36"/>
        <v>#DIV/0!</v>
      </c>
      <c r="L88" s="49">
        <f t="shared" si="37"/>
        <v>0</v>
      </c>
      <c r="M88" s="49">
        <f t="shared" si="41"/>
        <v>0</v>
      </c>
      <c r="N88" s="49" t="e">
        <f t="shared" si="38"/>
        <v>#DIV/0!</v>
      </c>
      <c r="O88" s="49" t="e">
        <f t="shared" si="39"/>
        <v>#DIV/0!</v>
      </c>
    </row>
    <row r="89" spans="1:15">
      <c r="A89" s="38">
        <v>14</v>
      </c>
      <c r="B89" s="42" t="str">
        <f>'SHRINK 4S - 2T'!C26</f>
        <v>Tubo de Zinco Trincado</v>
      </c>
      <c r="C89" s="48">
        <f>'SHRINK 4S - Dia'!AD26</f>
        <v>0</v>
      </c>
      <c r="D89" s="48" t="e">
        <f t="shared" si="32"/>
        <v>#DIV/0!</v>
      </c>
      <c r="F89" s="48">
        <f t="shared" si="40"/>
        <v>14</v>
      </c>
      <c r="G89">
        <f t="shared" si="33"/>
        <v>6</v>
      </c>
      <c r="H89">
        <f t="shared" si="34"/>
        <v>6</v>
      </c>
      <c r="J89" t="str">
        <f t="shared" si="35"/>
        <v>Sem Cap</v>
      </c>
      <c r="K89" s="49" t="e">
        <f t="shared" si="36"/>
        <v>#DIV/0!</v>
      </c>
      <c r="L89" s="49">
        <f t="shared" si="37"/>
        <v>0</v>
      </c>
      <c r="M89" s="49">
        <f t="shared" si="41"/>
        <v>0</v>
      </c>
      <c r="N89" s="49" t="e">
        <f t="shared" si="38"/>
        <v>#DIV/0!</v>
      </c>
      <c r="O89" s="49" t="e">
        <f t="shared" si="39"/>
        <v>#DIV/0!</v>
      </c>
    </row>
    <row r="90" spans="1:15">
      <c r="A90" s="38">
        <v>15</v>
      </c>
      <c r="B90" s="42" t="str">
        <f>'SHRINK 4S - 2T'!C27</f>
        <v>Pilha amassada</v>
      </c>
      <c r="C90" s="48">
        <f>'SHRINK 4S - Dia'!AD27</f>
        <v>0</v>
      </c>
      <c r="D90" s="48" t="e">
        <f t="shared" si="32"/>
        <v>#DIV/0!</v>
      </c>
      <c r="F90" s="48">
        <f t="shared" si="40"/>
        <v>15</v>
      </c>
      <c r="G90">
        <f t="shared" si="33"/>
        <v>5</v>
      </c>
      <c r="H90">
        <f t="shared" si="34"/>
        <v>5</v>
      </c>
      <c r="J90" t="str">
        <f t="shared" si="35"/>
        <v>Outros (Sleeve)</v>
      </c>
      <c r="K90" s="49" t="e">
        <f t="shared" si="36"/>
        <v>#DIV/0!</v>
      </c>
      <c r="L90" s="49">
        <f t="shared" si="37"/>
        <v>0</v>
      </c>
      <c r="M90" s="49">
        <f t="shared" si="41"/>
        <v>0</v>
      </c>
      <c r="N90" s="49" t="e">
        <f t="shared" si="38"/>
        <v>#DIV/0!</v>
      </c>
      <c r="O90" s="49" t="e">
        <f t="shared" si="39"/>
        <v>#DIV/0!</v>
      </c>
    </row>
    <row r="91" spans="1:15">
      <c r="A91" s="38">
        <v>16</v>
      </c>
      <c r="B91" s="42" t="str">
        <f>'SHRINK 4S - 2T'!C28</f>
        <v>Outros (Montagem)</v>
      </c>
      <c r="C91" s="48">
        <f>'SHRINK 4S - Dia'!AD28</f>
        <v>0</v>
      </c>
      <c r="D91" s="48" t="e">
        <f t="shared" si="32"/>
        <v>#DIV/0!</v>
      </c>
      <c r="F91" s="48">
        <f t="shared" si="40"/>
        <v>16</v>
      </c>
      <c r="G91">
        <f t="shared" si="33"/>
        <v>4</v>
      </c>
      <c r="H91">
        <f t="shared" si="34"/>
        <v>4</v>
      </c>
      <c r="J91" t="str">
        <f t="shared" si="35"/>
        <v>PVC deformado</v>
      </c>
      <c r="K91" s="49" t="e">
        <f t="shared" si="36"/>
        <v>#DIV/0!</v>
      </c>
      <c r="L91" s="49">
        <f t="shared" si="37"/>
        <v>0</v>
      </c>
      <c r="M91" s="49">
        <f t="shared" si="41"/>
        <v>0</v>
      </c>
      <c r="N91" s="49" t="e">
        <f t="shared" si="38"/>
        <v>#DIV/0!</v>
      </c>
      <c r="O91" s="49" t="e">
        <f t="shared" si="39"/>
        <v>#DIV/0!</v>
      </c>
    </row>
    <row r="92" spans="1:15" ht="25.5">
      <c r="A92" s="38">
        <v>17</v>
      </c>
      <c r="B92" s="115" t="str">
        <f>'SHRINK 4S - 2T'!C29</f>
        <v>Amassada na saída da encaixotadeira</v>
      </c>
      <c r="C92" s="48">
        <f>'SHRINK 4S - Dia'!AD29</f>
        <v>0</v>
      </c>
      <c r="D92" s="48" t="e">
        <f t="shared" si="32"/>
        <v>#DIV/0!</v>
      </c>
      <c r="F92" s="48">
        <f t="shared" si="40"/>
        <v>17</v>
      </c>
      <c r="G92">
        <f t="shared" si="33"/>
        <v>3</v>
      </c>
      <c r="H92">
        <f t="shared" si="34"/>
        <v>3</v>
      </c>
      <c r="J92" t="str">
        <f t="shared" si="35"/>
        <v>PVC rasgado</v>
      </c>
      <c r="K92" s="49" t="e">
        <f t="shared" si="36"/>
        <v>#DIV/0!</v>
      </c>
      <c r="L92" s="49">
        <f t="shared" si="37"/>
        <v>0</v>
      </c>
      <c r="M92" s="49">
        <f t="shared" ref="M92:M94" si="42">L92+M91</f>
        <v>0</v>
      </c>
      <c r="N92" s="49" t="e">
        <f t="shared" si="38"/>
        <v>#DIV/0!</v>
      </c>
      <c r="O92" s="49" t="e">
        <f t="shared" si="39"/>
        <v>#DIV/0!</v>
      </c>
    </row>
    <row r="93" spans="1:15">
      <c r="A93" s="38">
        <v>18</v>
      </c>
      <c r="B93" s="42" t="str">
        <f>'SHRINK 4S - 2T'!C30</f>
        <v>Amassada na faca</v>
      </c>
      <c r="C93" s="48">
        <f>'SHRINK 4S - Dia'!AD30</f>
        <v>0</v>
      </c>
      <c r="D93" s="48" t="e">
        <f t="shared" si="32"/>
        <v>#DIV/0!</v>
      </c>
      <c r="F93" s="48">
        <f t="shared" si="40"/>
        <v>18</v>
      </c>
      <c r="G93">
        <f t="shared" si="33"/>
        <v>2</v>
      </c>
      <c r="H93">
        <f t="shared" si="34"/>
        <v>2</v>
      </c>
      <c r="J93" t="str">
        <f t="shared" si="35"/>
        <v>PVC Mal impresso</v>
      </c>
      <c r="K93" s="49" t="e">
        <f t="shared" si="36"/>
        <v>#DIV/0!</v>
      </c>
      <c r="L93" s="49">
        <f t="shared" si="37"/>
        <v>0</v>
      </c>
      <c r="M93" s="49">
        <f t="shared" si="42"/>
        <v>0</v>
      </c>
      <c r="N93" s="49" t="e">
        <f t="shared" si="38"/>
        <v>#DIV/0!</v>
      </c>
      <c r="O93" s="49" t="e">
        <f t="shared" si="39"/>
        <v>#DIV/0!</v>
      </c>
    </row>
    <row r="94" spans="1:15">
      <c r="A94" s="38">
        <v>19</v>
      </c>
      <c r="B94" s="42" t="str">
        <f>'SHRINK 4S - 2T'!C31</f>
        <v>Outros</v>
      </c>
      <c r="C94" s="48">
        <f>'SHRINK 4S - Dia'!AD31</f>
        <v>0</v>
      </c>
      <c r="D94" s="48" t="e">
        <f t="shared" si="32"/>
        <v>#DIV/0!</v>
      </c>
      <c r="F94" s="48">
        <f t="shared" si="40"/>
        <v>19</v>
      </c>
      <c r="G94">
        <f t="shared" si="33"/>
        <v>1</v>
      </c>
      <c r="H94">
        <f t="shared" si="34"/>
        <v>1</v>
      </c>
      <c r="J94" t="str">
        <f t="shared" si="35"/>
        <v>Pilha deformada</v>
      </c>
      <c r="K94" s="49" t="e">
        <f t="shared" si="36"/>
        <v>#DIV/0!</v>
      </c>
      <c r="L94" s="49">
        <f t="shared" si="37"/>
        <v>0</v>
      </c>
      <c r="M94" s="49">
        <f t="shared" si="42"/>
        <v>0</v>
      </c>
      <c r="N94" s="49" t="e">
        <f t="shared" si="38"/>
        <v>#DIV/0!</v>
      </c>
      <c r="O94" s="49" t="e">
        <f t="shared" si="39"/>
        <v>#DIV/0!</v>
      </c>
    </row>
    <row r="95" spans="1:15" ht="13.5" thickBot="1">
      <c r="A95" s="166" t="s">
        <v>3</v>
      </c>
      <c r="B95" s="167"/>
      <c r="C95" s="48">
        <f>'SHRINK 4S - Dia'!AD32</f>
        <v>0</v>
      </c>
      <c r="D95" s="48" t="e">
        <f t="shared" si="32"/>
        <v>#DIV/0!</v>
      </c>
    </row>
    <row r="97" spans="1:21">
      <c r="C97" s="53" t="s">
        <v>72</v>
      </c>
    </row>
    <row r="98" spans="1:21">
      <c r="C98" t="s">
        <v>16</v>
      </c>
      <c r="D98" t="s">
        <v>12</v>
      </c>
    </row>
    <row r="99" spans="1:21" ht="13.5" thickBot="1">
      <c r="C99" s="48">
        <f>PROD_4SD</f>
        <v>0</v>
      </c>
      <c r="Q99" t="s">
        <v>52</v>
      </c>
      <c r="R99" s="49">
        <f>COUNTIF($N$52:$N$67,"&lt;100")+1</f>
        <v>1</v>
      </c>
    </row>
    <row r="100" spans="1:21">
      <c r="A100" s="37">
        <v>1</v>
      </c>
      <c r="B100" s="41" t="str">
        <f>'SHRINK 4S - 2T'!C13</f>
        <v>Pilha deformada</v>
      </c>
      <c r="C100" s="48">
        <f>'SHRINK 4S - 2T'!AD61</f>
        <v>0</v>
      </c>
      <c r="D100" s="48" t="e">
        <f t="shared" ref="D100:D119" si="43">C100/C$51*1000000</f>
        <v>#DIV/0!</v>
      </c>
      <c r="F100" s="48">
        <f>C100*10000+A100</f>
        <v>1</v>
      </c>
      <c r="G100">
        <f t="shared" ref="G100:G118" si="44">LARGE(F$52:F$70,A100)</f>
        <v>19</v>
      </c>
      <c r="H100">
        <f t="shared" ref="H100:H118" si="45">MATCH(G100,F$52:F$70,0)</f>
        <v>19</v>
      </c>
      <c r="J100" t="str">
        <f t="shared" ref="J100:J118" si="46">VLOOKUP(H100,A$52:D$70,2,TRUE)</f>
        <v>Outros</v>
      </c>
      <c r="K100" s="49" t="e">
        <f t="shared" ref="K100:K118" si="47">VLOOKUP(H100,A$52:D$70,4,FALSE)</f>
        <v>#DIV/0!</v>
      </c>
      <c r="L100" s="49">
        <f t="shared" ref="L100:L118" si="48">VLOOKUP(H100,A$52:C$70,3,FALSE)</f>
        <v>0</v>
      </c>
      <c r="M100" s="49">
        <f>L100</f>
        <v>0</v>
      </c>
      <c r="N100" s="49" t="e">
        <f t="shared" ref="N100:N118" si="49">M100/$M$70*100</f>
        <v>#DIV/0!</v>
      </c>
      <c r="O100" s="49" t="e">
        <f t="shared" ref="O100:O118" si="50">IF(($D$71&gt;TARGET_2S)*(N100&lt;=80),0,K100)</f>
        <v>#DIV/0!</v>
      </c>
      <c r="Q100" t="s">
        <v>82</v>
      </c>
      <c r="R100" t="str">
        <f ca="1">OFFSET($J$100,0,0,COUNTIF($N$100:$N$118,"&lt;100")+1,1)</f>
        <v>Outros</v>
      </c>
      <c r="T100" t="s">
        <v>83</v>
      </c>
      <c r="U100" t="e">
        <f ca="1">OFFSET($N$100,0,0,COUNTIF($N$100:$N$118,"&lt;100")+1,1)</f>
        <v>#DIV/0!</v>
      </c>
    </row>
    <row r="101" spans="1:21">
      <c r="A101" s="38">
        <v>2</v>
      </c>
      <c r="B101" s="42" t="str">
        <f>'SHRINK 4S - 2T'!C14</f>
        <v>PVC Mal impresso</v>
      </c>
      <c r="C101" s="48">
        <f>'SHRINK 4S - 2T'!AD62</f>
        <v>0</v>
      </c>
      <c r="D101" s="48" t="e">
        <f t="shared" si="43"/>
        <v>#DIV/0!</v>
      </c>
      <c r="F101" s="48">
        <f t="shared" ref="F101:F118" si="51">C101*10000+A101</f>
        <v>2</v>
      </c>
      <c r="G101">
        <f t="shared" si="44"/>
        <v>18</v>
      </c>
      <c r="H101">
        <f t="shared" si="45"/>
        <v>18</v>
      </c>
      <c r="J101" t="str">
        <f t="shared" si="46"/>
        <v>Amassada na faca</v>
      </c>
      <c r="K101" s="49" t="e">
        <f t="shared" si="47"/>
        <v>#DIV/0!</v>
      </c>
      <c r="L101" s="49">
        <f t="shared" si="48"/>
        <v>0</v>
      </c>
      <c r="M101" s="49">
        <f>L101+M100</f>
        <v>0</v>
      </c>
      <c r="N101" s="49" t="e">
        <f t="shared" si="49"/>
        <v>#DIV/0!</v>
      </c>
      <c r="O101" s="49" t="e">
        <f t="shared" si="50"/>
        <v>#DIV/0!</v>
      </c>
      <c r="Q101" t="s">
        <v>84</v>
      </c>
      <c r="R101" t="e">
        <f ca="1">OFFSET($K$100,0,0,COUNTIF($N$100:$N$118,"&lt;100")+1,1)</f>
        <v>#DIV/0!</v>
      </c>
      <c r="T101" t="s">
        <v>85</v>
      </c>
      <c r="U101" t="e">
        <f ca="1">OFFSET($O$100,0,0,COUNTIF($N$100:$N$118,"&lt;100")+1,1)</f>
        <v>#DIV/0!</v>
      </c>
    </row>
    <row r="102" spans="1:21">
      <c r="A102" s="38">
        <v>3</v>
      </c>
      <c r="B102" s="42" t="str">
        <f>'SHRINK 4S - 2T'!C15</f>
        <v>PVC rasgado</v>
      </c>
      <c r="C102" s="48">
        <f>'SHRINK 4S - 2T'!AD63</f>
        <v>0</v>
      </c>
      <c r="D102" s="48" t="e">
        <f t="shared" si="43"/>
        <v>#DIV/0!</v>
      </c>
      <c r="F102" s="48">
        <f t="shared" si="51"/>
        <v>3</v>
      </c>
      <c r="G102">
        <f t="shared" si="44"/>
        <v>17</v>
      </c>
      <c r="H102">
        <f t="shared" si="45"/>
        <v>17</v>
      </c>
      <c r="J102" t="str">
        <f t="shared" si="46"/>
        <v>Amassada na saída encaixotadeira</v>
      </c>
      <c r="K102" s="49" t="e">
        <f t="shared" si="47"/>
        <v>#DIV/0!</v>
      </c>
      <c r="L102" s="49">
        <f t="shared" si="48"/>
        <v>0</v>
      </c>
      <c r="M102" s="49">
        <f t="shared" ref="M102:M118" si="52">L102+M101</f>
        <v>0</v>
      </c>
      <c r="N102" s="49" t="e">
        <f t="shared" si="49"/>
        <v>#DIV/0!</v>
      </c>
      <c r="O102" s="49" t="e">
        <f t="shared" si="50"/>
        <v>#DIV/0!</v>
      </c>
    </row>
    <row r="103" spans="1:21">
      <c r="A103" s="38">
        <v>4</v>
      </c>
      <c r="B103" s="42" t="str">
        <f>'SHRINK 4S - 2T'!C16</f>
        <v>PVC deformado</v>
      </c>
      <c r="C103" s="48">
        <f>'SHRINK 4S - 2T'!AD64</f>
        <v>0</v>
      </c>
      <c r="D103" s="48" t="e">
        <f t="shared" si="43"/>
        <v>#DIV/0!</v>
      </c>
      <c r="F103" s="48">
        <f t="shared" si="51"/>
        <v>4</v>
      </c>
      <c r="G103">
        <f t="shared" si="44"/>
        <v>16</v>
      </c>
      <c r="H103">
        <f t="shared" si="45"/>
        <v>16</v>
      </c>
      <c r="J103" t="str">
        <f t="shared" si="46"/>
        <v>Outros (Montagem)</v>
      </c>
      <c r="K103" s="49" t="e">
        <f t="shared" si="47"/>
        <v>#DIV/0!</v>
      </c>
      <c r="L103" s="49">
        <f t="shared" si="48"/>
        <v>0</v>
      </c>
      <c r="M103" s="49">
        <f t="shared" si="52"/>
        <v>0</v>
      </c>
      <c r="N103" s="49" t="e">
        <f t="shared" si="49"/>
        <v>#DIV/0!</v>
      </c>
      <c r="O103" s="49" t="e">
        <f t="shared" si="50"/>
        <v>#DIV/0!</v>
      </c>
    </row>
    <row r="104" spans="1:21">
      <c r="A104" s="38">
        <v>5</v>
      </c>
      <c r="B104" s="42" t="str">
        <f>'SHRINK 4S - 2T'!C17</f>
        <v>Outros (Sleeve)</v>
      </c>
      <c r="C104" s="48">
        <f>'SHRINK 4S - 2T'!AD65</f>
        <v>0</v>
      </c>
      <c r="D104" s="48" t="e">
        <f t="shared" si="43"/>
        <v>#DIV/0!</v>
      </c>
      <c r="F104" s="48">
        <f t="shared" si="51"/>
        <v>5</v>
      </c>
      <c r="G104">
        <f t="shared" si="44"/>
        <v>15</v>
      </c>
      <c r="H104">
        <f t="shared" si="45"/>
        <v>15</v>
      </c>
      <c r="J104" t="str">
        <f t="shared" si="46"/>
        <v>Pilha amassada</v>
      </c>
      <c r="K104" s="49" t="e">
        <f t="shared" si="47"/>
        <v>#DIV/0!</v>
      </c>
      <c r="L104" s="49">
        <f t="shared" si="48"/>
        <v>0</v>
      </c>
      <c r="M104" s="49">
        <f t="shared" si="52"/>
        <v>0</v>
      </c>
      <c r="N104" s="49" t="e">
        <f t="shared" si="49"/>
        <v>#DIV/0!</v>
      </c>
      <c r="O104" s="49" t="e">
        <f t="shared" si="50"/>
        <v>#DIV/0!</v>
      </c>
    </row>
    <row r="105" spans="1:21">
      <c r="A105" s="38">
        <v>6</v>
      </c>
      <c r="B105" s="42" t="str">
        <f>'SHRINK 4S - 2T'!C18</f>
        <v>Sem Cap</v>
      </c>
      <c r="C105" s="48">
        <f>'SHRINK 4S - 2T'!AD66</f>
        <v>0</v>
      </c>
      <c r="D105" s="48" t="e">
        <f t="shared" si="43"/>
        <v>#DIV/0!</v>
      </c>
      <c r="F105" s="48">
        <f t="shared" si="51"/>
        <v>6</v>
      </c>
      <c r="G105">
        <f t="shared" si="44"/>
        <v>14</v>
      </c>
      <c r="H105">
        <f t="shared" si="45"/>
        <v>14</v>
      </c>
      <c r="J105" t="str">
        <f t="shared" si="46"/>
        <v>Tubo de Zinco Trincado</v>
      </c>
      <c r="K105" s="49" t="e">
        <f t="shared" si="47"/>
        <v>#DIV/0!</v>
      </c>
      <c r="L105" s="49">
        <f t="shared" si="48"/>
        <v>0</v>
      </c>
      <c r="M105" s="49">
        <f t="shared" si="52"/>
        <v>0</v>
      </c>
      <c r="N105" s="49" t="e">
        <f t="shared" si="49"/>
        <v>#DIV/0!</v>
      </c>
      <c r="O105" s="49" t="e">
        <f t="shared" si="50"/>
        <v>#DIV/0!</v>
      </c>
    </row>
    <row r="106" spans="1:21">
      <c r="A106" s="38">
        <v>7</v>
      </c>
      <c r="B106" s="42" t="str">
        <f>'SHRINK 4S - 2T'!C19</f>
        <v>Cap Amassado / Afundado</v>
      </c>
      <c r="C106" s="48">
        <f>'SHRINK 4S - 2T'!AD67</f>
        <v>0</v>
      </c>
      <c r="D106" s="48" t="e">
        <f t="shared" si="43"/>
        <v>#DIV/0!</v>
      </c>
      <c r="F106" s="48">
        <f t="shared" si="51"/>
        <v>7</v>
      </c>
      <c r="G106">
        <f t="shared" si="44"/>
        <v>13</v>
      </c>
      <c r="H106">
        <f t="shared" si="45"/>
        <v>13</v>
      </c>
      <c r="J106" t="str">
        <f t="shared" si="46"/>
        <v>Fundo sujo</v>
      </c>
      <c r="K106" s="49" t="e">
        <f t="shared" si="47"/>
        <v>#DIV/0!</v>
      </c>
      <c r="L106" s="49">
        <f t="shared" si="48"/>
        <v>0</v>
      </c>
      <c r="M106" s="49">
        <f t="shared" si="52"/>
        <v>0</v>
      </c>
      <c r="N106" s="49" t="e">
        <f t="shared" si="49"/>
        <v>#DIV/0!</v>
      </c>
      <c r="O106" s="49" t="e">
        <f t="shared" si="50"/>
        <v>#DIV/0!</v>
      </c>
    </row>
    <row r="107" spans="1:21">
      <c r="A107" s="38">
        <v>8</v>
      </c>
      <c r="B107" s="42" t="str">
        <f>'SHRINK 4S - 2T'!C20</f>
        <v>Cap Rachado</v>
      </c>
      <c r="C107" s="48">
        <f>'SHRINK 4S - 2T'!AD68</f>
        <v>0</v>
      </c>
      <c r="D107" s="48" t="e">
        <f t="shared" si="43"/>
        <v>#DIV/0!</v>
      </c>
      <c r="F107" s="48">
        <f t="shared" si="51"/>
        <v>8</v>
      </c>
      <c r="G107">
        <f t="shared" si="44"/>
        <v>12</v>
      </c>
      <c r="H107">
        <f t="shared" si="45"/>
        <v>12</v>
      </c>
      <c r="J107" t="str">
        <f t="shared" si="46"/>
        <v>Bottom Plate Amassado</v>
      </c>
      <c r="K107" s="49" t="e">
        <f t="shared" si="47"/>
        <v>#DIV/0!</v>
      </c>
      <c r="L107" s="49">
        <f t="shared" si="48"/>
        <v>0</v>
      </c>
      <c r="M107" s="49">
        <f t="shared" si="52"/>
        <v>0</v>
      </c>
      <c r="N107" s="49" t="e">
        <f t="shared" si="49"/>
        <v>#DIV/0!</v>
      </c>
      <c r="O107" s="49" t="e">
        <f t="shared" si="50"/>
        <v>#DIV/0!</v>
      </c>
    </row>
    <row r="108" spans="1:21">
      <c r="A108" s="38">
        <v>9</v>
      </c>
      <c r="B108" s="42" t="str">
        <f>'SHRINK 4S - 2T'!C21</f>
        <v>PY Deslocado</v>
      </c>
      <c r="C108" s="48">
        <f>'SHRINK 4S - 2T'!AD69</f>
        <v>0</v>
      </c>
      <c r="D108" s="48" t="e">
        <f t="shared" si="43"/>
        <v>#DIV/0!</v>
      </c>
      <c r="F108" s="48">
        <f t="shared" si="51"/>
        <v>9</v>
      </c>
      <c r="G108">
        <f t="shared" si="44"/>
        <v>11</v>
      </c>
      <c r="H108">
        <f t="shared" si="45"/>
        <v>11</v>
      </c>
      <c r="J108" t="str">
        <f t="shared" si="46"/>
        <v>Sem Bottom Plate</v>
      </c>
      <c r="K108" s="49" t="e">
        <f t="shared" si="47"/>
        <v>#DIV/0!</v>
      </c>
      <c r="L108" s="49">
        <f t="shared" si="48"/>
        <v>0</v>
      </c>
      <c r="M108" s="49">
        <f t="shared" si="52"/>
        <v>0</v>
      </c>
      <c r="N108" s="49" t="e">
        <f t="shared" si="49"/>
        <v>#DIV/0!</v>
      </c>
      <c r="O108" s="49" t="e">
        <f t="shared" si="50"/>
        <v>#DIV/0!</v>
      </c>
    </row>
    <row r="109" spans="1:21">
      <c r="A109" s="38">
        <v>10</v>
      </c>
      <c r="B109" s="42" t="str">
        <f>'SHRINK 4S - 2T'!C22</f>
        <v>Sem PY</v>
      </c>
      <c r="C109" s="48">
        <f>'SHRINK 4S - 2T'!AD70</f>
        <v>0</v>
      </c>
      <c r="D109" s="48" t="e">
        <f t="shared" si="43"/>
        <v>#DIV/0!</v>
      </c>
      <c r="F109" s="48">
        <f t="shared" si="51"/>
        <v>10</v>
      </c>
      <c r="G109">
        <f t="shared" si="44"/>
        <v>10</v>
      </c>
      <c r="H109">
        <f t="shared" si="45"/>
        <v>10</v>
      </c>
      <c r="J109" t="str">
        <f t="shared" si="46"/>
        <v>Sem PY</v>
      </c>
      <c r="K109" s="49" t="e">
        <f t="shared" si="47"/>
        <v>#DIV/0!</v>
      </c>
      <c r="L109" s="49">
        <f t="shared" si="48"/>
        <v>0</v>
      </c>
      <c r="M109" s="49">
        <f t="shared" si="52"/>
        <v>0</v>
      </c>
      <c r="N109" s="49" t="e">
        <f t="shared" si="49"/>
        <v>#DIV/0!</v>
      </c>
      <c r="O109" s="49" t="e">
        <f t="shared" si="50"/>
        <v>#DIV/0!</v>
      </c>
    </row>
    <row r="110" spans="1:21" ht="13.5" thickBot="1">
      <c r="A110" s="40">
        <v>11</v>
      </c>
      <c r="B110" s="91" t="str">
        <f>'SHRINK 4S - 2T'!C23</f>
        <v>Sem Bottom Plate</v>
      </c>
      <c r="C110" s="48">
        <f>'SHRINK 4S - 2T'!AD71</f>
        <v>0</v>
      </c>
      <c r="D110" s="48" t="e">
        <f t="shared" si="43"/>
        <v>#DIV/0!</v>
      </c>
      <c r="F110" s="48">
        <f t="shared" si="51"/>
        <v>11</v>
      </c>
      <c r="G110">
        <f t="shared" si="44"/>
        <v>9</v>
      </c>
      <c r="H110">
        <f t="shared" si="45"/>
        <v>9</v>
      </c>
      <c r="J110" t="str">
        <f t="shared" si="46"/>
        <v>PY Deslocado</v>
      </c>
      <c r="K110" s="49" t="e">
        <f t="shared" si="47"/>
        <v>#DIV/0!</v>
      </c>
      <c r="L110" s="49">
        <f t="shared" si="48"/>
        <v>0</v>
      </c>
      <c r="M110" s="49">
        <f t="shared" si="52"/>
        <v>0</v>
      </c>
      <c r="N110" s="49" t="e">
        <f t="shared" si="49"/>
        <v>#DIV/0!</v>
      </c>
      <c r="O110" s="49" t="e">
        <f t="shared" si="50"/>
        <v>#DIV/0!</v>
      </c>
    </row>
    <row r="111" spans="1:21">
      <c r="A111" s="37">
        <v>12</v>
      </c>
      <c r="B111" s="41" t="str">
        <f>'SHRINK 4S - 2T'!C24</f>
        <v>Bottom Plate Amassado</v>
      </c>
      <c r="C111" s="48">
        <f>'SHRINK 4S - 2T'!AD72</f>
        <v>0</v>
      </c>
      <c r="D111" s="48" t="e">
        <f t="shared" si="43"/>
        <v>#DIV/0!</v>
      </c>
      <c r="F111" s="48">
        <f t="shared" si="51"/>
        <v>12</v>
      </c>
      <c r="G111">
        <f t="shared" si="44"/>
        <v>8</v>
      </c>
      <c r="H111">
        <f t="shared" si="45"/>
        <v>8</v>
      </c>
      <c r="J111" t="str">
        <f t="shared" si="46"/>
        <v>Cap Rachado</v>
      </c>
      <c r="K111" s="49" t="e">
        <f t="shared" si="47"/>
        <v>#DIV/0!</v>
      </c>
      <c r="L111" s="49">
        <f t="shared" si="48"/>
        <v>0</v>
      </c>
      <c r="M111" s="49">
        <f t="shared" si="52"/>
        <v>0</v>
      </c>
      <c r="N111" s="49" t="e">
        <f t="shared" si="49"/>
        <v>#DIV/0!</v>
      </c>
      <c r="O111" s="49" t="e">
        <f t="shared" si="50"/>
        <v>#DIV/0!</v>
      </c>
    </row>
    <row r="112" spans="1:21">
      <c r="A112" s="38">
        <v>13</v>
      </c>
      <c r="B112" s="42" t="str">
        <f>'SHRINK 4S - 2T'!C25</f>
        <v>Fundo sujo</v>
      </c>
      <c r="C112" s="48">
        <f>'SHRINK 4S - 2T'!AD73</f>
        <v>0</v>
      </c>
      <c r="D112" s="48" t="e">
        <f t="shared" si="43"/>
        <v>#DIV/0!</v>
      </c>
      <c r="F112" s="48">
        <f t="shared" si="51"/>
        <v>13</v>
      </c>
      <c r="G112">
        <f t="shared" si="44"/>
        <v>7</v>
      </c>
      <c r="H112">
        <f t="shared" si="45"/>
        <v>7</v>
      </c>
      <c r="J112" t="str">
        <f t="shared" si="46"/>
        <v>Cap Amassado / Afundado</v>
      </c>
      <c r="K112" s="49" t="e">
        <f t="shared" si="47"/>
        <v>#DIV/0!</v>
      </c>
      <c r="L112" s="49">
        <f t="shared" si="48"/>
        <v>0</v>
      </c>
      <c r="M112" s="49">
        <f t="shared" si="52"/>
        <v>0</v>
      </c>
      <c r="N112" s="49" t="e">
        <f t="shared" si="49"/>
        <v>#DIV/0!</v>
      </c>
      <c r="O112" s="49" t="e">
        <f t="shared" si="50"/>
        <v>#DIV/0!</v>
      </c>
    </row>
    <row r="113" spans="1:21">
      <c r="A113" s="38">
        <v>14</v>
      </c>
      <c r="B113" s="42" t="str">
        <f>'SHRINK 4S - 2T'!C26</f>
        <v>Tubo de Zinco Trincado</v>
      </c>
      <c r="C113" s="48">
        <f>'SHRINK 4S - 2T'!AD74</f>
        <v>0</v>
      </c>
      <c r="D113" s="48" t="e">
        <f t="shared" si="43"/>
        <v>#DIV/0!</v>
      </c>
      <c r="F113" s="48">
        <f t="shared" si="51"/>
        <v>14</v>
      </c>
      <c r="G113">
        <f t="shared" si="44"/>
        <v>6</v>
      </c>
      <c r="H113">
        <f t="shared" si="45"/>
        <v>6</v>
      </c>
      <c r="J113" t="str">
        <f t="shared" si="46"/>
        <v>Sem Cap</v>
      </c>
      <c r="K113" s="49" t="e">
        <f t="shared" si="47"/>
        <v>#DIV/0!</v>
      </c>
      <c r="L113" s="49">
        <f t="shared" si="48"/>
        <v>0</v>
      </c>
      <c r="M113" s="49">
        <f t="shared" si="52"/>
        <v>0</v>
      </c>
      <c r="N113" s="49" t="e">
        <f t="shared" si="49"/>
        <v>#DIV/0!</v>
      </c>
      <c r="O113" s="49" t="e">
        <f t="shared" si="50"/>
        <v>#DIV/0!</v>
      </c>
    </row>
    <row r="114" spans="1:21">
      <c r="A114" s="38">
        <v>15</v>
      </c>
      <c r="B114" s="42" t="str">
        <f>'SHRINK 4S - 2T'!C27</f>
        <v>Pilha amassada</v>
      </c>
      <c r="C114" s="48">
        <f>'SHRINK 4S - 2T'!AD75</f>
        <v>0</v>
      </c>
      <c r="D114" s="48" t="e">
        <f t="shared" si="43"/>
        <v>#DIV/0!</v>
      </c>
      <c r="F114" s="48">
        <f t="shared" si="51"/>
        <v>15</v>
      </c>
      <c r="G114">
        <f t="shared" si="44"/>
        <v>5</v>
      </c>
      <c r="H114">
        <f t="shared" si="45"/>
        <v>5</v>
      </c>
      <c r="J114" t="str">
        <f t="shared" si="46"/>
        <v>Outros (Sleeve)</v>
      </c>
      <c r="K114" s="49" t="e">
        <f t="shared" si="47"/>
        <v>#DIV/0!</v>
      </c>
      <c r="L114" s="49">
        <f t="shared" si="48"/>
        <v>0</v>
      </c>
      <c r="M114" s="49">
        <f t="shared" si="52"/>
        <v>0</v>
      </c>
      <c r="N114" s="49" t="e">
        <f t="shared" si="49"/>
        <v>#DIV/0!</v>
      </c>
      <c r="O114" s="49" t="e">
        <f t="shared" si="50"/>
        <v>#DIV/0!</v>
      </c>
    </row>
    <row r="115" spans="1:21" ht="13.5" thickBot="1">
      <c r="A115" s="40">
        <v>16</v>
      </c>
      <c r="B115" s="91" t="str">
        <f>'SHRINK 4S - 2T'!C28</f>
        <v>Outros (Montagem)</v>
      </c>
      <c r="C115" s="48">
        <f>'SHRINK 4S - 2T'!AD76</f>
        <v>0</v>
      </c>
      <c r="D115" s="48" t="e">
        <f t="shared" si="43"/>
        <v>#DIV/0!</v>
      </c>
      <c r="F115" s="48">
        <f t="shared" si="51"/>
        <v>16</v>
      </c>
      <c r="G115">
        <f t="shared" si="44"/>
        <v>4</v>
      </c>
      <c r="H115">
        <f t="shared" si="45"/>
        <v>4</v>
      </c>
      <c r="J115" t="str">
        <f t="shared" si="46"/>
        <v>PVC deformado</v>
      </c>
      <c r="K115" s="49" t="e">
        <f t="shared" si="47"/>
        <v>#DIV/0!</v>
      </c>
      <c r="L115" s="49">
        <f t="shared" si="48"/>
        <v>0</v>
      </c>
      <c r="M115" s="49">
        <f t="shared" si="52"/>
        <v>0</v>
      </c>
      <c r="N115" s="49" t="e">
        <f t="shared" si="49"/>
        <v>#DIV/0!</v>
      </c>
      <c r="O115" s="49" t="e">
        <f t="shared" si="50"/>
        <v>#DIV/0!</v>
      </c>
    </row>
    <row r="116" spans="1:21" ht="25.5">
      <c r="A116" s="37">
        <v>17</v>
      </c>
      <c r="B116" s="111" t="s">
        <v>62</v>
      </c>
      <c r="C116" s="48">
        <f>'SHRINK 4S - 2T'!AD77</f>
        <v>0</v>
      </c>
      <c r="D116" s="48" t="e">
        <f t="shared" si="43"/>
        <v>#DIV/0!</v>
      </c>
      <c r="F116" s="48">
        <f t="shared" si="51"/>
        <v>17</v>
      </c>
      <c r="G116">
        <f t="shared" si="44"/>
        <v>3</v>
      </c>
      <c r="H116">
        <f t="shared" si="45"/>
        <v>3</v>
      </c>
      <c r="J116" t="str">
        <f t="shared" si="46"/>
        <v>PVC rasgado</v>
      </c>
      <c r="K116" s="49" t="e">
        <f t="shared" si="47"/>
        <v>#DIV/0!</v>
      </c>
      <c r="L116" s="49">
        <f t="shared" si="48"/>
        <v>0</v>
      </c>
      <c r="M116" s="49">
        <f t="shared" si="52"/>
        <v>0</v>
      </c>
      <c r="N116" s="49" t="e">
        <f t="shared" si="49"/>
        <v>#DIV/0!</v>
      </c>
      <c r="O116" s="49" t="e">
        <f t="shared" si="50"/>
        <v>#DIV/0!</v>
      </c>
    </row>
    <row r="117" spans="1:21">
      <c r="A117" s="63">
        <v>18</v>
      </c>
      <c r="B117" s="42" t="s">
        <v>63</v>
      </c>
      <c r="C117" s="48">
        <f>'SHRINK 4S - 2T'!AD78</f>
        <v>0</v>
      </c>
      <c r="D117" s="48" t="e">
        <f t="shared" si="43"/>
        <v>#DIV/0!</v>
      </c>
      <c r="F117" s="48">
        <f t="shared" si="51"/>
        <v>18</v>
      </c>
      <c r="G117">
        <f t="shared" si="44"/>
        <v>2</v>
      </c>
      <c r="H117">
        <f t="shared" si="45"/>
        <v>2</v>
      </c>
      <c r="J117" t="str">
        <f t="shared" si="46"/>
        <v>PVC Mal impresso</v>
      </c>
      <c r="K117" s="49" t="e">
        <f t="shared" si="47"/>
        <v>#DIV/0!</v>
      </c>
      <c r="L117" s="49">
        <f t="shared" si="48"/>
        <v>0</v>
      </c>
      <c r="M117" s="49">
        <f t="shared" si="52"/>
        <v>0</v>
      </c>
      <c r="N117" s="49" t="e">
        <f t="shared" si="49"/>
        <v>#DIV/0!</v>
      </c>
      <c r="O117" s="49" t="e">
        <f t="shared" si="50"/>
        <v>#DIV/0!</v>
      </c>
    </row>
    <row r="118" spans="1:21" ht="13.5" thickBot="1">
      <c r="A118" s="119">
        <v>19</v>
      </c>
      <c r="B118" s="91" t="s">
        <v>64</v>
      </c>
      <c r="C118" s="48">
        <f>'SHRINK 4S - 2T'!AD79</f>
        <v>0</v>
      </c>
      <c r="D118" s="48" t="e">
        <f t="shared" si="43"/>
        <v>#DIV/0!</v>
      </c>
      <c r="F118" s="48">
        <f t="shared" si="51"/>
        <v>19</v>
      </c>
      <c r="G118">
        <f t="shared" si="44"/>
        <v>1</v>
      </c>
      <c r="H118">
        <f t="shared" si="45"/>
        <v>1</v>
      </c>
      <c r="J118" t="str">
        <f t="shared" si="46"/>
        <v>Pilha deformada</v>
      </c>
      <c r="K118" s="49" t="e">
        <f t="shared" si="47"/>
        <v>#DIV/0!</v>
      </c>
      <c r="L118" s="49">
        <f t="shared" si="48"/>
        <v>0</v>
      </c>
      <c r="M118" s="49">
        <f t="shared" si="52"/>
        <v>0</v>
      </c>
      <c r="N118" s="49" t="e">
        <f t="shared" si="49"/>
        <v>#DIV/0!</v>
      </c>
      <c r="O118" s="49" t="e">
        <f t="shared" si="50"/>
        <v>#DIV/0!</v>
      </c>
    </row>
    <row r="119" spans="1:21">
      <c r="A119" s="156" t="s">
        <v>3</v>
      </c>
      <c r="B119" s="158"/>
      <c r="C119" s="48">
        <f>'SHRINK 4S - 2T'!AD80</f>
        <v>0</v>
      </c>
      <c r="D119" s="48" t="e">
        <f t="shared" si="43"/>
        <v>#DIV/0!</v>
      </c>
    </row>
    <row r="121" spans="1:21">
      <c r="C121" s="53" t="s">
        <v>73</v>
      </c>
    </row>
    <row r="122" spans="1:21">
      <c r="C122" t="s">
        <v>16</v>
      </c>
      <c r="D122" t="s">
        <v>12</v>
      </c>
    </row>
    <row r="123" spans="1:21" ht="13.5" thickBot="1">
      <c r="C123" s="48">
        <f>PROD_4S2T</f>
        <v>0</v>
      </c>
      <c r="Q123" t="s">
        <v>52</v>
      </c>
      <c r="R123" s="49">
        <f>COUNTIF($N$76:$N$91,"&lt;100")+1</f>
        <v>1</v>
      </c>
    </row>
    <row r="124" spans="1:21">
      <c r="A124" s="37">
        <v>1</v>
      </c>
      <c r="B124" s="41" t="str">
        <f>'SHRINK 4S - 3T'!C13</f>
        <v>Pilha deformada</v>
      </c>
      <c r="C124" s="48">
        <f>'SHRINK 4S - 3T'!AD61</f>
        <v>0</v>
      </c>
      <c r="D124" s="48" t="e">
        <f t="shared" ref="D124:D143" si="53">C124/C$75*1000000</f>
        <v>#DIV/0!</v>
      </c>
      <c r="F124" s="48">
        <f>C124*10000+A124</f>
        <v>1</v>
      </c>
      <c r="G124">
        <f t="shared" ref="G124:G142" si="54">LARGE(F$76:F$94,A124)</f>
        <v>19</v>
      </c>
      <c r="H124">
        <f t="shared" ref="H124:H142" si="55">MATCH(G124,F$76:F$94,0)</f>
        <v>19</v>
      </c>
      <c r="J124" t="str">
        <f t="shared" ref="J124:J142" si="56">VLOOKUP(H124,A$28:D$43,2,TRUE)</f>
        <v>Outros (Montagem)</v>
      </c>
      <c r="K124" s="49" t="e">
        <f t="shared" ref="K124:K142" si="57">VLOOKUP(H124,A$76:D$94,4,FALSE)</f>
        <v>#DIV/0!</v>
      </c>
      <c r="L124" s="49">
        <f t="shared" ref="L124:L142" si="58">VLOOKUP(H124,A$76:C$94,3,FALSE)</f>
        <v>0</v>
      </c>
      <c r="M124" s="49">
        <f>L124</f>
        <v>0</v>
      </c>
      <c r="N124" s="49" t="e">
        <f t="shared" ref="N124:N142" si="59">M124/$M$94*100</f>
        <v>#DIV/0!</v>
      </c>
      <c r="O124" s="49" t="e">
        <f t="shared" ref="O124:O142" si="60">IF(($D$95&gt;TARGET_2S)*(N124&lt;=80),0,K124)</f>
        <v>#DIV/0!</v>
      </c>
      <c r="Q124" t="s">
        <v>86</v>
      </c>
      <c r="R124" t="str">
        <f ca="1">OFFSET($J$124,0,0,COUNTIF($N$124:$N$142,"&lt;100")+1,1)</f>
        <v>Outros (Montagem)</v>
      </c>
      <c r="T124" t="s">
        <v>87</v>
      </c>
      <c r="U124" t="e">
        <f ca="1">OFFSET($N$124,0,0,COUNTIF($N$124:$N$142,"&lt;100")+1,1)</f>
        <v>#DIV/0!</v>
      </c>
    </row>
    <row r="125" spans="1:21">
      <c r="A125" s="38">
        <v>2</v>
      </c>
      <c r="B125" s="42" t="str">
        <f>'SHRINK 4S - 3T'!C14</f>
        <v>PVC Mal impresso</v>
      </c>
      <c r="C125" s="48">
        <f>'SHRINK 4S - 3T'!AD62</f>
        <v>0</v>
      </c>
      <c r="D125" s="48" t="e">
        <f t="shared" si="53"/>
        <v>#DIV/0!</v>
      </c>
      <c r="F125" s="48">
        <f t="shared" ref="F125:F142" si="61">C125*10000+A125</f>
        <v>2</v>
      </c>
      <c r="G125">
        <f t="shared" si="54"/>
        <v>18</v>
      </c>
      <c r="H125">
        <f t="shared" si="55"/>
        <v>18</v>
      </c>
      <c r="J125" t="str">
        <f t="shared" si="56"/>
        <v>Outros (Montagem)</v>
      </c>
      <c r="K125" s="49" t="e">
        <f t="shared" si="57"/>
        <v>#DIV/0!</v>
      </c>
      <c r="L125" s="49">
        <f t="shared" si="58"/>
        <v>0</v>
      </c>
      <c r="M125" s="49">
        <f>L125+M124</f>
        <v>0</v>
      </c>
      <c r="N125" s="49" t="e">
        <f t="shared" si="59"/>
        <v>#DIV/0!</v>
      </c>
      <c r="O125" s="49" t="e">
        <f t="shared" si="60"/>
        <v>#DIV/0!</v>
      </c>
      <c r="Q125" t="s">
        <v>88</v>
      </c>
      <c r="R125" t="e">
        <f ca="1">OFFSET($K$124,0,0,COUNTIF($N$124:$N$142,"&lt;100")+1,1)</f>
        <v>#DIV/0!</v>
      </c>
      <c r="T125" t="s">
        <v>89</v>
      </c>
      <c r="U125" t="e">
        <f ca="1">OFFSET($O$124,0,0,COUNTIF($N$124:$N$142,"&lt;100")+1,1)</f>
        <v>#DIV/0!</v>
      </c>
    </row>
    <row r="126" spans="1:21">
      <c r="A126" s="38">
        <v>3</v>
      </c>
      <c r="B126" s="42" t="str">
        <f>'SHRINK 4S - 3T'!C15</f>
        <v>PVC rasgado</v>
      </c>
      <c r="C126" s="48">
        <f>'SHRINK 4S - 3T'!AD63</f>
        <v>0</v>
      </c>
      <c r="D126" s="48" t="e">
        <f t="shared" si="53"/>
        <v>#DIV/0!</v>
      </c>
      <c r="F126" s="48">
        <f t="shared" si="61"/>
        <v>3</v>
      </c>
      <c r="G126">
        <f t="shared" si="54"/>
        <v>17</v>
      </c>
      <c r="H126">
        <f t="shared" si="55"/>
        <v>17</v>
      </c>
      <c r="J126" t="str">
        <f t="shared" si="56"/>
        <v>Outros (Montagem)</v>
      </c>
      <c r="K126" s="49" t="e">
        <f t="shared" si="57"/>
        <v>#DIV/0!</v>
      </c>
      <c r="L126" s="49">
        <f t="shared" si="58"/>
        <v>0</v>
      </c>
      <c r="M126" s="49">
        <f t="shared" ref="M126:M142" si="62">L126+M125</f>
        <v>0</v>
      </c>
      <c r="N126" s="49" t="e">
        <f t="shared" si="59"/>
        <v>#DIV/0!</v>
      </c>
      <c r="O126" s="49" t="e">
        <f t="shared" si="60"/>
        <v>#DIV/0!</v>
      </c>
    </row>
    <row r="127" spans="1:21">
      <c r="A127" s="38">
        <v>4</v>
      </c>
      <c r="B127" s="42" t="str">
        <f>'SHRINK 4S - 3T'!C16</f>
        <v>PVC deformado</v>
      </c>
      <c r="C127" s="48">
        <f>'SHRINK 4S - 3T'!AD64</f>
        <v>0</v>
      </c>
      <c r="D127" s="48" t="e">
        <f t="shared" si="53"/>
        <v>#DIV/0!</v>
      </c>
      <c r="F127" s="48">
        <f t="shared" si="61"/>
        <v>4</v>
      </c>
      <c r="G127">
        <f t="shared" si="54"/>
        <v>16</v>
      </c>
      <c r="H127">
        <f t="shared" si="55"/>
        <v>16</v>
      </c>
      <c r="J127" t="str">
        <f t="shared" si="56"/>
        <v>Outros (Montagem)</v>
      </c>
      <c r="K127" s="49" t="e">
        <f t="shared" si="57"/>
        <v>#DIV/0!</v>
      </c>
      <c r="L127" s="49">
        <f t="shared" si="58"/>
        <v>0</v>
      </c>
      <c r="M127" s="49">
        <f t="shared" si="62"/>
        <v>0</v>
      </c>
      <c r="N127" s="49" t="e">
        <f t="shared" si="59"/>
        <v>#DIV/0!</v>
      </c>
      <c r="O127" s="49" t="e">
        <f t="shared" si="60"/>
        <v>#DIV/0!</v>
      </c>
    </row>
    <row r="128" spans="1:21">
      <c r="A128" s="38">
        <v>5</v>
      </c>
      <c r="B128" s="42" t="str">
        <f>'SHRINK 4S - 3T'!C17</f>
        <v>Outros (Sleeve)</v>
      </c>
      <c r="C128" s="48">
        <f>'SHRINK 4S - 3T'!AD65</f>
        <v>0</v>
      </c>
      <c r="D128" s="48" t="e">
        <f t="shared" si="53"/>
        <v>#DIV/0!</v>
      </c>
      <c r="F128" s="48">
        <f t="shared" si="61"/>
        <v>5</v>
      </c>
      <c r="G128">
        <f t="shared" si="54"/>
        <v>15</v>
      </c>
      <c r="H128">
        <f t="shared" si="55"/>
        <v>15</v>
      </c>
      <c r="J128" t="str">
        <f t="shared" si="56"/>
        <v>Pilha amassada</v>
      </c>
      <c r="K128" s="49" t="e">
        <f t="shared" si="57"/>
        <v>#DIV/0!</v>
      </c>
      <c r="L128" s="49">
        <f t="shared" si="58"/>
        <v>0</v>
      </c>
      <c r="M128" s="49">
        <f t="shared" si="62"/>
        <v>0</v>
      </c>
      <c r="N128" s="49" t="e">
        <f t="shared" si="59"/>
        <v>#DIV/0!</v>
      </c>
      <c r="O128" s="49" t="e">
        <f t="shared" si="60"/>
        <v>#DIV/0!</v>
      </c>
    </row>
    <row r="129" spans="1:15">
      <c r="A129" s="38">
        <v>6</v>
      </c>
      <c r="B129" s="42" t="str">
        <f>'SHRINK 4S - 3T'!C18</f>
        <v>Sem Cap</v>
      </c>
      <c r="C129" s="48">
        <f>'SHRINK 4S - 3T'!AD66</f>
        <v>0</v>
      </c>
      <c r="D129" s="48" t="e">
        <f t="shared" si="53"/>
        <v>#DIV/0!</v>
      </c>
      <c r="F129" s="48">
        <f t="shared" si="61"/>
        <v>6</v>
      </c>
      <c r="G129">
        <f t="shared" si="54"/>
        <v>14</v>
      </c>
      <c r="H129">
        <f t="shared" si="55"/>
        <v>14</v>
      </c>
      <c r="J129" t="str">
        <f t="shared" si="56"/>
        <v>Tubo de Zinco Trincado</v>
      </c>
      <c r="K129" s="49" t="e">
        <f t="shared" si="57"/>
        <v>#DIV/0!</v>
      </c>
      <c r="L129" s="49">
        <f t="shared" si="58"/>
        <v>0</v>
      </c>
      <c r="M129" s="49">
        <f t="shared" si="62"/>
        <v>0</v>
      </c>
      <c r="N129" s="49" t="e">
        <f t="shared" si="59"/>
        <v>#DIV/0!</v>
      </c>
      <c r="O129" s="49" t="e">
        <f t="shared" si="60"/>
        <v>#DIV/0!</v>
      </c>
    </row>
    <row r="130" spans="1:15">
      <c r="A130" s="38">
        <v>7</v>
      </c>
      <c r="B130" s="42" t="str">
        <f>'SHRINK 4S - 3T'!C19</f>
        <v>Cap Amassado / Afundado</v>
      </c>
      <c r="C130" s="48">
        <f>'SHRINK 4S - 3T'!AD67</f>
        <v>0</v>
      </c>
      <c r="D130" s="48" t="e">
        <f t="shared" si="53"/>
        <v>#DIV/0!</v>
      </c>
      <c r="F130" s="48">
        <f t="shared" si="61"/>
        <v>7</v>
      </c>
      <c r="G130">
        <f t="shared" si="54"/>
        <v>13</v>
      </c>
      <c r="H130">
        <f t="shared" si="55"/>
        <v>13</v>
      </c>
      <c r="J130" t="str">
        <f t="shared" si="56"/>
        <v>Fundo sujo</v>
      </c>
      <c r="K130" s="49" t="e">
        <f t="shared" si="57"/>
        <v>#DIV/0!</v>
      </c>
      <c r="L130" s="49">
        <f t="shared" si="58"/>
        <v>0</v>
      </c>
      <c r="M130" s="49">
        <f t="shared" si="62"/>
        <v>0</v>
      </c>
      <c r="N130" s="49" t="e">
        <f t="shared" si="59"/>
        <v>#DIV/0!</v>
      </c>
      <c r="O130" s="49" t="e">
        <f t="shared" si="60"/>
        <v>#DIV/0!</v>
      </c>
    </row>
    <row r="131" spans="1:15">
      <c r="A131" s="38">
        <v>8</v>
      </c>
      <c r="B131" s="42" t="str">
        <f>'SHRINK 4S - 3T'!C20</f>
        <v>Cap Rachado</v>
      </c>
      <c r="C131" s="48">
        <f>'SHRINK 4S - 3T'!AD68</f>
        <v>0</v>
      </c>
      <c r="D131" s="48" t="e">
        <f t="shared" si="53"/>
        <v>#DIV/0!</v>
      </c>
      <c r="F131" s="48">
        <f t="shared" si="61"/>
        <v>8</v>
      </c>
      <c r="G131">
        <f t="shared" si="54"/>
        <v>12</v>
      </c>
      <c r="H131">
        <f t="shared" si="55"/>
        <v>12</v>
      </c>
      <c r="J131" t="str">
        <f t="shared" si="56"/>
        <v>Bottom Plate Amassado</v>
      </c>
      <c r="K131" s="49" t="e">
        <f t="shared" si="57"/>
        <v>#DIV/0!</v>
      </c>
      <c r="L131" s="49">
        <f t="shared" si="58"/>
        <v>0</v>
      </c>
      <c r="M131" s="49">
        <f t="shared" si="62"/>
        <v>0</v>
      </c>
      <c r="N131" s="49" t="e">
        <f t="shared" si="59"/>
        <v>#DIV/0!</v>
      </c>
      <c r="O131" s="49" t="e">
        <f t="shared" si="60"/>
        <v>#DIV/0!</v>
      </c>
    </row>
    <row r="132" spans="1:15">
      <c r="A132" s="38">
        <v>9</v>
      </c>
      <c r="B132" s="42" t="str">
        <f>'SHRINK 4S - 3T'!C21</f>
        <v>PY Deslocado</v>
      </c>
      <c r="C132" s="48">
        <f>'SHRINK 4S - 3T'!AD69</f>
        <v>0</v>
      </c>
      <c r="D132" s="48" t="e">
        <f t="shared" si="53"/>
        <v>#DIV/0!</v>
      </c>
      <c r="F132" s="48">
        <f t="shared" si="61"/>
        <v>9</v>
      </c>
      <c r="G132">
        <f t="shared" si="54"/>
        <v>11</v>
      </c>
      <c r="H132">
        <f t="shared" si="55"/>
        <v>11</v>
      </c>
      <c r="J132" t="str">
        <f t="shared" si="56"/>
        <v>Sem Bottom Plate</v>
      </c>
      <c r="K132" s="49" t="e">
        <f t="shared" si="57"/>
        <v>#DIV/0!</v>
      </c>
      <c r="L132" s="49">
        <f t="shared" si="58"/>
        <v>0</v>
      </c>
      <c r="M132" s="49">
        <f t="shared" si="62"/>
        <v>0</v>
      </c>
      <c r="N132" s="49" t="e">
        <f t="shared" si="59"/>
        <v>#DIV/0!</v>
      </c>
      <c r="O132" s="49" t="e">
        <f t="shared" si="60"/>
        <v>#DIV/0!</v>
      </c>
    </row>
    <row r="133" spans="1:15">
      <c r="A133" s="38">
        <v>10</v>
      </c>
      <c r="B133" s="42" t="str">
        <f>'SHRINK 4S - 3T'!C22</f>
        <v>Sem PY</v>
      </c>
      <c r="C133" s="48">
        <f>'SHRINK 4S - 3T'!AD70</f>
        <v>0</v>
      </c>
      <c r="D133" s="48" t="e">
        <f t="shared" si="53"/>
        <v>#DIV/0!</v>
      </c>
      <c r="F133" s="48">
        <f t="shared" si="61"/>
        <v>10</v>
      </c>
      <c r="G133">
        <f t="shared" si="54"/>
        <v>10</v>
      </c>
      <c r="H133">
        <f t="shared" si="55"/>
        <v>10</v>
      </c>
      <c r="J133" t="str">
        <f t="shared" si="56"/>
        <v>Sem PY</v>
      </c>
      <c r="K133" s="49" t="e">
        <f t="shared" si="57"/>
        <v>#DIV/0!</v>
      </c>
      <c r="L133" s="49">
        <f t="shared" si="58"/>
        <v>0</v>
      </c>
      <c r="M133" s="49">
        <f t="shared" si="62"/>
        <v>0</v>
      </c>
      <c r="N133" s="49" t="e">
        <f t="shared" si="59"/>
        <v>#DIV/0!</v>
      </c>
      <c r="O133" s="49" t="e">
        <f t="shared" si="60"/>
        <v>#DIV/0!</v>
      </c>
    </row>
    <row r="134" spans="1:15">
      <c r="A134" s="38">
        <v>11</v>
      </c>
      <c r="B134" s="42" t="str">
        <f>'SHRINK 4S - 3T'!C23</f>
        <v>Sem Bottom Plate</v>
      </c>
      <c r="C134" s="48">
        <f>'SHRINK 4S - 3T'!AD71</f>
        <v>0</v>
      </c>
      <c r="D134" s="48" t="e">
        <f t="shared" si="53"/>
        <v>#DIV/0!</v>
      </c>
      <c r="F134" s="48">
        <f t="shared" si="61"/>
        <v>11</v>
      </c>
      <c r="G134">
        <f t="shared" si="54"/>
        <v>9</v>
      </c>
      <c r="H134">
        <f t="shared" si="55"/>
        <v>9</v>
      </c>
      <c r="J134" t="str">
        <f t="shared" si="56"/>
        <v>PY Deslocado</v>
      </c>
      <c r="K134" s="49" t="e">
        <f t="shared" si="57"/>
        <v>#DIV/0!</v>
      </c>
      <c r="L134" s="49">
        <f t="shared" si="58"/>
        <v>0</v>
      </c>
      <c r="M134" s="49">
        <f t="shared" si="62"/>
        <v>0</v>
      </c>
      <c r="N134" s="49" t="e">
        <f t="shared" si="59"/>
        <v>#DIV/0!</v>
      </c>
      <c r="O134" s="49" t="e">
        <f t="shared" si="60"/>
        <v>#DIV/0!</v>
      </c>
    </row>
    <row r="135" spans="1:15">
      <c r="A135" s="38">
        <v>12</v>
      </c>
      <c r="B135" s="42" t="str">
        <f>'SHRINK 4S - 3T'!C24</f>
        <v>Bottom Plate Amassado</v>
      </c>
      <c r="C135" s="48">
        <f>'SHRINK 4S - 3T'!AD72</f>
        <v>0</v>
      </c>
      <c r="D135" s="48" t="e">
        <f t="shared" si="53"/>
        <v>#DIV/0!</v>
      </c>
      <c r="F135" s="48">
        <f t="shared" si="61"/>
        <v>12</v>
      </c>
      <c r="G135">
        <f t="shared" si="54"/>
        <v>8</v>
      </c>
      <c r="H135">
        <f t="shared" si="55"/>
        <v>8</v>
      </c>
      <c r="J135" t="str">
        <f t="shared" si="56"/>
        <v>Cap Rachado</v>
      </c>
      <c r="K135" s="49" t="e">
        <f t="shared" si="57"/>
        <v>#DIV/0!</v>
      </c>
      <c r="L135" s="49">
        <f t="shared" si="58"/>
        <v>0</v>
      </c>
      <c r="M135" s="49">
        <f t="shared" si="62"/>
        <v>0</v>
      </c>
      <c r="N135" s="49" t="e">
        <f t="shared" si="59"/>
        <v>#DIV/0!</v>
      </c>
      <c r="O135" s="49" t="e">
        <f t="shared" si="60"/>
        <v>#DIV/0!</v>
      </c>
    </row>
    <row r="136" spans="1:15">
      <c r="A136" s="38">
        <v>13</v>
      </c>
      <c r="B136" s="42" t="str">
        <f>'SHRINK 4S - 3T'!C25</f>
        <v>Fundo sujo</v>
      </c>
      <c r="C136" s="48">
        <f>'SHRINK 4S - 3T'!AD73</f>
        <v>0</v>
      </c>
      <c r="D136" s="48" t="e">
        <f t="shared" si="53"/>
        <v>#DIV/0!</v>
      </c>
      <c r="F136" s="48">
        <f t="shared" si="61"/>
        <v>13</v>
      </c>
      <c r="G136">
        <f t="shared" si="54"/>
        <v>7</v>
      </c>
      <c r="H136">
        <f t="shared" si="55"/>
        <v>7</v>
      </c>
      <c r="J136" t="str">
        <f t="shared" si="56"/>
        <v>Cap Amassado / Afundado</v>
      </c>
      <c r="K136" s="49" t="e">
        <f t="shared" si="57"/>
        <v>#DIV/0!</v>
      </c>
      <c r="L136" s="49">
        <f t="shared" si="58"/>
        <v>0</v>
      </c>
      <c r="M136" s="49">
        <f t="shared" si="62"/>
        <v>0</v>
      </c>
      <c r="N136" s="49" t="e">
        <f t="shared" si="59"/>
        <v>#DIV/0!</v>
      </c>
      <c r="O136" s="49" t="e">
        <f t="shared" si="60"/>
        <v>#DIV/0!</v>
      </c>
    </row>
    <row r="137" spans="1:15">
      <c r="A137" s="38">
        <v>14</v>
      </c>
      <c r="B137" s="42" t="str">
        <f>'SHRINK 4S - 3T'!C26</f>
        <v>Tubo de Zinco Trincado</v>
      </c>
      <c r="C137" s="48">
        <f>'SHRINK 4S - 3T'!AD74</f>
        <v>0</v>
      </c>
      <c r="D137" s="48" t="e">
        <f t="shared" si="53"/>
        <v>#DIV/0!</v>
      </c>
      <c r="F137" s="48">
        <f t="shared" si="61"/>
        <v>14</v>
      </c>
      <c r="G137">
        <f t="shared" si="54"/>
        <v>6</v>
      </c>
      <c r="H137">
        <f t="shared" si="55"/>
        <v>6</v>
      </c>
      <c r="J137" t="str">
        <f t="shared" si="56"/>
        <v>Sem Cap</v>
      </c>
      <c r="K137" s="49" t="e">
        <f t="shared" si="57"/>
        <v>#DIV/0!</v>
      </c>
      <c r="L137" s="49">
        <f t="shared" si="58"/>
        <v>0</v>
      </c>
      <c r="M137" s="49">
        <f t="shared" si="62"/>
        <v>0</v>
      </c>
      <c r="N137" s="49" t="e">
        <f t="shared" si="59"/>
        <v>#DIV/0!</v>
      </c>
      <c r="O137" s="49" t="e">
        <f t="shared" si="60"/>
        <v>#DIV/0!</v>
      </c>
    </row>
    <row r="138" spans="1:15">
      <c r="A138" s="38">
        <v>15</v>
      </c>
      <c r="B138" s="42" t="str">
        <f>'SHRINK 4S - 3T'!C27</f>
        <v>Pilha amassada</v>
      </c>
      <c r="C138" s="48">
        <f>'SHRINK 4S - 3T'!AD75</f>
        <v>0</v>
      </c>
      <c r="D138" s="48" t="e">
        <f t="shared" si="53"/>
        <v>#DIV/0!</v>
      </c>
      <c r="F138" s="48">
        <f t="shared" si="61"/>
        <v>15</v>
      </c>
      <c r="G138">
        <f t="shared" si="54"/>
        <v>5</v>
      </c>
      <c r="H138">
        <f t="shared" si="55"/>
        <v>5</v>
      </c>
      <c r="J138" t="str">
        <f t="shared" si="56"/>
        <v>Outros (Sleeve)</v>
      </c>
      <c r="K138" s="49" t="e">
        <f t="shared" si="57"/>
        <v>#DIV/0!</v>
      </c>
      <c r="L138" s="49">
        <f t="shared" si="58"/>
        <v>0</v>
      </c>
      <c r="M138" s="49">
        <f t="shared" si="62"/>
        <v>0</v>
      </c>
      <c r="N138" s="49" t="e">
        <f t="shared" si="59"/>
        <v>#DIV/0!</v>
      </c>
      <c r="O138" s="49" t="e">
        <f t="shared" si="60"/>
        <v>#DIV/0!</v>
      </c>
    </row>
    <row r="139" spans="1:15">
      <c r="A139" s="38">
        <v>16</v>
      </c>
      <c r="B139" s="42" t="str">
        <f>'SHRINK 4S - 3T'!C28</f>
        <v>Outros (Montagem)</v>
      </c>
      <c r="C139" s="48">
        <f>'SHRINK 4S - 3T'!AD76</f>
        <v>0</v>
      </c>
      <c r="D139" s="48" t="e">
        <f t="shared" si="53"/>
        <v>#DIV/0!</v>
      </c>
      <c r="F139" s="48">
        <f t="shared" si="61"/>
        <v>16</v>
      </c>
      <c r="G139">
        <f t="shared" si="54"/>
        <v>4</v>
      </c>
      <c r="H139">
        <f t="shared" si="55"/>
        <v>4</v>
      </c>
      <c r="J139" t="str">
        <f t="shared" si="56"/>
        <v>PVC deformado</v>
      </c>
      <c r="K139" s="49" t="e">
        <f t="shared" si="57"/>
        <v>#DIV/0!</v>
      </c>
      <c r="L139" s="49">
        <f t="shared" si="58"/>
        <v>0</v>
      </c>
      <c r="M139" s="49">
        <f t="shared" si="62"/>
        <v>0</v>
      </c>
      <c r="N139" s="49" t="e">
        <f t="shared" si="59"/>
        <v>#DIV/0!</v>
      </c>
      <c r="O139" s="49" t="e">
        <f t="shared" si="60"/>
        <v>#DIV/0!</v>
      </c>
    </row>
    <row r="140" spans="1:15" ht="25.5">
      <c r="A140" s="38">
        <v>17</v>
      </c>
      <c r="B140" s="115" t="str">
        <f>'SHRINK 4S - 3T'!C29</f>
        <v>Amassada na saída da encaixotadeira</v>
      </c>
      <c r="C140" s="48">
        <f>'SHRINK 4S - 3T'!AD77</f>
        <v>0</v>
      </c>
      <c r="D140" s="48" t="e">
        <f t="shared" si="53"/>
        <v>#DIV/0!</v>
      </c>
      <c r="F140" s="48">
        <f t="shared" si="61"/>
        <v>17</v>
      </c>
      <c r="G140">
        <f t="shared" si="54"/>
        <v>3</v>
      </c>
      <c r="H140">
        <f t="shared" si="55"/>
        <v>3</v>
      </c>
      <c r="J140" t="str">
        <f t="shared" si="56"/>
        <v>PVC rasgado</v>
      </c>
      <c r="K140" s="49" t="e">
        <f t="shared" si="57"/>
        <v>#DIV/0!</v>
      </c>
      <c r="L140" s="49">
        <f t="shared" si="58"/>
        <v>0</v>
      </c>
      <c r="M140" s="49">
        <f t="shared" si="62"/>
        <v>0</v>
      </c>
      <c r="N140" s="49" t="e">
        <f t="shared" si="59"/>
        <v>#DIV/0!</v>
      </c>
      <c r="O140" s="49" t="e">
        <f t="shared" si="60"/>
        <v>#DIV/0!</v>
      </c>
    </row>
    <row r="141" spans="1:15">
      <c r="A141" s="38">
        <v>18</v>
      </c>
      <c r="B141" s="42" t="str">
        <f>'SHRINK 4S - 3T'!C30</f>
        <v>Amassada na faca</v>
      </c>
      <c r="C141" s="48">
        <f>'SHRINK 4S - 3T'!AD78</f>
        <v>0</v>
      </c>
      <c r="D141" s="48" t="e">
        <f t="shared" si="53"/>
        <v>#DIV/0!</v>
      </c>
      <c r="F141" s="48">
        <f t="shared" si="61"/>
        <v>18</v>
      </c>
      <c r="G141">
        <f t="shared" si="54"/>
        <v>2</v>
      </c>
      <c r="H141">
        <f t="shared" si="55"/>
        <v>2</v>
      </c>
      <c r="J141" t="str">
        <f t="shared" si="56"/>
        <v>PVC Mal impresso</v>
      </c>
      <c r="K141" s="49" t="e">
        <f t="shared" si="57"/>
        <v>#DIV/0!</v>
      </c>
      <c r="L141" s="49">
        <f t="shared" si="58"/>
        <v>0</v>
      </c>
      <c r="M141" s="49">
        <f t="shared" si="62"/>
        <v>0</v>
      </c>
      <c r="N141" s="49" t="e">
        <f t="shared" si="59"/>
        <v>#DIV/0!</v>
      </c>
      <c r="O141" s="49" t="e">
        <f t="shared" si="60"/>
        <v>#DIV/0!</v>
      </c>
    </row>
    <row r="142" spans="1:15">
      <c r="A142" s="38">
        <v>19</v>
      </c>
      <c r="B142" s="42" t="str">
        <f>'SHRINK 4S - 3T'!C31</f>
        <v>Outros</v>
      </c>
      <c r="C142" s="48">
        <f>'SHRINK 4S - 3T'!AD79</f>
        <v>0</v>
      </c>
      <c r="D142" s="48" t="e">
        <f t="shared" si="53"/>
        <v>#DIV/0!</v>
      </c>
      <c r="F142" s="48">
        <f t="shared" si="61"/>
        <v>19</v>
      </c>
      <c r="G142">
        <f t="shared" si="54"/>
        <v>1</v>
      </c>
      <c r="H142">
        <f t="shared" si="55"/>
        <v>1</v>
      </c>
      <c r="J142" t="str">
        <f t="shared" si="56"/>
        <v>Pilha deformada</v>
      </c>
      <c r="K142" s="49" t="e">
        <f t="shared" si="57"/>
        <v>#DIV/0!</v>
      </c>
      <c r="L142" s="49">
        <f t="shared" si="58"/>
        <v>0</v>
      </c>
      <c r="M142" s="49">
        <f t="shared" si="62"/>
        <v>0</v>
      </c>
      <c r="N142" s="49" t="e">
        <f t="shared" si="59"/>
        <v>#DIV/0!</v>
      </c>
      <c r="O142" s="49" t="e">
        <f t="shared" si="60"/>
        <v>#DIV/0!</v>
      </c>
    </row>
    <row r="143" spans="1:15" ht="13.5" thickBot="1">
      <c r="A143" s="166" t="s">
        <v>3</v>
      </c>
      <c r="B143" s="167"/>
      <c r="C143" s="48">
        <f>'SHRINK 4S - 3T'!AD80</f>
        <v>0</v>
      </c>
      <c r="D143" s="48" t="e">
        <f t="shared" si="53"/>
        <v>#DIV/0!</v>
      </c>
    </row>
  </sheetData>
  <sheetProtection algorithmName="SHA-512" hashValue="fLAbwogfwIsR5+3AdQCnaZ7FhHbk/L19lzoZKromofzbq28ndqS/5TXJ/P65RGSLhMmoA6AISAxwMHG4m8eR6A==" saltValue="1t8zdX3aWQT87anz9L9XWA==" spinCount="100000" sheet="1" objects="1" scenarios="1" selectLockedCells="1"/>
  <mergeCells count="6">
    <mergeCell ref="A143:B143"/>
    <mergeCell ref="A47:B47"/>
    <mergeCell ref="A23:B23"/>
    <mergeCell ref="A71:B71"/>
    <mergeCell ref="A95:B95"/>
    <mergeCell ref="A119:B119"/>
  </mergeCells>
  <phoneticPr fontId="0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8</vt:i4>
      </vt:variant>
      <vt:variant>
        <vt:lpstr>Gráficos</vt:lpstr>
      </vt:variant>
      <vt:variant>
        <vt:i4>6</vt:i4>
      </vt:variant>
      <vt:variant>
        <vt:lpstr>Intervalos Nomeados</vt:lpstr>
      </vt:variant>
      <vt:variant>
        <vt:i4>20</vt:i4>
      </vt:variant>
    </vt:vector>
  </HeadingPairs>
  <TitlesOfParts>
    <vt:vector size="34" baseType="lpstr">
      <vt:lpstr>Instruções de Uso</vt:lpstr>
      <vt:lpstr>SHRINK 2S - Dia</vt:lpstr>
      <vt:lpstr>SHRINK 2S - 2T</vt:lpstr>
      <vt:lpstr>SHRINK 2S - 3T</vt:lpstr>
      <vt:lpstr>SHRINK 4S - Dia</vt:lpstr>
      <vt:lpstr>SHRINK 4S - 2T</vt:lpstr>
      <vt:lpstr>SHRINK 4S - 3T</vt:lpstr>
      <vt:lpstr>Dados para grafico</vt:lpstr>
      <vt:lpstr>Gráf1</vt:lpstr>
      <vt:lpstr>Gráf2</vt:lpstr>
      <vt:lpstr>Gráf3</vt:lpstr>
      <vt:lpstr>Gráf4</vt:lpstr>
      <vt:lpstr>Gráf5</vt:lpstr>
      <vt:lpstr>Gráf6</vt:lpstr>
      <vt:lpstr>'SHRINK 2S - 2T'!Area_de_impressao</vt:lpstr>
      <vt:lpstr>'SHRINK 2S - 3T'!Area_de_impressao</vt:lpstr>
      <vt:lpstr>'SHRINK 2S - Dia'!Area_de_impressao</vt:lpstr>
      <vt:lpstr>'SHRINK 4S - 2T'!Area_de_impressao</vt:lpstr>
      <vt:lpstr>'SHRINK 4S - 3T'!Area_de_impressao</vt:lpstr>
      <vt:lpstr>'SHRINK 4S - Dia'!Area_de_impressao</vt:lpstr>
      <vt:lpstr>'SHRINK 2S - 3T'!FALHAS_2S2T</vt:lpstr>
      <vt:lpstr>FALHAS_2S3T</vt:lpstr>
      <vt:lpstr>FALHAS_2SD</vt:lpstr>
      <vt:lpstr>FALHAS_4S2T</vt:lpstr>
      <vt:lpstr>'SHRINK 4S - 3T'!FALHAS_4S3T</vt:lpstr>
      <vt:lpstr>FALHAS_4SD</vt:lpstr>
      <vt:lpstr>PROD_2S2T</vt:lpstr>
      <vt:lpstr>'SHRINK 2S - 3T'!PROD_2S3T</vt:lpstr>
      <vt:lpstr>PROD_2SD</vt:lpstr>
      <vt:lpstr>PROD_4S2T</vt:lpstr>
      <vt:lpstr>'SHRINK 4S - 3T'!PROD_4S3T</vt:lpstr>
      <vt:lpstr>PROD_4SD</vt:lpstr>
      <vt:lpstr>TARGET_2S</vt:lpstr>
      <vt:lpstr>TARGET_4S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2021-04-26T18:58:43Z</cp:lastPrinted>
  <dcterms:created xsi:type="dcterms:W3CDTF">2003-08-12T11:40:09Z</dcterms:created>
  <dcterms:modified xsi:type="dcterms:W3CDTF">2022-02-21T11:27:13Z</dcterms:modified>
</cp:coreProperties>
</file>