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3) UM-4\VA\Acabamento\"/>
    </mc:Choice>
  </mc:AlternateContent>
  <xr:revisionPtr revIDLastSave="0" documentId="13_ncr:1_{B0E86491-A284-4534-AE41-1090A5EEFB96}" xr6:coauthVersionLast="47" xr6:coauthVersionMax="47" xr10:uidLastSave="{00000000-0000-0000-0000-000000000000}"/>
  <workbookProtection workbookAlgorithmName="SHA-512" workbookHashValue="alg7sTJ7m+fd1UMDUwZ3j52elIB7VSg/0bRS41iyiX4Zn56HFC4q0YHK46z6f231iiKcKjaMsZX6zJO/NwEFZg==" workbookSaltValue="CDADYwwW/GaiORIRCf7nQQ==" workbookSpinCount="100000" lockStructure="1"/>
  <bookViews>
    <workbookView xWindow="-120" yWindow="-120" windowWidth="29040" windowHeight="16440" activeTab="8" xr2:uid="{00000000-000D-0000-FFFF-FFFF00000000}"/>
  </bookViews>
  <sheets>
    <sheet name="Menu" sheetId="4" r:id="rId1"/>
    <sheet name="Falhas por Modelo" sheetId="10" state="hidden" r:id="rId2"/>
    <sheet name="Tipos de Defeitos" sheetId="26" state="hidden" r:id="rId3"/>
    <sheet name="UM-4 - Dia" sheetId="2" r:id="rId4"/>
    <sheet name="UM-4 - 2T" sheetId="27" r:id="rId5"/>
    <sheet name="UM-4 - 3T" sheetId="31" r:id="rId6"/>
    <sheet name="Totalização (MTG+ACB)" sheetId="28" r:id="rId7"/>
    <sheet name="Gráfico Total Falhas (D+N)" sheetId="30" r:id="rId8"/>
    <sheet name="Dados do Gráfico" sheetId="3" r:id="rId9"/>
  </sheets>
  <externalReferences>
    <externalReference r:id="rId10"/>
    <externalReference r:id="rId11"/>
    <externalReference r:id="rId12"/>
  </externalReferences>
  <definedNames>
    <definedName name="_xlnm.Print_Area" localSheetId="3">'UM-4 - Dia'!$B$3:$J$105</definedName>
    <definedName name="ColAcY">OFFSET('Totalização (MTG+ACB)'!$AB$28,0,0,COUNTIF('Totalização (MTG+ACB)'!$AB$28:$AB$94,"&lt;100")+1,1)</definedName>
    <definedName name="ColFalhasX">OFFSET('Totalização (MTG+ACB)'!$Y$28,0,0,COUNTIF('Totalização (MTG+ACB)'!$AB$28:$AB$94,"&lt;100")+1,1)</definedName>
    <definedName name="ColFalhasY">OFFSET('Totalização (MTG+ACB)'!$Z$28,0,0,COUNTIF('Totalização (MTG+ACB)'!$AB$28:$AB$94,"&lt;100")+1,1)</definedName>
    <definedName name="ColProbY">OFFSET('Totalização (MTG+ACB)'!$AC$28,0,0,COUNTIF('Totalização (MTG+ACB)'!$AB$28:$AB$94,"&lt;100")+1,1)</definedName>
    <definedName name="PRODUTOS" localSheetId="2">'Falhas por Modelo'!$C$1:$I$1</definedName>
    <definedName name="PRODUTOS">'Falhas por Modelo'!$C$1:$I$1</definedName>
    <definedName name="TAXA_A" localSheetId="6">'Totalização (MTG+ACB)'!$I$104</definedName>
    <definedName name="TAXA_A" localSheetId="5">'UM-4 - 3T'!$AS$104</definedName>
    <definedName name="TAXA_A">'UM-4 - 2T'!$AS$104</definedName>
    <definedName name="TAXA_V" localSheetId="6">'Totalização (MTG+ACB)'!$I$80</definedName>
    <definedName name="TAXA_V" localSheetId="5">'UM-4 - 3T'!$AS$80</definedName>
    <definedName name="TAXA_V">'UM-4 - 2T'!$AS$80</definedName>
    <definedName name="TD_VA_D">'UM-4 - Dia'!$AS$24</definedName>
    <definedName name="TD_VA_N" localSheetId="5">'UM-4 - 3T'!$AS$24</definedName>
    <definedName name="Total_Falhas_Dia" localSheetId="6">'Totalização (MTG+ACB)'!$I$10:$I$105</definedName>
    <definedName name="Total_Falhas_Dia" localSheetId="4">'UM-4 - 2T'!$AS$10:$AS$105</definedName>
    <definedName name="Total_Falhas_Dia" localSheetId="5">'UM-4 - 3T'!$AS$10:$AS$105</definedName>
    <definedName name="Total_Falhas_Dia">'UM-4 - Dia'!$AS$10:$AS$105</definedName>
    <definedName name="Total_Falhas_L1_Dia">'[1]UM-3 - L1 - Dia'!$AR$2:$AR$7,'[1]UM-3 - L1 - Dia'!$AR$23:$AR$77,'[1]UM-3 - L1 - Dia'!$AR$86:$AR$102</definedName>
    <definedName name="Total_Falhas_L1_Noite">'[1]UM-3 - L1 - Noite'!$AR$3:$AR$7,'[1]UM-3 - L1 - Noite'!$AR$23:$AR$77,'[1]UM-3 - L1 - Noite'!$AR$86:$AR$102</definedName>
    <definedName name="Total_Falhas_L2_Dia">'[1]UM-3 - L2 - Dia'!$AR$3:$AR$7,'[1]UM-3 - L2 - Dia'!$AR$23:$AR$77,'[1]UM-3 - L2 - Dia'!$AR$86:$AR$102</definedName>
    <definedName name="Total_Falhas_L2_Noite">'[1]UM-3 - L2 - Noite'!$AR$2:$AR$7,'[1]UM-3 - L2 - Noite'!$AR$23:$AR$77,'[1]UM-3 - L2 - Noite'!$AR$86:$AR$102</definedName>
    <definedName name="TT_VA_2T">'UM-4 - 2T'!$AS$24</definedName>
    <definedName name="TT_VA_3T">'Totalização (MTG+ACB)'!$J$24</definedName>
    <definedName name="TX_DA_TT">'Totalização (MTG+ACB)'!$O$104</definedName>
    <definedName name="TX_DV_TT">'Totalização (MTG+ACB)'!$O$80</definedName>
  </definedName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5" i="28" l="1"/>
  <c r="E105" i="28"/>
  <c r="D105" i="28"/>
  <c r="F104" i="28"/>
  <c r="E104" i="28"/>
  <c r="D104" i="28"/>
  <c r="F103" i="28"/>
  <c r="E103" i="28"/>
  <c r="D103" i="28"/>
  <c r="F102" i="28"/>
  <c r="E102" i="28"/>
  <c r="D102" i="28"/>
  <c r="F101" i="28"/>
  <c r="E101" i="28"/>
  <c r="D101" i="28"/>
  <c r="F100" i="28"/>
  <c r="E100" i="28"/>
  <c r="D100" i="28"/>
  <c r="F99" i="28"/>
  <c r="E99" i="28"/>
  <c r="D99" i="28"/>
  <c r="F98" i="28"/>
  <c r="E98" i="28"/>
  <c r="D98" i="28"/>
  <c r="F97" i="28"/>
  <c r="E97" i="28"/>
  <c r="D97" i="28"/>
  <c r="F96" i="28"/>
  <c r="E96" i="28"/>
  <c r="D96" i="28"/>
  <c r="F95" i="28"/>
  <c r="E95" i="28"/>
  <c r="D95" i="28"/>
  <c r="F94" i="28"/>
  <c r="E94" i="28"/>
  <c r="D94" i="28"/>
  <c r="F93" i="28"/>
  <c r="E93" i="28"/>
  <c r="D93" i="28"/>
  <c r="F92" i="28"/>
  <c r="E92" i="28"/>
  <c r="D92" i="28"/>
  <c r="F91" i="28"/>
  <c r="E91" i="28"/>
  <c r="D91" i="28"/>
  <c r="F90" i="28"/>
  <c r="E90" i="28"/>
  <c r="D90" i="28"/>
  <c r="F89" i="28"/>
  <c r="E89" i="28"/>
  <c r="D89" i="28"/>
  <c r="F88" i="28"/>
  <c r="E88" i="28"/>
  <c r="D88" i="28"/>
  <c r="F87" i="28"/>
  <c r="E87" i="28"/>
  <c r="D87" i="28"/>
  <c r="F86" i="28"/>
  <c r="E86" i="28"/>
  <c r="D86" i="28"/>
  <c r="F85" i="28"/>
  <c r="E85" i="28"/>
  <c r="D85" i="28"/>
  <c r="F81" i="28"/>
  <c r="E81" i="28"/>
  <c r="D81" i="28"/>
  <c r="F78" i="28"/>
  <c r="E78" i="28"/>
  <c r="D78" i="28"/>
  <c r="F77" i="28"/>
  <c r="E77" i="28"/>
  <c r="D77" i="28"/>
  <c r="F76" i="28"/>
  <c r="E76" i="28"/>
  <c r="D76" i="28"/>
  <c r="F75" i="28"/>
  <c r="E75" i="28"/>
  <c r="D75" i="28"/>
  <c r="F74" i="28"/>
  <c r="E74" i="28"/>
  <c r="D74" i="28"/>
  <c r="F73" i="28"/>
  <c r="E73" i="28"/>
  <c r="D73" i="28"/>
  <c r="F72" i="28"/>
  <c r="E72" i="28"/>
  <c r="D72" i="28"/>
  <c r="F71" i="28"/>
  <c r="E71" i="28"/>
  <c r="D71" i="28"/>
  <c r="F70" i="28"/>
  <c r="E70" i="28"/>
  <c r="D70" i="28"/>
  <c r="F69" i="28"/>
  <c r="E69" i="28"/>
  <c r="D69" i="28"/>
  <c r="F68" i="28"/>
  <c r="E68" i="28"/>
  <c r="D68" i="28"/>
  <c r="F67" i="28"/>
  <c r="E67" i="28"/>
  <c r="D67" i="28"/>
  <c r="F66" i="28"/>
  <c r="E66" i="28"/>
  <c r="D66" i="28"/>
  <c r="F65" i="28"/>
  <c r="E65" i="28"/>
  <c r="D65" i="28"/>
  <c r="F64" i="28"/>
  <c r="E64" i="28"/>
  <c r="D64" i="28"/>
  <c r="F63" i="28"/>
  <c r="E63" i="28"/>
  <c r="D63" i="28"/>
  <c r="F62" i="28"/>
  <c r="E62" i="28"/>
  <c r="D62" i="28"/>
  <c r="F61" i="28"/>
  <c r="E61" i="28"/>
  <c r="D61" i="28"/>
  <c r="F60" i="28"/>
  <c r="E60" i="28"/>
  <c r="D60" i="28"/>
  <c r="F59" i="28"/>
  <c r="E59" i="28"/>
  <c r="D59" i="28"/>
  <c r="F58" i="28"/>
  <c r="E58" i="28"/>
  <c r="D58" i="28"/>
  <c r="F57" i="28"/>
  <c r="E57" i="28"/>
  <c r="D57" i="28"/>
  <c r="F56" i="28"/>
  <c r="E56" i="28"/>
  <c r="D56" i="28"/>
  <c r="F55" i="28"/>
  <c r="E55" i="28"/>
  <c r="D55" i="28"/>
  <c r="F54" i="28"/>
  <c r="E54" i="28"/>
  <c r="D54" i="28"/>
  <c r="F53" i="28"/>
  <c r="E53" i="28"/>
  <c r="D53" i="28"/>
  <c r="F52" i="28"/>
  <c r="E52" i="28"/>
  <c r="D52" i="28"/>
  <c r="F51" i="28"/>
  <c r="E51" i="28"/>
  <c r="D51" i="28"/>
  <c r="F50" i="28"/>
  <c r="E50" i="28"/>
  <c r="D50" i="28"/>
  <c r="F49" i="28"/>
  <c r="E49" i="28"/>
  <c r="D49" i="28"/>
  <c r="F48" i="28"/>
  <c r="E48" i="28"/>
  <c r="D48" i="28"/>
  <c r="F47" i="28"/>
  <c r="E47" i="28"/>
  <c r="D47" i="28"/>
  <c r="F46" i="28"/>
  <c r="E46" i="28"/>
  <c r="D46" i="28"/>
  <c r="F45" i="28"/>
  <c r="E45" i="28"/>
  <c r="D45" i="28"/>
  <c r="F44" i="28"/>
  <c r="E44" i="28"/>
  <c r="D44" i="28"/>
  <c r="F43" i="28"/>
  <c r="E43" i="28"/>
  <c r="D43" i="28"/>
  <c r="F42" i="28"/>
  <c r="E42" i="28"/>
  <c r="D42" i="28"/>
  <c r="F41" i="28"/>
  <c r="E41" i="28"/>
  <c r="D41" i="28"/>
  <c r="F40" i="28"/>
  <c r="E40" i="28"/>
  <c r="D40" i="28"/>
  <c r="F39" i="28"/>
  <c r="E39" i="28"/>
  <c r="D39" i="28"/>
  <c r="F38" i="28"/>
  <c r="E38" i="28"/>
  <c r="D38" i="28"/>
  <c r="F37" i="28"/>
  <c r="E37" i="28"/>
  <c r="D37" i="28"/>
  <c r="F36" i="28"/>
  <c r="E36" i="28"/>
  <c r="D36" i="28"/>
  <c r="F35" i="28"/>
  <c r="E35" i="28"/>
  <c r="D35" i="28"/>
  <c r="F34" i="28"/>
  <c r="E34" i="28"/>
  <c r="D34" i="28"/>
  <c r="F33" i="28"/>
  <c r="E33" i="28"/>
  <c r="D33" i="28"/>
  <c r="F32" i="28"/>
  <c r="E32" i="28"/>
  <c r="D32" i="28"/>
  <c r="F31" i="28"/>
  <c r="E31" i="28"/>
  <c r="D31" i="28"/>
  <c r="F30" i="28"/>
  <c r="E30" i="28"/>
  <c r="D30" i="28"/>
  <c r="F29" i="28"/>
  <c r="E29" i="28"/>
  <c r="D29" i="28"/>
  <c r="F28" i="28"/>
  <c r="E28" i="28"/>
  <c r="D28" i="28"/>
  <c r="F27" i="28"/>
  <c r="E27" i="28"/>
  <c r="D27" i="28"/>
  <c r="F24" i="28"/>
  <c r="E24" i="28"/>
  <c r="D24" i="28"/>
  <c r="F23" i="28"/>
  <c r="E23" i="28"/>
  <c r="D23" i="28"/>
  <c r="F7" i="28"/>
  <c r="E7" i="28"/>
  <c r="D7" i="28"/>
  <c r="G80" i="28" a="1"/>
  <c r="G80" i="28" s="1"/>
  <c r="G79" i="28"/>
  <c r="I106" i="28"/>
  <c r="J106" i="28" s="1"/>
  <c r="K106" i="28" s="1"/>
  <c r="L106" i="28" s="1"/>
  <c r="M106" i="28" s="1"/>
  <c r="N106" i="28" s="1"/>
  <c r="O106" i="28" s="1"/>
  <c r="H106" i="28"/>
  <c r="D109" i="28" l="1"/>
  <c r="D111" i="28"/>
  <c r="E109" i="28"/>
  <c r="E111" i="28"/>
  <c r="D108" i="28"/>
  <c r="F109" i="28"/>
  <c r="F111" i="28"/>
  <c r="E108" i="28"/>
  <c r="D110" i="28"/>
  <c r="F108" i="28"/>
  <c r="E110" i="28"/>
  <c r="F110" i="28"/>
  <c r="F82" i="28"/>
  <c r="D80" i="28"/>
  <c r="D79" i="28" l="1"/>
  <c r="E79" i="28"/>
  <c r="F79" i="28"/>
  <c r="E80" i="28"/>
  <c r="D82" i="28"/>
  <c r="F80" i="28"/>
  <c r="E82" i="28"/>
  <c r="P103" i="27"/>
  <c r="Q103" i="27"/>
  <c r="Q104" i="27" s="1"/>
  <c r="R103" i="27"/>
  <c r="S103" i="27"/>
  <c r="S104" i="27" s="1"/>
  <c r="T103" i="27"/>
  <c r="T104" i="27" s="1"/>
  <c r="U103" i="27"/>
  <c r="V103" i="27"/>
  <c r="W103" i="27"/>
  <c r="X103" i="27"/>
  <c r="Y103" i="27"/>
  <c r="Z103" i="27"/>
  <c r="AA103" i="27"/>
  <c r="AB103" i="27"/>
  <c r="AC103" i="27"/>
  <c r="AD103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P104" i="27"/>
  <c r="R104" i="27"/>
  <c r="U104" i="27"/>
  <c r="V104" i="27"/>
  <c r="W104" i="27"/>
  <c r="X104" i="27"/>
  <c r="Y104" i="27"/>
  <c r="Z104" i="27"/>
  <c r="AA104" i="27"/>
  <c r="AB104" i="27"/>
  <c r="AC104" i="27"/>
  <c r="AD104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P105" i="27"/>
  <c r="Q105" i="27"/>
  <c r="R105" i="27"/>
  <c r="S105" i="27"/>
  <c r="T105" i="27"/>
  <c r="U105" i="27"/>
  <c r="V105" i="27"/>
  <c r="W105" i="27"/>
  <c r="X105" i="27"/>
  <c r="Y105" i="27"/>
  <c r="Z105" i="27"/>
  <c r="AA105" i="27"/>
  <c r="AB105" i="27"/>
  <c r="AC105" i="27"/>
  <c r="AD105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D103" i="27"/>
  <c r="D104" i="27" s="1"/>
  <c r="E103" i="27"/>
  <c r="E85" i="27" s="1"/>
  <c r="F103" i="27"/>
  <c r="F85" i="27" s="1"/>
  <c r="G103" i="27"/>
  <c r="G85" i="27" s="1"/>
  <c r="H103" i="27"/>
  <c r="H85" i="27" s="1"/>
  <c r="I103" i="27"/>
  <c r="I85" i="27" s="1"/>
  <c r="J103" i="27"/>
  <c r="J85" i="27" s="1"/>
  <c r="K103" i="27"/>
  <c r="K85" i="27" s="1"/>
  <c r="L103" i="27"/>
  <c r="L85" i="27" s="1"/>
  <c r="M103" i="27"/>
  <c r="M85" i="27" s="1"/>
  <c r="N103" i="27"/>
  <c r="N85" i="27" s="1"/>
  <c r="E104" i="27"/>
  <c r="H104" i="27"/>
  <c r="I104" i="27"/>
  <c r="J104" i="27"/>
  <c r="D105" i="27"/>
  <c r="E105" i="27"/>
  <c r="F105" i="27"/>
  <c r="G105" i="27"/>
  <c r="H105" i="27"/>
  <c r="I105" i="27"/>
  <c r="J105" i="27"/>
  <c r="K105" i="27"/>
  <c r="L105" i="27"/>
  <c r="M105" i="27"/>
  <c r="N105" i="27"/>
  <c r="O105" i="27"/>
  <c r="D78" i="27"/>
  <c r="D80" i="27" s="1"/>
  <c r="E78" i="27"/>
  <c r="E80" i="27" s="1"/>
  <c r="F78" i="27"/>
  <c r="F80" i="27" s="1"/>
  <c r="G78" i="27"/>
  <c r="G80" i="27" s="1"/>
  <c r="H78" i="27"/>
  <c r="H80" i="27" s="1"/>
  <c r="I78" i="27"/>
  <c r="I80" i="27" s="1"/>
  <c r="J78" i="27"/>
  <c r="J80" i="27" s="1"/>
  <c r="K78" i="27"/>
  <c r="K80" i="27" s="1"/>
  <c r="L78" i="27"/>
  <c r="L80" i="27" s="1"/>
  <c r="M78" i="27"/>
  <c r="M80" i="27" s="1"/>
  <c r="N78" i="27"/>
  <c r="N80" i="27" s="1"/>
  <c r="O78" i="27"/>
  <c r="O80" i="27" s="1"/>
  <c r="D79" i="27"/>
  <c r="E79" i="27"/>
  <c r="F79" i="27"/>
  <c r="G79" i="27"/>
  <c r="H79" i="27"/>
  <c r="I79" i="27"/>
  <c r="J79" i="27"/>
  <c r="K79" i="27"/>
  <c r="L79" i="27"/>
  <c r="M79" i="27"/>
  <c r="N79" i="27"/>
  <c r="O79" i="27"/>
  <c r="D81" i="27"/>
  <c r="D82" i="27" s="1"/>
  <c r="E81" i="27"/>
  <c r="E82" i="27" s="1"/>
  <c r="F81" i="27"/>
  <c r="F82" i="27" s="1"/>
  <c r="G81" i="27"/>
  <c r="G82" i="27" s="1"/>
  <c r="H81" i="27"/>
  <c r="H82" i="27" s="1"/>
  <c r="I81" i="27"/>
  <c r="I82" i="27" s="1"/>
  <c r="J81" i="27"/>
  <c r="J82" i="27" s="1"/>
  <c r="K81" i="27"/>
  <c r="K82" i="27" s="1"/>
  <c r="L81" i="27"/>
  <c r="L82" i="27" s="1"/>
  <c r="M81" i="27"/>
  <c r="M82" i="27" s="1"/>
  <c r="N81" i="27"/>
  <c r="N82" i="27" s="1"/>
  <c r="O81" i="27"/>
  <c r="O82" i="27" s="1"/>
  <c r="D84" i="27"/>
  <c r="E84" i="27"/>
  <c r="F84" i="27"/>
  <c r="G84" i="27"/>
  <c r="H84" i="27"/>
  <c r="I84" i="27"/>
  <c r="J84" i="27"/>
  <c r="K84" i="27"/>
  <c r="L84" i="27"/>
  <c r="M84" i="27"/>
  <c r="N84" i="27"/>
  <c r="O84" i="27"/>
  <c r="D5" i="27"/>
  <c r="E5" i="27"/>
  <c r="F5" i="27"/>
  <c r="G5" i="27"/>
  <c r="H5" i="27"/>
  <c r="I5" i="27"/>
  <c r="J5" i="27"/>
  <c r="K5" i="27"/>
  <c r="L5" i="27"/>
  <c r="M5" i="27"/>
  <c r="N5" i="27"/>
  <c r="O5" i="27"/>
  <c r="D26" i="27"/>
  <c r="E26" i="27"/>
  <c r="F26" i="27"/>
  <c r="G26" i="27"/>
  <c r="H26" i="27"/>
  <c r="I26" i="27"/>
  <c r="J26" i="27"/>
  <c r="K26" i="27"/>
  <c r="L26" i="27"/>
  <c r="M26" i="27"/>
  <c r="N26" i="27"/>
  <c r="O26" i="27"/>
  <c r="P26" i="27"/>
  <c r="I84" i="2"/>
  <c r="J84" i="2"/>
  <c r="K84" i="2"/>
  <c r="D78" i="2"/>
  <c r="D80" i="2" s="1"/>
  <c r="E78" i="2"/>
  <c r="E80" i="2" s="1"/>
  <c r="F78" i="2"/>
  <c r="F80" i="2" s="1"/>
  <c r="G78" i="2"/>
  <c r="G80" i="2" s="1"/>
  <c r="H78" i="2"/>
  <c r="H80" i="2" s="1"/>
  <c r="I78" i="2"/>
  <c r="I80" i="2" s="1"/>
  <c r="J78" i="2"/>
  <c r="J80" i="2" s="1"/>
  <c r="K78" i="2"/>
  <c r="K80" i="2" s="1"/>
  <c r="L78" i="2"/>
  <c r="L80" i="2" s="1"/>
  <c r="M78" i="2"/>
  <c r="M80" i="2" s="1"/>
  <c r="N78" i="2"/>
  <c r="N80" i="2" s="1"/>
  <c r="D79" i="2"/>
  <c r="E79" i="2"/>
  <c r="F79" i="2"/>
  <c r="G79" i="2"/>
  <c r="H79" i="2"/>
  <c r="I79" i="2"/>
  <c r="J79" i="2"/>
  <c r="K79" i="2"/>
  <c r="L79" i="2"/>
  <c r="M79" i="2"/>
  <c r="N79" i="2"/>
  <c r="D81" i="2"/>
  <c r="D82" i="2" s="1"/>
  <c r="E81" i="2"/>
  <c r="E82" i="2" s="1"/>
  <c r="F81" i="2"/>
  <c r="F82" i="2" s="1"/>
  <c r="G81" i="2"/>
  <c r="G82" i="2" s="1"/>
  <c r="H81" i="2"/>
  <c r="H82" i="2" s="1"/>
  <c r="I81" i="2"/>
  <c r="I82" i="2" s="1"/>
  <c r="J81" i="2"/>
  <c r="J82" i="2" s="1"/>
  <c r="K81" i="2"/>
  <c r="K82" i="2" s="1"/>
  <c r="L81" i="2"/>
  <c r="L82" i="2" s="1"/>
  <c r="M81" i="2"/>
  <c r="M82" i="2" s="1"/>
  <c r="N81" i="2"/>
  <c r="N82" i="2" s="1"/>
  <c r="D26" i="2"/>
  <c r="E26" i="2"/>
  <c r="F26" i="2"/>
  <c r="G26" i="2"/>
  <c r="H26" i="2"/>
  <c r="I26" i="2"/>
  <c r="J26" i="2"/>
  <c r="K26" i="2"/>
  <c r="L26" i="2"/>
  <c r="M26" i="2"/>
  <c r="N26" i="2"/>
  <c r="D2" i="2"/>
  <c r="N104" i="27" l="1"/>
  <c r="G104" i="27"/>
  <c r="F104" i="27"/>
  <c r="L104" i="27"/>
  <c r="M104" i="27"/>
  <c r="D85" i="27"/>
  <c r="K104" i="27"/>
  <c r="G78" i="28"/>
  <c r="G81" i="28"/>
  <c r="G7" i="28"/>
  <c r="G27" i="28"/>
  <c r="G24" i="28"/>
  <c r="G23" i="28"/>
  <c r="D26" i="31"/>
  <c r="E26" i="31"/>
  <c r="F26" i="31"/>
  <c r="G26" i="31"/>
  <c r="H26" i="31"/>
  <c r="I26" i="31"/>
  <c r="J26" i="31"/>
  <c r="D81" i="31"/>
  <c r="D82" i="31" s="1"/>
  <c r="D79" i="31"/>
  <c r="D78" i="31"/>
  <c r="D80" i="31" s="1"/>
  <c r="AR131" i="31"/>
  <c r="AF131" i="31"/>
  <c r="K131" i="31"/>
  <c r="I131" i="31"/>
  <c r="H131" i="31"/>
  <c r="G131" i="31"/>
  <c r="F131" i="31"/>
  <c r="AR107" i="31"/>
  <c r="AQ107" i="31"/>
  <c r="AF107" i="31"/>
  <c r="K107" i="31"/>
  <c r="J107" i="31"/>
  <c r="I107" i="31"/>
  <c r="H107" i="31"/>
  <c r="G107" i="31"/>
  <c r="F107" i="31"/>
  <c r="D107" i="31"/>
  <c r="AI105" i="31"/>
  <c r="AH105" i="31"/>
  <c r="AG105" i="31"/>
  <c r="AF105" i="31"/>
  <c r="AE105" i="31"/>
  <c r="AD105" i="31"/>
  <c r="AC105" i="31"/>
  <c r="AB105" i="31"/>
  <c r="AA105" i="31"/>
  <c r="Z105" i="31"/>
  <c r="Y105" i="31"/>
  <c r="X105" i="31"/>
  <c r="W105" i="31"/>
  <c r="V105" i="31"/>
  <c r="U105" i="31"/>
  <c r="T105" i="31"/>
  <c r="S105" i="31"/>
  <c r="R105" i="31"/>
  <c r="Q105" i="31"/>
  <c r="P105" i="31"/>
  <c r="O105" i="31"/>
  <c r="N105" i="31"/>
  <c r="M105" i="31"/>
  <c r="L105" i="31"/>
  <c r="K105" i="31"/>
  <c r="J105" i="31"/>
  <c r="I105" i="31"/>
  <c r="H105" i="31"/>
  <c r="G105" i="31"/>
  <c r="F105" i="31"/>
  <c r="E105" i="31"/>
  <c r="D105" i="31"/>
  <c r="AI104" i="31"/>
  <c r="AH104" i="31"/>
  <c r="AG104" i="31"/>
  <c r="AF104" i="31"/>
  <c r="AE104" i="31"/>
  <c r="AD104" i="31"/>
  <c r="AC104" i="31"/>
  <c r="AB104" i="31"/>
  <c r="AA104" i="31"/>
  <c r="Z104" i="31"/>
  <c r="U104" i="31"/>
  <c r="T104" i="31"/>
  <c r="S104" i="31"/>
  <c r="L104" i="31"/>
  <c r="AR103" i="31"/>
  <c r="AR85" i="31" s="1"/>
  <c r="AQ103" i="31"/>
  <c r="AQ85" i="31" s="1"/>
  <c r="AP103" i="31"/>
  <c r="AP85" i="31" s="1"/>
  <c r="AO103" i="31"/>
  <c r="AO85" i="31" s="1"/>
  <c r="AN103" i="31"/>
  <c r="AM103" i="31"/>
  <c r="AM85" i="31" s="1"/>
  <c r="AL103" i="31"/>
  <c r="AL85" i="31" s="1"/>
  <c r="AK103" i="31"/>
  <c r="AK85" i="31" s="1"/>
  <c r="AJ103" i="31"/>
  <c r="AJ85" i="31" s="1"/>
  <c r="AI103" i="31"/>
  <c r="AI85" i="31" s="1"/>
  <c r="AH103" i="31"/>
  <c r="AH85" i="31" s="1"/>
  <c r="AG103" i="31"/>
  <c r="AG85" i="31" s="1"/>
  <c r="AF103" i="31"/>
  <c r="AF85" i="31" s="1"/>
  <c r="AE103" i="31"/>
  <c r="AE85" i="31" s="1"/>
  <c r="AD103" i="31"/>
  <c r="AD85" i="31" s="1"/>
  <c r="AC103" i="31"/>
  <c r="AC85" i="31" s="1"/>
  <c r="AB103" i="31"/>
  <c r="AB85" i="31" s="1"/>
  <c r="AA103" i="31"/>
  <c r="AA85" i="31" s="1"/>
  <c r="Z103" i="31"/>
  <c r="Z85" i="31" s="1"/>
  <c r="Y103" i="31"/>
  <c r="Y104" i="31" s="1"/>
  <c r="X103" i="31"/>
  <c r="X104" i="31" s="1"/>
  <c r="W103" i="31"/>
  <c r="V103" i="31"/>
  <c r="V85" i="31" s="1"/>
  <c r="U103" i="31"/>
  <c r="U85" i="31" s="1"/>
  <c r="T103" i="31"/>
  <c r="T85" i="31" s="1"/>
  <c r="S103" i="31"/>
  <c r="S85" i="31" s="1"/>
  <c r="R103" i="31"/>
  <c r="R104" i="31" s="1"/>
  <c r="Q103" i="31"/>
  <c r="Q104" i="31" s="1"/>
  <c r="P103" i="31"/>
  <c r="P104" i="31" s="1"/>
  <c r="O103" i="31"/>
  <c r="N103" i="31"/>
  <c r="N85" i="31" s="1"/>
  <c r="M103" i="31"/>
  <c r="M85" i="31" s="1"/>
  <c r="L103" i="31"/>
  <c r="L85" i="31" s="1"/>
  <c r="K103" i="31"/>
  <c r="K85" i="31" s="1"/>
  <c r="J103" i="31"/>
  <c r="J104" i="31" s="1"/>
  <c r="I103" i="31"/>
  <c r="I104" i="31" s="1"/>
  <c r="H103" i="31"/>
  <c r="H104" i="31" s="1"/>
  <c r="G103" i="31"/>
  <c r="F103" i="31"/>
  <c r="F85" i="31" s="1"/>
  <c r="E103" i="31"/>
  <c r="E85" i="31" s="1"/>
  <c r="D103" i="31"/>
  <c r="D85" i="31" s="1"/>
  <c r="AS102" i="31"/>
  <c r="AS101" i="31"/>
  <c r="AS100" i="31"/>
  <c r="J100" i="28" s="1"/>
  <c r="N100" i="28" s="1"/>
  <c r="AS99" i="31"/>
  <c r="AS98" i="31"/>
  <c r="AS97" i="31"/>
  <c r="AS96" i="31"/>
  <c r="AS95" i="31"/>
  <c r="AS94" i="31"/>
  <c r="AS93" i="31"/>
  <c r="AS92" i="31"/>
  <c r="AS91" i="31"/>
  <c r="AS90" i="31"/>
  <c r="AS89" i="31"/>
  <c r="AS88" i="31"/>
  <c r="J88" i="28" s="1"/>
  <c r="AS87" i="31"/>
  <c r="AS86" i="31"/>
  <c r="J86" i="28" s="1"/>
  <c r="N86" i="28" s="1"/>
  <c r="AN85" i="31"/>
  <c r="AJ84" i="31"/>
  <c r="AI84" i="31"/>
  <c r="AH84" i="31"/>
  <c r="AG84" i="31"/>
  <c r="AF84" i="31"/>
  <c r="AE84" i="31"/>
  <c r="AD84" i="31"/>
  <c r="AC84" i="31"/>
  <c r="AB84" i="31"/>
  <c r="AA84" i="31"/>
  <c r="Z84" i="31"/>
  <c r="Y84" i="31"/>
  <c r="X84" i="31"/>
  <c r="W84" i="31"/>
  <c r="V84" i="31"/>
  <c r="U84" i="31"/>
  <c r="T84" i="31"/>
  <c r="S84" i="31"/>
  <c r="R84" i="31"/>
  <c r="Q84" i="31"/>
  <c r="P84" i="31"/>
  <c r="O84" i="31"/>
  <c r="N84" i="31"/>
  <c r="M84" i="31"/>
  <c r="L84" i="31"/>
  <c r="K84" i="31"/>
  <c r="J84" i="31"/>
  <c r="I84" i="31"/>
  <c r="H84" i="31"/>
  <c r="G84" i="31"/>
  <c r="F84" i="31"/>
  <c r="E84" i="31"/>
  <c r="D84" i="31"/>
  <c r="AS83" i="31"/>
  <c r="AR82" i="31"/>
  <c r="AQ82" i="31"/>
  <c r="AP82" i="31"/>
  <c r="AO82" i="31"/>
  <c r="AN82" i="31"/>
  <c r="AM82" i="31"/>
  <c r="AL82" i="31"/>
  <c r="AK82" i="31"/>
  <c r="AJ82" i="31"/>
  <c r="AI82" i="31"/>
  <c r="AH82" i="31"/>
  <c r="AG82" i="31"/>
  <c r="AF82" i="31"/>
  <c r="AE82" i="31"/>
  <c r="AD82" i="31"/>
  <c r="AC82" i="31"/>
  <c r="AB82" i="31"/>
  <c r="AA82" i="31"/>
  <c r="Z82" i="31"/>
  <c r="Y82" i="31"/>
  <c r="AR81" i="31"/>
  <c r="AQ81" i="31"/>
  <c r="AP81" i="31"/>
  <c r="AO81" i="31"/>
  <c r="AN81" i="31"/>
  <c r="AM81" i="31"/>
  <c r="AL81" i="31"/>
  <c r="AK81" i="31"/>
  <c r="AJ81" i="31"/>
  <c r="AI81" i="31"/>
  <c r="AH81" i="31"/>
  <c r="AG81" i="31"/>
  <c r="AF81" i="31"/>
  <c r="AE81" i="31"/>
  <c r="AD81" i="31"/>
  <c r="AC81" i="31"/>
  <c r="AB81" i="31"/>
  <c r="AA81" i="31"/>
  <c r="Z81" i="31"/>
  <c r="Y81" i="31"/>
  <c r="X81" i="31"/>
  <c r="X82" i="31" s="1"/>
  <c r="W81" i="31"/>
  <c r="W82" i="31" s="1"/>
  <c r="V81" i="31"/>
  <c r="V82" i="31" s="1"/>
  <c r="U81" i="31"/>
  <c r="U82" i="31" s="1"/>
  <c r="T81" i="31"/>
  <c r="T82" i="31" s="1"/>
  <c r="S81" i="31"/>
  <c r="S82" i="31" s="1"/>
  <c r="R81" i="31"/>
  <c r="R82" i="31" s="1"/>
  <c r="Q81" i="31"/>
  <c r="Q82" i="31" s="1"/>
  <c r="P81" i="31"/>
  <c r="P82" i="31" s="1"/>
  <c r="O81" i="31"/>
  <c r="O82" i="31" s="1"/>
  <c r="N81" i="31"/>
  <c r="N82" i="31" s="1"/>
  <c r="M81" i="31"/>
  <c r="M82" i="31" s="1"/>
  <c r="L81" i="31"/>
  <c r="L82" i="31" s="1"/>
  <c r="K81" i="31"/>
  <c r="K82" i="31" s="1"/>
  <c r="J81" i="31"/>
  <c r="J82" i="31" s="1"/>
  <c r="I81" i="31"/>
  <c r="I82" i="31" s="1"/>
  <c r="H81" i="31"/>
  <c r="H82" i="31" s="1"/>
  <c r="G81" i="31"/>
  <c r="G82" i="31" s="1"/>
  <c r="F81" i="31"/>
  <c r="F82" i="31" s="1"/>
  <c r="E81" i="31"/>
  <c r="E82" i="31" s="1"/>
  <c r="AR80" i="31"/>
  <c r="AQ80" i="31"/>
  <c r="AP80" i="31"/>
  <c r="AO80" i="31"/>
  <c r="AN80" i="31"/>
  <c r="AM80" i="31"/>
  <c r="AL80" i="31"/>
  <c r="AK80" i="31"/>
  <c r="AJ80" i="31"/>
  <c r="AI80" i="31"/>
  <c r="AH80" i="31"/>
  <c r="AG80" i="31"/>
  <c r="AF80" i="31"/>
  <c r="AE80" i="31"/>
  <c r="AD80" i="31"/>
  <c r="AC80" i="31"/>
  <c r="AB80" i="31"/>
  <c r="AA80" i="31"/>
  <c r="Z80" i="31"/>
  <c r="AR79" i="31"/>
  <c r="AQ79" i="31"/>
  <c r="AP79" i="31"/>
  <c r="AO79" i="31"/>
  <c r="AN79" i="31"/>
  <c r="AM79" i="31"/>
  <c r="AL79" i="31"/>
  <c r="AK79" i="31"/>
  <c r="AJ79" i="31"/>
  <c r="AI79" i="31"/>
  <c r="AH79" i="31"/>
  <c r="AG79" i="31"/>
  <c r="AF79" i="31"/>
  <c r="AE79" i="31"/>
  <c r="AD79" i="31"/>
  <c r="AC79" i="31"/>
  <c r="AB79" i="31"/>
  <c r="AA79" i="31"/>
  <c r="Z79" i="31"/>
  <c r="Y79" i="31"/>
  <c r="X79" i="31"/>
  <c r="W79" i="31"/>
  <c r="V79" i="31"/>
  <c r="U79" i="31"/>
  <c r="T79" i="31"/>
  <c r="S79" i="31"/>
  <c r="R79" i="31"/>
  <c r="Q79" i="31"/>
  <c r="P79" i="31"/>
  <c r="O79" i="31"/>
  <c r="N79" i="31"/>
  <c r="M79" i="31"/>
  <c r="L79" i="31"/>
  <c r="K79" i="31"/>
  <c r="J79" i="31"/>
  <c r="I79" i="31"/>
  <c r="H79" i="31"/>
  <c r="G79" i="31"/>
  <c r="F79" i="31"/>
  <c r="E79" i="31"/>
  <c r="AR78" i="31"/>
  <c r="AQ78" i="31"/>
  <c r="AP78" i="31"/>
  <c r="AO78" i="31"/>
  <c r="AN78" i="31"/>
  <c r="AM78" i="31"/>
  <c r="AL78" i="31"/>
  <c r="AK78" i="31"/>
  <c r="AJ78" i="31"/>
  <c r="AI78" i="31"/>
  <c r="AH78" i="31"/>
  <c r="AG78" i="31"/>
  <c r="AF78" i="31"/>
  <c r="AE78" i="31"/>
  <c r="AD78" i="31"/>
  <c r="AC78" i="31"/>
  <c r="AB78" i="31"/>
  <c r="AA78" i="31"/>
  <c r="Z78" i="31"/>
  <c r="Y78" i="31"/>
  <c r="Y80" i="31" s="1"/>
  <c r="X78" i="31"/>
  <c r="X80" i="31" s="1"/>
  <c r="W78" i="31"/>
  <c r="W80" i="31" s="1"/>
  <c r="V78" i="31"/>
  <c r="V80" i="31" s="1"/>
  <c r="U78" i="31"/>
  <c r="U80" i="31" s="1"/>
  <c r="T78" i="31"/>
  <c r="T80" i="31" s="1"/>
  <c r="S78" i="31"/>
  <c r="S80" i="31" s="1"/>
  <c r="R78" i="31"/>
  <c r="R80" i="31" s="1"/>
  <c r="Q78" i="31"/>
  <c r="Q80" i="31" s="1"/>
  <c r="P78" i="31"/>
  <c r="P80" i="31" s="1"/>
  <c r="O78" i="31"/>
  <c r="O80" i="31" s="1"/>
  <c r="N78" i="31"/>
  <c r="N80" i="31" s="1"/>
  <c r="M78" i="31"/>
  <c r="M80" i="31" s="1"/>
  <c r="L78" i="31"/>
  <c r="L80" i="31" s="1"/>
  <c r="K78" i="31"/>
  <c r="K80" i="31" s="1"/>
  <c r="J78" i="31"/>
  <c r="J80" i="31" s="1"/>
  <c r="I78" i="31"/>
  <c r="I80" i="31" s="1"/>
  <c r="H78" i="31"/>
  <c r="H80" i="31" s="1"/>
  <c r="G78" i="31"/>
  <c r="G80" i="31" s="1"/>
  <c r="F78" i="31"/>
  <c r="F80" i="31" s="1"/>
  <c r="E78" i="31"/>
  <c r="E80" i="31" s="1"/>
  <c r="AS77" i="31"/>
  <c r="J77" i="28" s="1"/>
  <c r="N77" i="28" s="1"/>
  <c r="AS76" i="31"/>
  <c r="J76" i="28" s="1"/>
  <c r="N76" i="28" s="1"/>
  <c r="AS75" i="31"/>
  <c r="J75" i="28" s="1"/>
  <c r="N75" i="28" s="1"/>
  <c r="AS74" i="31"/>
  <c r="J74" i="28" s="1"/>
  <c r="N74" i="28" s="1"/>
  <c r="AS73" i="31"/>
  <c r="J73" i="28" s="1"/>
  <c r="N73" i="28" s="1"/>
  <c r="AS72" i="31"/>
  <c r="J72" i="28" s="1"/>
  <c r="N72" i="28" s="1"/>
  <c r="AS71" i="31"/>
  <c r="J71" i="28" s="1"/>
  <c r="N71" i="28" s="1"/>
  <c r="AS70" i="31"/>
  <c r="J70" i="28" s="1"/>
  <c r="N70" i="28" s="1"/>
  <c r="AS69" i="31"/>
  <c r="J69" i="28" s="1"/>
  <c r="N69" i="28" s="1"/>
  <c r="AS68" i="31"/>
  <c r="J68" i="28" s="1"/>
  <c r="N68" i="28" s="1"/>
  <c r="AS67" i="31"/>
  <c r="J67" i="28" s="1"/>
  <c r="N67" i="28" s="1"/>
  <c r="AS66" i="31"/>
  <c r="J66" i="28" s="1"/>
  <c r="N66" i="28" s="1"/>
  <c r="AS65" i="31"/>
  <c r="J65" i="28" s="1"/>
  <c r="N65" i="28" s="1"/>
  <c r="AS64" i="31"/>
  <c r="J64" i="28" s="1"/>
  <c r="N64" i="28" s="1"/>
  <c r="AS63" i="31"/>
  <c r="J63" i="28" s="1"/>
  <c r="N63" i="28" s="1"/>
  <c r="AS62" i="31"/>
  <c r="J62" i="28" s="1"/>
  <c r="N62" i="28" s="1"/>
  <c r="AS61" i="31"/>
  <c r="J61" i="28" s="1"/>
  <c r="N61" i="28" s="1"/>
  <c r="AS60" i="31"/>
  <c r="J60" i="28" s="1"/>
  <c r="N60" i="28" s="1"/>
  <c r="AS59" i="31"/>
  <c r="J59" i="28" s="1"/>
  <c r="N59" i="28" s="1"/>
  <c r="AS58" i="31"/>
  <c r="J58" i="28" s="1"/>
  <c r="N58" i="28" s="1"/>
  <c r="AS57" i="31"/>
  <c r="J57" i="28" s="1"/>
  <c r="N57" i="28" s="1"/>
  <c r="AS56" i="31"/>
  <c r="J56" i="28" s="1"/>
  <c r="N56" i="28" s="1"/>
  <c r="AS55" i="31"/>
  <c r="J55" i="28" s="1"/>
  <c r="N55" i="28" s="1"/>
  <c r="AS54" i="31"/>
  <c r="J54" i="28" s="1"/>
  <c r="N54" i="28" s="1"/>
  <c r="AS53" i="31"/>
  <c r="J53" i="28" s="1"/>
  <c r="N53" i="28" s="1"/>
  <c r="AS52" i="31"/>
  <c r="J52" i="28" s="1"/>
  <c r="N52" i="28" s="1"/>
  <c r="AS51" i="31"/>
  <c r="J51" i="28" s="1"/>
  <c r="N51" i="28" s="1"/>
  <c r="AS50" i="31"/>
  <c r="J50" i="28" s="1"/>
  <c r="N50" i="28" s="1"/>
  <c r="AS49" i="31"/>
  <c r="J49" i="28" s="1"/>
  <c r="N49" i="28" s="1"/>
  <c r="AS48" i="31"/>
  <c r="J48" i="28" s="1"/>
  <c r="N48" i="28" s="1"/>
  <c r="AS47" i="31"/>
  <c r="J47" i="28" s="1"/>
  <c r="N47" i="28" s="1"/>
  <c r="AS46" i="31"/>
  <c r="J46" i="28" s="1"/>
  <c r="N46" i="28" s="1"/>
  <c r="AS45" i="31"/>
  <c r="J45" i="28" s="1"/>
  <c r="N45" i="28" s="1"/>
  <c r="AS44" i="31"/>
  <c r="J44" i="28" s="1"/>
  <c r="N44" i="28" s="1"/>
  <c r="AS43" i="31"/>
  <c r="J43" i="28" s="1"/>
  <c r="N43" i="28" s="1"/>
  <c r="AS42" i="31"/>
  <c r="J42" i="28" s="1"/>
  <c r="N42" i="28" s="1"/>
  <c r="AS41" i="31"/>
  <c r="J41" i="28" s="1"/>
  <c r="N41" i="28" s="1"/>
  <c r="AS40" i="31"/>
  <c r="J40" i="28" s="1"/>
  <c r="N40" i="28" s="1"/>
  <c r="AS39" i="31"/>
  <c r="J39" i="28" s="1"/>
  <c r="N39" i="28" s="1"/>
  <c r="AS38" i="31"/>
  <c r="J38" i="28" s="1"/>
  <c r="N38" i="28" s="1"/>
  <c r="AS37" i="31"/>
  <c r="J37" i="28" s="1"/>
  <c r="N37" i="28" s="1"/>
  <c r="AS36" i="31"/>
  <c r="J36" i="28" s="1"/>
  <c r="N36" i="28" s="1"/>
  <c r="AS35" i="31"/>
  <c r="J35" i="28" s="1"/>
  <c r="N35" i="28" s="1"/>
  <c r="AS34" i="31"/>
  <c r="J34" i="28" s="1"/>
  <c r="N34" i="28" s="1"/>
  <c r="AS33" i="31"/>
  <c r="J33" i="28" s="1"/>
  <c r="N33" i="28" s="1"/>
  <c r="AS32" i="31"/>
  <c r="J32" i="28" s="1"/>
  <c r="N32" i="28" s="1"/>
  <c r="AS31" i="31"/>
  <c r="J31" i="28" s="1"/>
  <c r="N31" i="28" s="1"/>
  <c r="AS30" i="31"/>
  <c r="J30" i="28" s="1"/>
  <c r="N30" i="28" s="1"/>
  <c r="AS29" i="31"/>
  <c r="J29" i="28" s="1"/>
  <c r="N29" i="28" s="1"/>
  <c r="AS28" i="31"/>
  <c r="J28" i="28" s="1"/>
  <c r="N28" i="28" s="1"/>
  <c r="AS27" i="31"/>
  <c r="J27" i="28" s="1"/>
  <c r="N27" i="28" s="1"/>
  <c r="AR26" i="31"/>
  <c r="AQ26" i="31"/>
  <c r="AP26" i="31"/>
  <c r="AO26" i="31"/>
  <c r="AN26" i="31"/>
  <c r="AM26" i="31"/>
  <c r="AL26" i="31"/>
  <c r="AK26" i="31"/>
  <c r="AJ26" i="31"/>
  <c r="AI26" i="31"/>
  <c r="AH26" i="31"/>
  <c r="AG26" i="31"/>
  <c r="AF26" i="31"/>
  <c r="AE26" i="31"/>
  <c r="AD26" i="31"/>
  <c r="AC26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AS25" i="31"/>
  <c r="AS24" i="31"/>
  <c r="J24" i="28" s="1"/>
  <c r="AS23" i="31"/>
  <c r="J23" i="28" s="1"/>
  <c r="N23" i="28" s="1"/>
  <c r="AS22" i="31"/>
  <c r="AS21" i="31"/>
  <c r="AS20" i="31"/>
  <c r="AS19" i="31"/>
  <c r="AS7" i="31"/>
  <c r="AR5" i="31"/>
  <c r="AQ5" i="31"/>
  <c r="AP5" i="31"/>
  <c r="AO5" i="31"/>
  <c r="AN5" i="31"/>
  <c r="AM5" i="31"/>
  <c r="AL5" i="31"/>
  <c r="AK5" i="31"/>
  <c r="AJ5" i="31"/>
  <c r="AI5" i="31"/>
  <c r="AH5" i="31"/>
  <c r="AG5" i="31"/>
  <c r="AF5" i="31"/>
  <c r="AE5" i="31"/>
  <c r="AD5" i="31"/>
  <c r="AC5" i="31"/>
  <c r="AB5" i="31"/>
  <c r="AA5" i="31"/>
  <c r="Z5" i="31"/>
  <c r="Y5" i="31"/>
  <c r="X5" i="31"/>
  <c r="W5" i="31"/>
  <c r="V5" i="31"/>
  <c r="U5" i="31"/>
  <c r="T5" i="31"/>
  <c r="S5" i="31"/>
  <c r="R5" i="31"/>
  <c r="Q5" i="31"/>
  <c r="P5" i="31"/>
  <c r="O5" i="31"/>
  <c r="N5" i="31"/>
  <c r="M5" i="31"/>
  <c r="L5" i="31"/>
  <c r="K5" i="31"/>
  <c r="J5" i="31"/>
  <c r="I5" i="31"/>
  <c r="H5" i="31"/>
  <c r="G5" i="31"/>
  <c r="F5" i="31"/>
  <c r="E5" i="31"/>
  <c r="D5" i="31"/>
  <c r="B4" i="31"/>
  <c r="B5" i="31" s="1"/>
  <c r="B6" i="31" s="1"/>
  <c r="C3" i="31"/>
  <c r="D2" i="31"/>
  <c r="D131" i="31" s="1"/>
  <c r="C1" i="31"/>
  <c r="V104" i="31" l="1"/>
  <c r="N104" i="31"/>
  <c r="M104" i="31"/>
  <c r="G108" i="28"/>
  <c r="G110" i="28"/>
  <c r="N88" i="28"/>
  <c r="N24" i="28"/>
  <c r="X85" i="31"/>
  <c r="P85" i="31"/>
  <c r="H85" i="31"/>
  <c r="F104" i="31"/>
  <c r="K104" i="31"/>
  <c r="E104" i="31"/>
  <c r="D104" i="31"/>
  <c r="B7" i="31"/>
  <c r="B8" i="31" s="1"/>
  <c r="J87" i="28"/>
  <c r="N87" i="28" s="1"/>
  <c r="J93" i="28"/>
  <c r="N93" i="28" s="1"/>
  <c r="R85" i="31"/>
  <c r="J95" i="28"/>
  <c r="N95" i="28" s="1"/>
  <c r="J102" i="28"/>
  <c r="N102" i="28" s="1"/>
  <c r="J96" i="28"/>
  <c r="J94" i="28"/>
  <c r="N94" i="28" s="1"/>
  <c r="J89" i="28"/>
  <c r="J97" i="28"/>
  <c r="N97" i="28" s="1"/>
  <c r="AS26" i="31"/>
  <c r="J90" i="28"/>
  <c r="N90" i="28" s="1"/>
  <c r="J98" i="28"/>
  <c r="N98" i="28" s="1"/>
  <c r="J91" i="28"/>
  <c r="N91" i="28" s="1"/>
  <c r="J99" i="28"/>
  <c r="N99" i="28" s="1"/>
  <c r="J101" i="28"/>
  <c r="N101" i="28" s="1"/>
  <c r="J7" i="28"/>
  <c r="J92" i="28"/>
  <c r="N92" i="28" s="1"/>
  <c r="I85" i="31"/>
  <c r="J85" i="31"/>
  <c r="Y85" i="31"/>
  <c r="Q85" i="31"/>
  <c r="AS84" i="31"/>
  <c r="AS78" i="31"/>
  <c r="AT32" i="31" s="1"/>
  <c r="AS105" i="31"/>
  <c r="AS79" i="31"/>
  <c r="AS103" i="31"/>
  <c r="J103" i="28" s="1"/>
  <c r="N103" i="28" s="1"/>
  <c r="AS85" i="31"/>
  <c r="AS81" i="31"/>
  <c r="G85" i="31"/>
  <c r="G104" i="31"/>
  <c r="O85" i="31"/>
  <c r="O104" i="31"/>
  <c r="W85" i="31"/>
  <c r="W104" i="31"/>
  <c r="J111" i="28" l="1"/>
  <c r="N7" i="28"/>
  <c r="N80" i="28" s="1"/>
  <c r="J105" i="28"/>
  <c r="N89" i="28"/>
  <c r="N96" i="28"/>
  <c r="J80" i="28"/>
  <c r="AT52" i="31"/>
  <c r="AS80" i="31"/>
  <c r="AT55" i="31"/>
  <c r="AT61" i="31"/>
  <c r="AT69" i="31"/>
  <c r="AT41" i="31"/>
  <c r="AT73" i="31"/>
  <c r="AT33" i="31"/>
  <c r="AT48" i="31"/>
  <c r="AT66" i="31"/>
  <c r="AT47" i="31"/>
  <c r="AT40" i="31"/>
  <c r="J78" i="28"/>
  <c r="J108" i="28" s="1"/>
  <c r="AT29" i="31"/>
  <c r="AT28" i="31"/>
  <c r="J81" i="28"/>
  <c r="AT34" i="31"/>
  <c r="AT35" i="31"/>
  <c r="J85" i="28"/>
  <c r="J109" i="28" s="1"/>
  <c r="AT49" i="31"/>
  <c r="AT37" i="31"/>
  <c r="AT72" i="31"/>
  <c r="AT70" i="31"/>
  <c r="AT63" i="31"/>
  <c r="AT42" i="31"/>
  <c r="AT74" i="31"/>
  <c r="AT31" i="31"/>
  <c r="AT59" i="31"/>
  <c r="AT54" i="31"/>
  <c r="AT71" i="31"/>
  <c r="AT67" i="31"/>
  <c r="AT44" i="31"/>
  <c r="AT46" i="31"/>
  <c r="AT76" i="31"/>
  <c r="AT53" i="31"/>
  <c r="AT75" i="31"/>
  <c r="AT60" i="31"/>
  <c r="AT56" i="31"/>
  <c r="AT62" i="31"/>
  <c r="AT68" i="31"/>
  <c r="AT45" i="31"/>
  <c r="AT77" i="31"/>
  <c r="AT36" i="31"/>
  <c r="AT43" i="31"/>
  <c r="AT50" i="31"/>
  <c r="AT64" i="31"/>
  <c r="AT30" i="31"/>
  <c r="AT57" i="31"/>
  <c r="AT38" i="31"/>
  <c r="AT39" i="31"/>
  <c r="AT58" i="31"/>
  <c r="AT65" i="31"/>
  <c r="AT51" i="31"/>
  <c r="B9" i="31"/>
  <c r="AS82" i="31"/>
  <c r="AS104" i="31"/>
  <c r="J104" i="28" s="1"/>
  <c r="N111" i="28" l="1"/>
  <c r="N81" i="28"/>
  <c r="N110" i="28" s="1"/>
  <c r="J110" i="28"/>
  <c r="N105" i="28"/>
  <c r="N104" i="28"/>
  <c r="N85" i="28"/>
  <c r="N109" i="28" s="1"/>
  <c r="N78" i="28"/>
  <c r="J82" i="28"/>
  <c r="J79" i="28"/>
  <c r="B10" i="31"/>
  <c r="N82" i="28" l="1"/>
  <c r="N79" i="28"/>
  <c r="N108" i="28"/>
  <c r="B11" i="31"/>
  <c r="B12" i="31" l="1"/>
  <c r="B13" i="31" l="1"/>
  <c r="B14" i="31" l="1"/>
  <c r="B15" i="31" l="1"/>
  <c r="B16" i="31" l="1"/>
  <c r="B17" i="31" l="1"/>
  <c r="F5" i="2"/>
  <c r="G5" i="2"/>
  <c r="H5" i="2"/>
  <c r="I5" i="2"/>
  <c r="J5" i="2"/>
  <c r="E5" i="2"/>
  <c r="D5" i="2"/>
  <c r="B18" i="31" l="1"/>
  <c r="B19" i="31" l="1"/>
  <c r="B20" i="31" l="1"/>
  <c r="I105" i="2"/>
  <c r="H105" i="2"/>
  <c r="G105" i="2"/>
  <c r="F105" i="2"/>
  <c r="E105" i="2"/>
  <c r="D105" i="2"/>
  <c r="I103" i="2"/>
  <c r="I85" i="2" s="1"/>
  <c r="H103" i="2"/>
  <c r="H85" i="2" s="1"/>
  <c r="G103" i="2"/>
  <c r="G104" i="2" s="1"/>
  <c r="F103" i="2"/>
  <c r="F85" i="2" s="1"/>
  <c r="E103" i="2"/>
  <c r="E85" i="2" s="1"/>
  <c r="D103" i="2"/>
  <c r="D104" i="2" s="1"/>
  <c r="H84" i="2"/>
  <c r="G84" i="2"/>
  <c r="F84" i="2"/>
  <c r="E84" i="2"/>
  <c r="D84" i="2"/>
  <c r="H104" i="2" l="1"/>
  <c r="I104" i="2"/>
  <c r="B21" i="31"/>
  <c r="D85" i="2"/>
  <c r="G85" i="2"/>
  <c r="E104" i="2"/>
  <c r="F104" i="2"/>
  <c r="X26" i="2"/>
  <c r="B22" i="31" l="1"/>
  <c r="B23" i="31" l="1"/>
  <c r="B24" i="31" l="1"/>
  <c r="O103" i="27"/>
  <c r="M105" i="2"/>
  <c r="L105" i="2"/>
  <c r="K105" i="2"/>
  <c r="J105" i="2"/>
  <c r="M103" i="2"/>
  <c r="M104" i="2" s="1"/>
  <c r="L103" i="2"/>
  <c r="L104" i="2" s="1"/>
  <c r="K103" i="2"/>
  <c r="K85" i="2" s="1"/>
  <c r="J103" i="2"/>
  <c r="J85" i="2" s="1"/>
  <c r="M84" i="2"/>
  <c r="L84" i="2"/>
  <c r="M5" i="2"/>
  <c r="L5" i="2"/>
  <c r="K5" i="2"/>
  <c r="O104" i="27" l="1"/>
  <c r="O85" i="27"/>
  <c r="B25" i="31"/>
  <c r="M85" i="2"/>
  <c r="L85" i="2"/>
  <c r="J104" i="2"/>
  <c r="K104" i="2"/>
  <c r="C3" i="28"/>
  <c r="C3" i="27"/>
  <c r="C3" i="2"/>
  <c r="B26" i="31" l="1"/>
  <c r="P26" i="2"/>
  <c r="B27" i="31" l="1"/>
  <c r="P5" i="27"/>
  <c r="B28" i="31" l="1"/>
  <c r="B29" i="31" l="1"/>
  <c r="AC84" i="27"/>
  <c r="AD84" i="27"/>
  <c r="AE84" i="27"/>
  <c r="AF84" i="27"/>
  <c r="AG84" i="27"/>
  <c r="AH84" i="27"/>
  <c r="AI84" i="27"/>
  <c r="AJ84" i="27"/>
  <c r="AB78" i="2"/>
  <c r="AB80" i="2" s="1"/>
  <c r="AB79" i="2"/>
  <c r="AB81" i="2"/>
  <c r="AB82" i="2" s="1"/>
  <c r="B30" i="31" l="1"/>
  <c r="AB5" i="2"/>
  <c r="B31" i="31" l="1"/>
  <c r="AA84" i="27"/>
  <c r="AB84" i="27"/>
  <c r="B32" i="31" l="1"/>
  <c r="B33" i="31" l="1"/>
  <c r="Q106" i="28"/>
  <c r="B34" i="31" l="1"/>
  <c r="Q83" i="28"/>
  <c r="Q84" i="28"/>
  <c r="Q2" i="28"/>
  <c r="B35" i="31" l="1"/>
  <c r="W5" i="2"/>
  <c r="X5" i="2"/>
  <c r="Y5" i="2"/>
  <c r="Z5" i="2"/>
  <c r="W26" i="2"/>
  <c r="Y26" i="2"/>
  <c r="Z26" i="2"/>
  <c r="W78" i="2"/>
  <c r="W80" i="2" s="1"/>
  <c r="X78" i="2"/>
  <c r="X80" i="2" s="1"/>
  <c r="Y78" i="2"/>
  <c r="Y80" i="2" s="1"/>
  <c r="Z78" i="2"/>
  <c r="Z80" i="2" s="1"/>
  <c r="W79" i="2"/>
  <c r="X79" i="2"/>
  <c r="Y79" i="2"/>
  <c r="Z79" i="2"/>
  <c r="W81" i="2"/>
  <c r="W82" i="2" s="1"/>
  <c r="X81" i="2"/>
  <c r="X82" i="2" s="1"/>
  <c r="Y81" i="2"/>
  <c r="Y82" i="2" s="1"/>
  <c r="Z81" i="2"/>
  <c r="Z82" i="2" s="1"/>
  <c r="W84" i="2"/>
  <c r="X84" i="2"/>
  <c r="Y84" i="2"/>
  <c r="Z84" i="2"/>
  <c r="W103" i="2"/>
  <c r="W85" i="2" s="1"/>
  <c r="X103" i="2"/>
  <c r="X85" i="2" s="1"/>
  <c r="Y103" i="2"/>
  <c r="Y85" i="2" s="1"/>
  <c r="Z103" i="2"/>
  <c r="Z85" i="2" s="1"/>
  <c r="W105" i="2"/>
  <c r="X105" i="2"/>
  <c r="Y105" i="2"/>
  <c r="Z105" i="2"/>
  <c r="B36" i="31" l="1"/>
  <c r="Z104" i="2"/>
  <c r="W104" i="2"/>
  <c r="X104" i="2"/>
  <c r="Y104" i="2"/>
  <c r="T5" i="27"/>
  <c r="T26" i="27"/>
  <c r="B37" i="31" l="1"/>
  <c r="P81" i="27"/>
  <c r="Q81" i="27"/>
  <c r="R81" i="27"/>
  <c r="S81" i="27"/>
  <c r="T81" i="27"/>
  <c r="U81" i="27"/>
  <c r="V81" i="27"/>
  <c r="W81" i="27"/>
  <c r="X81" i="27"/>
  <c r="Y81" i="27"/>
  <c r="Z81" i="27"/>
  <c r="AA81" i="27"/>
  <c r="AB81" i="27"/>
  <c r="AC81" i="27"/>
  <c r="AD81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B38" i="31" l="1"/>
  <c r="O81" i="2"/>
  <c r="P81" i="2"/>
  <c r="Q81" i="2"/>
  <c r="R81" i="2"/>
  <c r="S81" i="2"/>
  <c r="T81" i="2"/>
  <c r="U81" i="2"/>
  <c r="V81" i="2"/>
  <c r="AA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B39" i="31" l="1"/>
  <c r="S26" i="2"/>
  <c r="R26" i="2"/>
  <c r="Q26" i="2"/>
  <c r="P5" i="2"/>
  <c r="O26" i="2"/>
  <c r="B40" i="31" l="1"/>
  <c r="N5" i="2"/>
  <c r="B41" i="31" l="1"/>
  <c r="Q84" i="27"/>
  <c r="B42" i="31" l="1"/>
  <c r="AR5" i="27"/>
  <c r="AQ5" i="27"/>
  <c r="AP5" i="27"/>
  <c r="AO5" i="27"/>
  <c r="AN5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X5" i="27"/>
  <c r="W5" i="27"/>
  <c r="V5" i="27"/>
  <c r="U5" i="27"/>
  <c r="S5" i="27"/>
  <c r="R5" i="27"/>
  <c r="Q5" i="27"/>
  <c r="AS7" i="27"/>
  <c r="R26" i="27"/>
  <c r="D2" i="27"/>
  <c r="D131" i="27" s="1"/>
  <c r="N105" i="2"/>
  <c r="O105" i="2"/>
  <c r="P105" i="2"/>
  <c r="Q105" i="2"/>
  <c r="R105" i="2"/>
  <c r="O5" i="2"/>
  <c r="Q5" i="2"/>
  <c r="R5" i="2"/>
  <c r="T5" i="2"/>
  <c r="T26" i="2"/>
  <c r="E131" i="28"/>
  <c r="B4" i="28"/>
  <c r="C1" i="28"/>
  <c r="S5" i="2"/>
  <c r="U5" i="2"/>
  <c r="V5" i="2"/>
  <c r="AA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U26" i="2"/>
  <c r="V26" i="2"/>
  <c r="AA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O78" i="2"/>
  <c r="O80" i="2" s="1"/>
  <c r="P78" i="2"/>
  <c r="P80" i="2" s="1"/>
  <c r="Q78" i="2"/>
  <c r="Q80" i="2" s="1"/>
  <c r="R78" i="2"/>
  <c r="R80" i="2" s="1"/>
  <c r="S78" i="2"/>
  <c r="S80" i="2" s="1"/>
  <c r="T78" i="2"/>
  <c r="T80" i="2" s="1"/>
  <c r="U78" i="2"/>
  <c r="U80" i="2" s="1"/>
  <c r="V78" i="2"/>
  <c r="V80" i="2" s="1"/>
  <c r="AA78" i="2"/>
  <c r="AA80" i="2" s="1"/>
  <c r="AC78" i="2"/>
  <c r="AC80" i="2" s="1"/>
  <c r="AD78" i="2"/>
  <c r="AD80" i="2" s="1"/>
  <c r="AE78" i="2"/>
  <c r="AE80" i="2" s="1"/>
  <c r="AF78" i="2"/>
  <c r="AF80" i="2" s="1"/>
  <c r="AG78" i="2"/>
  <c r="AH78" i="2"/>
  <c r="AI78" i="2"/>
  <c r="AJ78" i="2"/>
  <c r="AK78" i="2"/>
  <c r="AL78" i="2"/>
  <c r="AM78" i="2"/>
  <c r="AN78" i="2"/>
  <c r="AO78" i="2"/>
  <c r="AP78" i="2"/>
  <c r="AQ78" i="2"/>
  <c r="AR78" i="2"/>
  <c r="O79" i="2"/>
  <c r="P79" i="2"/>
  <c r="Q79" i="2"/>
  <c r="R79" i="2"/>
  <c r="S79" i="2"/>
  <c r="T79" i="2"/>
  <c r="U79" i="2"/>
  <c r="V79" i="2"/>
  <c r="AA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O82" i="2"/>
  <c r="P82" i="2"/>
  <c r="Q82" i="2"/>
  <c r="R82" i="2"/>
  <c r="S82" i="2"/>
  <c r="T82" i="2"/>
  <c r="U82" i="2"/>
  <c r="V82" i="2"/>
  <c r="AA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N84" i="2"/>
  <c r="O84" i="2"/>
  <c r="P84" i="2"/>
  <c r="Q84" i="2"/>
  <c r="R84" i="2"/>
  <c r="S84" i="2"/>
  <c r="T84" i="2"/>
  <c r="U84" i="2"/>
  <c r="V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N103" i="2"/>
  <c r="N85" i="2" s="1"/>
  <c r="O103" i="2"/>
  <c r="O85" i="2" s="1"/>
  <c r="P103" i="2"/>
  <c r="P85" i="2" s="1"/>
  <c r="Q103" i="2"/>
  <c r="Q85" i="2" s="1"/>
  <c r="R103" i="2"/>
  <c r="R85" i="2" s="1"/>
  <c r="S103" i="2"/>
  <c r="S85" i="2" s="1"/>
  <c r="T103" i="2"/>
  <c r="T85" i="2" s="1"/>
  <c r="U103" i="2"/>
  <c r="U85" i="2" s="1"/>
  <c r="V103" i="2"/>
  <c r="V85" i="2" s="1"/>
  <c r="AA103" i="2"/>
  <c r="AA85" i="2" s="1"/>
  <c r="AB103" i="2"/>
  <c r="AB85" i="2" s="1"/>
  <c r="AC103" i="2"/>
  <c r="AC85" i="2" s="1"/>
  <c r="AD103" i="2"/>
  <c r="AD85" i="2" s="1"/>
  <c r="AE103" i="2"/>
  <c r="AE85" i="2" s="1"/>
  <c r="AF103" i="2"/>
  <c r="AF85" i="2" s="1"/>
  <c r="AG103" i="2"/>
  <c r="AG85" i="2" s="1"/>
  <c r="AH103" i="2"/>
  <c r="AH85" i="2" s="1"/>
  <c r="AI103" i="2"/>
  <c r="AI85" i="2" s="1"/>
  <c r="AJ103" i="2"/>
  <c r="AJ85" i="2" s="1"/>
  <c r="AK103" i="2"/>
  <c r="AK85" i="2" s="1"/>
  <c r="AL103" i="2"/>
  <c r="AL85" i="2" s="1"/>
  <c r="AM103" i="2"/>
  <c r="AM85" i="2" s="1"/>
  <c r="AN103" i="2"/>
  <c r="AN85" i="2" s="1"/>
  <c r="AO103" i="2"/>
  <c r="AO85" i="2" s="1"/>
  <c r="AP103" i="2"/>
  <c r="AP85" i="2" s="1"/>
  <c r="AQ103" i="2"/>
  <c r="AQ85" i="2" s="1"/>
  <c r="AR103" i="2"/>
  <c r="AR85" i="2" s="1"/>
  <c r="AC104" i="2"/>
  <c r="AE104" i="2"/>
  <c r="AF104" i="2"/>
  <c r="AG104" i="2"/>
  <c r="AI104" i="2"/>
  <c r="AJ104" i="2"/>
  <c r="AK104" i="2"/>
  <c r="AL104" i="2"/>
  <c r="AM104" i="2"/>
  <c r="AN104" i="2"/>
  <c r="AO104" i="2"/>
  <c r="AP104" i="2"/>
  <c r="AQ104" i="2"/>
  <c r="AR104" i="2"/>
  <c r="S105" i="2"/>
  <c r="T105" i="2"/>
  <c r="U105" i="2"/>
  <c r="V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D26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D78" i="27"/>
  <c r="AE78" i="27"/>
  <c r="AE80" i="27" s="1"/>
  <c r="AF78" i="27"/>
  <c r="AF80" i="27" s="1"/>
  <c r="AG78" i="27"/>
  <c r="AG80" i="27" s="1"/>
  <c r="AH78" i="27"/>
  <c r="AH80" i="27" s="1"/>
  <c r="AI78" i="27"/>
  <c r="AJ78" i="27"/>
  <c r="AK78" i="27"/>
  <c r="AL78" i="27"/>
  <c r="AM78" i="27"/>
  <c r="AN78" i="27"/>
  <c r="AO78" i="27"/>
  <c r="AP78" i="27"/>
  <c r="AQ78" i="27"/>
  <c r="AR78" i="27"/>
  <c r="AD79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D80" i="27"/>
  <c r="AI80" i="27"/>
  <c r="AJ80" i="27"/>
  <c r="AK80" i="27"/>
  <c r="AL80" i="27"/>
  <c r="AM80" i="27"/>
  <c r="AN80" i="27"/>
  <c r="AO80" i="27"/>
  <c r="AP80" i="27"/>
  <c r="AQ80" i="27"/>
  <c r="AR80" i="27"/>
  <c r="AD82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D85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C85" i="27"/>
  <c r="P84" i="27"/>
  <c r="R84" i="27"/>
  <c r="S84" i="27"/>
  <c r="AS86" i="2"/>
  <c r="G131" i="2"/>
  <c r="G107" i="2"/>
  <c r="AC78" i="27"/>
  <c r="AC80" i="27" s="1"/>
  <c r="AC79" i="27"/>
  <c r="AC82" i="27"/>
  <c r="AB78" i="27"/>
  <c r="AB80" i="27" s="1"/>
  <c r="AB79" i="27"/>
  <c r="AB82" i="27"/>
  <c r="AA78" i="27"/>
  <c r="AA80" i="27" s="1"/>
  <c r="AA79" i="27"/>
  <c r="AA82" i="27"/>
  <c r="Z84" i="27"/>
  <c r="Z78" i="27"/>
  <c r="Z80" i="27" s="1"/>
  <c r="Z79" i="27"/>
  <c r="Z82" i="27"/>
  <c r="Z26" i="27"/>
  <c r="AA26" i="27"/>
  <c r="AB26" i="27"/>
  <c r="AC26" i="27"/>
  <c r="Y85" i="27"/>
  <c r="Y84" i="27"/>
  <c r="Y82" i="27"/>
  <c r="Y79" i="27"/>
  <c r="Y78" i="27"/>
  <c r="Y80" i="27" s="1"/>
  <c r="Y26" i="27"/>
  <c r="W85" i="27"/>
  <c r="X85" i="27"/>
  <c r="W84" i="27"/>
  <c r="X84" i="27"/>
  <c r="X82" i="27"/>
  <c r="X79" i="27"/>
  <c r="X78" i="27"/>
  <c r="X80" i="27" s="1"/>
  <c r="X26" i="27"/>
  <c r="W78" i="27"/>
  <c r="W80" i="27" s="1"/>
  <c r="W79" i="27"/>
  <c r="W82" i="27"/>
  <c r="W26" i="27"/>
  <c r="V85" i="27"/>
  <c r="V84" i="27"/>
  <c r="V82" i="27"/>
  <c r="V79" i="27"/>
  <c r="V78" i="27"/>
  <c r="V80" i="27" s="1"/>
  <c r="V26" i="27"/>
  <c r="U85" i="27"/>
  <c r="U78" i="27"/>
  <c r="U80" i="27" s="1"/>
  <c r="U79" i="27"/>
  <c r="U82" i="27"/>
  <c r="U84" i="27"/>
  <c r="S26" i="27"/>
  <c r="Q26" i="27"/>
  <c r="U26" i="27"/>
  <c r="T85" i="27"/>
  <c r="T78" i="27"/>
  <c r="T80" i="27" s="1"/>
  <c r="T79" i="27"/>
  <c r="T82" i="27"/>
  <c r="T84" i="27"/>
  <c r="S78" i="27"/>
  <c r="S80" i="27" s="1"/>
  <c r="S79" i="27"/>
  <c r="S82" i="27"/>
  <c r="R78" i="27"/>
  <c r="R80" i="27" s="1"/>
  <c r="R79" i="27"/>
  <c r="R82" i="27"/>
  <c r="Q85" i="27"/>
  <c r="Q78" i="27"/>
  <c r="Q80" i="27" s="1"/>
  <c r="Q79" i="27"/>
  <c r="Q82" i="27"/>
  <c r="P85" i="27"/>
  <c r="P78" i="27"/>
  <c r="P80" i="27" s="1"/>
  <c r="P79" i="27"/>
  <c r="P82" i="27"/>
  <c r="C18" i="10" a="1"/>
  <c r="C18" i="10" s="1"/>
  <c r="AS102" i="27"/>
  <c r="I102" i="28" s="1"/>
  <c r="AS101" i="27"/>
  <c r="I101" i="28" s="1"/>
  <c r="AS100" i="27"/>
  <c r="I100" i="28" s="1"/>
  <c r="AS99" i="27"/>
  <c r="I99" i="28" s="1"/>
  <c r="AS98" i="27"/>
  <c r="I98" i="28" s="1"/>
  <c r="AS97" i="27"/>
  <c r="I97" i="28" s="1"/>
  <c r="AS96" i="27"/>
  <c r="I96" i="28" s="1"/>
  <c r="AS95" i="27"/>
  <c r="I95" i="28" s="1"/>
  <c r="AS94" i="27"/>
  <c r="I94" i="28" s="1"/>
  <c r="AS93" i="27"/>
  <c r="I93" i="28" s="1"/>
  <c r="AS92" i="27"/>
  <c r="I92" i="28" s="1"/>
  <c r="AS91" i="27"/>
  <c r="I91" i="28" s="1"/>
  <c r="AS90" i="27"/>
  <c r="I90" i="28" s="1"/>
  <c r="AS89" i="27"/>
  <c r="I89" i="28" s="1"/>
  <c r="AS88" i="27"/>
  <c r="I88" i="28" s="1"/>
  <c r="AS87" i="27"/>
  <c r="I87" i="28" s="1"/>
  <c r="AS83" i="27"/>
  <c r="AS77" i="27"/>
  <c r="I77" i="28" s="1"/>
  <c r="AS76" i="27"/>
  <c r="I76" i="28" s="1"/>
  <c r="AS75" i="27"/>
  <c r="I75" i="28" s="1"/>
  <c r="AS74" i="27"/>
  <c r="I74" i="28" s="1"/>
  <c r="AS73" i="27"/>
  <c r="I73" i="28" s="1"/>
  <c r="AS72" i="27"/>
  <c r="I72" i="28" s="1"/>
  <c r="AS71" i="27"/>
  <c r="I71" i="28" s="1"/>
  <c r="AS70" i="27"/>
  <c r="I70" i="28" s="1"/>
  <c r="AS69" i="27"/>
  <c r="I69" i="28" s="1"/>
  <c r="AS68" i="27"/>
  <c r="I68" i="28" s="1"/>
  <c r="AS67" i="27"/>
  <c r="I67" i="28" s="1"/>
  <c r="AS66" i="27"/>
  <c r="I66" i="28" s="1"/>
  <c r="AS65" i="27"/>
  <c r="I65" i="28" s="1"/>
  <c r="AS64" i="27"/>
  <c r="I64" i="28" s="1"/>
  <c r="AS63" i="27"/>
  <c r="I63" i="28" s="1"/>
  <c r="AS62" i="27"/>
  <c r="I62" i="28" s="1"/>
  <c r="AS61" i="27"/>
  <c r="I61" i="28" s="1"/>
  <c r="AS60" i="27"/>
  <c r="I60" i="28" s="1"/>
  <c r="AS59" i="27"/>
  <c r="I59" i="28" s="1"/>
  <c r="AS58" i="27"/>
  <c r="I58" i="28" s="1"/>
  <c r="AS57" i="27"/>
  <c r="I57" i="28" s="1"/>
  <c r="AS56" i="27"/>
  <c r="I56" i="28" s="1"/>
  <c r="AS55" i="27"/>
  <c r="I55" i="28" s="1"/>
  <c r="AS54" i="27"/>
  <c r="AS53" i="27"/>
  <c r="I53" i="28" s="1"/>
  <c r="AS52" i="27"/>
  <c r="I52" i="28" s="1"/>
  <c r="AS51" i="27"/>
  <c r="I51" i="28" s="1"/>
  <c r="AS50" i="27"/>
  <c r="I50" i="28" s="1"/>
  <c r="AS49" i="27"/>
  <c r="I49" i="28" s="1"/>
  <c r="AS48" i="27"/>
  <c r="I48" i="28" s="1"/>
  <c r="AS47" i="27"/>
  <c r="I47" i="28" s="1"/>
  <c r="AS46" i="27"/>
  <c r="I46" i="28" s="1"/>
  <c r="AS45" i="27"/>
  <c r="I45" i="28" s="1"/>
  <c r="AS44" i="27"/>
  <c r="I44" i="28" s="1"/>
  <c r="AS43" i="27"/>
  <c r="I43" i="28" s="1"/>
  <c r="AS42" i="27"/>
  <c r="I42" i="28" s="1"/>
  <c r="AS41" i="27"/>
  <c r="I41" i="28" s="1"/>
  <c r="AS40" i="27"/>
  <c r="I40" i="28" s="1"/>
  <c r="AS39" i="27"/>
  <c r="I39" i="28" s="1"/>
  <c r="AS38" i="27"/>
  <c r="I38" i="28" s="1"/>
  <c r="AS37" i="27"/>
  <c r="I37" i="28" s="1"/>
  <c r="AS36" i="27"/>
  <c r="I36" i="28" s="1"/>
  <c r="AS35" i="27"/>
  <c r="I35" i="28" s="1"/>
  <c r="AS34" i="27"/>
  <c r="I34" i="28" s="1"/>
  <c r="AS33" i="27"/>
  <c r="I33" i="28" s="1"/>
  <c r="AS32" i="27"/>
  <c r="I32" i="28" s="1"/>
  <c r="AS31" i="27"/>
  <c r="I31" i="28" s="1"/>
  <c r="AS30" i="27"/>
  <c r="I30" i="28" s="1"/>
  <c r="AS29" i="27"/>
  <c r="I29" i="28" s="1"/>
  <c r="AS28" i="27"/>
  <c r="I28" i="28" s="1"/>
  <c r="AS27" i="27"/>
  <c r="AS25" i="27"/>
  <c r="AS24" i="27"/>
  <c r="I24" i="28" s="1"/>
  <c r="AS23" i="27"/>
  <c r="AS22" i="27"/>
  <c r="AS21" i="27"/>
  <c r="AS20" i="27"/>
  <c r="AS19" i="27"/>
  <c r="C17" i="10" a="1"/>
  <c r="C17" i="10" s="1"/>
  <c r="C4" i="10" a="1"/>
  <c r="C4" i="10" s="1"/>
  <c r="C3" i="10" a="1"/>
  <c r="C3" i="10" s="1"/>
  <c r="C2" i="10" a="1"/>
  <c r="C2" i="10" s="1"/>
  <c r="C5" i="10" a="1"/>
  <c r="C5" i="10" s="1"/>
  <c r="AS24" i="2"/>
  <c r="AS23" i="2"/>
  <c r="AS101" i="2"/>
  <c r="AT101" i="31" s="1"/>
  <c r="AS7" i="2"/>
  <c r="AT7" i="31" s="1"/>
  <c r="AS67" i="2"/>
  <c r="H67" i="28" s="1"/>
  <c r="AS68" i="2"/>
  <c r="H68" i="28" s="1"/>
  <c r="AS69" i="2"/>
  <c r="H69" i="28" s="1"/>
  <c r="AS70" i="2"/>
  <c r="H70" i="28" s="1"/>
  <c r="AS71" i="2"/>
  <c r="H71" i="28" s="1"/>
  <c r="L10" i="10" a="1"/>
  <c r="L10" i="10" s="1"/>
  <c r="K10" i="10" a="1"/>
  <c r="K10" i="10" s="1"/>
  <c r="J10" i="10" a="1"/>
  <c r="J10" i="10" s="1"/>
  <c r="I10" i="10" a="1"/>
  <c r="I10" i="10" s="1"/>
  <c r="H10" i="10" a="1"/>
  <c r="H10" i="10" s="1"/>
  <c r="G10" i="10" a="1"/>
  <c r="G10" i="10" s="1"/>
  <c r="F10" i="10" a="1"/>
  <c r="F10" i="10" s="1"/>
  <c r="E10" i="10" a="1"/>
  <c r="E10" i="10" s="1"/>
  <c r="D10" i="10" a="1"/>
  <c r="D10" i="10" s="1"/>
  <c r="L9" i="10" a="1"/>
  <c r="L9" i="10" s="1"/>
  <c r="K9" i="10" a="1"/>
  <c r="K9" i="10" s="1"/>
  <c r="K11" i="10" s="1"/>
  <c r="J9" i="10" a="1"/>
  <c r="J9" i="10" s="1"/>
  <c r="J11" i="10" s="1"/>
  <c r="I9" i="10" a="1"/>
  <c r="I9" i="10" s="1"/>
  <c r="I11" i="10" s="1"/>
  <c r="H9" i="10" a="1"/>
  <c r="H9" i="10" s="1"/>
  <c r="H11" i="10" s="1"/>
  <c r="G9" i="10" a="1"/>
  <c r="G9" i="10" s="1"/>
  <c r="G11" i="10" s="1"/>
  <c r="F9" i="10" a="1"/>
  <c r="F9" i="10" s="1"/>
  <c r="E9" i="10" a="1"/>
  <c r="E9" i="10" s="1"/>
  <c r="D9" i="10" a="1"/>
  <c r="D9" i="10" s="1"/>
  <c r="L8" i="10" a="1"/>
  <c r="L8" i="10" s="1"/>
  <c r="K8" i="10" a="1"/>
  <c r="K8" i="10" s="1"/>
  <c r="J8" i="10" a="1"/>
  <c r="J8" i="10" s="1"/>
  <c r="I8" i="10" a="1"/>
  <c r="I8" i="10" s="1"/>
  <c r="H8" i="10" a="1"/>
  <c r="H8" i="10" s="1"/>
  <c r="G8" i="10" a="1"/>
  <c r="G8" i="10" s="1"/>
  <c r="F8" i="10" a="1"/>
  <c r="F8" i="10" s="1"/>
  <c r="E8" i="10" a="1"/>
  <c r="E8" i="10" s="1"/>
  <c r="D8" i="10" a="1"/>
  <c r="D8" i="10" s="1"/>
  <c r="AR131" i="27"/>
  <c r="AF131" i="27"/>
  <c r="K131" i="27"/>
  <c r="I131" i="27"/>
  <c r="H131" i="27"/>
  <c r="G131" i="27"/>
  <c r="F131" i="27"/>
  <c r="AR107" i="27"/>
  <c r="AQ107" i="27"/>
  <c r="AF107" i="27"/>
  <c r="K107" i="27"/>
  <c r="J107" i="27"/>
  <c r="I107" i="27"/>
  <c r="H107" i="27"/>
  <c r="G107" i="27"/>
  <c r="F107" i="27"/>
  <c r="D107" i="27"/>
  <c r="B4" i="27"/>
  <c r="C1" i="27"/>
  <c r="C1" i="2"/>
  <c r="B4" i="2"/>
  <c r="B5" i="26"/>
  <c r="E107" i="2"/>
  <c r="F107" i="2"/>
  <c r="H107" i="2"/>
  <c r="I107" i="2"/>
  <c r="D107" i="2"/>
  <c r="M107" i="2"/>
  <c r="AR107" i="2"/>
  <c r="L107" i="2"/>
  <c r="N107" i="2"/>
  <c r="K107" i="2"/>
  <c r="J107" i="2"/>
  <c r="AS19" i="2"/>
  <c r="K3" i="10" s="1" a="1"/>
  <c r="K3" i="10" s="1"/>
  <c r="AS20" i="2"/>
  <c r="L4" i="10" s="1" a="1"/>
  <c r="L4" i="10" s="1"/>
  <c r="AS21" i="2"/>
  <c r="AS25" i="2"/>
  <c r="AS27" i="2"/>
  <c r="AT27" i="31" s="1"/>
  <c r="AS28" i="2"/>
  <c r="H28" i="28" s="1"/>
  <c r="K28" i="28" s="1"/>
  <c r="AS29" i="2"/>
  <c r="H29" i="28" s="1"/>
  <c r="AS30" i="2"/>
  <c r="H30" i="28" s="1"/>
  <c r="K30" i="28" s="1"/>
  <c r="AS31" i="2"/>
  <c r="H31" i="28" s="1"/>
  <c r="AS32" i="2"/>
  <c r="H32" i="28" s="1"/>
  <c r="K32" i="28" s="1"/>
  <c r="AS33" i="2"/>
  <c r="H33" i="28" s="1"/>
  <c r="K33" i="28" s="1"/>
  <c r="AS34" i="2"/>
  <c r="H34" i="28" s="1"/>
  <c r="K34" i="28" s="1"/>
  <c r="AS35" i="2"/>
  <c r="H35" i="28" s="1"/>
  <c r="K35" i="28" s="1"/>
  <c r="AS36" i="2"/>
  <c r="H36" i="28" s="1"/>
  <c r="K36" i="28" s="1"/>
  <c r="AS37" i="2"/>
  <c r="H37" i="28" s="1"/>
  <c r="AS38" i="2"/>
  <c r="H38" i="28" s="1"/>
  <c r="K38" i="28" s="1"/>
  <c r="AS39" i="2"/>
  <c r="H39" i="28" s="1"/>
  <c r="AS40" i="2"/>
  <c r="H40" i="28" s="1"/>
  <c r="K40" i="28" s="1"/>
  <c r="AS41" i="2"/>
  <c r="H41" i="28" s="1"/>
  <c r="K41" i="28" s="1"/>
  <c r="AS42" i="2"/>
  <c r="H42" i="28" s="1"/>
  <c r="K42" i="28" s="1"/>
  <c r="AS43" i="2"/>
  <c r="H43" i="28" s="1"/>
  <c r="K43" i="28" s="1"/>
  <c r="AS44" i="2"/>
  <c r="H44" i="28" s="1"/>
  <c r="K44" i="28" s="1"/>
  <c r="AS45" i="2"/>
  <c r="H45" i="28" s="1"/>
  <c r="AS46" i="2"/>
  <c r="H46" i="28" s="1"/>
  <c r="K46" i="28" s="1"/>
  <c r="AS47" i="2"/>
  <c r="H47" i="28" s="1"/>
  <c r="AS48" i="2"/>
  <c r="H48" i="28" s="1"/>
  <c r="K48" i="28" s="1"/>
  <c r="AS49" i="2"/>
  <c r="H49" i="28" s="1"/>
  <c r="K49" i="28" s="1"/>
  <c r="AS50" i="2"/>
  <c r="H50" i="28" s="1"/>
  <c r="K50" i="28" s="1"/>
  <c r="AS51" i="2"/>
  <c r="H51" i="28" s="1"/>
  <c r="K51" i="28" s="1"/>
  <c r="AS52" i="2"/>
  <c r="H52" i="28" s="1"/>
  <c r="K52" i="28" s="1"/>
  <c r="AS53" i="2"/>
  <c r="H53" i="28" s="1"/>
  <c r="AS54" i="2"/>
  <c r="AS55" i="2"/>
  <c r="H55" i="28" s="1"/>
  <c r="AS56" i="2"/>
  <c r="H56" i="28" s="1"/>
  <c r="K56" i="28" s="1"/>
  <c r="AS57" i="2"/>
  <c r="H57" i="28" s="1"/>
  <c r="K57" i="28" s="1"/>
  <c r="AS58" i="2"/>
  <c r="H58" i="28" s="1"/>
  <c r="K58" i="28" s="1"/>
  <c r="AS59" i="2"/>
  <c r="H59" i="28" s="1"/>
  <c r="K59" i="28" s="1"/>
  <c r="AS60" i="2"/>
  <c r="H60" i="28" s="1"/>
  <c r="K60" i="28" s="1"/>
  <c r="AS61" i="2"/>
  <c r="H61" i="28" s="1"/>
  <c r="AS62" i="2"/>
  <c r="H62" i="28" s="1"/>
  <c r="K62" i="28" s="1"/>
  <c r="AS63" i="2"/>
  <c r="H63" i="28" s="1"/>
  <c r="AS64" i="2"/>
  <c r="H64" i="28" s="1"/>
  <c r="K64" i="28" s="1"/>
  <c r="AS65" i="2"/>
  <c r="H65" i="28" s="1"/>
  <c r="K65" i="28" s="1"/>
  <c r="AS66" i="2"/>
  <c r="H66" i="28" s="1"/>
  <c r="K66" i="28" s="1"/>
  <c r="AS72" i="2"/>
  <c r="H72" i="28" s="1"/>
  <c r="AS73" i="2"/>
  <c r="H73" i="28" s="1"/>
  <c r="AS74" i="2"/>
  <c r="H74" i="28" s="1"/>
  <c r="K74" i="28" s="1"/>
  <c r="AS75" i="2"/>
  <c r="H75" i="28" s="1"/>
  <c r="AS76" i="2"/>
  <c r="H76" i="28" s="1"/>
  <c r="AS77" i="2"/>
  <c r="H77" i="28" s="1"/>
  <c r="AS83" i="2"/>
  <c r="AS87" i="2"/>
  <c r="AT87" i="31" s="1"/>
  <c r="AS88" i="2"/>
  <c r="AS89" i="2"/>
  <c r="AT89" i="31" s="1"/>
  <c r="AS90" i="2"/>
  <c r="AS91" i="2"/>
  <c r="AS92" i="2"/>
  <c r="AS93" i="2"/>
  <c r="AS94" i="2"/>
  <c r="AS95" i="2"/>
  <c r="AT95" i="31" s="1"/>
  <c r="AS96" i="2"/>
  <c r="AS97" i="2"/>
  <c r="AS98" i="2"/>
  <c r="AT98" i="31" s="1"/>
  <c r="AS99" i="2"/>
  <c r="AS100" i="2"/>
  <c r="AS102" i="2"/>
  <c r="D4" i="10" a="1"/>
  <c r="D4" i="10" s="1"/>
  <c r="E4" i="10" a="1"/>
  <c r="E4" i="10" s="1"/>
  <c r="F4" i="10" a="1"/>
  <c r="F4" i="10" s="1"/>
  <c r="G4" i="10" a="1"/>
  <c r="G4" i="10" s="1"/>
  <c r="H4" i="10" a="1"/>
  <c r="H4" i="10" s="1"/>
  <c r="I4" i="10" a="1"/>
  <c r="I4" i="10" s="1"/>
  <c r="C64" i="3"/>
  <c r="C9" i="3"/>
  <c r="E9" i="3" s="1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5" i="3"/>
  <c r="C78" i="3"/>
  <c r="D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3" i="3"/>
  <c r="C62" i="3"/>
  <c r="C61" i="3"/>
  <c r="C79" i="3"/>
  <c r="D79" i="3"/>
  <c r="C80" i="3"/>
  <c r="D80" i="3"/>
  <c r="D54" i="3"/>
  <c r="D55" i="3"/>
  <c r="I5" i="10" a="1"/>
  <c r="I5" i="10" s="1"/>
  <c r="H5" i="10" a="1"/>
  <c r="H5" i="10" s="1"/>
  <c r="G5" i="10" a="1"/>
  <c r="G5" i="10" s="1"/>
  <c r="F5" i="10" a="1"/>
  <c r="F5" i="10" s="1"/>
  <c r="E5" i="10" a="1"/>
  <c r="E5" i="10" s="1"/>
  <c r="D5" i="10" a="1"/>
  <c r="D5" i="10" s="1"/>
  <c r="I3" i="10" a="1"/>
  <c r="I3" i="10" s="1"/>
  <c r="H3" i="10" a="1"/>
  <c r="H3" i="10" s="1"/>
  <c r="G3" i="10" a="1"/>
  <c r="G3" i="10" s="1"/>
  <c r="F3" i="10" a="1"/>
  <c r="F3" i="10" s="1"/>
  <c r="E3" i="10" a="1"/>
  <c r="E3" i="10" s="1"/>
  <c r="D3" i="10" a="1"/>
  <c r="D3" i="10" s="1"/>
  <c r="I2" i="10" a="1"/>
  <c r="I2" i="10" s="1"/>
  <c r="H2" i="10" a="1"/>
  <c r="H2" i="10" s="1"/>
  <c r="G2" i="10" a="1"/>
  <c r="G2" i="10" s="1"/>
  <c r="G12" i="10" s="1"/>
  <c r="F2" i="10" a="1"/>
  <c r="F2" i="10" s="1"/>
  <c r="E2" i="10" a="1"/>
  <c r="E2" i="10" s="1"/>
  <c r="E12" i="10" s="1"/>
  <c r="D2" i="10" a="1"/>
  <c r="D2" i="10" s="1"/>
  <c r="E131" i="2"/>
  <c r="F131" i="2"/>
  <c r="H131" i="2"/>
  <c r="I131" i="2"/>
  <c r="K131" i="2"/>
  <c r="L131" i="2"/>
  <c r="N131" i="2"/>
  <c r="AR131" i="2"/>
  <c r="D131" i="2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C56" i="3"/>
  <c r="C57" i="3"/>
  <c r="D57" i="3"/>
  <c r="C58" i="3"/>
  <c r="D58" i="3"/>
  <c r="C59" i="3"/>
  <c r="D59" i="3"/>
  <c r="C60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K2" i="10" a="1"/>
  <c r="K2" i="10" s="1"/>
  <c r="J2" i="10" a="1"/>
  <c r="J2" i="10" s="1"/>
  <c r="AS22" i="2"/>
  <c r="L2" i="10" a="1"/>
  <c r="L2" i="10" s="1"/>
  <c r="L12" i="10" s="1"/>
  <c r="AS86" i="27"/>
  <c r="I86" i="28" s="1"/>
  <c r="K70" i="28" l="1"/>
  <c r="K72" i="28"/>
  <c r="K67" i="28"/>
  <c r="K76" i="28"/>
  <c r="K75" i="28"/>
  <c r="K71" i="28"/>
  <c r="K77" i="28"/>
  <c r="K63" i="28"/>
  <c r="K55" i="28"/>
  <c r="K47" i="28"/>
  <c r="K39" i="28"/>
  <c r="K31" i="28"/>
  <c r="K61" i="28"/>
  <c r="K53" i="28"/>
  <c r="K45" i="28"/>
  <c r="K37" i="28"/>
  <c r="K29" i="28"/>
  <c r="K73" i="28"/>
  <c r="K69" i="28"/>
  <c r="K68" i="28"/>
  <c r="H86" i="28"/>
  <c r="K86" i="28" s="1"/>
  <c r="AT86" i="31"/>
  <c r="H91" i="28"/>
  <c r="K91" i="28" s="1"/>
  <c r="AT91" i="31"/>
  <c r="H90" i="28"/>
  <c r="K90" i="28" s="1"/>
  <c r="AT90" i="31"/>
  <c r="H99" i="28"/>
  <c r="K99" i="28" s="1"/>
  <c r="AT99" i="31"/>
  <c r="H97" i="28"/>
  <c r="K97" i="28" s="1"/>
  <c r="AT97" i="31"/>
  <c r="H96" i="28"/>
  <c r="K96" i="28" s="1"/>
  <c r="AT96" i="31"/>
  <c r="H88" i="28"/>
  <c r="K88" i="28" s="1"/>
  <c r="AT88" i="3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C4" i="31"/>
  <c r="H23" i="28"/>
  <c r="AT23" i="31"/>
  <c r="H24" i="28"/>
  <c r="AT24" i="31"/>
  <c r="H94" i="28"/>
  <c r="K94" i="28" s="1"/>
  <c r="AT94" i="31"/>
  <c r="H102" i="28"/>
  <c r="K102" i="28" s="1"/>
  <c r="AT102" i="31"/>
  <c r="H93" i="28"/>
  <c r="K93" i="28" s="1"/>
  <c r="AT93" i="31"/>
  <c r="H100" i="28"/>
  <c r="K100" i="28" s="1"/>
  <c r="AT100" i="31"/>
  <c r="H92" i="28"/>
  <c r="K92" i="28" s="1"/>
  <c r="AT92" i="31"/>
  <c r="B43" i="31"/>
  <c r="AB104" i="2"/>
  <c r="C4" i="2"/>
  <c r="Q104" i="2"/>
  <c r="C4" i="27"/>
  <c r="C4" i="28"/>
  <c r="AH104" i="2"/>
  <c r="AD104" i="2"/>
  <c r="AA104" i="2"/>
  <c r="AA85" i="27"/>
  <c r="Z85" i="27"/>
  <c r="AB85" i="27"/>
  <c r="I54" i="28"/>
  <c r="AS81" i="27"/>
  <c r="I81" i="28" s="1"/>
  <c r="H54" i="28"/>
  <c r="AS81" i="2"/>
  <c r="B5" i="27"/>
  <c r="B5" i="2"/>
  <c r="B5" i="28"/>
  <c r="S104" i="2"/>
  <c r="I27" i="28"/>
  <c r="H27" i="28"/>
  <c r="T104" i="2"/>
  <c r="N104" i="2"/>
  <c r="R104" i="2"/>
  <c r="E10" i="3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U104" i="2"/>
  <c r="AT89" i="27"/>
  <c r="AT101" i="27"/>
  <c r="AT88" i="27"/>
  <c r="AT98" i="27"/>
  <c r="H98" i="28"/>
  <c r="K98" i="28" s="1"/>
  <c r="AT95" i="27"/>
  <c r="AT91" i="27"/>
  <c r="AT87" i="27"/>
  <c r="AT96" i="27"/>
  <c r="H87" i="28"/>
  <c r="K87" i="28" s="1"/>
  <c r="H95" i="28"/>
  <c r="K95" i="28" s="1"/>
  <c r="AT92" i="27"/>
  <c r="AT99" i="27"/>
  <c r="J4" i="10" a="1"/>
  <c r="J4" i="10" s="1"/>
  <c r="J13" i="10" s="1"/>
  <c r="H101" i="28"/>
  <c r="K101" i="28" s="1"/>
  <c r="H89" i="28"/>
  <c r="K89" i="28" s="1"/>
  <c r="V104" i="2"/>
  <c r="AS103" i="2"/>
  <c r="S85" i="27"/>
  <c r="R85" i="27"/>
  <c r="AT94" i="27"/>
  <c r="AT97" i="27"/>
  <c r="AT90" i="27"/>
  <c r="AT86" i="27"/>
  <c r="AT100" i="27"/>
  <c r="AT102" i="27"/>
  <c r="AS79" i="27"/>
  <c r="AS84" i="27"/>
  <c r="P104" i="2"/>
  <c r="J3" i="10" a="1"/>
  <c r="J3" i="10" s="1"/>
  <c r="AT93" i="27"/>
  <c r="AS85" i="2"/>
  <c r="O104" i="2"/>
  <c r="K4" i="10" a="1"/>
  <c r="K4" i="10" s="1"/>
  <c r="K13" i="10" s="1"/>
  <c r="AS85" i="27"/>
  <c r="I85" i="28" s="1"/>
  <c r="C7" i="10" a="1"/>
  <c r="C7" i="10" s="1"/>
  <c r="C12" i="10" s="1"/>
  <c r="AT7" i="27"/>
  <c r="I7" i="28"/>
  <c r="AS103" i="27"/>
  <c r="AS104" i="27" s="1"/>
  <c r="I104" i="28" s="1"/>
  <c r="F6" i="10"/>
  <c r="F12" i="10"/>
  <c r="D12" i="10"/>
  <c r="D6" i="10"/>
  <c r="E6" i="10"/>
  <c r="C6" i="10"/>
  <c r="H7" i="28"/>
  <c r="K7" i="28" s="1"/>
  <c r="G6" i="10"/>
  <c r="AS105" i="2"/>
  <c r="AS26" i="2"/>
  <c r="AS26" i="27"/>
  <c r="C8" i="10" a="1"/>
  <c r="C8" i="10" s="1"/>
  <c r="M8" i="10" s="1"/>
  <c r="AT27" i="27"/>
  <c r="C10" i="10" a="1"/>
  <c r="C10" i="10" s="1"/>
  <c r="M10" i="10" s="1"/>
  <c r="N10" i="10" s="1"/>
  <c r="AS84" i="2"/>
  <c r="AS79" i="2"/>
  <c r="AS78" i="27"/>
  <c r="I78" i="28" s="1"/>
  <c r="AS105" i="27"/>
  <c r="AT24" i="27"/>
  <c r="C9" i="10" a="1"/>
  <c r="C9" i="10" s="1"/>
  <c r="M9" i="10" s="1"/>
  <c r="I23" i="28"/>
  <c r="AS78" i="2"/>
  <c r="AT23" i="27"/>
  <c r="E11" i="10"/>
  <c r="F11" i="10"/>
  <c r="F13" i="10"/>
  <c r="D11" i="10"/>
  <c r="D13" i="10"/>
  <c r="L11" i="10"/>
  <c r="L13" i="10"/>
  <c r="G13" i="10"/>
  <c r="C19" i="10"/>
  <c r="I13" i="10"/>
  <c r="H13" i="10"/>
  <c r="M2" i="10"/>
  <c r="K12" i="10"/>
  <c r="H12" i="10"/>
  <c r="H6" i="10"/>
  <c r="M5" i="10"/>
  <c r="J12" i="10"/>
  <c r="I12" i="10"/>
  <c r="I6" i="10"/>
  <c r="E13" i="10"/>
  <c r="L3" i="10" a="1"/>
  <c r="L3" i="10" s="1"/>
  <c r="L6" i="10" s="1"/>
  <c r="K54" i="28" l="1"/>
  <c r="I108" i="28"/>
  <c r="I111" i="28"/>
  <c r="I109" i="28"/>
  <c r="I110" i="28"/>
  <c r="H111" i="28"/>
  <c r="K24" i="28"/>
  <c r="H80" i="28"/>
  <c r="I82" i="28"/>
  <c r="I79" i="28"/>
  <c r="I80" i="28"/>
  <c r="C22" i="31"/>
  <c r="C27" i="31"/>
  <c r="C6" i="31"/>
  <c r="C21" i="31"/>
  <c r="C38" i="31"/>
  <c r="C19" i="31"/>
  <c r="C5" i="28"/>
  <c r="C37" i="31"/>
  <c r="C14" i="31"/>
  <c r="C5" i="2"/>
  <c r="C35" i="31"/>
  <c r="C13" i="31"/>
  <c r="C30" i="31"/>
  <c r="C11" i="31"/>
  <c r="C29" i="31"/>
  <c r="H103" i="28"/>
  <c r="AT103" i="31"/>
  <c r="AT104" i="31" s="1"/>
  <c r="C36" i="31"/>
  <c r="C28" i="31"/>
  <c r="C20" i="31"/>
  <c r="C12" i="31"/>
  <c r="C5" i="31"/>
  <c r="H85" i="28"/>
  <c r="K85" i="28" s="1"/>
  <c r="AT85" i="31"/>
  <c r="C5" i="27"/>
  <c r="C34" i="31"/>
  <c r="C26" i="31"/>
  <c r="C18" i="31"/>
  <c r="C10" i="31"/>
  <c r="K27" i="28"/>
  <c r="C42" i="31"/>
  <c r="K23" i="28"/>
  <c r="O23" i="28" s="1"/>
  <c r="L23" i="28"/>
  <c r="C33" i="31"/>
  <c r="C25" i="31"/>
  <c r="C17" i="31"/>
  <c r="C9" i="31"/>
  <c r="AS82" i="2"/>
  <c r="AT81" i="31"/>
  <c r="C40" i="31"/>
  <c r="C32" i="31"/>
  <c r="C24" i="31"/>
  <c r="C16" i="31"/>
  <c r="C7" i="31"/>
  <c r="AT77" i="2"/>
  <c r="AT78" i="31"/>
  <c r="AT80" i="31" s="1"/>
  <c r="C41" i="31"/>
  <c r="C39" i="31"/>
  <c r="C31" i="31"/>
  <c r="C23" i="31"/>
  <c r="C15" i="31"/>
  <c r="C8" i="31"/>
  <c r="C43" i="31"/>
  <c r="B44" i="31"/>
  <c r="M7" i="28"/>
  <c r="I105" i="28"/>
  <c r="H105" i="28"/>
  <c r="B6" i="28"/>
  <c r="C6" i="28" s="1"/>
  <c r="L7" i="28"/>
  <c r="B6" i="27"/>
  <c r="C6" i="27" s="1"/>
  <c r="B6" i="2"/>
  <c r="C6" i="2" s="1"/>
  <c r="AS82" i="27"/>
  <c r="K6" i="10"/>
  <c r="AS104" i="2"/>
  <c r="H104" i="28" s="1"/>
  <c r="J6" i="10"/>
  <c r="M4" i="10"/>
  <c r="O4" i="10" s="1"/>
  <c r="M7" i="10"/>
  <c r="N7" i="10" s="1"/>
  <c r="AT85" i="27"/>
  <c r="AT103" i="27"/>
  <c r="AT104" i="27" s="1"/>
  <c r="I103" i="28"/>
  <c r="M12" i="10"/>
  <c r="AT53" i="2"/>
  <c r="AT73" i="2"/>
  <c r="AT62" i="2"/>
  <c r="AT49" i="2"/>
  <c r="AT71" i="2"/>
  <c r="AT59" i="27"/>
  <c r="AT64" i="27"/>
  <c r="AT47" i="27"/>
  <c r="AT41" i="27"/>
  <c r="AT29" i="27"/>
  <c r="AT55" i="27"/>
  <c r="AT50" i="27"/>
  <c r="AT48" i="27"/>
  <c r="AS80" i="27"/>
  <c r="AT63" i="27"/>
  <c r="AT61" i="27"/>
  <c r="AT38" i="27"/>
  <c r="AT33" i="27"/>
  <c r="AT46" i="27"/>
  <c r="AT34" i="27"/>
  <c r="AT28" i="27"/>
  <c r="AT73" i="27"/>
  <c r="AT77" i="27"/>
  <c r="AT32" i="27"/>
  <c r="AT69" i="27"/>
  <c r="AT42" i="27"/>
  <c r="AT49" i="27"/>
  <c r="AT66" i="27"/>
  <c r="AT43" i="27"/>
  <c r="AT53" i="27"/>
  <c r="AT51" i="27"/>
  <c r="AT60" i="27"/>
  <c r="AT31" i="27"/>
  <c r="AT30" i="27"/>
  <c r="AT72" i="27"/>
  <c r="AT44" i="27"/>
  <c r="AT65" i="27"/>
  <c r="AT58" i="27"/>
  <c r="AT75" i="27"/>
  <c r="AT68" i="27"/>
  <c r="AT68" i="2"/>
  <c r="AT40" i="2"/>
  <c r="AT59" i="2"/>
  <c r="AT75" i="2"/>
  <c r="H78" i="28"/>
  <c r="H108" i="28" s="1"/>
  <c r="AT51" i="2"/>
  <c r="AT56" i="2"/>
  <c r="AT33" i="2"/>
  <c r="AT67" i="2"/>
  <c r="AT36" i="2"/>
  <c r="AT39" i="2"/>
  <c r="AT34" i="2"/>
  <c r="AT72" i="2"/>
  <c r="AT44" i="2"/>
  <c r="AT66" i="2"/>
  <c r="AT29" i="2"/>
  <c r="AT74" i="2"/>
  <c r="AT37" i="2"/>
  <c r="AT32" i="2"/>
  <c r="AT46" i="2"/>
  <c r="AT30" i="2"/>
  <c r="AT47" i="2"/>
  <c r="AT61" i="2"/>
  <c r="AT60" i="2"/>
  <c r="AT45" i="2"/>
  <c r="AT41" i="2"/>
  <c r="AT52" i="2"/>
  <c r="AT55" i="2"/>
  <c r="AT70" i="2"/>
  <c r="AT43" i="2"/>
  <c r="AT76" i="2"/>
  <c r="AT78" i="27"/>
  <c r="AT80" i="27" s="1"/>
  <c r="K80" i="28" s="1"/>
  <c r="AT48" i="2"/>
  <c r="AT50" i="2"/>
  <c r="AT54" i="2"/>
  <c r="AT38" i="2"/>
  <c r="AT28" i="2"/>
  <c r="AT42" i="2"/>
  <c r="AT65" i="2"/>
  <c r="AT57" i="2"/>
  <c r="AT69" i="2"/>
  <c r="AT63" i="2"/>
  <c r="AT76" i="27"/>
  <c r="AT36" i="27"/>
  <c r="AT39" i="27"/>
  <c r="AT71" i="27"/>
  <c r="AT56" i="27"/>
  <c r="AT45" i="27"/>
  <c r="AT62" i="27"/>
  <c r="AT57" i="27"/>
  <c r="AT40" i="27"/>
  <c r="AT74" i="27"/>
  <c r="AT35" i="27"/>
  <c r="AT67" i="27"/>
  <c r="AT52" i="27"/>
  <c r="AT37" i="27"/>
  <c r="AT54" i="27"/>
  <c r="AT70" i="27"/>
  <c r="N9" i="10"/>
  <c r="O9" i="10"/>
  <c r="C13" i="10"/>
  <c r="C11" i="10"/>
  <c r="M11" i="10" s="1"/>
  <c r="H81" i="28"/>
  <c r="H110" i="28" s="1"/>
  <c r="AT81" i="27"/>
  <c r="AT35" i="2"/>
  <c r="AT64" i="2"/>
  <c r="AT58" i="2"/>
  <c r="AS80" i="2"/>
  <c r="AT31" i="2"/>
  <c r="N8" i="10"/>
  <c r="M3" i="10"/>
  <c r="N5" i="10"/>
  <c r="N2" i="10"/>
  <c r="H109" i="28" l="1"/>
  <c r="K111" i="28"/>
  <c r="K109" i="28"/>
  <c r="K103" i="28"/>
  <c r="K104" i="28" s="1"/>
  <c r="H82" i="28"/>
  <c r="K81" i="28"/>
  <c r="K110" i="28" s="1"/>
  <c r="H79" i="28"/>
  <c r="K79" i="28" s="1"/>
  <c r="K78" i="28"/>
  <c r="K105" i="28" s="1"/>
  <c r="B45" i="31"/>
  <c r="C44" i="31"/>
  <c r="O7" i="28"/>
  <c r="B7" i="28"/>
  <c r="C7" i="28" s="1"/>
  <c r="B7" i="27"/>
  <c r="C7" i="27" s="1"/>
  <c r="B7" i="2"/>
  <c r="C7" i="2" s="1"/>
  <c r="M6" i="10"/>
  <c r="C21" i="10"/>
  <c r="D21" i="10" s="1"/>
  <c r="N4" i="10"/>
  <c r="N13" i="10" s="1"/>
  <c r="M13" i="10"/>
  <c r="N12" i="10"/>
  <c r="C16" i="10"/>
  <c r="O8" i="10"/>
  <c r="C20" i="10"/>
  <c r="D20" i="10" s="1"/>
  <c r="N3" i="10"/>
  <c r="O3" i="10"/>
  <c r="K108" i="28" l="1"/>
  <c r="C45" i="31"/>
  <c r="B46" i="31"/>
  <c r="Q7" i="28"/>
  <c r="K82" i="28"/>
  <c r="B8" i="28"/>
  <c r="C8" i="28" s="1"/>
  <c r="B8" i="27"/>
  <c r="C8" i="27" s="1"/>
  <c r="B8" i="2"/>
  <c r="C8" i="2" s="1"/>
  <c r="D22" i="10"/>
  <c r="B47" i="31" l="1"/>
  <c r="C46" i="31"/>
  <c r="B9" i="28"/>
  <c r="C9" i="28" s="1"/>
  <c r="B9" i="27"/>
  <c r="C9" i="27" s="1"/>
  <c r="B9" i="2"/>
  <c r="C9" i="2" s="1"/>
  <c r="C47" i="31" l="1"/>
  <c r="B48" i="31"/>
  <c r="B10" i="28"/>
  <c r="C10" i="28" s="1"/>
  <c r="B10" i="27"/>
  <c r="C10" i="27" s="1"/>
  <c r="B10" i="2"/>
  <c r="C10" i="2" s="1"/>
  <c r="B49" i="31" l="1"/>
  <c r="C48" i="31"/>
  <c r="B11" i="28"/>
  <c r="C11" i="28" s="1"/>
  <c r="B11" i="27"/>
  <c r="C11" i="27" s="1"/>
  <c r="B11" i="2"/>
  <c r="C11" i="2" s="1"/>
  <c r="C49" i="31" l="1"/>
  <c r="B50" i="31"/>
  <c r="B12" i="28"/>
  <c r="C12" i="28" s="1"/>
  <c r="B12" i="27"/>
  <c r="C12" i="27" s="1"/>
  <c r="B12" i="2"/>
  <c r="C12" i="2" s="1"/>
  <c r="B51" i="31" l="1"/>
  <c r="C50" i="31"/>
  <c r="B13" i="28"/>
  <c r="C13" i="28" s="1"/>
  <c r="B13" i="27"/>
  <c r="C13" i="27" s="1"/>
  <c r="B13" i="2"/>
  <c r="C13" i="2" s="1"/>
  <c r="C51" i="31" l="1"/>
  <c r="B52" i="31"/>
  <c r="B14" i="28"/>
  <c r="C14" i="28" s="1"/>
  <c r="B14" i="27"/>
  <c r="C14" i="27" s="1"/>
  <c r="B14" i="2"/>
  <c r="C14" i="2" s="1"/>
  <c r="B53" i="31" l="1"/>
  <c r="C52" i="31"/>
  <c r="B15" i="27"/>
  <c r="C15" i="27" s="1"/>
  <c r="B15" i="28"/>
  <c r="C15" i="28" s="1"/>
  <c r="B15" i="2"/>
  <c r="C15" i="2" s="1"/>
  <c r="C53" i="31" l="1"/>
  <c r="B54" i="31"/>
  <c r="B16" i="27"/>
  <c r="C16" i="27" s="1"/>
  <c r="B16" i="28"/>
  <c r="C16" i="28" s="1"/>
  <c r="B16" i="2"/>
  <c r="C16" i="2" s="1"/>
  <c r="B55" i="31" l="1"/>
  <c r="C54" i="31"/>
  <c r="B17" i="27"/>
  <c r="C17" i="27" s="1"/>
  <c r="B17" i="28"/>
  <c r="C17" i="28" s="1"/>
  <c r="B17" i="2"/>
  <c r="C17" i="2" s="1"/>
  <c r="C55" i="31" l="1"/>
  <c r="B56" i="31"/>
  <c r="B18" i="27"/>
  <c r="C18" i="27" s="1"/>
  <c r="B18" i="28"/>
  <c r="C18" i="28" s="1"/>
  <c r="B18" i="2"/>
  <c r="C18" i="2" s="1"/>
  <c r="B57" i="31" l="1"/>
  <c r="C56" i="31"/>
  <c r="B19" i="27"/>
  <c r="C19" i="27" s="1"/>
  <c r="B19" i="28"/>
  <c r="C19" i="28" s="1"/>
  <c r="B19" i="2"/>
  <c r="C19" i="2" s="1"/>
  <c r="C57" i="31" l="1"/>
  <c r="B58" i="31"/>
  <c r="B20" i="27"/>
  <c r="C20" i="27" s="1"/>
  <c r="B20" i="28"/>
  <c r="C20" i="28" s="1"/>
  <c r="B20" i="2"/>
  <c r="C20" i="2" s="1"/>
  <c r="B59" i="31" l="1"/>
  <c r="C58" i="31"/>
  <c r="B21" i="28"/>
  <c r="C21" i="28" s="1"/>
  <c r="B21" i="27"/>
  <c r="C21" i="27" s="1"/>
  <c r="B21" i="2"/>
  <c r="C21" i="2" s="1"/>
  <c r="B22" i="27"/>
  <c r="C22" i="27" s="1"/>
  <c r="B22" i="28"/>
  <c r="C22" i="28" s="1"/>
  <c r="C59" i="31" l="1"/>
  <c r="B60" i="31"/>
  <c r="B22" i="2"/>
  <c r="C22" i="2" s="1"/>
  <c r="B23" i="28"/>
  <c r="C23" i="28" s="1"/>
  <c r="B23" i="27"/>
  <c r="C23" i="27" s="1"/>
  <c r="B61" i="31" l="1"/>
  <c r="C60" i="31"/>
  <c r="B23" i="2"/>
  <c r="C23" i="2" s="1"/>
  <c r="B24" i="27"/>
  <c r="C24" i="27" s="1"/>
  <c r="B24" i="28"/>
  <c r="C24" i="28" s="1"/>
  <c r="C61" i="31" l="1"/>
  <c r="B62" i="31"/>
  <c r="B24" i="2"/>
  <c r="C24" i="2" s="1"/>
  <c r="B25" i="27"/>
  <c r="C25" i="27" s="1"/>
  <c r="B25" i="28"/>
  <c r="C25" i="28" s="1"/>
  <c r="B63" i="31" l="1"/>
  <c r="C62" i="31"/>
  <c r="B25" i="2"/>
  <c r="C25" i="2" s="1"/>
  <c r="B26" i="28"/>
  <c r="C26" i="28" s="1"/>
  <c r="B26" i="27"/>
  <c r="C26" i="27" s="1"/>
  <c r="C63" i="31" l="1"/>
  <c r="B64" i="31"/>
  <c r="B26" i="2"/>
  <c r="C26" i="2" s="1"/>
  <c r="B27" i="27"/>
  <c r="C27" i="27" s="1"/>
  <c r="B27" i="28"/>
  <c r="C27" i="28" s="1"/>
  <c r="B65" i="31" l="1"/>
  <c r="C64" i="31"/>
  <c r="B27" i="2"/>
  <c r="C27" i="2" s="1"/>
  <c r="B28" i="28"/>
  <c r="C28" i="28" s="1"/>
  <c r="B28" i="27"/>
  <c r="C28" i="27" s="1"/>
  <c r="C65" i="31" l="1"/>
  <c r="B66" i="31"/>
  <c r="S28" i="28"/>
  <c r="B28" i="2"/>
  <c r="C28" i="2" s="1"/>
  <c r="B29" i="27"/>
  <c r="C29" i="27" s="1"/>
  <c r="B29" i="28"/>
  <c r="C29" i="28" s="1"/>
  <c r="B67" i="31" l="1"/>
  <c r="C66" i="31"/>
  <c r="B29" i="2"/>
  <c r="C29" i="2" s="1"/>
  <c r="S29" i="28"/>
  <c r="B30" i="28"/>
  <c r="C30" i="28" s="1"/>
  <c r="B30" i="27"/>
  <c r="C30" i="27" s="1"/>
  <c r="C67" i="31" l="1"/>
  <c r="B68" i="31"/>
  <c r="S30" i="28"/>
  <c r="B30" i="2"/>
  <c r="C30" i="2" s="1"/>
  <c r="B31" i="27"/>
  <c r="C31" i="27" s="1"/>
  <c r="B31" i="28"/>
  <c r="C31" i="28" s="1"/>
  <c r="B69" i="31" l="1"/>
  <c r="C68" i="31"/>
  <c r="S31" i="28"/>
  <c r="B31" i="2"/>
  <c r="C31" i="2" s="1"/>
  <c r="B32" i="28"/>
  <c r="C32" i="28" s="1"/>
  <c r="B32" i="27"/>
  <c r="C32" i="27" s="1"/>
  <c r="C69" i="31" l="1"/>
  <c r="B70" i="31"/>
  <c r="S32" i="28"/>
  <c r="B32" i="2"/>
  <c r="C32" i="2" s="1"/>
  <c r="B33" i="27"/>
  <c r="C33" i="27" s="1"/>
  <c r="B33" i="28"/>
  <c r="C33" i="28" s="1"/>
  <c r="B71" i="31" l="1"/>
  <c r="C70" i="31"/>
  <c r="S33" i="28"/>
  <c r="B33" i="2"/>
  <c r="C33" i="2" s="1"/>
  <c r="B34" i="28"/>
  <c r="C34" i="28" s="1"/>
  <c r="B34" i="27"/>
  <c r="C34" i="27" s="1"/>
  <c r="C71" i="31" l="1"/>
  <c r="B72" i="31"/>
  <c r="S34" i="28"/>
  <c r="B34" i="2"/>
  <c r="C34" i="2" s="1"/>
  <c r="B35" i="27"/>
  <c r="C35" i="27" s="1"/>
  <c r="B35" i="28"/>
  <c r="C35" i="28" s="1"/>
  <c r="B73" i="31" l="1"/>
  <c r="C72" i="31"/>
  <c r="S35" i="28"/>
  <c r="B35" i="2"/>
  <c r="C35" i="2" s="1"/>
  <c r="B36" i="28"/>
  <c r="C36" i="28" s="1"/>
  <c r="B36" i="27"/>
  <c r="C36" i="27" s="1"/>
  <c r="C73" i="31" l="1"/>
  <c r="B74" i="31"/>
  <c r="S36" i="28"/>
  <c r="B36" i="2"/>
  <c r="C36" i="2" s="1"/>
  <c r="B37" i="28"/>
  <c r="C37" i="28" s="1"/>
  <c r="B37" i="27"/>
  <c r="C37" i="27" s="1"/>
  <c r="B75" i="31" l="1"/>
  <c r="C74" i="31"/>
  <c r="B37" i="2"/>
  <c r="C37" i="2" s="1"/>
  <c r="B38" i="27"/>
  <c r="C38" i="27" s="1"/>
  <c r="B38" i="28"/>
  <c r="C38" i="28" s="1"/>
  <c r="S37" i="28"/>
  <c r="C75" i="31" l="1"/>
  <c r="B76" i="31"/>
  <c r="S38" i="28"/>
  <c r="B38" i="2"/>
  <c r="C38" i="2" s="1"/>
  <c r="B39" i="28"/>
  <c r="C39" i="28" s="1"/>
  <c r="B39" i="27"/>
  <c r="C39" i="27" s="1"/>
  <c r="B77" i="31" l="1"/>
  <c r="C76" i="31"/>
  <c r="S39" i="28"/>
  <c r="B39" i="2"/>
  <c r="C39" i="2" s="1"/>
  <c r="B40" i="27"/>
  <c r="C40" i="27" s="1"/>
  <c r="B40" i="28"/>
  <c r="C40" i="28" s="1"/>
  <c r="C77" i="31" l="1"/>
  <c r="B78" i="31"/>
  <c r="S40" i="28"/>
  <c r="B40" i="2"/>
  <c r="C40" i="2" s="1"/>
  <c r="B41" i="27"/>
  <c r="C41" i="27" s="1"/>
  <c r="B41" i="28"/>
  <c r="C41" i="28" s="1"/>
  <c r="B79" i="31" l="1"/>
  <c r="C78" i="31"/>
  <c r="S41" i="28"/>
  <c r="B41" i="2"/>
  <c r="C41" i="2" s="1"/>
  <c r="B42" i="28"/>
  <c r="C42" i="28" s="1"/>
  <c r="B42" i="27"/>
  <c r="C42" i="27" s="1"/>
  <c r="C79" i="31" l="1"/>
  <c r="B80" i="31"/>
  <c r="B42" i="2"/>
  <c r="C42" i="2" s="1"/>
  <c r="B43" i="27"/>
  <c r="C43" i="27" s="1"/>
  <c r="B43" i="28"/>
  <c r="C43" i="28" s="1"/>
  <c r="S42" i="28"/>
  <c r="B81" i="31" l="1"/>
  <c r="C80" i="31"/>
  <c r="S43" i="28"/>
  <c r="B43" i="2"/>
  <c r="C43" i="2" s="1"/>
  <c r="B44" i="28"/>
  <c r="C44" i="28" s="1"/>
  <c r="B44" i="27"/>
  <c r="C44" i="27" s="1"/>
  <c r="C81" i="31" l="1"/>
  <c r="B82" i="31"/>
  <c r="S44" i="28"/>
  <c r="B44" i="2"/>
  <c r="C44" i="2" s="1"/>
  <c r="B45" i="27"/>
  <c r="C45" i="27" s="1"/>
  <c r="B45" i="28"/>
  <c r="C45" i="28" s="1"/>
  <c r="C82" i="31" l="1"/>
  <c r="B83" i="31"/>
  <c r="S45" i="28"/>
  <c r="B45" i="2"/>
  <c r="C45" i="2" s="1"/>
  <c r="B46" i="28"/>
  <c r="C46" i="28" s="1"/>
  <c r="B46" i="27"/>
  <c r="C46" i="27" s="1"/>
  <c r="B84" i="31" l="1"/>
  <c r="C83" i="31"/>
  <c r="S46" i="28"/>
  <c r="B46" i="2"/>
  <c r="C46" i="2" s="1"/>
  <c r="B47" i="27"/>
  <c r="C47" i="27" s="1"/>
  <c r="B47" i="28"/>
  <c r="C47" i="28" s="1"/>
  <c r="C84" i="31" l="1"/>
  <c r="B85" i="31"/>
  <c r="S47" i="28"/>
  <c r="B47" i="2"/>
  <c r="C47" i="2" s="1"/>
  <c r="B48" i="28"/>
  <c r="C48" i="28" s="1"/>
  <c r="B48" i="27"/>
  <c r="C48" i="27" s="1"/>
  <c r="B86" i="31" l="1"/>
  <c r="C85" i="31"/>
  <c r="S48" i="28"/>
  <c r="B48" i="2"/>
  <c r="C48" i="2" s="1"/>
  <c r="B49" i="27"/>
  <c r="C49" i="27" s="1"/>
  <c r="B49" i="28"/>
  <c r="C49" i="28" s="1"/>
  <c r="B87" i="31" l="1"/>
  <c r="C86" i="31"/>
  <c r="S49" i="28"/>
  <c r="B49" i="2"/>
  <c r="C49" i="2" s="1"/>
  <c r="B50" i="28"/>
  <c r="C50" i="28" s="1"/>
  <c r="B50" i="27"/>
  <c r="C50" i="27" s="1"/>
  <c r="B88" i="31" l="1"/>
  <c r="C87" i="31"/>
  <c r="S50" i="28"/>
  <c r="B50" i="2"/>
  <c r="C50" i="2" s="1"/>
  <c r="B51" i="28"/>
  <c r="C51" i="28" s="1"/>
  <c r="B51" i="27"/>
  <c r="C51" i="27" s="1"/>
  <c r="B89" i="31" l="1"/>
  <c r="C88" i="31"/>
  <c r="S51" i="28"/>
  <c r="B51" i="2"/>
  <c r="C51" i="2" s="1"/>
  <c r="B52" i="27"/>
  <c r="C52" i="27" s="1"/>
  <c r="B52" i="28"/>
  <c r="C52" i="28" s="1"/>
  <c r="B90" i="31" l="1"/>
  <c r="C89" i="31"/>
  <c r="S52" i="28"/>
  <c r="B52" i="2"/>
  <c r="C52" i="2" s="1"/>
  <c r="B53" i="28"/>
  <c r="C53" i="28" s="1"/>
  <c r="B53" i="27"/>
  <c r="C53" i="27" s="1"/>
  <c r="B91" i="31" l="1"/>
  <c r="C90" i="31"/>
  <c r="S53" i="28"/>
  <c r="B53" i="2"/>
  <c r="C53" i="2" s="1"/>
  <c r="B54" i="27"/>
  <c r="C54" i="27" s="1"/>
  <c r="B54" i="28"/>
  <c r="C54" i="28" s="1"/>
  <c r="B92" i="31" l="1"/>
  <c r="C91" i="31"/>
  <c r="B54" i="2"/>
  <c r="C54" i="2" s="1"/>
  <c r="S54" i="28"/>
  <c r="B55" i="28"/>
  <c r="C55" i="28" s="1"/>
  <c r="B55" i="27"/>
  <c r="C55" i="27" s="1"/>
  <c r="C92" i="31" l="1"/>
  <c r="B93" i="31"/>
  <c r="S55" i="28"/>
  <c r="B55" i="2"/>
  <c r="C55" i="2" s="1"/>
  <c r="B56" i="27"/>
  <c r="C56" i="27" s="1"/>
  <c r="B56" i="28"/>
  <c r="C56" i="28" s="1"/>
  <c r="B94" i="31" l="1"/>
  <c r="C93" i="31"/>
  <c r="S56" i="28"/>
  <c r="B56" i="2"/>
  <c r="C56" i="2" s="1"/>
  <c r="B57" i="27"/>
  <c r="C57" i="27" s="1"/>
  <c r="B57" i="28"/>
  <c r="C57" i="28" s="1"/>
  <c r="B95" i="31" l="1"/>
  <c r="C94" i="31"/>
  <c r="S57" i="28"/>
  <c r="B57" i="2"/>
  <c r="C57" i="2" s="1"/>
  <c r="B58" i="28"/>
  <c r="C58" i="28" s="1"/>
  <c r="B58" i="27"/>
  <c r="C58" i="27" s="1"/>
  <c r="B96" i="31" l="1"/>
  <c r="C95" i="31"/>
  <c r="S58" i="28"/>
  <c r="B58" i="2"/>
  <c r="C58" i="2" s="1"/>
  <c r="B59" i="27"/>
  <c r="C59" i="27" s="1"/>
  <c r="B59" i="28"/>
  <c r="C59" i="28" s="1"/>
  <c r="B97" i="31" l="1"/>
  <c r="C96" i="31"/>
  <c r="S59" i="28"/>
  <c r="B59" i="2"/>
  <c r="C59" i="2" s="1"/>
  <c r="B60" i="28"/>
  <c r="C60" i="28" s="1"/>
  <c r="B60" i="27"/>
  <c r="C60" i="27" s="1"/>
  <c r="B98" i="31" l="1"/>
  <c r="C97" i="31"/>
  <c r="S60" i="28"/>
  <c r="B60" i="2"/>
  <c r="C60" i="2" s="1"/>
  <c r="B61" i="28"/>
  <c r="C61" i="28" s="1"/>
  <c r="B61" i="27"/>
  <c r="C61" i="27" s="1"/>
  <c r="C98" i="31" l="1"/>
  <c r="B99" i="31"/>
  <c r="S61" i="28"/>
  <c r="B61" i="2"/>
  <c r="C61" i="2" s="1"/>
  <c r="B62" i="27"/>
  <c r="C62" i="27" s="1"/>
  <c r="B62" i="28"/>
  <c r="C62" i="28" s="1"/>
  <c r="B100" i="31" l="1"/>
  <c r="C99" i="31"/>
  <c r="S62" i="28"/>
  <c r="B62" i="2"/>
  <c r="C62" i="2" s="1"/>
  <c r="B63" i="28"/>
  <c r="C63" i="28" s="1"/>
  <c r="B63" i="27"/>
  <c r="C63" i="27" s="1"/>
  <c r="B101" i="31" l="1"/>
  <c r="C100" i="31"/>
  <c r="S63" i="28"/>
  <c r="B63" i="2"/>
  <c r="C63" i="2" s="1"/>
  <c r="B64" i="28"/>
  <c r="C64" i="28" s="1"/>
  <c r="B64" i="27"/>
  <c r="C64" i="27" s="1"/>
  <c r="B102" i="31" l="1"/>
  <c r="C101" i="31"/>
  <c r="S64" i="28"/>
  <c r="B64" i="2"/>
  <c r="C64" i="2" s="1"/>
  <c r="B65" i="28"/>
  <c r="C65" i="28" s="1"/>
  <c r="B65" i="27"/>
  <c r="C65" i="27" s="1"/>
  <c r="C102" i="31" l="1"/>
  <c r="B103" i="31"/>
  <c r="S65" i="28"/>
  <c r="B65" i="2"/>
  <c r="C65" i="2" s="1"/>
  <c r="B66" i="28"/>
  <c r="C66" i="28" s="1"/>
  <c r="B66" i="27"/>
  <c r="C66" i="27" s="1"/>
  <c r="C103" i="31" l="1"/>
  <c r="B104" i="31"/>
  <c r="S66" i="28"/>
  <c r="B66" i="2"/>
  <c r="C66" i="2" s="1"/>
  <c r="B67" i="27"/>
  <c r="C67" i="27" s="1"/>
  <c r="B67" i="28"/>
  <c r="C67" i="28" s="1"/>
  <c r="B105" i="31" l="1"/>
  <c r="C105" i="31" s="1"/>
  <c r="C104" i="31"/>
  <c r="S67" i="28"/>
  <c r="B67" i="2"/>
  <c r="C67" i="2" s="1"/>
  <c r="B68" i="28"/>
  <c r="C68" i="28" s="1"/>
  <c r="B68" i="27"/>
  <c r="C68" i="27" s="1"/>
  <c r="S68" i="28" l="1"/>
  <c r="B68" i="2"/>
  <c r="C68" i="2" s="1"/>
  <c r="B69" i="28"/>
  <c r="C69" i="28" s="1"/>
  <c r="B69" i="27"/>
  <c r="C69" i="27" s="1"/>
  <c r="S69" i="28" l="1"/>
  <c r="B69" i="2"/>
  <c r="C69" i="2" s="1"/>
  <c r="B70" i="27"/>
  <c r="C70" i="27" s="1"/>
  <c r="B70" i="28"/>
  <c r="C70" i="28" s="1"/>
  <c r="S70" i="28" l="1"/>
  <c r="B70" i="2"/>
  <c r="C70" i="2" s="1"/>
  <c r="B71" i="28"/>
  <c r="C71" i="28" s="1"/>
  <c r="B71" i="27"/>
  <c r="C71" i="27" s="1"/>
  <c r="S71" i="28" l="1"/>
  <c r="B71" i="2"/>
  <c r="C71" i="2" s="1"/>
  <c r="B72" i="27"/>
  <c r="C72" i="27" s="1"/>
  <c r="B72" i="28"/>
  <c r="C72" i="28" s="1"/>
  <c r="B72" i="2" l="1"/>
  <c r="C72" i="2" s="1"/>
  <c r="B73" i="28"/>
  <c r="C73" i="28" s="1"/>
  <c r="S72" i="28"/>
  <c r="B73" i="27"/>
  <c r="C73" i="27" s="1"/>
  <c r="S73" i="28" l="1"/>
  <c r="B73" i="2"/>
  <c r="C73" i="2" s="1"/>
  <c r="B74" i="28"/>
  <c r="C74" i="28" s="1"/>
  <c r="B74" i="27"/>
  <c r="C74" i="27" s="1"/>
  <c r="S74" i="28" l="1"/>
  <c r="B74" i="2"/>
  <c r="C74" i="2" s="1"/>
  <c r="B75" i="28"/>
  <c r="C75" i="28" s="1"/>
  <c r="B75" i="27"/>
  <c r="C75" i="27" s="1"/>
  <c r="B75" i="2" l="1"/>
  <c r="C75" i="2" s="1"/>
  <c r="B76" i="28"/>
  <c r="C76" i="28" s="1"/>
  <c r="S75" i="28"/>
  <c r="B76" i="27"/>
  <c r="C76" i="27" s="1"/>
  <c r="B76" i="2" l="1"/>
  <c r="C76" i="2" s="1"/>
  <c r="B77" i="28"/>
  <c r="C77" i="28" s="1"/>
  <c r="S76" i="28"/>
  <c r="B77" i="27"/>
  <c r="C77" i="27" s="1"/>
  <c r="S77" i="28" l="1"/>
  <c r="B77" i="2"/>
  <c r="C77" i="2" s="1"/>
  <c r="B78" i="28"/>
  <c r="C78" i="28" s="1"/>
  <c r="B78" i="27"/>
  <c r="C78" i="27" s="1"/>
  <c r="B78" i="2" l="1"/>
  <c r="C78" i="2" s="1"/>
  <c r="B79" i="27"/>
  <c r="C79" i="27" s="1"/>
  <c r="B79" i="28"/>
  <c r="C79" i="28" s="1"/>
  <c r="B79" i="2" l="1"/>
  <c r="C79" i="2" s="1"/>
  <c r="B80" i="27"/>
  <c r="C80" i="27" s="1"/>
  <c r="B80" i="28"/>
  <c r="C80" i="28" s="1"/>
  <c r="B80" i="2" l="1"/>
  <c r="C80" i="2" s="1"/>
  <c r="B81" i="27"/>
  <c r="C81" i="27" s="1"/>
  <c r="B81" i="28"/>
  <c r="C81" i="28" s="1"/>
  <c r="B81" i="2" l="1"/>
  <c r="C81" i="2" s="1"/>
  <c r="B82" i="27"/>
  <c r="C82" i="27" s="1"/>
  <c r="B82" i="28"/>
  <c r="C82" i="28" s="1"/>
  <c r="B82" i="2" l="1"/>
  <c r="C82" i="2" s="1"/>
  <c r="B83" i="27"/>
  <c r="C83" i="27" s="1"/>
  <c r="B83" i="28"/>
  <c r="C83" i="28" s="1"/>
  <c r="B83" i="2" l="1"/>
  <c r="C83" i="2" s="1"/>
  <c r="B84" i="28"/>
  <c r="C84" i="28" s="1"/>
  <c r="B84" i="27"/>
  <c r="C84" i="27" s="1"/>
  <c r="B84" i="2" l="1"/>
  <c r="C84" i="2" s="1"/>
  <c r="B85" i="27"/>
  <c r="C85" i="27" s="1"/>
  <c r="B85" i="28"/>
  <c r="C85" i="28" s="1"/>
  <c r="B85" i="2" l="1"/>
  <c r="C85" i="2" s="1"/>
  <c r="B86" i="27"/>
  <c r="C86" i="27" s="1"/>
  <c r="B86" i="28"/>
  <c r="C86" i="28" s="1"/>
  <c r="S78" i="28" l="1"/>
  <c r="B86" i="2"/>
  <c r="C86" i="2" s="1"/>
  <c r="B87" i="27"/>
  <c r="C87" i="27" s="1"/>
  <c r="B87" i="28"/>
  <c r="C87" i="28" s="1"/>
  <c r="S79" i="28" l="1"/>
  <c r="B87" i="2"/>
  <c r="C87" i="2" s="1"/>
  <c r="B88" i="27"/>
  <c r="C88" i="27" s="1"/>
  <c r="B88" i="28"/>
  <c r="C88" i="28" s="1"/>
  <c r="S80" i="28" l="1"/>
  <c r="B88" i="2"/>
  <c r="C88" i="2" s="1"/>
  <c r="B89" i="27"/>
  <c r="C89" i="27" s="1"/>
  <c r="B89" i="28"/>
  <c r="C89" i="28" s="1"/>
  <c r="S81" i="28" l="1"/>
  <c r="B89" i="2"/>
  <c r="C89" i="2" s="1"/>
  <c r="B90" i="27"/>
  <c r="C90" i="27" s="1"/>
  <c r="B90" i="28"/>
  <c r="C90" i="28" s="1"/>
  <c r="S82" i="28" l="1"/>
  <c r="B90" i="2"/>
  <c r="C90" i="2" s="1"/>
  <c r="B91" i="28"/>
  <c r="C91" i="28" s="1"/>
  <c r="B91" i="27"/>
  <c r="C91" i="27" s="1"/>
  <c r="S83" i="28" l="1"/>
  <c r="B91" i="2"/>
  <c r="C91" i="2" s="1"/>
  <c r="B92" i="28"/>
  <c r="C92" i="28" s="1"/>
  <c r="B92" i="27"/>
  <c r="C92" i="27" s="1"/>
  <c r="S84" i="28" l="1"/>
  <c r="B92" i="2"/>
  <c r="C92" i="2" s="1"/>
  <c r="B93" i="28"/>
  <c r="C93" i="28" s="1"/>
  <c r="B93" i="27"/>
  <c r="C93" i="27" s="1"/>
  <c r="S85" i="28" l="1"/>
  <c r="B93" i="2"/>
  <c r="C93" i="2" s="1"/>
  <c r="B94" i="27"/>
  <c r="C94" i="27" s="1"/>
  <c r="B94" i="28"/>
  <c r="C94" i="28" s="1"/>
  <c r="S86" i="28" l="1"/>
  <c r="B94" i="2"/>
  <c r="C94" i="2" s="1"/>
  <c r="B95" i="27"/>
  <c r="C95" i="27" s="1"/>
  <c r="B95" i="28"/>
  <c r="C95" i="28" s="1"/>
  <c r="B95" i="2" l="1"/>
  <c r="C95" i="2" s="1"/>
  <c r="B96" i="28"/>
  <c r="C96" i="28" s="1"/>
  <c r="S87" i="28"/>
  <c r="B96" i="27"/>
  <c r="C96" i="27" s="1"/>
  <c r="B96" i="2" l="1"/>
  <c r="C96" i="2" s="1"/>
  <c r="B97" i="27"/>
  <c r="C97" i="27" s="1"/>
  <c r="B97" i="28"/>
  <c r="C97" i="28" s="1"/>
  <c r="S88" i="28"/>
  <c r="B97" i="2" l="1"/>
  <c r="C97" i="2" s="1"/>
  <c r="S89" i="28"/>
  <c r="B98" i="28"/>
  <c r="C98" i="28" s="1"/>
  <c r="B98" i="27"/>
  <c r="C98" i="27" s="1"/>
  <c r="B98" i="2" l="1"/>
  <c r="C98" i="2" s="1"/>
  <c r="B99" i="27"/>
  <c r="C99" i="27" s="1"/>
  <c r="B99" i="28"/>
  <c r="C99" i="28" s="1"/>
  <c r="S90" i="28"/>
  <c r="B99" i="2" l="1"/>
  <c r="C99" i="2" s="1"/>
  <c r="B100" i="28"/>
  <c r="C100" i="28" s="1"/>
  <c r="S91" i="28"/>
  <c r="B100" i="27"/>
  <c r="C100" i="27" s="1"/>
  <c r="B100" i="2" l="1"/>
  <c r="C100" i="2" s="1"/>
  <c r="B101" i="27"/>
  <c r="C101" i="27" s="1"/>
  <c r="S92" i="28"/>
  <c r="B101" i="28"/>
  <c r="C101" i="28" s="1"/>
  <c r="B101" i="2" l="1"/>
  <c r="C101" i="2" s="1"/>
  <c r="B102" i="28"/>
  <c r="C102" i="28" s="1"/>
  <c r="S93" i="28"/>
  <c r="B102" i="27"/>
  <c r="C102" i="27" s="1"/>
  <c r="B102" i="2" l="1"/>
  <c r="C102" i="2" s="1"/>
  <c r="B103" i="27"/>
  <c r="C103" i="27" s="1"/>
  <c r="B103" i="28"/>
  <c r="C103" i="28" s="1"/>
  <c r="S94" i="28"/>
  <c r="B103" i="2" l="1"/>
  <c r="C103" i="2" s="1"/>
  <c r="B104" i="28"/>
  <c r="C104" i="28" s="1"/>
  <c r="B104" i="27"/>
  <c r="C104" i="27" s="1"/>
  <c r="B104" i="2" l="1"/>
  <c r="C104" i="2" s="1"/>
  <c r="B105" i="27"/>
  <c r="C105" i="27" s="1"/>
  <c r="B105" i="28"/>
  <c r="C105" i="28" s="1"/>
  <c r="B105" i="2" l="1"/>
  <c r="C105" i="2" s="1"/>
  <c r="M102" i="28" l="1"/>
  <c r="M101" i="28"/>
  <c r="M100" i="28"/>
  <c r="M99" i="28"/>
  <c r="M98" i="28"/>
  <c r="M97" i="28"/>
  <c r="M96" i="28"/>
  <c r="M95" i="28"/>
  <c r="M94" i="28"/>
  <c r="M93" i="28"/>
  <c r="M92" i="28"/>
  <c r="M91" i="28"/>
  <c r="M90" i="28"/>
  <c r="M89" i="28"/>
  <c r="M88" i="28"/>
  <c r="M87" i="28"/>
  <c r="M77" i="28"/>
  <c r="M76" i="28"/>
  <c r="M75" i="28"/>
  <c r="M74" i="28"/>
  <c r="M73" i="28"/>
  <c r="M72" i="28"/>
  <c r="M71" i="28"/>
  <c r="M70" i="28"/>
  <c r="M69" i="28"/>
  <c r="M68" i="28"/>
  <c r="M67" i="28"/>
  <c r="M66" i="28"/>
  <c r="M65" i="28"/>
  <c r="M63" i="28"/>
  <c r="M62" i="28"/>
  <c r="M61" i="28"/>
  <c r="M60" i="28"/>
  <c r="M58" i="28"/>
  <c r="M57" i="28"/>
  <c r="M56" i="28"/>
  <c r="M55" i="28"/>
  <c r="M54" i="28"/>
  <c r="M53" i="28"/>
  <c r="M52" i="28"/>
  <c r="M51" i="28"/>
  <c r="M50" i="28"/>
  <c r="M49" i="28"/>
  <c r="M48" i="28"/>
  <c r="M47" i="28"/>
  <c r="M46" i="28"/>
  <c r="M45" i="28"/>
  <c r="M44" i="28"/>
  <c r="M43" i="28"/>
  <c r="M42" i="28"/>
  <c r="M41" i="28"/>
  <c r="M40" i="28"/>
  <c r="M39" i="28"/>
  <c r="M38" i="28"/>
  <c r="M37" i="28"/>
  <c r="M36" i="28"/>
  <c r="M35" i="28"/>
  <c r="M34" i="28"/>
  <c r="M33" i="28"/>
  <c r="M32" i="28"/>
  <c r="M31" i="28"/>
  <c r="M30" i="28"/>
  <c r="M29" i="28"/>
  <c r="M28" i="28"/>
  <c r="M27" i="28"/>
  <c r="M23" i="28"/>
  <c r="M86" i="28"/>
  <c r="M59" i="28" l="1"/>
  <c r="M24" i="28"/>
  <c r="M64" i="28"/>
  <c r="G52" i="28"/>
  <c r="O52" i="28" s="1"/>
  <c r="L52" i="28"/>
  <c r="Q52" i="28" s="1"/>
  <c r="G99" i="28"/>
  <c r="O99" i="28" s="1"/>
  <c r="L99" i="28"/>
  <c r="Q99" i="28" s="1"/>
  <c r="G91" i="28"/>
  <c r="O91" i="28" s="1"/>
  <c r="L91" i="28"/>
  <c r="G74" i="28"/>
  <c r="O74" i="28" s="1"/>
  <c r="L74" i="28"/>
  <c r="Q74" i="28" s="1"/>
  <c r="L61" i="28"/>
  <c r="G61" i="28"/>
  <c r="O61" i="28" s="1"/>
  <c r="G53" i="28"/>
  <c r="O53" i="28" s="1"/>
  <c r="L53" i="28"/>
  <c r="Q53" i="28" s="1"/>
  <c r="L45" i="28"/>
  <c r="G45" i="28"/>
  <c r="O45" i="28" s="1"/>
  <c r="G37" i="28"/>
  <c r="O37" i="28" s="1"/>
  <c r="L37" i="28"/>
  <c r="Q37" i="28" s="1"/>
  <c r="G29" i="28"/>
  <c r="O29" i="28" s="1"/>
  <c r="L29" i="28"/>
  <c r="Q29" i="28" s="1"/>
  <c r="G60" i="28"/>
  <c r="O60" i="28" s="1"/>
  <c r="L60" i="28"/>
  <c r="Q60" i="28" s="1"/>
  <c r="G28" i="28"/>
  <c r="O28" i="28" s="1"/>
  <c r="L28" i="28"/>
  <c r="G97" i="28"/>
  <c r="O97" i="28" s="1"/>
  <c r="L97" i="28"/>
  <c r="Q97" i="28" s="1"/>
  <c r="G89" i="28"/>
  <c r="O89" i="28" s="1"/>
  <c r="L89" i="28"/>
  <c r="Q89" i="28" s="1"/>
  <c r="L72" i="28"/>
  <c r="G72" i="28"/>
  <c r="O72" i="28" s="1"/>
  <c r="G59" i="28"/>
  <c r="O59" i="28" s="1"/>
  <c r="L59" i="28"/>
  <c r="G43" i="28"/>
  <c r="O43" i="28" s="1"/>
  <c r="L43" i="28"/>
  <c r="Q43" i="28" s="1"/>
  <c r="G35" i="28"/>
  <c r="O35" i="28" s="1"/>
  <c r="L35" i="28"/>
  <c r="Q35" i="28" s="1"/>
  <c r="O27" i="28"/>
  <c r="L27" i="28"/>
  <c r="Q27" i="28" s="1"/>
  <c r="Q23" i="28"/>
  <c r="G86" i="28"/>
  <c r="L86" i="28"/>
  <c r="G36" i="28"/>
  <c r="O36" i="28" s="1"/>
  <c r="L36" i="28"/>
  <c r="G96" i="28"/>
  <c r="O96" i="28" s="1"/>
  <c r="L96" i="28"/>
  <c r="G88" i="28"/>
  <c r="O88" i="28" s="1"/>
  <c r="L88" i="28"/>
  <c r="G58" i="28"/>
  <c r="O58" i="28" s="1"/>
  <c r="L58" i="28"/>
  <c r="G50" i="28"/>
  <c r="O50" i="28" s="1"/>
  <c r="L50" i="28"/>
  <c r="G42" i="28"/>
  <c r="O42" i="28" s="1"/>
  <c r="L42" i="28"/>
  <c r="G34" i="28"/>
  <c r="O34" i="28" s="1"/>
  <c r="L34" i="28"/>
  <c r="L71" i="28"/>
  <c r="G71" i="28"/>
  <c r="O71" i="28" s="1"/>
  <c r="L24" i="28"/>
  <c r="O24" i="28"/>
  <c r="O105" i="28" s="1"/>
  <c r="G75" i="28"/>
  <c r="O75" i="28" s="1"/>
  <c r="L75" i="28"/>
  <c r="G90" i="28"/>
  <c r="O90" i="28" s="1"/>
  <c r="L90" i="28"/>
  <c r="L44" i="28"/>
  <c r="G44" i="28"/>
  <c r="O44" i="28" s="1"/>
  <c r="G87" i="28"/>
  <c r="O87" i="28" s="1"/>
  <c r="L87" i="28"/>
  <c r="G65" i="28"/>
  <c r="O65" i="28" s="1"/>
  <c r="L65" i="28"/>
  <c r="G57" i="28"/>
  <c r="O57" i="28" s="1"/>
  <c r="L57" i="28"/>
  <c r="G49" i="28"/>
  <c r="O49" i="28" s="1"/>
  <c r="L49" i="28"/>
  <c r="G41" i="28"/>
  <c r="O41" i="28" s="1"/>
  <c r="L41" i="28"/>
  <c r="G33" i="28"/>
  <c r="O33" i="28" s="1"/>
  <c r="L33" i="28"/>
  <c r="G70" i="28"/>
  <c r="O70" i="28" s="1"/>
  <c r="L70" i="28"/>
  <c r="G94" i="28"/>
  <c r="O94" i="28" s="1"/>
  <c r="L94" i="28"/>
  <c r="G64" i="28"/>
  <c r="O64" i="28" s="1"/>
  <c r="L64" i="28"/>
  <c r="G56" i="28"/>
  <c r="O56" i="28" s="1"/>
  <c r="L56" i="28"/>
  <c r="G48" i="28"/>
  <c r="O48" i="28" s="1"/>
  <c r="L48" i="28"/>
  <c r="G40" i="28"/>
  <c r="O40" i="28" s="1"/>
  <c r="L40" i="28"/>
  <c r="G32" i="28"/>
  <c r="O32" i="28" s="1"/>
  <c r="L32" i="28"/>
  <c r="G69" i="28"/>
  <c r="O69" i="28" s="1"/>
  <c r="L69" i="28"/>
  <c r="G101" i="28"/>
  <c r="O101" i="28" s="1"/>
  <c r="L101" i="28"/>
  <c r="G102" i="28"/>
  <c r="O102" i="28" s="1"/>
  <c r="L102" i="28"/>
  <c r="G93" i="28"/>
  <c r="O93" i="28" s="1"/>
  <c r="L93" i="28"/>
  <c r="G77" i="28"/>
  <c r="O77" i="28" s="1"/>
  <c r="L77" i="28"/>
  <c r="G63" i="28"/>
  <c r="O63" i="28" s="1"/>
  <c r="L63" i="28"/>
  <c r="G55" i="28"/>
  <c r="O55" i="28" s="1"/>
  <c r="L55" i="28"/>
  <c r="G47" i="28"/>
  <c r="O47" i="28" s="1"/>
  <c r="L47" i="28"/>
  <c r="G39" i="28"/>
  <c r="O39" i="28" s="1"/>
  <c r="L39" i="28"/>
  <c r="G31" i="28"/>
  <c r="O31" i="28" s="1"/>
  <c r="L31" i="28"/>
  <c r="G68" i="28"/>
  <c r="O68" i="28" s="1"/>
  <c r="L68" i="28"/>
  <c r="G73" i="28"/>
  <c r="O73" i="28" s="1"/>
  <c r="L73" i="28"/>
  <c r="G100" i="28"/>
  <c r="O100" i="28" s="1"/>
  <c r="L100" i="28"/>
  <c r="G92" i="28"/>
  <c r="O92" i="28" s="1"/>
  <c r="L92" i="28"/>
  <c r="G76" i="28"/>
  <c r="O76" i="28" s="1"/>
  <c r="L76" i="28"/>
  <c r="G62" i="28"/>
  <c r="O62" i="28" s="1"/>
  <c r="L62" i="28"/>
  <c r="L54" i="28"/>
  <c r="Q54" i="28" s="1"/>
  <c r="G54" i="28"/>
  <c r="O54" i="28" s="1"/>
  <c r="G46" i="28"/>
  <c r="O46" i="28" s="1"/>
  <c r="L46" i="28"/>
  <c r="G38" i="28"/>
  <c r="O38" i="28" s="1"/>
  <c r="L38" i="28"/>
  <c r="G30" i="28"/>
  <c r="O30" i="28" s="1"/>
  <c r="L30" i="28"/>
  <c r="G67" i="28"/>
  <c r="O67" i="28" s="1"/>
  <c r="L67" i="28"/>
  <c r="M85" i="28"/>
  <c r="M103" i="28"/>
  <c r="M78" i="28"/>
  <c r="M81" i="28"/>
  <c r="O86" i="28" l="1"/>
  <c r="M111" i="28"/>
  <c r="M110" i="28"/>
  <c r="M109" i="28"/>
  <c r="M108" i="28"/>
  <c r="Q24" i="28"/>
  <c r="T91" i="28" s="1"/>
  <c r="Q67" i="28"/>
  <c r="Q46" i="28"/>
  <c r="Q92" i="28"/>
  <c r="U84" i="28" s="1"/>
  <c r="Q31" i="28"/>
  <c r="Q39" i="28"/>
  <c r="Q63" i="28"/>
  <c r="Q77" i="28"/>
  <c r="U77" i="28" s="1"/>
  <c r="Q93" i="28"/>
  <c r="Q101" i="28"/>
  <c r="Q69" i="28"/>
  <c r="Q32" i="28"/>
  <c r="U32" i="28" s="1"/>
  <c r="Q56" i="28"/>
  <c r="Q64" i="28"/>
  <c r="Q33" i="28"/>
  <c r="Q65" i="28"/>
  <c r="U65" i="28" s="1"/>
  <c r="Q87" i="28"/>
  <c r="Q75" i="28"/>
  <c r="U75" i="28" s="1"/>
  <c r="Q42" i="28"/>
  <c r="U42" i="28" s="1"/>
  <c r="Q50" i="28"/>
  <c r="U50" i="28" s="1"/>
  <c r="Q96" i="28"/>
  <c r="Q36" i="28"/>
  <c r="U36" i="28" s="1"/>
  <c r="Q100" i="28"/>
  <c r="U92" i="28" s="1"/>
  <c r="Q44" i="28"/>
  <c r="Q71" i="28"/>
  <c r="U71" i="28" s="1"/>
  <c r="Q48" i="28"/>
  <c r="U48" i="28" s="1"/>
  <c r="Q70" i="28"/>
  <c r="Q57" i="28"/>
  <c r="U57" i="28" s="1"/>
  <c r="Q90" i="28"/>
  <c r="U82" i="28" s="1"/>
  <c r="Q34" i="28"/>
  <c r="U34" i="28" s="1"/>
  <c r="Q88" i="28"/>
  <c r="Q30" i="28"/>
  <c r="U30" i="28" s="1"/>
  <c r="Q73" i="28"/>
  <c r="U73" i="28" s="1"/>
  <c r="Q47" i="28"/>
  <c r="Q38" i="28"/>
  <c r="U38" i="28" s="1"/>
  <c r="Q76" i="28"/>
  <c r="Q68" i="28"/>
  <c r="U68" i="28" s="1"/>
  <c r="Q55" i="28"/>
  <c r="U55" i="28" s="1"/>
  <c r="Q102" i="28"/>
  <c r="Q40" i="28"/>
  <c r="U40" i="28" s="1"/>
  <c r="Q94" i="28"/>
  <c r="U86" i="28" s="1"/>
  <c r="Q49" i="28"/>
  <c r="Q59" i="28"/>
  <c r="Q28" i="28"/>
  <c r="U28" i="28" s="1"/>
  <c r="Q91" i="28"/>
  <c r="Q45" i="28"/>
  <c r="U45" i="28" s="1"/>
  <c r="Q72" i="28"/>
  <c r="Q62" i="28"/>
  <c r="U62" i="28" s="1"/>
  <c r="Q61" i="28"/>
  <c r="U61" i="28" s="1"/>
  <c r="Q58" i="28"/>
  <c r="Q86" i="28"/>
  <c r="U54" i="28"/>
  <c r="U60" i="28"/>
  <c r="U53" i="28"/>
  <c r="U91" i="28"/>
  <c r="U35" i="28"/>
  <c r="U81" i="28"/>
  <c r="U29" i="28"/>
  <c r="U52" i="28"/>
  <c r="Q41" i="28"/>
  <c r="U41" i="28" s="1"/>
  <c r="U43" i="28"/>
  <c r="U89" i="28"/>
  <c r="U37" i="28"/>
  <c r="U74" i="28"/>
  <c r="M79" i="28"/>
  <c r="M82" i="28"/>
  <c r="M104" i="28"/>
  <c r="M105" i="28"/>
  <c r="M80" i="28"/>
  <c r="G85" i="28"/>
  <c r="G109" i="28" s="1"/>
  <c r="L85" i="28"/>
  <c r="L109" i="28" s="1"/>
  <c r="L105" i="28"/>
  <c r="L80" i="28"/>
  <c r="P72" i="28"/>
  <c r="P35" i="28"/>
  <c r="L78" i="28"/>
  <c r="L108" i="28" s="1"/>
  <c r="L103" i="28"/>
  <c r="G103" i="28"/>
  <c r="G104" i="28" s="1"/>
  <c r="L66" i="28"/>
  <c r="G66" i="28"/>
  <c r="O66" i="28" s="1"/>
  <c r="L81" i="28"/>
  <c r="L110" i="28" s="1"/>
  <c r="G82" i="28"/>
  <c r="L98" i="28"/>
  <c r="G98" i="28"/>
  <c r="O98" i="28" s="1"/>
  <c r="G95" i="28"/>
  <c r="O95" i="28" s="1"/>
  <c r="L95" i="28"/>
  <c r="L51" i="28"/>
  <c r="G51" i="28"/>
  <c r="O51" i="28" s="1"/>
  <c r="O110" i="28" l="1"/>
  <c r="T53" i="28"/>
  <c r="T78" i="28"/>
  <c r="T59" i="28"/>
  <c r="T60" i="28"/>
  <c r="T94" i="28"/>
  <c r="T80" i="28"/>
  <c r="T72" i="28"/>
  <c r="T54" i="28"/>
  <c r="T83" i="28"/>
  <c r="T70" i="28"/>
  <c r="L111" i="28"/>
  <c r="O111" i="28" s="1"/>
  <c r="O109" i="28"/>
  <c r="T33" i="28"/>
  <c r="T88" i="28"/>
  <c r="T63" i="28"/>
  <c r="T69" i="28"/>
  <c r="T56" i="28"/>
  <c r="T31" i="28"/>
  <c r="T46" i="28"/>
  <c r="G111" i="28"/>
  <c r="T79" i="28"/>
  <c r="T85" i="28"/>
  <c r="T52" i="28"/>
  <c r="T29" i="28"/>
  <c r="O108" i="28"/>
  <c r="T89" i="28"/>
  <c r="T35" i="28"/>
  <c r="T74" i="28"/>
  <c r="T37" i="28"/>
  <c r="T43" i="28"/>
  <c r="T81" i="28"/>
  <c r="T58" i="28"/>
  <c r="T49" i="28"/>
  <c r="T76" i="28"/>
  <c r="T47" i="28"/>
  <c r="T44" i="28"/>
  <c r="T64" i="28"/>
  <c r="T93" i="28"/>
  <c r="T39" i="28"/>
  <c r="T67" i="28"/>
  <c r="U93" i="28"/>
  <c r="T48" i="28"/>
  <c r="T84" i="28"/>
  <c r="U67" i="28"/>
  <c r="T32" i="28"/>
  <c r="T75" i="28"/>
  <c r="U56" i="28"/>
  <c r="T77" i="28"/>
  <c r="T36" i="28"/>
  <c r="T30" i="28"/>
  <c r="U79" i="28"/>
  <c r="U47" i="28"/>
  <c r="T42" i="28"/>
  <c r="U63" i="28"/>
  <c r="T38" i="28"/>
  <c r="T65" i="28"/>
  <c r="U39" i="28"/>
  <c r="U64" i="28"/>
  <c r="U49" i="28"/>
  <c r="T50" i="28"/>
  <c r="T62" i="28"/>
  <c r="T40" i="28"/>
  <c r="U46" i="28"/>
  <c r="T71" i="28"/>
  <c r="U44" i="28"/>
  <c r="T92" i="28"/>
  <c r="U80" i="28"/>
  <c r="U70" i="28"/>
  <c r="U31" i="28"/>
  <c r="U94" i="28"/>
  <c r="U88" i="28"/>
  <c r="U85" i="28"/>
  <c r="T61" i="28"/>
  <c r="U72" i="28"/>
  <c r="U58" i="28"/>
  <c r="U69" i="28"/>
  <c r="U33" i="28"/>
  <c r="T73" i="28"/>
  <c r="U59" i="28"/>
  <c r="U78" i="28"/>
  <c r="T86" i="28"/>
  <c r="T45" i="28"/>
  <c r="T82" i="28"/>
  <c r="U83" i="28"/>
  <c r="T34" i="28"/>
  <c r="T57" i="28"/>
  <c r="T68" i="28"/>
  <c r="U76" i="28"/>
  <c r="T28" i="28"/>
  <c r="Q51" i="28"/>
  <c r="T51" i="28" s="1"/>
  <c r="Q85" i="28"/>
  <c r="T55" i="28"/>
  <c r="Q98" i="28"/>
  <c r="U90" i="28" s="1"/>
  <c r="Q66" i="28"/>
  <c r="T66" i="28" s="1"/>
  <c r="O78" i="28"/>
  <c r="O80" i="28" s="1"/>
  <c r="Q95" i="28"/>
  <c r="U87" i="28" s="1"/>
  <c r="T41" i="28"/>
  <c r="L104" i="28"/>
  <c r="Q104" i="28" s="1"/>
  <c r="Q103" i="28"/>
  <c r="L79" i="28"/>
  <c r="Q79" i="28" s="1"/>
  <c r="Q78" i="28"/>
  <c r="L82" i="28"/>
  <c r="Q81" i="28"/>
  <c r="O81" i="28"/>
  <c r="O82" i="28" s="1"/>
  <c r="O103" i="28"/>
  <c r="O104" i="28" s="1"/>
  <c r="G105" i="28"/>
  <c r="Q105" i="28" s="1"/>
  <c r="O85" i="28"/>
  <c r="U51" i="28" l="1"/>
  <c r="U66" i="28"/>
  <c r="O79" i="28"/>
  <c r="T90" i="28"/>
  <c r="T87" i="28"/>
  <c r="Q82" i="28"/>
  <c r="Q80" i="28"/>
  <c r="V36" i="28" l="1"/>
  <c r="W36" i="28" s="1"/>
  <c r="Z36" i="28" s="1"/>
  <c r="V92" i="28"/>
  <c r="W92" i="28" s="1"/>
  <c r="Z92" i="28" s="1"/>
  <c r="V38" i="28"/>
  <c r="W38" i="28" s="1"/>
  <c r="Z38" i="28" s="1"/>
  <c r="V50" i="28"/>
  <c r="W50" i="28" s="1"/>
  <c r="Z50" i="28" s="1"/>
  <c r="V58" i="28"/>
  <c r="W58" i="28" s="1"/>
  <c r="Z58" i="28" s="1"/>
  <c r="V72" i="28"/>
  <c r="W72" i="28" s="1"/>
  <c r="Z72" i="28" s="1"/>
  <c r="V33" i="28"/>
  <c r="W33" i="28" s="1"/>
  <c r="Y33" i="28" s="1"/>
  <c r="V45" i="28"/>
  <c r="W45" i="28" s="1"/>
  <c r="Z45" i="28" s="1"/>
  <c r="V66" i="28"/>
  <c r="W66" i="28" s="1"/>
  <c r="Y66" i="28" s="1"/>
  <c r="V31" i="28"/>
  <c r="W31" i="28" s="1"/>
  <c r="Z31" i="28" s="1"/>
  <c r="V65" i="28"/>
  <c r="W65" i="28" s="1"/>
  <c r="Z65" i="28" s="1"/>
  <c r="V68" i="28"/>
  <c r="W68" i="28" s="1"/>
  <c r="Y68" i="28" s="1"/>
  <c r="V78" i="28"/>
  <c r="W78" i="28" s="1"/>
  <c r="Y78" i="28" s="1"/>
  <c r="V35" i="28"/>
  <c r="W35" i="28" s="1"/>
  <c r="Z35" i="28" s="1"/>
  <c r="V63" i="28"/>
  <c r="W63" i="28" s="1"/>
  <c r="Z63" i="28" s="1"/>
  <c r="V41" i="28"/>
  <c r="W41" i="28" s="1"/>
  <c r="Z41" i="28" s="1"/>
  <c r="V94" i="28"/>
  <c r="W94" i="28" s="1"/>
  <c r="Y94" i="28" s="1"/>
  <c r="V71" i="28"/>
  <c r="W71" i="28" s="1"/>
  <c r="Z71" i="28" s="1"/>
  <c r="V61" i="28"/>
  <c r="W61" i="28" s="1"/>
  <c r="Z61" i="28" s="1"/>
  <c r="V40" i="28"/>
  <c r="W40" i="28" s="1"/>
  <c r="Z40" i="28" s="1"/>
  <c r="V91" i="28"/>
  <c r="W91" i="28" s="1"/>
  <c r="Y91" i="28" s="1"/>
  <c r="V53" i="28"/>
  <c r="W53" i="28" s="1"/>
  <c r="Y53" i="28" s="1"/>
  <c r="V44" i="28"/>
  <c r="W44" i="28" s="1"/>
  <c r="Y44" i="28" s="1"/>
  <c r="V29" i="28"/>
  <c r="W29" i="28" s="1"/>
  <c r="Y29" i="28" s="1"/>
  <c r="V80" i="28"/>
  <c r="W80" i="28" s="1"/>
  <c r="Z80" i="28" s="1"/>
  <c r="V90" i="28"/>
  <c r="W90" i="28" s="1"/>
  <c r="Z90" i="28" s="1"/>
  <c r="V59" i="28"/>
  <c r="W59" i="28" s="1"/>
  <c r="Y59" i="28" s="1"/>
  <c r="V82" i="28"/>
  <c r="W82" i="28" s="1"/>
  <c r="Y82" i="28" s="1"/>
  <c r="V37" i="28"/>
  <c r="W37" i="28" s="1"/>
  <c r="Y37" i="28" s="1"/>
  <c r="V76" i="28"/>
  <c r="W76" i="28" s="1"/>
  <c r="Y76" i="28" s="1"/>
  <c r="V86" i="28"/>
  <c r="W86" i="28" s="1"/>
  <c r="Y86" i="28" s="1"/>
  <c r="V81" i="28"/>
  <c r="W81" i="28" s="1"/>
  <c r="Z81" i="28" s="1"/>
  <c r="V39" i="28"/>
  <c r="W39" i="28" s="1"/>
  <c r="Z39" i="28" s="1"/>
  <c r="V83" i="28"/>
  <c r="W83" i="28" s="1"/>
  <c r="Y83" i="28" s="1"/>
  <c r="V64" i="28"/>
  <c r="W64" i="28" s="1"/>
  <c r="Y64" i="28" s="1"/>
  <c r="V49" i="28"/>
  <c r="W49" i="28" s="1"/>
  <c r="Z49" i="28" s="1"/>
  <c r="V89" i="28"/>
  <c r="W89" i="28" s="1"/>
  <c r="Y89" i="28" s="1"/>
  <c r="V43" i="28"/>
  <c r="W43" i="28" s="1"/>
  <c r="Z43" i="28" s="1"/>
  <c r="V87" i="28"/>
  <c r="W87" i="28" s="1"/>
  <c r="Z87" i="28" s="1"/>
  <c r="V67" i="28"/>
  <c r="W67" i="28" s="1"/>
  <c r="Y67" i="28" s="1"/>
  <c r="V62" i="28"/>
  <c r="W62" i="28" s="1"/>
  <c r="Z62" i="28" s="1"/>
  <c r="V88" i="28"/>
  <c r="W88" i="28" s="1"/>
  <c r="Y88" i="28" s="1"/>
  <c r="V69" i="28"/>
  <c r="W69" i="28" s="1"/>
  <c r="Z69" i="28" s="1"/>
  <c r="V48" i="28"/>
  <c r="W48" i="28" s="1"/>
  <c r="Z48" i="28" s="1"/>
  <c r="V75" i="28"/>
  <c r="W75" i="28" s="1"/>
  <c r="Z75" i="28" s="1"/>
  <c r="V54" i="28"/>
  <c r="W54" i="28" s="1"/>
  <c r="Z54" i="28" s="1"/>
  <c r="V57" i="28"/>
  <c r="W57" i="28" s="1"/>
  <c r="Z57" i="28" s="1"/>
  <c r="V55" i="28"/>
  <c r="W55" i="28" s="1"/>
  <c r="Y55" i="28" s="1"/>
  <c r="V34" i="28"/>
  <c r="W34" i="28" s="1"/>
  <c r="Y34" i="28" s="1"/>
  <c r="V77" i="28"/>
  <c r="W77" i="28" s="1"/>
  <c r="Y77" i="28" s="1"/>
  <c r="V28" i="28"/>
  <c r="W28" i="28" s="1"/>
  <c r="Y28" i="28" s="1"/>
  <c r="V51" i="28"/>
  <c r="W51" i="28" s="1"/>
  <c r="Z51" i="28" s="1"/>
  <c r="V42" i="28"/>
  <c r="W42" i="28" s="1"/>
  <c r="Y42" i="28" s="1"/>
  <c r="V84" i="28"/>
  <c r="W84" i="28" s="1"/>
  <c r="Z84" i="28" s="1"/>
  <c r="V70" i="28"/>
  <c r="W70" i="28" s="1"/>
  <c r="Z70" i="28" s="1"/>
  <c r="V52" i="28"/>
  <c r="W52" i="28" s="1"/>
  <c r="Z52" i="28" s="1"/>
  <c r="V32" i="28"/>
  <c r="W32" i="28" s="1"/>
  <c r="Z32" i="28" s="1"/>
  <c r="V60" i="28"/>
  <c r="W60" i="28" s="1"/>
  <c r="Z60" i="28" s="1"/>
  <c r="V74" i="28"/>
  <c r="W74" i="28" s="1"/>
  <c r="Z74" i="28" s="1"/>
  <c r="V56" i="28"/>
  <c r="W56" i="28" s="1"/>
  <c r="Z56" i="28" s="1"/>
  <c r="V30" i="28"/>
  <c r="W30" i="28" s="1"/>
  <c r="Y30" i="28" s="1"/>
  <c r="V46" i="28"/>
  <c r="W46" i="28" s="1"/>
  <c r="Z46" i="28" s="1"/>
  <c r="V85" i="28"/>
  <c r="W85" i="28" s="1"/>
  <c r="Z85" i="28" s="1"/>
  <c r="V79" i="28"/>
  <c r="W79" i="28" s="1"/>
  <c r="Y79" i="28" s="1"/>
  <c r="V93" i="28"/>
  <c r="W93" i="28" s="1"/>
  <c r="Y93" i="28" s="1"/>
  <c r="V47" i="28"/>
  <c r="W47" i="28" s="1"/>
  <c r="Y47" i="28" s="1"/>
  <c r="V73" i="28"/>
  <c r="W73" i="28" s="1"/>
  <c r="Z73" i="28" s="1"/>
  <c r="Y31" i="28" l="1"/>
  <c r="Y36" i="28"/>
  <c r="Y92" i="28"/>
  <c r="Y38" i="28"/>
  <c r="Y50" i="28"/>
  <c r="Y72" i="28"/>
  <c r="Y41" i="28"/>
  <c r="Y35" i="28"/>
  <c r="Y40" i="28"/>
  <c r="Z33" i="28"/>
  <c r="Z66" i="28"/>
  <c r="Y58" i="28"/>
  <c r="Z29" i="28"/>
  <c r="Y90" i="28"/>
  <c r="Z68" i="28"/>
  <c r="Y71" i="28"/>
  <c r="Y45" i="28"/>
  <c r="Z53" i="28"/>
  <c r="Z76" i="28"/>
  <c r="Z82" i="28"/>
  <c r="Z78" i="28"/>
  <c r="Y63" i="28"/>
  <c r="Z94" i="28"/>
  <c r="Y81" i="28"/>
  <c r="Z37" i="28"/>
  <c r="Z83" i="28"/>
  <c r="Y39" i="28"/>
  <c r="Y61" i="28"/>
  <c r="Y80" i="28"/>
  <c r="Y65" i="28"/>
  <c r="Z59" i="28"/>
  <c r="Z91" i="28"/>
  <c r="Z44" i="28"/>
  <c r="Z86" i="28"/>
  <c r="Y75" i="28"/>
  <c r="Z34" i="28"/>
  <c r="Y62" i="28"/>
  <c r="Y87" i="28"/>
  <c r="Z89" i="28"/>
  <c r="Y69" i="28"/>
  <c r="Z64" i="28"/>
  <c r="Y70" i="28"/>
  <c r="Z42" i="28"/>
  <c r="Z28" i="28"/>
  <c r="AA28" i="28" s="1"/>
  <c r="Y57" i="28"/>
  <c r="Y74" i="28"/>
  <c r="Y32" i="28"/>
  <c r="Z93" i="28"/>
  <c r="Y49" i="28"/>
  <c r="Z47" i="28"/>
  <c r="Y60" i="28"/>
  <c r="Z88" i="28"/>
  <c r="Z77" i="28"/>
  <c r="Y54" i="28"/>
  <c r="Y52" i="28"/>
  <c r="Y43" i="28"/>
  <c r="Y48" i="28"/>
  <c r="Y51" i="28"/>
  <c r="Z67" i="28"/>
  <c r="Z55" i="28"/>
  <c r="Y84" i="28"/>
  <c r="Z30" i="28"/>
  <c r="Y46" i="28"/>
  <c r="Y56" i="28"/>
  <c r="Z79" i="28"/>
  <c r="Y85" i="28"/>
  <c r="Y73" i="28"/>
  <c r="AA29" i="28" l="1"/>
  <c r="AA30" i="28" s="1"/>
  <c r="AA31" i="28" l="1"/>
  <c r="AA32" i="28" l="1"/>
  <c r="AA33" i="28" l="1"/>
  <c r="AA34" i="28" l="1"/>
  <c r="AA35" i="28" l="1"/>
  <c r="AA36" i="28" l="1"/>
  <c r="AA37" i="28" l="1"/>
  <c r="AA38" i="28" l="1"/>
  <c r="AA39" i="28" l="1"/>
  <c r="AA40" i="28" l="1"/>
  <c r="AA41" i="28" l="1"/>
  <c r="AA42" i="28" l="1"/>
  <c r="AA43" i="28" l="1"/>
  <c r="AA44" i="28" l="1"/>
  <c r="AA45" i="28" l="1"/>
  <c r="AA46" i="28" l="1"/>
  <c r="AA47" i="28" l="1"/>
  <c r="AA48" i="28" l="1"/>
  <c r="AA49" i="28" l="1"/>
  <c r="AA50" i="28" l="1"/>
  <c r="AA51" i="28" l="1"/>
  <c r="AA52" i="28" l="1"/>
  <c r="AA53" i="28" l="1"/>
  <c r="AA54" i="28" l="1"/>
  <c r="AA55" i="28" l="1"/>
  <c r="AA56" i="28" l="1"/>
  <c r="AA57" i="28" l="1"/>
  <c r="AA58" i="28" l="1"/>
  <c r="AA59" i="28" l="1"/>
  <c r="AA60" i="28" l="1"/>
  <c r="AA61" i="28" l="1"/>
  <c r="AA62" i="28" l="1"/>
  <c r="AA63" i="28" l="1"/>
  <c r="AA64" i="28" l="1"/>
  <c r="AA65" i="28" l="1"/>
  <c r="AA66" i="28" l="1"/>
  <c r="AA67" i="28" l="1"/>
  <c r="AA68" i="28" l="1"/>
  <c r="AA69" i="28" l="1"/>
  <c r="AA70" i="28" l="1"/>
  <c r="AA71" i="28" l="1"/>
  <c r="AA72" i="28" l="1"/>
  <c r="AA73" i="28" l="1"/>
  <c r="AA74" i="28" l="1"/>
  <c r="AA75" i="28" l="1"/>
  <c r="AA76" i="28" l="1"/>
  <c r="AA77" i="28" l="1"/>
  <c r="AA78" i="28" l="1"/>
  <c r="AA79" i="28" l="1"/>
  <c r="AA80" i="28" l="1"/>
  <c r="AA81" i="28" l="1"/>
  <c r="AA82" i="28" l="1"/>
  <c r="AA83" i="28" l="1"/>
  <c r="AA84" i="28" l="1"/>
  <c r="AA85" i="28" l="1"/>
  <c r="AA86" i="28" l="1"/>
  <c r="AA87" i="28" l="1"/>
  <c r="AA88" i="28" l="1"/>
  <c r="AA89" i="28" l="1"/>
  <c r="AA90" i="28" l="1"/>
  <c r="AA91" i="28" l="1"/>
  <c r="AA92" i="28" l="1"/>
  <c r="AA93" i="28" l="1"/>
  <c r="AA94" i="28" l="1"/>
  <c r="AB94" i="28" l="1"/>
  <c r="AC94" i="28" s="1"/>
  <c r="AB28" i="28"/>
  <c r="AC28" i="28" s="1"/>
  <c r="AB29" i="28"/>
  <c r="AC29" i="28" s="1"/>
  <c r="AB30" i="28"/>
  <c r="AC30" i="28" s="1"/>
  <c r="AB31" i="28"/>
  <c r="AC31" i="28" s="1"/>
  <c r="AB32" i="28"/>
  <c r="AC32" i="28" s="1"/>
  <c r="AB33" i="28"/>
  <c r="AC33" i="28" s="1"/>
  <c r="AB34" i="28"/>
  <c r="AC34" i="28" s="1"/>
  <c r="AB35" i="28"/>
  <c r="AC35" i="28" s="1"/>
  <c r="AB36" i="28"/>
  <c r="AC36" i="28" s="1"/>
  <c r="AB37" i="28"/>
  <c r="AC37" i="28" s="1"/>
  <c r="AB38" i="28"/>
  <c r="AC38" i="28" s="1"/>
  <c r="AB39" i="28"/>
  <c r="AC39" i="28" s="1"/>
  <c r="AB40" i="28"/>
  <c r="AC40" i="28" s="1"/>
  <c r="AB41" i="28"/>
  <c r="AC41" i="28" s="1"/>
  <c r="AB42" i="28"/>
  <c r="AC42" i="28" s="1"/>
  <c r="AB43" i="28"/>
  <c r="AC43" i="28" s="1"/>
  <c r="AB44" i="28"/>
  <c r="AC44" i="28" s="1"/>
  <c r="AB45" i="28"/>
  <c r="AC45" i="28" s="1"/>
  <c r="AB46" i="28"/>
  <c r="AC46" i="28" s="1"/>
  <c r="AB47" i="28"/>
  <c r="AC47" i="28" s="1"/>
  <c r="AB48" i="28"/>
  <c r="AC48" i="28" s="1"/>
  <c r="AB49" i="28"/>
  <c r="AC49" i="28" s="1"/>
  <c r="AB50" i="28"/>
  <c r="AC50" i="28" s="1"/>
  <c r="AB51" i="28"/>
  <c r="AC51" i="28" s="1"/>
  <c r="AB52" i="28"/>
  <c r="AC52" i="28" s="1"/>
  <c r="AB53" i="28"/>
  <c r="AC53" i="28" s="1"/>
  <c r="AB54" i="28"/>
  <c r="AC54" i="28" s="1"/>
  <c r="AB55" i="28"/>
  <c r="AC55" i="28" s="1"/>
  <c r="AB56" i="28"/>
  <c r="AC56" i="28" s="1"/>
  <c r="AB57" i="28"/>
  <c r="AC57" i="28" s="1"/>
  <c r="AB58" i="28"/>
  <c r="AC58" i="28" s="1"/>
  <c r="AB59" i="28"/>
  <c r="AC59" i="28" s="1"/>
  <c r="AB60" i="28"/>
  <c r="AC60" i="28" s="1"/>
  <c r="AB61" i="28"/>
  <c r="AC61" i="28" s="1"/>
  <c r="AB62" i="28"/>
  <c r="AC62" i="28" s="1"/>
  <c r="AB63" i="28"/>
  <c r="AC63" i="28" s="1"/>
  <c r="AB64" i="28"/>
  <c r="AC64" i="28" s="1"/>
  <c r="AB65" i="28"/>
  <c r="AC65" i="28" s="1"/>
  <c r="AB66" i="28"/>
  <c r="AC66" i="28" s="1"/>
  <c r="AB67" i="28"/>
  <c r="AC67" i="28" s="1"/>
  <c r="AB68" i="28"/>
  <c r="AC68" i="28" s="1"/>
  <c r="AB69" i="28"/>
  <c r="AC69" i="28" s="1"/>
  <c r="AB70" i="28"/>
  <c r="AC70" i="28" s="1"/>
  <c r="AB71" i="28"/>
  <c r="AC71" i="28" s="1"/>
  <c r="AB72" i="28"/>
  <c r="AC72" i="28" s="1"/>
  <c r="AB73" i="28"/>
  <c r="AC73" i="28" s="1"/>
  <c r="AB74" i="28"/>
  <c r="AC74" i="28" s="1"/>
  <c r="AB75" i="28"/>
  <c r="AC75" i="28" s="1"/>
  <c r="AB76" i="28"/>
  <c r="AC76" i="28" s="1"/>
  <c r="AB77" i="28"/>
  <c r="AC77" i="28" s="1"/>
  <c r="AB78" i="28"/>
  <c r="AC78" i="28" s="1"/>
  <c r="AB79" i="28"/>
  <c r="AC79" i="28" s="1"/>
  <c r="AB80" i="28"/>
  <c r="AC80" i="28" s="1"/>
  <c r="AB81" i="28"/>
  <c r="AC81" i="28" s="1"/>
  <c r="AB82" i="28"/>
  <c r="AC82" i="28" s="1"/>
  <c r="AB83" i="28"/>
  <c r="AC83" i="28" s="1"/>
  <c r="AB84" i="28"/>
  <c r="AC84" i="28" s="1"/>
  <c r="AB85" i="28"/>
  <c r="AC85" i="28" s="1"/>
  <c r="AB86" i="28"/>
  <c r="AC86" i="28" s="1"/>
  <c r="AB87" i="28"/>
  <c r="AC87" i="28" s="1"/>
  <c r="AB88" i="28"/>
  <c r="AC88" i="28" s="1"/>
  <c r="AB89" i="28"/>
  <c r="AC89" i="28" s="1"/>
  <c r="AB90" i="28"/>
  <c r="AC90" i="28" s="1"/>
  <c r="AB91" i="28"/>
  <c r="AC91" i="28" s="1"/>
  <c r="AB92" i="28"/>
  <c r="AC92" i="28" s="1"/>
  <c r="AB93" i="28"/>
  <c r="AC93" i="2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OTORQUATI</author>
    <author>Panasonic do Brasil LTDA</author>
  </authors>
  <commentList>
    <comment ref="F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OTORQUATI:</t>
        </r>
        <r>
          <rPr>
            <sz val="8"/>
            <color indexed="81"/>
            <rFont val="Tahoma"/>
            <family val="2"/>
          </rPr>
          <t xml:space="preserve">
EVEREADY
</t>
        </r>
      </text>
    </comment>
    <comment ref="F15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Os limite determinados objetivo e o desvio padrão dos ultimos 6 meses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<sst xmlns="http://schemas.openxmlformats.org/spreadsheetml/2006/main" count="535" uniqueCount="369">
  <si>
    <t>Data do Acabamento</t>
  </si>
  <si>
    <t>Aging</t>
  </si>
  <si>
    <t>Qt. Produzida</t>
  </si>
  <si>
    <t>Qt. Testada</t>
  </si>
  <si>
    <t>Sem Papel Separador</t>
  </si>
  <si>
    <t>Papel Dobrado Sup.</t>
  </si>
  <si>
    <t>Papel Dobrado Meio</t>
  </si>
  <si>
    <t>Papel Dobrado Inf.</t>
  </si>
  <si>
    <t>Papel Afundado</t>
  </si>
  <si>
    <t>Papel Deslocado</t>
  </si>
  <si>
    <t>Sem Disco</t>
  </si>
  <si>
    <t>Isolador fora de centro</t>
  </si>
  <si>
    <t>Papel sujo</t>
  </si>
  <si>
    <t>Manchado</t>
  </si>
  <si>
    <t>Ferro</t>
  </si>
  <si>
    <t>Cobre</t>
  </si>
  <si>
    <t>Mistura no Tubo</t>
  </si>
  <si>
    <t>Pó de Mistura</t>
  </si>
  <si>
    <t>Bobina Baixa</t>
  </si>
  <si>
    <t>Bobina Alta</t>
  </si>
  <si>
    <t>Bobina Molhada</t>
  </si>
  <si>
    <t>Mistura seca</t>
  </si>
  <si>
    <t>Contem estranho</t>
  </si>
  <si>
    <t>Carvão Quebrado</t>
  </si>
  <si>
    <t>Sem Selante</t>
  </si>
  <si>
    <t>Curto Circuito Externo</t>
  </si>
  <si>
    <t>Total</t>
  </si>
  <si>
    <t>Taxa defeituosa (ppm)</t>
  </si>
  <si>
    <t>Defeitos de Amperagem</t>
  </si>
  <si>
    <t>Amperagem Ajustada</t>
  </si>
  <si>
    <t>Papel Separdor Duplo</t>
  </si>
  <si>
    <t>Pedra de Negro</t>
  </si>
  <si>
    <t>Pedra de Cl de Amônia</t>
  </si>
  <si>
    <t>Bobina Rachada</t>
  </si>
  <si>
    <t>Emenda de Papel</t>
  </si>
  <si>
    <t>Metade do Carvão</t>
  </si>
  <si>
    <t>Carvão Frouxo</t>
  </si>
  <si>
    <t>Tubo de Zinco Sujo</t>
  </si>
  <si>
    <t>Bottom Plate Amassado</t>
  </si>
  <si>
    <t>PVC Comprido</t>
  </si>
  <si>
    <t>Papel Separador Cortado</t>
  </si>
  <si>
    <t>Tubo de Zinco Amassado</t>
  </si>
  <si>
    <t>Turno</t>
  </si>
  <si>
    <t>Menu Principal</t>
  </si>
  <si>
    <t>TOTAL</t>
  </si>
  <si>
    <t>Tubo com Rebarba</t>
  </si>
  <si>
    <t>%</t>
  </si>
  <si>
    <t>ppm</t>
  </si>
  <si>
    <t>DIA</t>
  </si>
  <si>
    <t>Modelo</t>
  </si>
  <si>
    <t>SH</t>
  </si>
  <si>
    <t>PH</t>
  </si>
  <si>
    <t>NEO</t>
  </si>
  <si>
    <t>GRADIENTE</t>
  </si>
  <si>
    <t>BIC</t>
  </si>
  <si>
    <t>Nº Defeitos V/A</t>
  </si>
  <si>
    <t>Sub-Total</t>
  </si>
  <si>
    <t>NOITE</t>
  </si>
  <si>
    <t>COL</t>
  </si>
  <si>
    <t>Pcs</t>
  </si>
  <si>
    <t>Produzido</t>
  </si>
  <si>
    <t>Testado</t>
  </si>
  <si>
    <t>Defeitos</t>
  </si>
  <si>
    <t>NP</t>
  </si>
  <si>
    <t>Acima de 6,8 ppm</t>
  </si>
  <si>
    <t>Entre 6,8 e 0,58 ppm</t>
  </si>
  <si>
    <t>Igual ou menor que 0,58 ppm</t>
  </si>
  <si>
    <t>R20</t>
  </si>
  <si>
    <t>PY Fora de Centro</t>
  </si>
  <si>
    <t>Disco Dobrado</t>
  </si>
  <si>
    <t>Disco Cortado</t>
  </si>
  <si>
    <t>Isolador afundado</t>
  </si>
  <si>
    <t>Pilha Boa</t>
  </si>
  <si>
    <t>Curto Circ. Externo -  recuperada</t>
  </si>
  <si>
    <t>Tb c/ Boca Amassada - recuperada</t>
  </si>
  <si>
    <t>PPM</t>
  </si>
  <si>
    <t>Limites de Alerta</t>
  </si>
  <si>
    <t>Disco fora de centro / deslocado</t>
  </si>
  <si>
    <t>Analisado (dia)</t>
  </si>
  <si>
    <t>Analisado (Noite)</t>
  </si>
  <si>
    <t>Total Analisado</t>
  </si>
  <si>
    <t>Isolador Inclinado</t>
  </si>
  <si>
    <t>Disco Rasgado</t>
  </si>
  <si>
    <t>Disco Furado</t>
  </si>
  <si>
    <t>CONF.</t>
  </si>
  <si>
    <t>PY Queimado</t>
  </si>
  <si>
    <t>Pedra de Óxido</t>
  </si>
  <si>
    <t>NHT</t>
  </si>
  <si>
    <t>Papel Separador Rasgado</t>
  </si>
  <si>
    <t>PY c/ Falha de Injeção</t>
  </si>
  <si>
    <t>Total de Falhas</t>
  </si>
  <si>
    <t>Total Analizado</t>
  </si>
  <si>
    <t>Fatores Internos</t>
  </si>
  <si>
    <t>AC.</t>
  </si>
  <si>
    <t>Pelota de Manganês</t>
  </si>
  <si>
    <t>Cod.</t>
  </si>
  <si>
    <t>Outros - Amperagem</t>
  </si>
  <si>
    <t>Outros - Voltagem</t>
  </si>
  <si>
    <t>Papel menor</t>
  </si>
  <si>
    <t>Tb c/ Boca Amassada - Câmera</t>
  </si>
  <si>
    <r>
      <t xml:space="preserve">Tb c/ Boca Amassada - </t>
    </r>
    <r>
      <rPr>
        <sz val="10"/>
        <color indexed="10"/>
        <rFont val="Arial"/>
        <family val="2"/>
      </rPr>
      <t>Operador</t>
    </r>
  </si>
  <si>
    <t>Tubo Rachado - Câmera</t>
  </si>
  <si>
    <t>Tb c/ Boca Amassada - Operador</t>
  </si>
  <si>
    <t>Tubo Rachado - Operador</t>
  </si>
  <si>
    <t>Pilha recuperada do Acabamento</t>
  </si>
  <si>
    <t>Instruções</t>
  </si>
  <si>
    <t>CTRL + SHIFT + p -&gt; PROTEGE TODAS AS PLANILHAS</t>
  </si>
  <si>
    <t>CTRL + u -&gt; DESPROTEGE TODAS AS PLANILHAS</t>
  </si>
  <si>
    <t>CTRL + SHIFT + r -&gt; APAGA DADOS DAS PLANILHAS (UTILIZE COM CUIDADO!)</t>
  </si>
  <si>
    <t>Manchado Superior</t>
  </si>
  <si>
    <t>Causa Desconhecida - Amperagem</t>
  </si>
  <si>
    <t>Causa Desconhecida - Voltagem</t>
  </si>
  <si>
    <t>No separator</t>
  </si>
  <si>
    <t>Sliced Separator Paper</t>
  </si>
  <si>
    <t>Ripped Separator Paper</t>
  </si>
  <si>
    <t>Folded Separator (Top)</t>
  </si>
  <si>
    <t>Folded Separator</t>
  </si>
  <si>
    <t>Folded Separator (Bottom)</t>
  </si>
  <si>
    <t xml:space="preserve">Separator pape go down </t>
  </si>
  <si>
    <t>Shifted Separator Paper</t>
  </si>
  <si>
    <t>Smaller Separator Paper</t>
  </si>
  <si>
    <t>No Bottom Insulator</t>
  </si>
  <si>
    <t>Sliced Bottom Insulator</t>
  </si>
  <si>
    <t>Ripped Bottom Insulator</t>
  </si>
  <si>
    <t>Drilled Bottom Insulator</t>
  </si>
  <si>
    <t>Folded Bottom Insulator</t>
  </si>
  <si>
    <t>Shifted Bottom Insulator</t>
  </si>
  <si>
    <t>Bottom Insulator off-center</t>
  </si>
  <si>
    <t>Bottom Insulator sunk</t>
  </si>
  <si>
    <t>Bottom Insulator inclined</t>
  </si>
  <si>
    <t>Dirty Separator Paper</t>
  </si>
  <si>
    <t>Mottled</t>
  </si>
  <si>
    <t>Mottled (top)</t>
  </si>
  <si>
    <t>Iron</t>
  </si>
  <si>
    <t>Copper</t>
  </si>
  <si>
    <t>Mix touch</t>
  </si>
  <si>
    <t>Stranger content</t>
  </si>
  <si>
    <t>Zinc Oxide</t>
  </si>
  <si>
    <t>Broken Cabon Rod</t>
  </si>
  <si>
    <t>No Sealant</t>
  </si>
  <si>
    <t>Injecton defect on PY</t>
  </si>
  <si>
    <t>PY off-center</t>
  </si>
  <si>
    <t>PY burned</t>
  </si>
  <si>
    <t>Zinc Can Dent</t>
  </si>
  <si>
    <t>Zinc Can Dent - Camera</t>
  </si>
  <si>
    <t>Zinc Can Dent - Restored</t>
  </si>
  <si>
    <t>Zinc Can Cracked</t>
  </si>
  <si>
    <t>Zinc Can Smashed</t>
  </si>
  <si>
    <t>Zinc Can with Burr</t>
  </si>
  <si>
    <t>Outer Short Circuit</t>
  </si>
  <si>
    <t>Restored Battery from Finishing</t>
  </si>
  <si>
    <t>Unknow Causes</t>
  </si>
  <si>
    <t>No defects</t>
  </si>
  <si>
    <t>Others - Voltage</t>
  </si>
  <si>
    <t>Double Separator Paper</t>
  </si>
  <si>
    <t>Acetylene Black</t>
  </si>
  <si>
    <t>Ammonium Chloride</t>
  </si>
  <si>
    <t>Manganese</t>
  </si>
  <si>
    <t>Lower Bobbin</t>
  </si>
  <si>
    <t>Cracked Bobbin</t>
  </si>
  <si>
    <t>Separator Paper Emendation</t>
  </si>
  <si>
    <t>Half Carbon Rod</t>
  </si>
  <si>
    <t>Dirty Zinc Can</t>
  </si>
  <si>
    <t>Dry Mix</t>
  </si>
  <si>
    <t>Bottom Plate Smashed</t>
  </si>
  <si>
    <t>Others - Amperage</t>
  </si>
  <si>
    <t>English</t>
  </si>
  <si>
    <t>Portuguese</t>
  </si>
  <si>
    <t>Qty of inner defects</t>
  </si>
  <si>
    <t>Inner Defect Ratio (ppm)</t>
  </si>
  <si>
    <t>Defect Ratio (ppm)</t>
  </si>
  <si>
    <t>Voltage (AVG)</t>
  </si>
  <si>
    <t>Voltage (Setup)</t>
  </si>
  <si>
    <t>Qty of batteries analyzed</t>
  </si>
  <si>
    <t>Overall Defect Ratio (ppm)</t>
  </si>
  <si>
    <t>Long PVC</t>
  </si>
  <si>
    <t>Incompact Carbon Rod</t>
  </si>
  <si>
    <t>Mix Powder</t>
  </si>
  <si>
    <t>High Bobbin</t>
  </si>
  <si>
    <t>Wet Bobbin</t>
  </si>
  <si>
    <t>Checked Qty (pcs)</t>
  </si>
  <si>
    <t>Defect Qty (pcs)</t>
  </si>
  <si>
    <t>Total (pcs)</t>
  </si>
  <si>
    <t>Assembly Date</t>
  </si>
  <si>
    <t>Finishing Date</t>
  </si>
  <si>
    <t>Data da Montagem</t>
  </si>
  <si>
    <t>Descanso:</t>
  </si>
  <si>
    <t>Production Qty (pcs)</t>
  </si>
  <si>
    <t>Qtd de Produção (pçs)</t>
  </si>
  <si>
    <t>Qtd. Retestada (pçs)</t>
  </si>
  <si>
    <t>Defeitos (Qty)</t>
  </si>
  <si>
    <t>Voltagem (Moda)</t>
  </si>
  <si>
    <t>Voltagem (ajustada)</t>
  </si>
  <si>
    <t>Qtd. Analisada (pçs)</t>
  </si>
  <si>
    <t>NMD - Supplier</t>
  </si>
  <si>
    <t>Lot.</t>
  </si>
  <si>
    <t>GCA - Acetylene Black - Supplier</t>
  </si>
  <si>
    <t>Qty</t>
  </si>
  <si>
    <t>Dados de Rastreabilidade da Mistura</t>
  </si>
  <si>
    <t>Inspeção</t>
  </si>
  <si>
    <t>Defeitos de Vlotagem</t>
  </si>
  <si>
    <t>Resultado</t>
  </si>
  <si>
    <t>Cód.</t>
  </si>
  <si>
    <t>GME - Fornecedor</t>
  </si>
  <si>
    <t>Nº Lote</t>
  </si>
  <si>
    <t>Qtd</t>
  </si>
  <si>
    <t>GCA - Fornecedor</t>
  </si>
  <si>
    <t>GZI - Supplier</t>
  </si>
  <si>
    <t>Total (pçs)</t>
  </si>
  <si>
    <t>Qtd. Defeitos internos (pçs)</t>
  </si>
  <si>
    <t>Defeitos Internos - Taxa defeituosa (ppm)</t>
  </si>
  <si>
    <t>Amperage (Avg)</t>
  </si>
  <si>
    <t>Amperage (Setup)</t>
  </si>
  <si>
    <t>Amperagem (Moda)</t>
  </si>
  <si>
    <t>Qtd Baterias analisadas (pçs)</t>
  </si>
  <si>
    <t>Qty Total (pcs)</t>
  </si>
  <si>
    <t>Taxa Defeituosa Total (ppm)</t>
  </si>
  <si>
    <t>Model</t>
  </si>
  <si>
    <t>EMD - Supplier</t>
  </si>
  <si>
    <t>Lot. Nº</t>
  </si>
  <si>
    <t>GMT - Fornecedor</t>
  </si>
  <si>
    <t>Lot Nº</t>
  </si>
  <si>
    <t>GZO - Fornecedor</t>
  </si>
  <si>
    <t>Solution nº 125 - Qty</t>
  </si>
  <si>
    <t>Solução nº 125 Qtd</t>
  </si>
  <si>
    <t>Carbon Rod - Supplier</t>
  </si>
  <si>
    <t>Carvão - Fornecedor</t>
  </si>
  <si>
    <t>No PY</t>
  </si>
  <si>
    <t>Sem PY</t>
  </si>
  <si>
    <t>Descrição\Mês\Turno</t>
  </si>
  <si>
    <t>Dia</t>
  </si>
  <si>
    <t>Taxa Defeituosa 1º Teste</t>
  </si>
  <si>
    <t>Defect Ratio 1st finishing test</t>
  </si>
  <si>
    <t>AS</t>
  </si>
  <si>
    <t>acima de 800 ppm</t>
  </si>
  <si>
    <t>601 a 800 ppm</t>
  </si>
  <si>
    <t>abaixo de 600 ppm</t>
  </si>
  <si>
    <t>Noite</t>
  </si>
  <si>
    <t>Turno: noite</t>
  </si>
  <si>
    <t>TOTAL D+N</t>
  </si>
  <si>
    <t>Tubo descascado</t>
  </si>
  <si>
    <t>Zinc Can peer off</t>
  </si>
  <si>
    <t>Curto Circ. Externo -  Cap sujo</t>
  </si>
  <si>
    <t>Outer Short Circuit - dirty cap</t>
  </si>
  <si>
    <t>Montagem</t>
  </si>
  <si>
    <t>Acabamento</t>
  </si>
  <si>
    <t>calculo</t>
  </si>
  <si>
    <t>maior</t>
  </si>
  <si>
    <t>corresp</t>
  </si>
  <si>
    <t>Item</t>
  </si>
  <si>
    <t>Defeito</t>
  </si>
  <si>
    <t>Ac</t>
  </si>
  <si>
    <t>Inglês</t>
  </si>
  <si>
    <t>Português</t>
  </si>
  <si>
    <t>Linguagem</t>
  </si>
  <si>
    <t>Problemas</t>
  </si>
  <si>
    <t>Ac%</t>
  </si>
  <si>
    <t>MTG - DIA</t>
  </si>
  <si>
    <t>ACB - DIA</t>
  </si>
  <si>
    <t>MTG+ACB - DIA</t>
  </si>
  <si>
    <t>Objetivo</t>
  </si>
  <si>
    <t>Dados do Gráfico</t>
  </si>
  <si>
    <t>MTG - (D+N)</t>
  </si>
  <si>
    <t>ACB (D+N)</t>
  </si>
  <si>
    <t>SETOR / TURNO</t>
  </si>
  <si>
    <t>組立日</t>
  </si>
  <si>
    <t>終了日</t>
  </si>
  <si>
    <t>休憩：</t>
  </si>
  <si>
    <t>テンプレート</t>
  </si>
  <si>
    <t>生産数量（個）</t>
  </si>
  <si>
    <t>GME-サプライヤー</t>
  </si>
  <si>
    <t>ロット番号</t>
  </si>
  <si>
    <t>数量</t>
  </si>
  <si>
    <t>GMT-サプライヤー</t>
  </si>
  <si>
    <t>GCA-サプライヤー</t>
  </si>
  <si>
    <t>たくさん</t>
  </si>
  <si>
    <t>GZO-サプライヤー</t>
  </si>
  <si>
    <t>ソリューション＃125数量</t>
  </si>
  <si>
    <t>石炭-サプライヤー</t>
  </si>
  <si>
    <t>再テスト済み数量（個）</t>
  </si>
  <si>
    <t>欠陥（数量）</t>
  </si>
  <si>
    <t>電圧（ファッション）</t>
  </si>
  <si>
    <t>電圧（調整済み）</t>
  </si>
  <si>
    <t>分析された数量（個）</t>
  </si>
  <si>
    <t>紙セパレータなし</t>
  </si>
  <si>
    <t>カット紙セパレーター</t>
  </si>
  <si>
    <t>引き裂かれたセパレータ紙</t>
  </si>
  <si>
    <t>折り畳まれた紙のスープ。</t>
  </si>
  <si>
    <t>二つ折り紙</t>
  </si>
  <si>
    <t>折り畳まれた紙</t>
  </si>
  <si>
    <t>沈んだ紙</t>
  </si>
  <si>
    <t>オフセット紙</t>
  </si>
  <si>
    <t>より小さな役割</t>
  </si>
  <si>
    <t>ディスクレス</t>
  </si>
  <si>
    <t>ディスクカット</t>
  </si>
  <si>
    <t>破れたディスク</t>
  </si>
  <si>
    <t>フラットディスク</t>
  </si>
  <si>
    <t>折り畳まれたディスク</t>
  </si>
  <si>
    <t>中心からずれたディスク/オフセット</t>
  </si>
  <si>
    <t>オフセンター絶縁体</t>
  </si>
  <si>
    <t>沈んだ絶縁体</t>
  </si>
  <si>
    <t>傾斜In子</t>
  </si>
  <si>
    <t>汚れた紙</t>
  </si>
  <si>
    <t>ステンド</t>
  </si>
  <si>
    <t>優れた斑点</t>
  </si>
  <si>
    <t>鉄</t>
  </si>
  <si>
    <t>銅</t>
  </si>
  <si>
    <t>チューブミックス</t>
  </si>
  <si>
    <t>混合粉</t>
  </si>
  <si>
    <t>低コイル</t>
  </si>
  <si>
    <t>ハイコイル</t>
  </si>
  <si>
    <t>ウェットコイル</t>
  </si>
  <si>
    <t>ドライミックス</t>
  </si>
  <si>
    <t>見知らぬ人が含まれています</t>
  </si>
  <si>
    <t>酸化物の石</t>
  </si>
  <si>
    <t>壊れた石炭</t>
  </si>
  <si>
    <t>シーラントなし</t>
  </si>
  <si>
    <t>PY w /インジェクション失敗</t>
  </si>
  <si>
    <t>PYなし</t>
  </si>
  <si>
    <t>中心から外れた</t>
  </si>
  <si>
    <t>PYバーント</t>
  </si>
  <si>
    <t>Tb w /砕いた口-オペレーター</t>
  </si>
  <si>
    <t>Tb w /しわくちゃの口-カメラ</t>
  </si>
  <si>
    <t>Tb w /砕いた口-回復した</t>
  </si>
  <si>
    <t>剥離チューブ</t>
  </si>
  <si>
    <t>割れたチューブ-カメラ</t>
  </si>
  <si>
    <t>しわ亜鉛管</t>
  </si>
  <si>
    <t>バリパイプ</t>
  </si>
  <si>
    <t>短絡外部回路</t>
  </si>
  <si>
    <t>ショートサークル。外部-汚れたキャップ</t>
  </si>
  <si>
    <t>回収された仕上げスタック</t>
  </si>
  <si>
    <t>不明な原因-電圧</t>
  </si>
  <si>
    <t>良い山</t>
  </si>
  <si>
    <t>その他-電圧</t>
  </si>
  <si>
    <t>合計（個）</t>
  </si>
  <si>
    <t>不良率1回目のテスト</t>
  </si>
  <si>
    <t>欠陥率（ppm）</t>
  </si>
  <si>
    <t>数量内部欠陥（個）</t>
  </si>
  <si>
    <t>内部欠陥-欠陥率（ppm）</t>
  </si>
  <si>
    <t>アンペア数（ファッション）</t>
  </si>
  <si>
    <t>調整されたアンペア数</t>
  </si>
  <si>
    <t>数量分析済みバッテリー（個）</t>
  </si>
  <si>
    <t>ダブルセパレーターペーパー</t>
  </si>
  <si>
    <t>黒人の石</t>
  </si>
  <si>
    <t>Clアンモニア石</t>
  </si>
  <si>
    <t>マンガンペレット</t>
  </si>
  <si>
    <t>割れたコイル</t>
  </si>
  <si>
    <t>紙の縫い目</t>
  </si>
  <si>
    <t>石炭の半分</t>
  </si>
  <si>
    <t>緩い石炭</t>
  </si>
  <si>
    <t>汚れた亜鉛管</t>
  </si>
  <si>
    <t>しわくちゃの底板</t>
  </si>
  <si>
    <t>長いPVC</t>
  </si>
  <si>
    <t>不明な原因-アンペア</t>
  </si>
  <si>
    <t>その他-アンペア数</t>
  </si>
  <si>
    <t>合計</t>
  </si>
  <si>
    <t>総不良率（ppm）</t>
  </si>
  <si>
    <t>Japonês</t>
  </si>
  <si>
    <t>MTG - 2º TURNO</t>
  </si>
  <si>
    <t>MTG - 3º TURNO</t>
  </si>
  <si>
    <t>ACB - 3º TURNO</t>
  </si>
  <si>
    <t>ACB - 2º TURNO</t>
  </si>
  <si>
    <t>MTG+ACB - 2º TURNO</t>
  </si>
  <si>
    <t>MTG+ACB - 3º TURNO</t>
  </si>
  <si>
    <t>Selecione o setor e turno ao lado e clique na opção abaixo:</t>
  </si>
  <si>
    <t>Defeitos - Voltagem</t>
  </si>
  <si>
    <t>Defeitos - Amperagem</t>
  </si>
  <si>
    <t>Defeitos Internos - Voltagem</t>
  </si>
  <si>
    <t>Defeitos Internos - Amperagem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</si>
</sst>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0.00_)"/>
    <numFmt numFmtId="167" formatCode="d/m"/>
    <numFmt numFmtId="168" formatCode="mmmm\-yy"/>
    <numFmt numFmtId="169" formatCode="d/m;@"/>
  </numFmts>
  <fonts count="28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1"/>
      <name val="ＭＳ ゴシック"/>
      <family val="3"/>
      <charset val="128"/>
    </font>
    <font>
      <b/>
      <i/>
      <sz val="16"/>
      <name val="Helv"/>
      <family val="2"/>
    </font>
    <font>
      <sz val="10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color indexed="43"/>
      <name val="Arial"/>
      <family val="2"/>
    </font>
    <font>
      <b/>
      <i/>
      <sz val="14"/>
      <color indexed="62"/>
      <name val="Arial"/>
      <family val="2"/>
    </font>
    <font>
      <b/>
      <sz val="11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8"/>
      <color rgb="FF000000"/>
      <name val="Tahoma"/>
      <family val="2"/>
    </font>
    <font>
      <b/>
      <sz val="9"/>
      <color rgb="FF000080"/>
      <name val="Arial"/>
      <family val="2"/>
    </font>
    <font>
      <b/>
      <sz val="10"/>
      <color rgb="FFFF0000"/>
      <name val="Arial"/>
      <family val="2"/>
    </font>
    <font>
      <sz val="6"/>
      <name val="ＭＳ Ｐゴシック"/>
      <family val="3"/>
      <charset val="128"/>
    </font>
    <font>
      <sz val="10"/>
      <color theme="1"/>
      <name val="Arial"/>
      <family val="2"/>
    </font>
    <font>
      <sz val="10"/>
      <color rgb="FF99CCFF"/>
      <name val="Arial"/>
      <family val="2"/>
    </font>
    <font>
      <sz val="10"/>
      <color theme="0" tint="-4.9989318521683403E-2"/>
      <name val="Arial"/>
      <family val="2"/>
    </font>
    <font>
      <sz val="6"/>
      <name val="Arial"/>
      <family val="2"/>
    </font>
    <font>
      <sz val="10"/>
      <color theme="2"/>
      <name val="Arial"/>
      <family val="2"/>
    </font>
    <font>
      <sz val="9"/>
      <name val="Arial"/>
      <family val="2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Down="1">
      <left style="thin">
        <color indexed="64"/>
      </left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8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6" fontId="4" fillId="0" borderId="0"/>
    <xf numFmtId="0" fontId="3" fillId="0" borderId="0"/>
    <xf numFmtId="10" fontId="5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2" fillId="0" borderId="0"/>
  </cellStyleXfs>
  <cellXfs count="378">
    <xf numFmtId="0" fontId="0" fillId="0" borderId="0" xfId="0"/>
    <xf numFmtId="0" fontId="0" fillId="4" borderId="0" xfId="0" applyFill="1"/>
    <xf numFmtId="0" fontId="0" fillId="4" borderId="0" xfId="0" applyFill="1" applyAlignment="1">
      <alignment horizontal="center"/>
    </xf>
    <xf numFmtId="0" fontId="8" fillId="4" borderId="0" xfId="0" applyFont="1" applyFill="1"/>
    <xf numFmtId="0" fontId="8" fillId="4" borderId="0" xfId="0" applyFont="1" applyFill="1" applyAlignment="1">
      <alignment horizontal="center"/>
    </xf>
    <xf numFmtId="0" fontId="9" fillId="4" borderId="0" xfId="0" applyFont="1" applyFill="1"/>
    <xf numFmtId="0" fontId="5" fillId="4" borderId="0" xfId="0" applyFont="1" applyFill="1"/>
    <xf numFmtId="0" fontId="10" fillId="4" borderId="0" xfId="0" applyFont="1" applyFill="1"/>
    <xf numFmtId="0" fontId="7" fillId="4" borderId="0" xfId="0" applyFont="1" applyFill="1"/>
    <xf numFmtId="0" fontId="8" fillId="4" borderId="4" xfId="0" applyFont="1" applyFill="1" applyBorder="1" applyAlignment="1">
      <alignment horizontal="center"/>
    </xf>
    <xf numFmtId="0" fontId="0" fillId="0" borderId="8" xfId="0" applyBorder="1"/>
    <xf numFmtId="0" fontId="0" fillId="0" borderId="1" xfId="0" applyBorder="1"/>
    <xf numFmtId="0" fontId="0" fillId="0" borderId="9" xfId="0" applyBorder="1"/>
    <xf numFmtId="0" fontId="0" fillId="0" borderId="10" xfId="0" applyBorder="1"/>
    <xf numFmtId="0" fontId="0" fillId="0" borderId="0" xfId="0" applyAlignment="1">
      <alignment horizontal="center"/>
    </xf>
    <xf numFmtId="0" fontId="0" fillId="0" borderId="11" xfId="0" applyBorder="1"/>
    <xf numFmtId="1" fontId="0" fillId="0" borderId="12" xfId="0" applyNumberFormat="1" applyBorder="1"/>
    <xf numFmtId="3" fontId="0" fillId="0" borderId="1" xfId="0" applyNumberFormat="1" applyBorder="1"/>
    <xf numFmtId="3" fontId="0" fillId="0" borderId="10" xfId="0" applyNumberFormat="1" applyBorder="1"/>
    <xf numFmtId="0" fontId="8" fillId="0" borderId="8" xfId="0" applyFont="1" applyBorder="1"/>
    <xf numFmtId="0" fontId="0" fillId="0" borderId="13" xfId="0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8" fillId="0" borderId="8" xfId="0" applyFont="1" applyBorder="1" applyAlignment="1">
      <alignment horizontal="center"/>
    </xf>
    <xf numFmtId="0" fontId="6" fillId="0" borderId="0" xfId="4" applyFont="1" applyProtection="1">
      <protection locked="0"/>
    </xf>
    <xf numFmtId="0" fontId="6" fillId="0" borderId="0" xfId="0" applyFont="1"/>
    <xf numFmtId="164" fontId="6" fillId="0" borderId="0" xfId="0" applyNumberFormat="1" applyFont="1"/>
    <xf numFmtId="1" fontId="6" fillId="0" borderId="0" xfId="0" applyNumberFormat="1" applyFont="1"/>
    <xf numFmtId="0" fontId="8" fillId="0" borderId="14" xfId="0" applyFont="1" applyBorder="1" applyAlignment="1">
      <alignment horizontal="center"/>
    </xf>
    <xf numFmtId="3" fontId="0" fillId="0" borderId="15" xfId="0" applyNumberFormat="1" applyBorder="1"/>
    <xf numFmtId="3" fontId="0" fillId="0" borderId="16" xfId="0" applyNumberFormat="1" applyBorder="1"/>
    <xf numFmtId="0" fontId="8" fillId="0" borderId="17" xfId="0" applyFont="1" applyBorder="1" applyAlignment="1">
      <alignment horizontal="center"/>
    </xf>
    <xf numFmtId="0" fontId="0" fillId="0" borderId="18" xfId="0" applyBorder="1"/>
    <xf numFmtId="0" fontId="0" fillId="0" borderId="19" xfId="0" applyBorder="1"/>
    <xf numFmtId="3" fontId="0" fillId="0" borderId="12" xfId="0" applyNumberFormat="1" applyBorder="1"/>
    <xf numFmtId="0" fontId="0" fillId="0" borderId="20" xfId="0" applyBorder="1"/>
    <xf numFmtId="0" fontId="0" fillId="0" borderId="8" xfId="0" applyBorder="1" applyAlignment="1">
      <alignment horizontal="center"/>
    </xf>
    <xf numFmtId="0" fontId="0" fillId="0" borderId="17" xfId="0" applyBorder="1" applyAlignment="1">
      <alignment horizontal="center"/>
    </xf>
    <xf numFmtId="0" fontId="8" fillId="0" borderId="21" xfId="0" applyFont="1" applyBorder="1" applyAlignment="1">
      <alignment horizontal="center"/>
    </xf>
    <xf numFmtId="3" fontId="0" fillId="0" borderId="22" xfId="0" applyNumberFormat="1" applyBorder="1"/>
    <xf numFmtId="164" fontId="0" fillId="0" borderId="0" xfId="0" applyNumberFormat="1"/>
    <xf numFmtId="1" fontId="0" fillId="0" borderId="0" xfId="0" applyNumberFormat="1"/>
    <xf numFmtId="3" fontId="0" fillId="0" borderId="23" xfId="0" applyNumberFormat="1" applyBorder="1"/>
    <xf numFmtId="3" fontId="0" fillId="0" borderId="24" xfId="0" applyNumberFormat="1" applyBorder="1"/>
    <xf numFmtId="3" fontId="0" fillId="0" borderId="25" xfId="0" applyNumberFormat="1" applyBorder="1"/>
    <xf numFmtId="3" fontId="0" fillId="0" borderId="26" xfId="0" applyNumberFormat="1" applyBorder="1"/>
    <xf numFmtId="3" fontId="8" fillId="0" borderId="12" xfId="0" applyNumberFormat="1" applyFont="1" applyBorder="1"/>
    <xf numFmtId="0" fontId="0" fillId="0" borderId="27" xfId="0" applyBorder="1"/>
    <xf numFmtId="1" fontId="0" fillId="0" borderId="28" xfId="0" applyNumberFormat="1" applyBorder="1"/>
    <xf numFmtId="1" fontId="0" fillId="0" borderId="13" xfId="0" applyNumberFormat="1" applyBorder="1"/>
    <xf numFmtId="3" fontId="6" fillId="0" borderId="0" xfId="0" applyNumberFormat="1" applyFont="1"/>
    <xf numFmtId="0" fontId="5" fillId="0" borderId="33" xfId="4" applyFont="1" applyBorder="1" applyAlignment="1">
      <alignment horizontal="center"/>
    </xf>
    <xf numFmtId="0" fontId="5" fillId="0" borderId="34" xfId="4" applyFont="1" applyBorder="1" applyAlignment="1">
      <alignment horizontal="center"/>
    </xf>
    <xf numFmtId="0" fontId="0" fillId="5" borderId="37" xfId="0" applyFill="1" applyBorder="1"/>
    <xf numFmtId="0" fontId="0" fillId="8" borderId="37" xfId="0" applyFill="1" applyBorder="1"/>
    <xf numFmtId="0" fontId="0" fillId="7" borderId="37" xfId="0" applyFill="1" applyBorder="1"/>
    <xf numFmtId="0" fontId="0" fillId="6" borderId="37" xfId="0" applyFill="1" applyBorder="1"/>
    <xf numFmtId="0" fontId="5" fillId="0" borderId="0" xfId="4" applyFont="1"/>
    <xf numFmtId="0" fontId="5" fillId="0" borderId="0" xfId="4" applyFont="1" applyAlignment="1">
      <alignment horizontal="center"/>
    </xf>
    <xf numFmtId="1" fontId="5" fillId="0" borderId="0" xfId="4" applyNumberFormat="1" applyFont="1"/>
    <xf numFmtId="0" fontId="8" fillId="0" borderId="11" xfId="4" applyFont="1" applyBorder="1" applyAlignment="1">
      <alignment horizontal="center"/>
    </xf>
    <xf numFmtId="167" fontId="5" fillId="0" borderId="0" xfId="4" applyNumberFormat="1" applyFont="1" applyAlignment="1">
      <alignment horizontal="center"/>
    </xf>
    <xf numFmtId="0" fontId="8" fillId="0" borderId="0" xfId="4" applyFont="1" applyAlignment="1">
      <alignment horizontal="center" vertical="center" textRotation="90"/>
    </xf>
    <xf numFmtId="1" fontId="0" fillId="0" borderId="9" xfId="0" applyNumberFormat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45" xfId="0" applyFill="1" applyBorder="1"/>
    <xf numFmtId="0" fontId="0" fillId="4" borderId="7" xfId="0" applyFill="1" applyBorder="1"/>
    <xf numFmtId="0" fontId="15" fillId="9" borderId="29" xfId="0" applyFont="1" applyFill="1" applyBorder="1"/>
    <xf numFmtId="0" fontId="15" fillId="9" borderId="38" xfId="0" applyFont="1" applyFill="1" applyBorder="1"/>
    <xf numFmtId="0" fontId="16" fillId="9" borderId="38" xfId="0" applyFont="1" applyFill="1" applyBorder="1"/>
    <xf numFmtId="0" fontId="16" fillId="9" borderId="46" xfId="0" applyFont="1" applyFill="1" applyBorder="1"/>
    <xf numFmtId="0" fontId="5" fillId="0" borderId="39" xfId="4" applyFont="1" applyBorder="1" applyAlignment="1">
      <alignment horizontal="center"/>
    </xf>
    <xf numFmtId="0" fontId="8" fillId="0" borderId="0" xfId="4" applyFont="1" applyAlignment="1">
      <alignment vertical="center"/>
    </xf>
    <xf numFmtId="1" fontId="5" fillId="0" borderId="0" xfId="4" applyNumberFormat="1" applyFont="1" applyAlignment="1">
      <alignment horizontal="center"/>
    </xf>
    <xf numFmtId="3" fontId="0" fillId="0" borderId="48" xfId="0" applyNumberFormat="1" applyBorder="1"/>
    <xf numFmtId="3" fontId="0" fillId="0" borderId="49" xfId="0" applyNumberFormat="1" applyBorder="1"/>
    <xf numFmtId="0" fontId="0" fillId="0" borderId="50" xfId="0" applyBorder="1"/>
    <xf numFmtId="3" fontId="0" fillId="0" borderId="33" xfId="0" applyNumberFormat="1" applyBorder="1"/>
    <xf numFmtId="3" fontId="0" fillId="0" borderId="34" xfId="0" applyNumberFormat="1" applyBorder="1"/>
    <xf numFmtId="3" fontId="0" fillId="0" borderId="36" xfId="0" applyNumberFormat="1" applyBorder="1"/>
    <xf numFmtId="3" fontId="0" fillId="0" borderId="51" xfId="0" applyNumberFormat="1" applyBorder="1"/>
    <xf numFmtId="3" fontId="0" fillId="0" borderId="11" xfId="0" applyNumberFormat="1" applyBorder="1"/>
    <xf numFmtId="3" fontId="0" fillId="0" borderId="27" xfId="0" applyNumberFormat="1" applyBorder="1"/>
    <xf numFmtId="3" fontId="0" fillId="0" borderId="41" xfId="0" applyNumberFormat="1" applyBorder="1"/>
    <xf numFmtId="0" fontId="0" fillId="0" borderId="52" xfId="0" applyBorder="1"/>
    <xf numFmtId="3" fontId="0" fillId="0" borderId="8" xfId="0" applyNumberFormat="1" applyBorder="1"/>
    <xf numFmtId="3" fontId="0" fillId="0" borderId="14" xfId="0" applyNumberFormat="1" applyBorder="1"/>
    <xf numFmtId="3" fontId="0" fillId="0" borderId="9" xfId="0" applyNumberFormat="1" applyBorder="1"/>
    <xf numFmtId="3" fontId="0" fillId="0" borderId="42" xfId="0" applyNumberFormat="1" applyBorder="1"/>
    <xf numFmtId="0" fontId="2" fillId="0" borderId="1" xfId="4" applyFont="1" applyBorder="1"/>
    <xf numFmtId="0" fontId="2" fillId="0" borderId="0" xfId="4" applyFont="1"/>
    <xf numFmtId="0" fontId="2" fillId="0" borderId="9" xfId="4" applyFont="1" applyBorder="1"/>
    <xf numFmtId="0" fontId="8" fillId="0" borderId="1" xfId="4" applyFont="1" applyBorder="1"/>
    <xf numFmtId="0" fontId="8" fillId="0" borderId="8" xfId="4" applyFont="1" applyBorder="1"/>
    <xf numFmtId="0" fontId="8" fillId="0" borderId="9" xfId="4" applyFont="1" applyBorder="1"/>
    <xf numFmtId="0" fontId="8" fillId="0" borderId="51" xfId="4" applyFont="1" applyBorder="1" applyAlignment="1">
      <alignment horizontal="center"/>
    </xf>
    <xf numFmtId="0" fontId="2" fillId="0" borderId="17" xfId="4" applyFont="1" applyBorder="1"/>
    <xf numFmtId="0" fontId="8" fillId="0" borderId="27" xfId="4" applyFont="1" applyBorder="1" applyAlignment="1">
      <alignment horizontal="center"/>
    </xf>
    <xf numFmtId="0" fontId="2" fillId="0" borderId="12" xfId="4" applyFont="1" applyBorder="1"/>
    <xf numFmtId="0" fontId="2" fillId="0" borderId="8" xfId="4" applyFont="1" applyBorder="1"/>
    <xf numFmtId="0" fontId="2" fillId="0" borderId="28" xfId="4" applyFont="1" applyBorder="1"/>
    <xf numFmtId="0" fontId="8" fillId="0" borderId="17" xfId="4" applyFont="1" applyBorder="1"/>
    <xf numFmtId="0" fontId="8" fillId="0" borderId="12" xfId="4" applyFont="1" applyBorder="1"/>
    <xf numFmtId="0" fontId="8" fillId="0" borderId="28" xfId="4" quotePrefix="1" applyFont="1" applyBorder="1" applyAlignment="1">
      <alignment horizontal="left"/>
    </xf>
    <xf numFmtId="0" fontId="8" fillId="0" borderId="8" xfId="4" quotePrefix="1" applyFont="1" applyBorder="1" applyAlignment="1">
      <alignment horizontal="left"/>
    </xf>
    <xf numFmtId="0" fontId="8" fillId="0" borderId="1" xfId="4" quotePrefix="1" applyFont="1" applyBorder="1" applyAlignment="1">
      <alignment horizontal="left"/>
    </xf>
    <xf numFmtId="0" fontId="8" fillId="0" borderId="28" xfId="4" applyFont="1" applyBorder="1"/>
    <xf numFmtId="0" fontId="8" fillId="0" borderId="17" xfId="4" quotePrefix="1" applyFont="1" applyBorder="1" applyAlignment="1">
      <alignment horizontal="left"/>
    </xf>
    <xf numFmtId="0" fontId="8" fillId="0" borderId="12" xfId="4" quotePrefix="1" applyFont="1" applyBorder="1" applyAlignment="1">
      <alignment horizontal="left"/>
    </xf>
    <xf numFmtId="0" fontId="8" fillId="0" borderId="53" xfId="4" applyFont="1" applyBorder="1"/>
    <xf numFmtId="0" fontId="8" fillId="0" borderId="10" xfId="4" applyFont="1" applyBorder="1"/>
    <xf numFmtId="0" fontId="8" fillId="0" borderId="47" xfId="4" applyFont="1" applyBorder="1"/>
    <xf numFmtId="0" fontId="2" fillId="0" borderId="0" xfId="7"/>
    <xf numFmtId="0" fontId="8" fillId="0" borderId="0" xfId="7" applyFont="1" applyAlignment="1">
      <alignment horizontal="left"/>
    </xf>
    <xf numFmtId="0" fontId="8" fillId="10" borderId="43" xfId="7" applyFont="1" applyFill="1" applyBorder="1" applyAlignment="1">
      <alignment horizontal="center"/>
    </xf>
    <xf numFmtId="0" fontId="8" fillId="10" borderId="54" xfId="7" applyFont="1" applyFill="1" applyBorder="1"/>
    <xf numFmtId="0" fontId="8" fillId="10" borderId="55" xfId="7" applyFont="1" applyFill="1" applyBorder="1"/>
    <xf numFmtId="0" fontId="8" fillId="0" borderId="44" xfId="4" applyFont="1" applyBorder="1" applyAlignment="1">
      <alignment horizontal="center"/>
    </xf>
    <xf numFmtId="0" fontId="2" fillId="0" borderId="1" xfId="4" quotePrefix="1" applyFont="1" applyBorder="1" applyAlignment="1">
      <alignment horizontal="left"/>
    </xf>
    <xf numFmtId="0" fontId="2" fillId="0" borderId="12" xfId="4" quotePrefix="1" applyFont="1" applyBorder="1" applyAlignment="1">
      <alignment horizontal="left"/>
    </xf>
    <xf numFmtId="0" fontId="2" fillId="0" borderId="1" xfId="7" applyBorder="1"/>
    <xf numFmtId="0" fontId="8" fillId="0" borderId="28" xfId="7" applyFont="1" applyBorder="1"/>
    <xf numFmtId="0" fontId="8" fillId="0" borderId="0" xfId="7" applyFont="1" applyAlignment="1">
      <alignment horizontal="center"/>
    </xf>
    <xf numFmtId="0" fontId="2" fillId="0" borderId="2" xfId="4" applyFont="1" applyBorder="1"/>
    <xf numFmtId="0" fontId="8" fillId="0" borderId="1" xfId="4" applyFont="1" applyBorder="1" applyAlignment="1">
      <alignment vertical="center"/>
    </xf>
    <xf numFmtId="0" fontId="8" fillId="0" borderId="61" xfId="4" applyFont="1" applyBorder="1" applyAlignment="1">
      <alignment vertical="center"/>
    </xf>
    <xf numFmtId="0" fontId="8" fillId="0" borderId="8" xfId="4" applyFont="1" applyBorder="1" applyAlignment="1">
      <alignment vertical="center"/>
    </xf>
    <xf numFmtId="0" fontId="8" fillId="0" borderId="9" xfId="4" applyFont="1" applyBorder="1" applyAlignment="1">
      <alignment vertical="center"/>
    </xf>
    <xf numFmtId="0" fontId="5" fillId="0" borderId="36" xfId="4" applyFont="1" applyBorder="1" applyAlignment="1">
      <alignment horizontal="center"/>
    </xf>
    <xf numFmtId="0" fontId="2" fillId="0" borderId="59" xfId="4" applyFont="1" applyBorder="1"/>
    <xf numFmtId="0" fontId="2" fillId="0" borderId="57" xfId="4" applyFont="1" applyBorder="1"/>
    <xf numFmtId="0" fontId="2" fillId="0" borderId="60" xfId="4" applyFont="1" applyBorder="1"/>
    <xf numFmtId="0" fontId="2" fillId="0" borderId="2" xfId="4" quotePrefix="1" applyFont="1" applyBorder="1" applyAlignment="1">
      <alignment horizontal="left"/>
    </xf>
    <xf numFmtId="0" fontId="2" fillId="0" borderId="14" xfId="4" applyFont="1" applyBorder="1"/>
    <xf numFmtId="0" fontId="2" fillId="0" borderId="15" xfId="4" applyFont="1" applyBorder="1"/>
    <xf numFmtId="0" fontId="2" fillId="0" borderId="42" xfId="4" applyFont="1" applyBorder="1"/>
    <xf numFmtId="0" fontId="2" fillId="0" borderId="56" xfId="4" applyFont="1" applyBorder="1"/>
    <xf numFmtId="0" fontId="2" fillId="0" borderId="11" xfId="4" applyFont="1" applyBorder="1" applyAlignment="1">
      <alignment horizontal="center"/>
    </xf>
    <xf numFmtId="0" fontId="2" fillId="0" borderId="34" xfId="4" applyFont="1" applyBorder="1" applyAlignment="1">
      <alignment horizontal="center"/>
    </xf>
    <xf numFmtId="0" fontId="2" fillId="0" borderId="34" xfId="4" applyFont="1" applyBorder="1" applyAlignment="1" applyProtection="1">
      <alignment horizontal="center"/>
      <protection locked="0"/>
    </xf>
    <xf numFmtId="167" fontId="5" fillId="0" borderId="0" xfId="4" applyNumberFormat="1" applyFont="1"/>
    <xf numFmtId="0" fontId="2" fillId="0" borderId="34" xfId="6" applyNumberFormat="1" applyFont="1" applyBorder="1" applyAlignment="1" applyProtection="1">
      <alignment horizontal="center"/>
      <protection locked="0"/>
    </xf>
    <xf numFmtId="0" fontId="2" fillId="0" borderId="36" xfId="4" applyFont="1" applyBorder="1" applyAlignment="1">
      <alignment horizontal="center"/>
    </xf>
    <xf numFmtId="0" fontId="2" fillId="0" borderId="51" xfId="4" applyFont="1" applyBorder="1" applyAlignment="1" applyProtection="1">
      <alignment horizontal="center"/>
      <protection locked="0"/>
    </xf>
    <xf numFmtId="0" fontId="2" fillId="0" borderId="32" xfId="4" applyFont="1" applyBorder="1" applyAlignment="1" applyProtection="1">
      <alignment horizontal="center"/>
      <protection locked="0"/>
    </xf>
    <xf numFmtId="0" fontId="2" fillId="0" borderId="22" xfId="4" applyFont="1" applyBorder="1" applyAlignment="1" applyProtection="1">
      <alignment horizontal="center"/>
      <protection locked="0"/>
    </xf>
    <xf numFmtId="0" fontId="2" fillId="0" borderId="35" xfId="4" applyFont="1" applyBorder="1" applyAlignment="1" applyProtection="1">
      <alignment horizontal="center"/>
      <protection locked="0"/>
    </xf>
    <xf numFmtId="0" fontId="2" fillId="0" borderId="21" xfId="4" applyFont="1" applyBorder="1" applyAlignment="1" applyProtection="1">
      <alignment horizontal="center"/>
      <protection locked="0"/>
    </xf>
    <xf numFmtId="0" fontId="2" fillId="0" borderId="33" xfId="4" applyFont="1" applyBorder="1" applyAlignment="1">
      <alignment horizontal="center"/>
    </xf>
    <xf numFmtId="0" fontId="2" fillId="0" borderId="39" xfId="4" applyFont="1" applyBorder="1" applyAlignment="1">
      <alignment horizontal="center"/>
    </xf>
    <xf numFmtId="0" fontId="2" fillId="0" borderId="48" xfId="4" applyFont="1" applyBorder="1" applyAlignment="1">
      <alignment horizontal="center"/>
    </xf>
    <xf numFmtId="0" fontId="8" fillId="0" borderId="10" xfId="4" applyFont="1" applyBorder="1" applyAlignment="1">
      <alignment vertical="center"/>
    </xf>
    <xf numFmtId="0" fontId="2" fillId="0" borderId="58" xfId="4" applyFont="1" applyBorder="1"/>
    <xf numFmtId="0" fontId="2" fillId="0" borderId="4" xfId="4" applyFont="1" applyBorder="1" applyAlignment="1" applyProtection="1">
      <alignment horizontal="center"/>
      <protection locked="0"/>
    </xf>
    <xf numFmtId="0" fontId="8" fillId="0" borderId="32" xfId="4" applyFont="1" applyBorder="1" applyAlignment="1">
      <alignment horizontal="center"/>
    </xf>
    <xf numFmtId="0" fontId="8" fillId="0" borderId="22" xfId="4" applyFont="1" applyBorder="1" applyAlignment="1">
      <alignment horizontal="center"/>
    </xf>
    <xf numFmtId="0" fontId="8" fillId="0" borderId="35" xfId="4" applyFont="1" applyBorder="1" applyAlignment="1">
      <alignment horizontal="center"/>
    </xf>
    <xf numFmtId="1" fontId="2" fillId="0" borderId="39" xfId="4" applyNumberFormat="1" applyFont="1" applyBorder="1" applyAlignment="1">
      <alignment horizontal="center"/>
    </xf>
    <xf numFmtId="1" fontId="2" fillId="0" borderId="34" xfId="4" applyNumberFormat="1" applyFont="1" applyBorder="1" applyAlignment="1">
      <alignment horizontal="center"/>
    </xf>
    <xf numFmtId="1" fontId="2" fillId="0" borderId="36" xfId="4" applyNumberFormat="1" applyFont="1" applyBorder="1" applyAlignment="1">
      <alignment horizontal="center"/>
    </xf>
    <xf numFmtId="0" fontId="2" fillId="0" borderId="0" xfId="4" applyFont="1" applyAlignment="1">
      <alignment horizontal="center"/>
    </xf>
    <xf numFmtId="0" fontId="2" fillId="8" borderId="37" xfId="0" applyFont="1" applyFill="1" applyBorder="1"/>
    <xf numFmtId="3" fontId="0" fillId="0" borderId="35" xfId="0" applyNumberFormat="1" applyBorder="1"/>
    <xf numFmtId="167" fontId="2" fillId="0" borderId="33" xfId="4" applyNumberFormat="1" applyFont="1" applyBorder="1" applyAlignment="1">
      <alignment horizontal="center"/>
    </xf>
    <xf numFmtId="167" fontId="5" fillId="0" borderId="34" xfId="4" applyNumberFormat="1" applyFont="1" applyBorder="1" applyAlignment="1">
      <alignment horizontal="center"/>
    </xf>
    <xf numFmtId="3" fontId="5" fillId="0" borderId="34" xfId="4" applyNumberFormat="1" applyFont="1" applyBorder="1" applyAlignment="1">
      <alignment horizontal="center"/>
    </xf>
    <xf numFmtId="164" fontId="5" fillId="0" borderId="34" xfId="4" applyNumberFormat="1" applyFont="1" applyBorder="1" applyAlignment="1">
      <alignment horizontal="center"/>
    </xf>
    <xf numFmtId="38" fontId="5" fillId="0" borderId="34" xfId="4" applyNumberFormat="1" applyFont="1" applyBorder="1" applyAlignment="1">
      <alignment horizontal="center"/>
    </xf>
    <xf numFmtId="165" fontId="5" fillId="0" borderId="34" xfId="4" applyNumberFormat="1" applyFont="1" applyBorder="1" applyAlignment="1">
      <alignment horizontal="center"/>
    </xf>
    <xf numFmtId="165" fontId="5" fillId="0" borderId="36" xfId="4" applyNumberFormat="1" applyFont="1" applyBorder="1" applyAlignment="1">
      <alignment horizontal="center"/>
    </xf>
    <xf numFmtId="1" fontId="5" fillId="0" borderId="33" xfId="4" applyNumberFormat="1" applyFont="1" applyBorder="1" applyAlignment="1">
      <alignment horizontal="center"/>
    </xf>
    <xf numFmtId="1" fontId="5" fillId="0" borderId="34" xfId="4" applyNumberFormat="1" applyFont="1" applyBorder="1" applyAlignment="1">
      <alignment horizontal="center"/>
    </xf>
    <xf numFmtId="1" fontId="5" fillId="0" borderId="36" xfId="4" applyNumberFormat="1" applyFont="1" applyBorder="1" applyAlignment="1">
      <alignment horizontal="center"/>
    </xf>
    <xf numFmtId="164" fontId="5" fillId="0" borderId="33" xfId="4" applyNumberFormat="1" applyFont="1" applyBorder="1" applyAlignment="1">
      <alignment horizontal="center"/>
    </xf>
    <xf numFmtId="0" fontId="5" fillId="0" borderId="48" xfId="4" applyFont="1" applyBorder="1" applyAlignment="1">
      <alignment horizontal="center"/>
    </xf>
    <xf numFmtId="0" fontId="5" fillId="0" borderId="63" xfId="4" applyFont="1" applyBorder="1" applyAlignment="1">
      <alignment horizontal="center"/>
    </xf>
    <xf numFmtId="167" fontId="2" fillId="0" borderId="64" xfId="4" applyNumberFormat="1" applyFont="1" applyBorder="1" applyAlignment="1">
      <alignment horizontal="center"/>
    </xf>
    <xf numFmtId="0" fontId="2" fillId="0" borderId="36" xfId="4" applyFont="1" applyBorder="1" applyAlignment="1" applyProtection="1">
      <alignment horizontal="center"/>
      <protection locked="0"/>
    </xf>
    <xf numFmtId="0" fontId="2" fillId="0" borderId="39" xfId="4" applyFont="1" applyBorder="1" applyAlignment="1" applyProtection="1">
      <alignment horizontal="center"/>
      <protection locked="0"/>
    </xf>
    <xf numFmtId="3" fontId="2" fillId="0" borderId="34" xfId="0" applyNumberFormat="1" applyFont="1" applyBorder="1" applyAlignment="1" applyProtection="1">
      <alignment horizontal="center" vertical="center" shrinkToFit="1"/>
      <protection locked="0"/>
    </xf>
    <xf numFmtId="0" fontId="19" fillId="0" borderId="57" xfId="4" applyFont="1" applyBorder="1"/>
    <xf numFmtId="164" fontId="2" fillId="0" borderId="21" xfId="4" applyNumberFormat="1" applyFont="1" applyBorder="1" applyAlignment="1" applyProtection="1">
      <alignment horizontal="center"/>
      <protection locked="0"/>
    </xf>
    <xf numFmtId="164" fontId="2" fillId="0" borderId="11" xfId="4" applyNumberFormat="1" applyFont="1" applyBorder="1" applyAlignment="1">
      <alignment horizontal="center"/>
    </xf>
    <xf numFmtId="164" fontId="2" fillId="0" borderId="34" xfId="4" applyNumberFormat="1" applyFont="1" applyBorder="1" applyAlignment="1">
      <alignment horizontal="center"/>
    </xf>
    <xf numFmtId="3" fontId="5" fillId="0" borderId="0" xfId="4" applyNumberFormat="1" applyFont="1"/>
    <xf numFmtId="1" fontId="2" fillId="0" borderId="34" xfId="6" applyNumberFormat="1" applyFont="1" applyBorder="1" applyAlignment="1" applyProtection="1">
      <alignment horizontal="center" shrinkToFit="1"/>
      <protection locked="0"/>
    </xf>
    <xf numFmtId="169" fontId="2" fillId="0" borderId="33" xfId="0" applyNumberFormat="1" applyFont="1" applyBorder="1" applyAlignment="1" applyProtection="1">
      <alignment horizontal="center"/>
      <protection locked="0"/>
    </xf>
    <xf numFmtId="169" fontId="2" fillId="0" borderId="33" xfId="4" applyNumberFormat="1" applyFont="1" applyBorder="1" applyAlignment="1" applyProtection="1">
      <alignment horizontal="center"/>
      <protection locked="0"/>
    </xf>
    <xf numFmtId="169" fontId="2" fillId="0" borderId="34" xfId="4" applyNumberFormat="1" applyFont="1" applyBorder="1" applyAlignment="1" applyProtection="1">
      <alignment horizontal="center"/>
      <protection locked="0"/>
    </xf>
    <xf numFmtId="165" fontId="2" fillId="0" borderId="32" xfId="4" applyNumberFormat="1" applyFont="1" applyBorder="1" applyAlignment="1" applyProtection="1">
      <alignment horizontal="center"/>
      <protection locked="0"/>
    </xf>
    <xf numFmtId="0" fontId="2" fillId="0" borderId="22" xfId="4" applyFont="1" applyBorder="1" applyAlignment="1">
      <alignment horizontal="center"/>
    </xf>
    <xf numFmtId="0" fontId="2" fillId="0" borderId="21" xfId="4" applyFont="1" applyBorder="1" applyAlignment="1">
      <alignment horizontal="center"/>
    </xf>
    <xf numFmtId="1" fontId="2" fillId="0" borderId="32" xfId="4" applyNumberFormat="1" applyFont="1" applyBorder="1" applyAlignment="1">
      <alignment horizontal="center"/>
    </xf>
    <xf numFmtId="0" fontId="2" fillId="0" borderId="6" xfId="4" applyFont="1" applyBorder="1" applyAlignment="1">
      <alignment horizontal="center"/>
    </xf>
    <xf numFmtId="0" fontId="2" fillId="0" borderId="34" xfId="6" applyNumberFormat="1" applyFont="1" applyBorder="1" applyAlignment="1">
      <alignment horizontal="center"/>
    </xf>
    <xf numFmtId="0" fontId="2" fillId="0" borderId="32" xfId="4" applyFont="1" applyBorder="1" applyAlignment="1">
      <alignment horizontal="center"/>
    </xf>
    <xf numFmtId="1" fontId="2" fillId="0" borderId="6" xfId="4" applyNumberFormat="1" applyFont="1" applyBorder="1" applyAlignment="1">
      <alignment horizontal="center"/>
    </xf>
    <xf numFmtId="16" fontId="2" fillId="0" borderId="33" xfId="4" applyNumberFormat="1" applyFont="1" applyBorder="1" applyAlignment="1">
      <alignment horizontal="center"/>
    </xf>
    <xf numFmtId="16" fontId="2" fillId="0" borderId="34" xfId="4" applyNumberFormat="1" applyFont="1" applyBorder="1" applyAlignment="1">
      <alignment horizontal="center"/>
    </xf>
    <xf numFmtId="164" fontId="2" fillId="0" borderId="33" xfId="4" applyNumberFormat="1" applyFont="1" applyBorder="1" applyAlignment="1">
      <alignment horizontal="center"/>
    </xf>
    <xf numFmtId="0" fontId="2" fillId="0" borderId="63" xfId="4" applyFont="1" applyBorder="1" applyAlignment="1">
      <alignment horizontal="center"/>
    </xf>
    <xf numFmtId="1" fontId="2" fillId="0" borderId="48" xfId="4" applyNumberFormat="1" applyFont="1" applyBorder="1" applyAlignment="1">
      <alignment horizontal="center"/>
    </xf>
    <xf numFmtId="3" fontId="2" fillId="0" borderId="11" xfId="4" applyNumberFormat="1" applyFont="1" applyBorder="1" applyAlignment="1">
      <alignment horizontal="center"/>
    </xf>
    <xf numFmtId="0" fontId="2" fillId="0" borderId="12" xfId="4" applyFont="1" applyBorder="1" applyAlignment="1">
      <alignment horizontal="center"/>
    </xf>
    <xf numFmtId="3" fontId="2" fillId="0" borderId="51" xfId="4" applyNumberFormat="1" applyFont="1" applyBorder="1" applyAlignment="1">
      <alignment horizontal="center"/>
    </xf>
    <xf numFmtId="3" fontId="2" fillId="0" borderId="17" xfId="4" applyNumberFormat="1" applyFont="1" applyBorder="1" applyAlignment="1">
      <alignment horizontal="center"/>
    </xf>
    <xf numFmtId="3" fontId="2" fillId="0" borderId="31" xfId="4" applyNumberFormat="1" applyFont="1" applyBorder="1" applyAlignment="1">
      <alignment horizontal="center"/>
    </xf>
    <xf numFmtId="3" fontId="2" fillId="0" borderId="53" xfId="4" applyNumberFormat="1" applyFont="1" applyBorder="1" applyAlignment="1">
      <alignment horizontal="center"/>
    </xf>
    <xf numFmtId="3" fontId="2" fillId="0" borderId="12" xfId="4" applyNumberFormat="1" applyFont="1" applyBorder="1" applyAlignment="1">
      <alignment horizontal="center"/>
    </xf>
    <xf numFmtId="3" fontId="2" fillId="0" borderId="27" xfId="4" applyNumberFormat="1" applyFont="1" applyBorder="1" applyAlignment="1">
      <alignment horizontal="center"/>
    </xf>
    <xf numFmtId="3" fontId="2" fillId="0" borderId="28" xfId="4" applyNumberFormat="1" applyFont="1" applyBorder="1" applyAlignment="1">
      <alignment horizontal="center"/>
    </xf>
    <xf numFmtId="3" fontId="2" fillId="0" borderId="41" xfId="4" applyNumberFormat="1" applyFont="1" applyBorder="1" applyAlignment="1">
      <alignment horizontal="center"/>
    </xf>
    <xf numFmtId="3" fontId="2" fillId="0" borderId="50" xfId="4" applyNumberFormat="1" applyFont="1" applyBorder="1" applyAlignment="1">
      <alignment horizontal="center"/>
    </xf>
    <xf numFmtId="0" fontId="2" fillId="0" borderId="66" xfId="4" applyFont="1" applyBorder="1" applyAlignment="1">
      <alignment horizontal="center"/>
    </xf>
    <xf numFmtId="3" fontId="2" fillId="0" borderId="65" xfId="4" applyNumberFormat="1" applyFont="1" applyBorder="1" applyAlignment="1">
      <alignment horizontal="center"/>
    </xf>
    <xf numFmtId="3" fontId="2" fillId="0" borderId="68" xfId="4" applyNumberFormat="1" applyFont="1" applyBorder="1" applyAlignment="1">
      <alignment horizontal="center"/>
    </xf>
    <xf numFmtId="3" fontId="2" fillId="0" borderId="66" xfId="4" applyNumberFormat="1" applyFont="1" applyBorder="1" applyAlignment="1">
      <alignment horizontal="center"/>
    </xf>
    <xf numFmtId="3" fontId="2" fillId="0" borderId="67" xfId="4" applyNumberFormat="1" applyFont="1" applyBorder="1" applyAlignment="1">
      <alignment horizontal="center"/>
    </xf>
    <xf numFmtId="3" fontId="2" fillId="0" borderId="7" xfId="4" applyNumberFormat="1" applyFont="1" applyBorder="1" applyAlignment="1">
      <alignment horizontal="center"/>
    </xf>
    <xf numFmtId="165" fontId="2" fillId="0" borderId="22" xfId="4" applyNumberFormat="1" applyFont="1" applyBorder="1" applyAlignment="1" applyProtection="1">
      <alignment horizontal="center"/>
      <protection locked="0"/>
    </xf>
    <xf numFmtId="165" fontId="2" fillId="0" borderId="22" xfId="4" applyNumberFormat="1" applyFont="1" applyBorder="1" applyAlignment="1">
      <alignment horizontal="center"/>
    </xf>
    <xf numFmtId="0" fontId="5" fillId="0" borderId="1" xfId="4" applyFont="1" applyBorder="1"/>
    <xf numFmtId="1" fontId="5" fillId="0" borderId="1" xfId="4" applyNumberFormat="1" applyFont="1" applyBorder="1"/>
    <xf numFmtId="3" fontId="2" fillId="0" borderId="34" xfId="4" applyNumberFormat="1" applyFont="1" applyBorder="1" applyAlignment="1" applyProtection="1">
      <alignment horizontal="center"/>
      <protection locked="0"/>
    </xf>
    <xf numFmtId="1" fontId="2" fillId="0" borderId="0" xfId="4" applyNumberFormat="1" applyFont="1"/>
    <xf numFmtId="3" fontId="21" fillId="0" borderId="34" xfId="4" applyNumberFormat="1" applyFont="1" applyBorder="1" applyAlignment="1" applyProtection="1">
      <alignment horizontal="center"/>
      <protection locked="0"/>
    </xf>
    <xf numFmtId="0" fontId="5" fillId="0" borderId="0" xfId="4" applyFont="1" applyProtection="1">
      <protection locked="0"/>
    </xf>
    <xf numFmtId="167" fontId="5" fillId="0" borderId="0" xfId="4" applyNumberFormat="1" applyFont="1" applyProtection="1">
      <protection locked="0"/>
    </xf>
    <xf numFmtId="168" fontId="5" fillId="0" borderId="0" xfId="4" applyNumberFormat="1" applyFont="1" applyProtection="1">
      <protection locked="0"/>
    </xf>
    <xf numFmtId="0" fontId="5" fillId="0" borderId="0" xfId="4" applyFont="1" applyAlignment="1" applyProtection="1">
      <alignment horizontal="center"/>
      <protection locked="0"/>
    </xf>
    <xf numFmtId="164" fontId="5" fillId="0" borderId="0" xfId="4" applyNumberFormat="1" applyFont="1" applyProtection="1">
      <protection locked="0"/>
    </xf>
    <xf numFmtId="1" fontId="5" fillId="0" borderId="0" xfId="4" applyNumberFormat="1" applyFont="1" applyProtection="1">
      <protection locked="0"/>
    </xf>
    <xf numFmtId="164" fontId="5" fillId="0" borderId="0" xfId="4" applyNumberFormat="1" applyFont="1" applyAlignment="1" applyProtection="1">
      <alignment horizontal="center"/>
      <protection locked="0"/>
    </xf>
    <xf numFmtId="0" fontId="2" fillId="0" borderId="48" xfId="4" applyFont="1" applyBorder="1" applyAlignment="1" applyProtection="1">
      <alignment horizontal="center"/>
      <protection locked="0"/>
    </xf>
    <xf numFmtId="0" fontId="8" fillId="0" borderId="0" xfId="4" applyFont="1" applyAlignment="1" applyProtection="1">
      <alignment horizontal="center" vertical="center" textRotation="90"/>
      <protection locked="0"/>
    </xf>
    <xf numFmtId="0" fontId="8" fillId="0" borderId="0" xfId="4" applyFont="1" applyAlignment="1" applyProtection="1">
      <alignment vertical="center"/>
      <protection locked="0"/>
    </xf>
    <xf numFmtId="1" fontId="5" fillId="0" borderId="0" xfId="4" applyNumberFormat="1" applyFont="1" applyAlignment="1" applyProtection="1">
      <alignment horizontal="center"/>
      <protection locked="0"/>
    </xf>
    <xf numFmtId="0" fontId="2" fillId="0" borderId="0" xfId="4" applyFont="1" applyProtection="1">
      <protection locked="0"/>
    </xf>
    <xf numFmtId="167" fontId="5" fillId="0" borderId="0" xfId="4" applyNumberFormat="1" applyFont="1" applyAlignment="1" applyProtection="1">
      <alignment horizontal="center"/>
      <protection locked="0"/>
    </xf>
    <xf numFmtId="3" fontId="5" fillId="0" borderId="0" xfId="4" applyNumberFormat="1" applyFont="1" applyProtection="1">
      <protection locked="0"/>
    </xf>
    <xf numFmtId="3" fontId="2" fillId="0" borderId="14" xfId="4" applyNumberFormat="1" applyFont="1" applyBorder="1" applyAlignment="1">
      <alignment horizontal="center"/>
    </xf>
    <xf numFmtId="3" fontId="2" fillId="0" borderId="71" xfId="4" applyNumberFormat="1" applyFont="1" applyBorder="1" applyAlignment="1">
      <alignment horizontal="center"/>
    </xf>
    <xf numFmtId="3" fontId="2" fillId="0" borderId="15" xfId="4" applyNumberFormat="1" applyFont="1" applyBorder="1" applyAlignment="1">
      <alignment horizontal="center"/>
    </xf>
    <xf numFmtId="3" fontId="2" fillId="0" borderId="42" xfId="4" applyNumberFormat="1" applyFont="1" applyBorder="1" applyAlignment="1">
      <alignment horizontal="center"/>
    </xf>
    <xf numFmtId="0" fontId="22" fillId="4" borderId="0" xfId="0" applyFont="1" applyFill="1"/>
    <xf numFmtId="0" fontId="8" fillId="4" borderId="4" xfId="0" applyFont="1" applyFill="1" applyBorder="1"/>
    <xf numFmtId="0" fontId="2" fillId="0" borderId="43" xfId="4" applyFont="1" applyBorder="1" applyAlignment="1">
      <alignment horizontal="centerContinuous"/>
    </xf>
    <xf numFmtId="0" fontId="5" fillId="0" borderId="55" xfId="4" applyFont="1" applyBorder="1" applyAlignment="1">
      <alignment horizontal="centerContinuous"/>
    </xf>
    <xf numFmtId="0" fontId="23" fillId="4" borderId="0" xfId="0" applyFont="1" applyFill="1"/>
    <xf numFmtId="3" fontId="2" fillId="0" borderId="21" xfId="4" applyNumberFormat="1" applyFont="1" applyBorder="1" applyAlignment="1">
      <alignment horizontal="center"/>
    </xf>
    <xf numFmtId="3" fontId="2" fillId="0" borderId="32" xfId="4" applyNumberFormat="1" applyFont="1" applyBorder="1" applyAlignment="1">
      <alignment horizontal="center"/>
    </xf>
    <xf numFmtId="3" fontId="2" fillId="0" borderId="6" xfId="4" applyNumberFormat="1" applyFont="1" applyBorder="1" applyAlignment="1">
      <alignment horizontal="center"/>
    </xf>
    <xf numFmtId="0" fontId="5" fillId="0" borderId="72" xfId="4" applyFont="1" applyBorder="1"/>
    <xf numFmtId="0" fontId="2" fillId="0" borderId="72" xfId="4" applyFont="1" applyBorder="1"/>
    <xf numFmtId="3" fontId="5" fillId="0" borderId="1" xfId="4" applyNumberFormat="1" applyFont="1" applyBorder="1"/>
    <xf numFmtId="0" fontId="2" fillId="0" borderId="1" xfId="4" applyFont="1" applyBorder="1" applyAlignment="1">
      <alignment horizontal="center"/>
    </xf>
    <xf numFmtId="3" fontId="2" fillId="0" borderId="1" xfId="4" applyNumberFormat="1" applyFont="1" applyBorder="1" applyAlignment="1">
      <alignment horizontal="center"/>
    </xf>
    <xf numFmtId="0" fontId="2" fillId="0" borderId="57" xfId="4" applyFont="1" applyBorder="1" applyAlignment="1">
      <alignment horizontal="center"/>
    </xf>
    <xf numFmtId="3" fontId="2" fillId="0" borderId="57" xfId="4" applyNumberFormat="1" applyFont="1" applyBorder="1" applyAlignment="1">
      <alignment horizontal="center"/>
    </xf>
    <xf numFmtId="3" fontId="2" fillId="0" borderId="59" xfId="4" applyNumberFormat="1" applyFont="1" applyBorder="1" applyAlignment="1">
      <alignment horizontal="center"/>
    </xf>
    <xf numFmtId="3" fontId="2" fillId="0" borderId="56" xfId="4" applyNumberFormat="1" applyFont="1" applyBorder="1" applyAlignment="1">
      <alignment horizontal="center"/>
    </xf>
    <xf numFmtId="3" fontId="2" fillId="0" borderId="60" xfId="4" applyNumberFormat="1" applyFont="1" applyBorder="1" applyAlignment="1">
      <alignment horizontal="center"/>
    </xf>
    <xf numFmtId="3" fontId="2" fillId="0" borderId="45" xfId="4" applyNumberFormat="1" applyFont="1" applyBorder="1" applyAlignment="1">
      <alignment horizontal="center"/>
    </xf>
    <xf numFmtId="17" fontId="2" fillId="0" borderId="43" xfId="4" applyNumberFormat="1" applyFont="1" applyBorder="1" applyAlignment="1">
      <alignment wrapText="1"/>
    </xf>
    <xf numFmtId="17" fontId="2" fillId="0" borderId="55" xfId="4" applyNumberFormat="1" applyFont="1" applyBorder="1" applyAlignment="1">
      <alignment wrapText="1"/>
    </xf>
    <xf numFmtId="17" fontId="2" fillId="0" borderId="62" xfId="4" applyNumberFormat="1" applyFont="1" applyBorder="1" applyAlignment="1">
      <alignment wrapText="1"/>
    </xf>
    <xf numFmtId="167" fontId="2" fillId="0" borderId="55" xfId="4" applyNumberFormat="1" applyFont="1" applyBorder="1" applyAlignment="1">
      <alignment horizontal="center" wrapText="1"/>
    </xf>
    <xf numFmtId="167" fontId="2" fillId="0" borderId="62" xfId="4" applyNumberFormat="1" applyFont="1" applyBorder="1" applyAlignment="1">
      <alignment horizontal="center" wrapText="1"/>
    </xf>
    <xf numFmtId="167" fontId="2" fillId="0" borderId="43" xfId="4" applyNumberFormat="1" applyFont="1" applyBorder="1" applyAlignment="1">
      <alignment horizontal="center" wrapText="1"/>
    </xf>
    <xf numFmtId="167" fontId="2" fillId="0" borderId="3" xfId="4" applyNumberFormat="1" applyFont="1" applyBorder="1" applyAlignment="1">
      <alignment horizontal="center" wrapText="1"/>
    </xf>
    <xf numFmtId="0" fontId="5" fillId="0" borderId="0" xfId="4" applyFont="1" applyAlignment="1">
      <alignment horizontal="centerContinuous"/>
    </xf>
    <xf numFmtId="0" fontId="2" fillId="0" borderId="30" xfId="4" applyFont="1" applyBorder="1" applyAlignment="1">
      <alignment horizontal="centerContinuous"/>
    </xf>
    <xf numFmtId="0" fontId="5" fillId="0" borderId="69" xfId="4" applyFont="1" applyBorder="1" applyAlignment="1">
      <alignment horizontal="centerContinuous"/>
    </xf>
    <xf numFmtId="0" fontId="5" fillId="0" borderId="62" xfId="4" applyFont="1" applyBorder="1" applyAlignment="1">
      <alignment horizontal="centerContinuous"/>
    </xf>
    <xf numFmtId="0" fontId="2" fillId="0" borderId="29" xfId="4" applyFont="1" applyBorder="1" applyAlignment="1">
      <alignment horizontal="centerContinuous"/>
    </xf>
    <xf numFmtId="0" fontId="2" fillId="0" borderId="38" xfId="4" applyFont="1" applyBorder="1" applyAlignment="1">
      <alignment horizontal="centerContinuous"/>
    </xf>
    <xf numFmtId="0" fontId="2" fillId="0" borderId="46" xfId="4" applyFont="1" applyBorder="1" applyAlignment="1">
      <alignment horizontal="centerContinuous"/>
    </xf>
    <xf numFmtId="0" fontId="8" fillId="4" borderId="62" xfId="0" applyFont="1" applyFill="1" applyBorder="1" applyAlignment="1">
      <alignment horizontal="centerContinuous"/>
    </xf>
    <xf numFmtId="0" fontId="8" fillId="4" borderId="2" xfId="0" applyFont="1" applyFill="1" applyBorder="1" applyAlignment="1">
      <alignment horizontal="centerContinuous"/>
    </xf>
    <xf numFmtId="0" fontId="0" fillId="4" borderId="62" xfId="0" applyFill="1" applyBorder="1" applyAlignment="1">
      <alignment horizontal="centerContinuous"/>
    </xf>
    <xf numFmtId="0" fontId="0" fillId="4" borderId="3" xfId="0" applyFill="1" applyBorder="1"/>
    <xf numFmtId="0" fontId="21" fillId="11" borderId="34" xfId="4" applyFont="1" applyFill="1" applyBorder="1" applyAlignment="1" applyProtection="1">
      <alignment horizontal="center"/>
      <protection locked="0"/>
    </xf>
    <xf numFmtId="0" fontId="19" fillId="11" borderId="34" xfId="4" applyFont="1" applyFill="1" applyBorder="1" applyAlignment="1" applyProtection="1">
      <alignment horizontal="center"/>
      <protection locked="0"/>
    </xf>
    <xf numFmtId="0" fontId="19" fillId="0" borderId="34" xfId="4" applyFont="1" applyBorder="1" applyAlignment="1" applyProtection="1">
      <alignment horizontal="center"/>
      <protection locked="0"/>
    </xf>
    <xf numFmtId="0" fontId="21" fillId="0" borderId="34" xfId="4" applyFont="1" applyBorder="1" applyAlignment="1" applyProtection="1">
      <alignment horizontal="center"/>
      <protection locked="0"/>
    </xf>
    <xf numFmtId="0" fontId="24" fillId="0" borderId="34" xfId="4" applyFont="1" applyBorder="1" applyAlignment="1" applyProtection="1">
      <alignment horizontal="center" wrapText="1"/>
      <protection locked="0"/>
    </xf>
    <xf numFmtId="0" fontId="24" fillId="0" borderId="34" xfId="4" applyFont="1" applyBorder="1" applyAlignment="1" applyProtection="1">
      <alignment horizontal="center" vertical="center" wrapText="1"/>
      <protection locked="0"/>
    </xf>
    <xf numFmtId="169" fontId="2" fillId="0" borderId="51" xfId="4" applyNumberFormat="1" applyFont="1" applyBorder="1" applyAlignment="1">
      <alignment horizontal="center"/>
    </xf>
    <xf numFmtId="169" fontId="2" fillId="0" borderId="17" xfId="4" applyNumberFormat="1" applyFont="1" applyBorder="1" applyAlignment="1">
      <alignment horizontal="center"/>
    </xf>
    <xf numFmtId="169" fontId="2" fillId="0" borderId="59" xfId="4" applyNumberFormat="1" applyFont="1" applyBorder="1" applyAlignment="1">
      <alignment horizontal="center"/>
    </xf>
    <xf numFmtId="169" fontId="2" fillId="0" borderId="65" xfId="4" applyNumberFormat="1" applyFont="1" applyBorder="1" applyAlignment="1">
      <alignment horizontal="center"/>
    </xf>
    <xf numFmtId="169" fontId="2" fillId="0" borderId="1" xfId="4" applyNumberFormat="1" applyFont="1" applyBorder="1" applyAlignment="1">
      <alignment horizontal="center"/>
    </xf>
    <xf numFmtId="169" fontId="2" fillId="0" borderId="11" xfId="4" applyNumberFormat="1" applyFont="1" applyBorder="1" applyAlignment="1">
      <alignment horizontal="center"/>
    </xf>
    <xf numFmtId="169" fontId="2" fillId="0" borderId="12" xfId="4" applyNumberFormat="1" applyFont="1" applyBorder="1" applyAlignment="1">
      <alignment horizontal="center"/>
    </xf>
    <xf numFmtId="169" fontId="2" fillId="0" borderId="57" xfId="4" applyNumberFormat="1" applyFont="1" applyBorder="1" applyAlignment="1">
      <alignment horizontal="center"/>
    </xf>
    <xf numFmtId="169" fontId="2" fillId="0" borderId="66" xfId="4" applyNumberFormat="1" applyFont="1" applyBorder="1" applyAlignment="1">
      <alignment horizontal="center"/>
    </xf>
    <xf numFmtId="3" fontId="2" fillId="0" borderId="11" xfId="6" applyNumberFormat="1" applyFont="1" applyBorder="1" applyAlignment="1">
      <alignment horizontal="center"/>
    </xf>
    <xf numFmtId="3" fontId="2" fillId="0" borderId="12" xfId="6" applyNumberFormat="1" applyFont="1" applyBorder="1" applyAlignment="1">
      <alignment horizontal="center"/>
    </xf>
    <xf numFmtId="3" fontId="2" fillId="0" borderId="57" xfId="6" applyNumberFormat="1" applyFont="1" applyBorder="1" applyAlignment="1">
      <alignment horizontal="center"/>
    </xf>
    <xf numFmtId="3" fontId="2" fillId="0" borderId="66" xfId="6" applyNumberFormat="1" applyFont="1" applyBorder="1" applyAlignment="1">
      <alignment horizontal="center"/>
    </xf>
    <xf numFmtId="3" fontId="2" fillId="0" borderId="1" xfId="6" applyNumberFormat="1" applyFont="1" applyBorder="1" applyAlignment="1">
      <alignment horizontal="center"/>
    </xf>
    <xf numFmtId="3" fontId="2" fillId="0" borderId="44" xfId="4" applyNumberFormat="1" applyFont="1" applyBorder="1" applyAlignment="1">
      <alignment horizontal="center"/>
    </xf>
    <xf numFmtId="3" fontId="2" fillId="0" borderId="47" xfId="4" applyNumberFormat="1" applyFont="1" applyBorder="1" applyAlignment="1">
      <alignment horizontal="center"/>
    </xf>
    <xf numFmtId="3" fontId="2" fillId="0" borderId="0" xfId="4" applyNumberFormat="1" applyFont="1" applyAlignment="1">
      <alignment horizontal="center"/>
    </xf>
    <xf numFmtId="3" fontId="2" fillId="0" borderId="40" xfId="4" applyNumberFormat="1" applyFont="1" applyBorder="1" applyAlignment="1">
      <alignment horizontal="center"/>
    </xf>
    <xf numFmtId="3" fontId="2" fillId="0" borderId="70" xfId="4" applyNumberFormat="1" applyFont="1" applyBorder="1" applyAlignment="1">
      <alignment horizontal="center"/>
    </xf>
    <xf numFmtId="3" fontId="2" fillId="0" borderId="5" xfId="4" applyNumberFormat="1" applyFont="1" applyBorder="1" applyAlignment="1">
      <alignment horizontal="center"/>
    </xf>
    <xf numFmtId="0" fontId="25" fillId="4" borderId="0" xfId="0" applyFont="1" applyFill="1"/>
    <xf numFmtId="0" fontId="26" fillId="0" borderId="34" xfId="4" applyFont="1" applyBorder="1" applyAlignment="1" applyProtection="1">
      <alignment horizontal="center"/>
      <protection locked="0"/>
    </xf>
    <xf numFmtId="169" fontId="2" fillId="0" borderId="34" xfId="4" quotePrefix="1" applyNumberFormat="1" applyFont="1" applyBorder="1" applyAlignment="1" applyProtection="1">
      <alignment horizontal="center"/>
      <protection locked="0"/>
    </xf>
    <xf numFmtId="0" fontId="2" fillId="0" borderId="22" xfId="4" quotePrefix="1" applyFont="1" applyBorder="1" applyAlignment="1" applyProtection="1">
      <alignment horizontal="center"/>
      <protection locked="0"/>
    </xf>
    <xf numFmtId="16" fontId="2" fillId="0" borderId="12" xfId="4" applyNumberFormat="1" applyFont="1" applyBorder="1" applyAlignment="1">
      <alignment horizontal="center"/>
    </xf>
    <xf numFmtId="17" fontId="2" fillId="0" borderId="73" xfId="4" applyNumberFormat="1" applyFont="1" applyBorder="1" applyAlignment="1">
      <alignment wrapText="1"/>
    </xf>
    <xf numFmtId="169" fontId="2" fillId="0" borderId="14" xfId="4" applyNumberFormat="1" applyFont="1" applyBorder="1" applyAlignment="1">
      <alignment horizontal="center"/>
    </xf>
    <xf numFmtId="169" fontId="2" fillId="0" borderId="15" xfId="4" applyNumberFormat="1" applyFont="1" applyBorder="1" applyAlignment="1">
      <alignment horizontal="center"/>
    </xf>
    <xf numFmtId="16" fontId="2" fillId="0" borderId="15" xfId="4" applyNumberFormat="1" applyFont="1" applyBorder="1" applyAlignment="1">
      <alignment horizontal="center"/>
    </xf>
    <xf numFmtId="3" fontId="2" fillId="0" borderId="15" xfId="6" applyNumberFormat="1" applyFont="1" applyBorder="1" applyAlignment="1">
      <alignment horizontal="center"/>
    </xf>
    <xf numFmtId="3" fontId="2" fillId="0" borderId="74" xfId="4" applyNumberFormat="1" applyFont="1" applyBorder="1" applyAlignment="1">
      <alignment horizontal="center"/>
    </xf>
    <xf numFmtId="3" fontId="2" fillId="0" borderId="24" xfId="4" applyNumberFormat="1" applyFont="1" applyBorder="1" applyAlignment="1">
      <alignment horizontal="center"/>
    </xf>
    <xf numFmtId="167" fontId="2" fillId="0" borderId="73" xfId="4" applyNumberFormat="1" applyFont="1" applyBorder="1" applyAlignment="1">
      <alignment horizontal="center" wrapText="1"/>
    </xf>
    <xf numFmtId="0" fontId="2" fillId="0" borderId="15" xfId="4" applyFont="1" applyBorder="1" applyAlignment="1">
      <alignment horizontal="center"/>
    </xf>
    <xf numFmtId="0" fontId="5" fillId="0" borderId="0" xfId="4" applyFont="1" applyBorder="1" applyAlignment="1">
      <alignment horizontal="centerContinuous"/>
    </xf>
    <xf numFmtId="167" fontId="2" fillId="0" borderId="2" xfId="4" applyNumberFormat="1" applyFont="1" applyBorder="1" applyAlignment="1">
      <alignment horizontal="center" wrapText="1"/>
    </xf>
    <xf numFmtId="3" fontId="2" fillId="0" borderId="16" xfId="4" applyNumberFormat="1" applyFont="1" applyBorder="1" applyAlignment="1">
      <alignment horizontal="center"/>
    </xf>
    <xf numFmtId="3" fontId="2" fillId="0" borderId="35" xfId="4" applyNumberFormat="1" applyFont="1" applyBorder="1" applyAlignment="1">
      <alignment horizontal="center"/>
    </xf>
    <xf numFmtId="16" fontId="2" fillId="0" borderId="22" xfId="4" applyNumberFormat="1" applyFont="1" applyBorder="1" applyAlignment="1" applyProtection="1">
      <alignment horizontal="center"/>
      <protection locked="0"/>
    </xf>
    <xf numFmtId="1" fontId="2" fillId="0" borderId="1" xfId="4" applyNumberFormat="1" applyFont="1" applyBorder="1" applyAlignment="1">
      <alignment horizontal="center"/>
    </xf>
    <xf numFmtId="1" fontId="2" fillId="0" borderId="1" xfId="4" applyNumberFormat="1" applyFont="1" applyBorder="1"/>
    <xf numFmtId="3" fontId="2" fillId="0" borderId="32" xfId="4" applyNumberFormat="1" applyFont="1" applyBorder="1" applyAlignment="1" applyProtection="1">
      <alignment horizontal="center"/>
      <protection locked="0"/>
    </xf>
    <xf numFmtId="0" fontId="8" fillId="4" borderId="0" xfId="0" applyFont="1" applyFill="1" applyAlignment="1">
      <alignment horizontal="left"/>
    </xf>
    <xf numFmtId="0" fontId="8" fillId="4" borderId="0" xfId="0" applyFont="1" applyFill="1" applyAlignment="1">
      <alignment horizontal="left" wrapText="1"/>
    </xf>
    <xf numFmtId="0" fontId="8" fillId="4" borderId="5" xfId="0" applyFont="1" applyFill="1" applyBorder="1" applyAlignment="1">
      <alignment horizontal="left" wrapText="1"/>
    </xf>
    <xf numFmtId="0" fontId="2" fillId="8" borderId="37" xfId="0" applyFont="1" applyFill="1" applyBorder="1" applyAlignment="1">
      <alignment horizontal="left"/>
    </xf>
    <xf numFmtId="0" fontId="0" fillId="8" borderId="37" xfId="0" applyFill="1" applyBorder="1" applyAlignment="1">
      <alignment horizontal="left"/>
    </xf>
    <xf numFmtId="0" fontId="8" fillId="8" borderId="37" xfId="0" applyFont="1" applyFill="1" applyBorder="1" applyAlignment="1">
      <alignment horizontal="center"/>
    </xf>
    <xf numFmtId="0" fontId="0" fillId="0" borderId="51" xfId="0" applyBorder="1" applyAlignment="1">
      <alignment horizontal="center" vertical="center" textRotation="90"/>
    </xf>
    <xf numFmtId="0" fontId="0" fillId="0" borderId="11" xfId="0" applyBorder="1" applyAlignment="1">
      <alignment horizontal="center" vertical="center" textRotation="90"/>
    </xf>
    <xf numFmtId="0" fontId="0" fillId="0" borderId="44" xfId="0" applyBorder="1" applyAlignment="1">
      <alignment horizontal="center" vertical="center" textRotation="90"/>
    </xf>
    <xf numFmtId="0" fontId="0" fillId="0" borderId="27" xfId="0" applyBorder="1" applyAlignment="1">
      <alignment horizontal="center" vertical="center" textRotation="90"/>
    </xf>
    <xf numFmtId="0" fontId="0" fillId="0" borderId="4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2" xfId="7" applyBorder="1" applyAlignment="1">
      <alignment horizontal="center" textRotation="90" shrinkToFit="1"/>
    </xf>
    <xf numFmtId="0" fontId="2" fillId="0" borderId="4" xfId="7" applyBorder="1" applyAlignment="1">
      <alignment horizontal="center" textRotation="90" shrinkToFit="1"/>
    </xf>
    <xf numFmtId="0" fontId="2" fillId="0" borderId="6" xfId="7" applyBorder="1" applyAlignment="1">
      <alignment horizontal="center" textRotation="90" shrinkToFit="1"/>
    </xf>
    <xf numFmtId="0" fontId="2" fillId="0" borderId="2" xfId="7" applyBorder="1" applyAlignment="1">
      <alignment horizontal="center" vertical="center" textRotation="90"/>
    </xf>
    <xf numFmtId="0" fontId="2" fillId="0" borderId="4" xfId="7" applyBorder="1" applyAlignment="1">
      <alignment horizontal="center" vertical="center" textRotation="90"/>
    </xf>
    <xf numFmtId="0" fontId="2" fillId="0" borderId="6" xfId="7" applyBorder="1" applyAlignment="1">
      <alignment horizontal="center" vertical="center" textRotation="90"/>
    </xf>
    <xf numFmtId="0" fontId="2" fillId="0" borderId="2" xfId="7" applyBorder="1" applyAlignment="1">
      <alignment horizontal="center" vertical="center" textRotation="90" shrinkToFit="1"/>
    </xf>
    <xf numFmtId="0" fontId="2" fillId="0" borderId="4" xfId="7" applyBorder="1" applyAlignment="1">
      <alignment horizontal="center" vertical="center" textRotation="90" shrinkToFit="1"/>
    </xf>
    <xf numFmtId="0" fontId="2" fillId="0" borderId="6" xfId="7" applyBorder="1" applyAlignment="1">
      <alignment horizontal="center" vertical="center" textRotation="90" shrinkToFit="1"/>
    </xf>
    <xf numFmtId="0" fontId="2" fillId="0" borderId="2" xfId="7" applyBorder="1" applyAlignment="1" applyProtection="1">
      <alignment horizontal="center" vertical="center" textRotation="90" shrinkToFit="1"/>
      <protection locked="0"/>
    </xf>
    <xf numFmtId="0" fontId="2" fillId="0" borderId="4" xfId="7" applyBorder="1" applyAlignment="1" applyProtection="1">
      <alignment horizontal="center" vertical="center" textRotation="90" shrinkToFit="1"/>
      <protection locked="0"/>
    </xf>
    <xf numFmtId="0" fontId="2" fillId="0" borderId="6" xfId="7" applyBorder="1" applyAlignment="1" applyProtection="1">
      <alignment horizontal="center" vertical="center" textRotation="90" shrinkToFit="1"/>
      <protection locked="0"/>
    </xf>
    <xf numFmtId="0" fontId="2" fillId="0" borderId="4" xfId="7" applyBorder="1" applyAlignment="1" applyProtection="1">
      <alignment horizontal="center" vertical="center" textRotation="90"/>
      <protection locked="0"/>
    </xf>
    <xf numFmtId="0" fontId="2" fillId="0" borderId="51" xfId="7" applyBorder="1" applyAlignment="1" applyProtection="1">
      <alignment horizontal="center" textRotation="90" shrinkToFit="1"/>
      <protection locked="0"/>
    </xf>
    <xf numFmtId="0" fontId="2" fillId="0" borderId="11" xfId="7" applyBorder="1" applyAlignment="1" applyProtection="1">
      <alignment horizontal="center" textRotation="90" shrinkToFit="1"/>
      <protection locked="0"/>
    </xf>
    <xf numFmtId="0" fontId="2" fillId="0" borderId="27" xfId="7" applyBorder="1" applyAlignment="1" applyProtection="1">
      <alignment horizontal="center" textRotation="90" shrinkToFit="1"/>
      <protection locked="0"/>
    </xf>
    <xf numFmtId="17" fontId="2" fillId="0" borderId="2" xfId="4" applyNumberFormat="1" applyFont="1" applyBorder="1" applyAlignment="1" applyProtection="1">
      <alignment horizontal="center"/>
      <protection locked="0"/>
    </xf>
    <xf numFmtId="17" fontId="2" fillId="0" borderId="62" xfId="4" applyNumberFormat="1" applyFont="1" applyBorder="1" applyAlignment="1" applyProtection="1">
      <alignment horizontal="center"/>
      <protection locked="0"/>
    </xf>
    <xf numFmtId="0" fontId="2" fillId="0" borderId="51" xfId="7" applyBorder="1" applyAlignment="1" applyProtection="1">
      <alignment horizontal="center" vertical="center" textRotation="90"/>
      <protection locked="0"/>
    </xf>
    <xf numFmtId="0" fontId="2" fillId="0" borderId="11" xfId="7" applyBorder="1" applyAlignment="1" applyProtection="1">
      <alignment horizontal="center" vertical="center" textRotation="90"/>
      <protection locked="0"/>
    </xf>
    <xf numFmtId="0" fontId="2" fillId="0" borderId="27" xfId="7" applyBorder="1" applyAlignment="1" applyProtection="1">
      <alignment horizontal="center" vertical="center" textRotation="90"/>
      <protection locked="0"/>
    </xf>
    <xf numFmtId="0" fontId="2" fillId="0" borderId="2" xfId="7" applyBorder="1" applyAlignment="1" applyProtection="1">
      <alignment horizontal="center" vertical="center" textRotation="90"/>
      <protection locked="0"/>
    </xf>
    <xf numFmtId="0" fontId="2" fillId="0" borderId="6" xfId="7" applyBorder="1" applyAlignment="1" applyProtection="1">
      <alignment horizontal="center" vertical="center" textRotation="90"/>
      <protection locked="0"/>
    </xf>
    <xf numFmtId="0" fontId="2" fillId="0" borderId="51" xfId="7" applyBorder="1" applyAlignment="1">
      <alignment horizontal="center" textRotation="90" shrinkToFit="1"/>
    </xf>
    <xf numFmtId="0" fontId="2" fillId="0" borderId="11" xfId="7" applyBorder="1" applyAlignment="1">
      <alignment horizontal="center" textRotation="90" shrinkToFit="1"/>
    </xf>
    <xf numFmtId="0" fontId="2" fillId="0" borderId="27" xfId="7" applyBorder="1" applyAlignment="1">
      <alignment horizontal="center" textRotation="90" shrinkToFit="1"/>
    </xf>
    <xf numFmtId="0" fontId="2" fillId="0" borderId="51" xfId="7" applyBorder="1" applyAlignment="1">
      <alignment horizontal="center" vertical="center" textRotation="90"/>
    </xf>
    <xf numFmtId="0" fontId="2" fillId="0" borderId="11" xfId="7" applyBorder="1" applyAlignment="1">
      <alignment horizontal="center" vertical="center" textRotation="90"/>
    </xf>
    <xf numFmtId="0" fontId="2" fillId="0" borderId="27" xfId="7" applyBorder="1" applyAlignment="1">
      <alignment horizontal="center" vertical="center" textRotation="90"/>
    </xf>
    <xf numFmtId="0" fontId="11" fillId="0" borderId="0" xfId="0" applyFont="1" applyAlignment="1">
      <alignment horizontal="center"/>
    </xf>
  </cellXfs>
  <cellStyles count="8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7" xr:uid="{00000000-0005-0000-0000-000004000000}"/>
    <cellStyle name="Normal_F-7.115 rev 02" xfId="4" xr:uid="{00000000-0005-0000-0000-000005000000}"/>
    <cellStyle name="Percent [2]" xfId="5" xr:uid="{00000000-0005-0000-0000-000006000000}"/>
    <cellStyle name="Separador de milhares [0]_F-7.115 rev 02" xfId="6" xr:uid="{00000000-0005-0000-0000-000007000000}"/>
  </cellStyles>
  <dxfs count="28">
    <dxf>
      <fill>
        <patternFill>
          <bgColor indexed="11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9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1800"/>
              <a:t>Falhas Totais de VA - UM-4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194145849716109"/>
          <c:y val="9.9930329389454592E-2"/>
          <c:w val="0.80892888691814446"/>
          <c:h val="0.585131714556622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'Totalização (MTG+ACB)'!$Z$27</c:f>
              <c:strCache>
                <c:ptCount val="1"/>
                <c:pt idx="0">
                  <c:v>ppm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50000">
                  <a:schemeClr val="accent5">
                    <a:lumMod val="20000"/>
                    <a:lumOff val="80000"/>
                  </a:schemeClr>
                </a:gs>
                <a:gs pos="100000">
                  <a:srgbClr val="00206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'Totalização (MTG+ACB)'!$Y$28:$Y$54</c:f>
              <c:strCache>
                <c:ptCount val="27"/>
                <c:pt idx="0">
                  <c:v>Outros - Amperagem</c:v>
                </c:pt>
                <c:pt idx="1">
                  <c:v>Causa Desconhecida - Amperagem</c:v>
                </c:pt>
                <c:pt idx="2">
                  <c:v>PVC Comprido</c:v>
                </c:pt>
                <c:pt idx="3">
                  <c:v>Bottom Plate Amassado</c:v>
                </c:pt>
                <c:pt idx="4">
                  <c:v>Mistura seca</c:v>
                </c:pt>
                <c:pt idx="5">
                  <c:v>Contem estranho</c:v>
                </c:pt>
                <c:pt idx="6">
                  <c:v>Tubo de Zinco Sujo</c:v>
                </c:pt>
                <c:pt idx="7">
                  <c:v>Carvão Frouxo</c:v>
                </c:pt>
                <c:pt idx="8">
                  <c:v>Metade do Carvão</c:v>
                </c:pt>
                <c:pt idx="9">
                  <c:v>Carvão Quebrado</c:v>
                </c:pt>
                <c:pt idx="10">
                  <c:v>Emenda de Papel</c:v>
                </c:pt>
                <c:pt idx="11">
                  <c:v>Bobina Rachada</c:v>
                </c:pt>
                <c:pt idx="12">
                  <c:v>Bobina Baixa</c:v>
                </c:pt>
                <c:pt idx="13">
                  <c:v>Pelota de Manganês</c:v>
                </c:pt>
                <c:pt idx="14">
                  <c:v>Pedra de Cl de Amônia</c:v>
                </c:pt>
                <c:pt idx="15">
                  <c:v>Pedra de Negro</c:v>
                </c:pt>
                <c:pt idx="16">
                  <c:v>Papel Separdor Duplo</c:v>
                </c:pt>
                <c:pt idx="17">
                  <c:v>Outros - Voltagem</c:v>
                </c:pt>
                <c:pt idx="18">
                  <c:v>Pilha Boa</c:v>
                </c:pt>
                <c:pt idx="19">
                  <c:v>Causa Desconhecida - Voltagem</c:v>
                </c:pt>
                <c:pt idx="20">
                  <c:v>Pilha recuperada do Acabamento</c:v>
                </c:pt>
                <c:pt idx="21">
                  <c:v>Curto Circ. Externo -  Cap sujo</c:v>
                </c:pt>
                <c:pt idx="22">
                  <c:v>Curto Circuito Externo</c:v>
                </c:pt>
                <c:pt idx="23">
                  <c:v>Tubo com Rebarba</c:v>
                </c:pt>
                <c:pt idx="24">
                  <c:v>Tubo de Zinco Amassado</c:v>
                </c:pt>
                <c:pt idx="25">
                  <c:v>Tubo Rachado - Câmera</c:v>
                </c:pt>
                <c:pt idx="26">
                  <c:v>Tubo descascado</c:v>
                </c:pt>
              </c:strCache>
            </c:strRef>
          </c:cat>
          <c:val>
            <c:numRef>
              <c:f>[0]!ColFalhasY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E-4016-889B-86FA781244F6}"/>
            </c:ext>
          </c:extLst>
        </c:ser>
        <c:ser>
          <c:idx val="2"/>
          <c:order val="1"/>
          <c:tx>
            <c:v>Problemas</c:v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20000"/>
                    <a:lumOff val="80000"/>
                  </a:schemeClr>
                </a:gs>
                <a:gs pos="100000">
                  <a:srgbClr val="FF000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val>
            <c:numRef>
              <c:f>[0]!ColProbY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6-4708-A6BC-FAB888EA9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97606808"/>
        <c:axId val="497607200"/>
      </c:barChart>
      <c:lineChart>
        <c:grouping val="standard"/>
        <c:varyColors val="0"/>
        <c:ser>
          <c:idx val="1"/>
          <c:order val="2"/>
          <c:tx>
            <c:v>Ac %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7030A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[0]!ColFalhasX</c:f>
              <c:strCache>
                <c:ptCount val="1"/>
                <c:pt idx="0">
                  <c:v>Outros - Amperagem</c:v>
                </c:pt>
              </c:strCache>
            </c:strRef>
          </c:cat>
          <c:val>
            <c:numRef>
              <c:f>[0]!ColAcY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DE-4016-889B-86FA78124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07984"/>
        <c:axId val="497600928"/>
      </c:lineChart>
      <c:catAx>
        <c:axId val="497606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/>
                  <a:t>Tipo de Defeito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97607200"/>
        <c:crosses val="autoZero"/>
        <c:auto val="1"/>
        <c:lblAlgn val="ctr"/>
        <c:lblOffset val="100"/>
        <c:noMultiLvlLbl val="0"/>
      </c:catAx>
      <c:valAx>
        <c:axId val="49760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/>
                  <a:t>Taxa Defeituosa (ppm)</a:t>
                </a:r>
              </a:p>
            </c:rich>
          </c:tx>
          <c:layout>
            <c:manualLayout>
              <c:xMode val="edge"/>
              <c:yMode val="edge"/>
              <c:x val="3.9470220011293286E-2"/>
              <c:y val="0.298577467892849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97606808"/>
        <c:crosses val="autoZero"/>
        <c:crossBetween val="between"/>
      </c:valAx>
      <c:valAx>
        <c:axId val="497600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97607984"/>
        <c:crosses val="max"/>
        <c:crossBetween val="between"/>
      </c:valAx>
      <c:catAx>
        <c:axId val="497607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7600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80314965" l="0.51181102362204722" r="0.51181102362204722" t="0.78740157480314965" header="0.31496062992125984" footer="0.31496062992125984"/>
    <c:pageSetup orientation="landscape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$B$27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Drop" dropStyle="combo" dx="22" fmlaLink="$B$28" fmlaRange="$C$28:$C$30" noThreeD="1" sel="2" val="0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76200</xdr:rowOff>
    </xdr:from>
    <xdr:to>
      <xdr:col>11</xdr:col>
      <xdr:colOff>0</xdr:colOff>
      <xdr:row>3</xdr:row>
      <xdr:rowOff>95250</xdr:rowOff>
    </xdr:to>
    <xdr:sp macro="" textlink="">
      <xdr:nvSpPr>
        <xdr:cNvPr id="3078" name="Text Box 6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 txBox="1">
          <a:spLocks noChangeArrowheads="1"/>
        </xdr:cNvSpPr>
      </xdr:nvSpPr>
      <xdr:spPr bwMode="auto">
        <a:xfrm>
          <a:off x="0" y="238125"/>
          <a:ext cx="6705600" cy="342900"/>
        </a:xfrm>
        <a:prstGeom prst="rect">
          <a:avLst/>
        </a:prstGeom>
        <a:gradFill rotWithShape="0">
          <a:gsLst>
            <a:gs pos="0">
              <a:srgbClr val="0000FF">
                <a:gamma/>
                <a:shade val="46275"/>
                <a:invGamma/>
              </a:srgbClr>
            </a:gs>
            <a:gs pos="50000">
              <a:srgbClr val="0000FF"/>
            </a:gs>
            <a:gs pos="100000">
              <a:srgbClr val="0000FF">
                <a:gamma/>
                <a:shade val="46275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pt-BR" sz="1000" b="1" i="1" u="none" strike="noStrike" baseline="0">
              <a:solidFill>
                <a:srgbClr val="FFFFFF"/>
              </a:solidFill>
              <a:latin typeface="Arial"/>
              <a:cs typeface="Arial"/>
            </a:rPr>
            <a:t>REGISTRO DE PRODUÇÃO E FALHAS DE VOLTAGEM E AMPERAGEM </a:t>
          </a:r>
        </a:p>
        <a:p>
          <a:pPr algn="l" rtl="0">
            <a:defRPr sz="1000"/>
          </a:pPr>
          <a:r>
            <a:rPr lang="pt-BR" sz="1000" b="1" i="1" u="none" strike="noStrike" baseline="0">
              <a:solidFill>
                <a:srgbClr val="FFFFFF"/>
              </a:solidFill>
              <a:latin typeface="Arial"/>
              <a:cs typeface="Arial"/>
            </a:rPr>
            <a:t> MONTAGEM - UM-1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7</xdr:row>
          <xdr:rowOff>47625</xdr:rowOff>
        </xdr:from>
        <xdr:to>
          <xdr:col>8</xdr:col>
          <xdr:colOff>438150</xdr:colOff>
          <xdr:row>8</xdr:row>
          <xdr:rowOff>95250</xdr:rowOff>
        </xdr:to>
        <xdr:sp macro="" textlink="">
          <xdr:nvSpPr>
            <xdr:cNvPr id="3079" name="Option Button 7" descr="DIA&#10;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MTG - DIA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8</xdr:row>
          <xdr:rowOff>114300</xdr:rowOff>
        </xdr:from>
        <xdr:to>
          <xdr:col>8</xdr:col>
          <xdr:colOff>428625</xdr:colOff>
          <xdr:row>9</xdr:row>
          <xdr:rowOff>161925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MTG - 2º TURNO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16</xdr:row>
          <xdr:rowOff>85725</xdr:rowOff>
        </xdr:from>
        <xdr:to>
          <xdr:col>3</xdr:col>
          <xdr:colOff>428625</xdr:colOff>
          <xdr:row>17</xdr:row>
          <xdr:rowOff>142875</xdr:rowOff>
        </xdr:to>
        <xdr:sp macro="" textlink="">
          <xdr:nvSpPr>
            <xdr:cNvPr id="3081" name="Drop Dow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428625</xdr:colOff>
          <xdr:row>11</xdr:row>
          <xdr:rowOff>47625</xdr:rowOff>
        </xdr:to>
        <xdr:sp macro="" textlink="">
          <xdr:nvSpPr>
            <xdr:cNvPr id="3102" name="Option 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MTG - 3º TURNO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11</xdr:row>
          <xdr:rowOff>66675</xdr:rowOff>
        </xdr:from>
        <xdr:to>
          <xdr:col>9</xdr:col>
          <xdr:colOff>0</xdr:colOff>
          <xdr:row>12</xdr:row>
          <xdr:rowOff>123825</xdr:rowOff>
        </xdr:to>
        <xdr:sp macro="" textlink="">
          <xdr:nvSpPr>
            <xdr:cNvPr id="3103" name="Option 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MTG - DIA+NOITE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7</xdr:row>
          <xdr:rowOff>38100</xdr:rowOff>
        </xdr:from>
        <xdr:to>
          <xdr:col>11</xdr:col>
          <xdr:colOff>209550</xdr:colOff>
          <xdr:row>8</xdr:row>
          <xdr:rowOff>85725</xdr:rowOff>
        </xdr:to>
        <xdr:sp macro="" textlink="">
          <xdr:nvSpPr>
            <xdr:cNvPr id="3104" name="Option 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ACB - 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8</xdr:row>
          <xdr:rowOff>114300</xdr:rowOff>
        </xdr:from>
        <xdr:to>
          <xdr:col>11</xdr:col>
          <xdr:colOff>209550</xdr:colOff>
          <xdr:row>9</xdr:row>
          <xdr:rowOff>161925</xdr:rowOff>
        </xdr:to>
        <xdr:sp macro="" textlink="">
          <xdr:nvSpPr>
            <xdr:cNvPr id="3105" name="Option 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ACB - 2º TURNO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10</xdr:row>
          <xdr:rowOff>0</xdr:rowOff>
        </xdr:from>
        <xdr:to>
          <xdr:col>11</xdr:col>
          <xdr:colOff>219075</xdr:colOff>
          <xdr:row>11</xdr:row>
          <xdr:rowOff>47625</xdr:rowOff>
        </xdr:to>
        <xdr:sp macro="" textlink="">
          <xdr:nvSpPr>
            <xdr:cNvPr id="3106" name="Option 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ACB - 3º TURNO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11</xdr:row>
          <xdr:rowOff>47625</xdr:rowOff>
        </xdr:from>
        <xdr:to>
          <xdr:col>11</xdr:col>
          <xdr:colOff>457200</xdr:colOff>
          <xdr:row>12</xdr:row>
          <xdr:rowOff>95250</xdr:rowOff>
        </xdr:to>
        <xdr:sp macro="" textlink="">
          <xdr:nvSpPr>
            <xdr:cNvPr id="3107" name="Option 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ACB - DIA+NOITE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13</xdr:row>
          <xdr:rowOff>76200</xdr:rowOff>
        </xdr:from>
        <xdr:to>
          <xdr:col>8</xdr:col>
          <xdr:colOff>447675</xdr:colOff>
          <xdr:row>14</xdr:row>
          <xdr:rowOff>123825</xdr:rowOff>
        </xdr:to>
        <xdr:sp macro="" textlink="">
          <xdr:nvSpPr>
            <xdr:cNvPr id="3108" name="Option 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MTG+ACB - 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14</xdr:row>
          <xdr:rowOff>123825</xdr:rowOff>
        </xdr:from>
        <xdr:to>
          <xdr:col>9</xdr:col>
          <xdr:colOff>104775</xdr:colOff>
          <xdr:row>15</xdr:row>
          <xdr:rowOff>161925</xdr:rowOff>
        </xdr:to>
        <xdr:sp macro="" textlink="">
          <xdr:nvSpPr>
            <xdr:cNvPr id="3109" name="Option 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MTG+ACB - 2º TURNO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16</xdr:row>
          <xdr:rowOff>0</xdr:rowOff>
        </xdr:from>
        <xdr:to>
          <xdr:col>9</xdr:col>
          <xdr:colOff>133350</xdr:colOff>
          <xdr:row>17</xdr:row>
          <xdr:rowOff>38100</xdr:rowOff>
        </xdr:to>
        <xdr:sp macro="" textlink="">
          <xdr:nvSpPr>
            <xdr:cNvPr id="3110" name="Option 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MTG+ACB - 3º TURNO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14</xdr:row>
          <xdr:rowOff>114300</xdr:rowOff>
        </xdr:from>
        <xdr:to>
          <xdr:col>11</xdr:col>
          <xdr:colOff>219075</xdr:colOff>
          <xdr:row>15</xdr:row>
          <xdr:rowOff>152400</xdr:rowOff>
        </xdr:to>
        <xdr:sp macro="" textlink="">
          <xdr:nvSpPr>
            <xdr:cNvPr id="3111" name="Option 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- D+N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10</xdr:row>
          <xdr:rowOff>76200</xdr:rowOff>
        </xdr:from>
        <xdr:to>
          <xdr:col>3</xdr:col>
          <xdr:colOff>447675</xdr:colOff>
          <xdr:row>12</xdr:row>
          <xdr:rowOff>19050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Folha de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10</xdr:row>
          <xdr:rowOff>66675</xdr:rowOff>
        </xdr:from>
        <xdr:to>
          <xdr:col>6</xdr:col>
          <xdr:colOff>285750</xdr:colOff>
          <xdr:row>12</xdr:row>
          <xdr:rowOff>9525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Gráfico de Pareto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152400</xdr:colOff>
      <xdr:row>23</xdr:row>
      <xdr:rowOff>152400</xdr:rowOff>
    </xdr:from>
    <xdr:to>
      <xdr:col>10</xdr:col>
      <xdr:colOff>228600</xdr:colOff>
      <xdr:row>25</xdr:row>
      <xdr:rowOff>19050</xdr:rowOff>
    </xdr:to>
    <xdr:sp macro="" textlink="">
      <xdr:nvSpPr>
        <xdr:cNvPr id="336548" name="Text Box 1599">
          <a:extLst>
            <a:ext uri="{FF2B5EF4-FFF2-40B4-BE49-F238E27FC236}">
              <a16:creationId xmlns:a16="http://schemas.microsoft.com/office/drawing/2014/main" id="{00000000-0008-0000-0300-0000A4220500}"/>
            </a:ext>
          </a:extLst>
        </xdr:cNvPr>
        <xdr:cNvSpPr txBox="1">
          <a:spLocks noChangeArrowheads="1"/>
        </xdr:cNvSpPr>
      </xdr:nvSpPr>
      <xdr:spPr bwMode="auto">
        <a:xfrm>
          <a:off x="75723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152400</xdr:colOff>
      <xdr:row>23</xdr:row>
      <xdr:rowOff>152400</xdr:rowOff>
    </xdr:from>
    <xdr:to>
      <xdr:col>11</xdr:col>
      <xdr:colOff>228600</xdr:colOff>
      <xdr:row>25</xdr:row>
      <xdr:rowOff>19050</xdr:rowOff>
    </xdr:to>
    <xdr:sp macro="" textlink="">
      <xdr:nvSpPr>
        <xdr:cNvPr id="336549" name="Text Box 1649">
          <a:extLst>
            <a:ext uri="{FF2B5EF4-FFF2-40B4-BE49-F238E27FC236}">
              <a16:creationId xmlns:a16="http://schemas.microsoft.com/office/drawing/2014/main" id="{00000000-0008-0000-0300-0000A5220500}"/>
            </a:ext>
          </a:extLst>
        </xdr:cNvPr>
        <xdr:cNvSpPr txBox="1">
          <a:spLocks noChangeArrowheads="1"/>
        </xdr:cNvSpPr>
      </xdr:nvSpPr>
      <xdr:spPr bwMode="auto">
        <a:xfrm>
          <a:off x="835342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152400</xdr:colOff>
      <xdr:row>23</xdr:row>
      <xdr:rowOff>152400</xdr:rowOff>
    </xdr:from>
    <xdr:to>
      <xdr:col>5</xdr:col>
      <xdr:colOff>228600</xdr:colOff>
      <xdr:row>25</xdr:row>
      <xdr:rowOff>19050</xdr:rowOff>
    </xdr:to>
    <xdr:sp macro="" textlink="">
      <xdr:nvSpPr>
        <xdr:cNvPr id="336550" name="Text Box 1599">
          <a:extLst>
            <a:ext uri="{FF2B5EF4-FFF2-40B4-BE49-F238E27FC236}">
              <a16:creationId xmlns:a16="http://schemas.microsoft.com/office/drawing/2014/main" id="{00000000-0008-0000-0300-0000A6220500}"/>
            </a:ext>
          </a:extLst>
        </xdr:cNvPr>
        <xdr:cNvSpPr txBox="1">
          <a:spLocks noChangeArrowheads="1"/>
        </xdr:cNvSpPr>
      </xdr:nvSpPr>
      <xdr:spPr bwMode="auto">
        <a:xfrm>
          <a:off x="44481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152400</xdr:colOff>
      <xdr:row>23</xdr:row>
      <xdr:rowOff>152400</xdr:rowOff>
    </xdr:from>
    <xdr:to>
      <xdr:col>7</xdr:col>
      <xdr:colOff>228600</xdr:colOff>
      <xdr:row>25</xdr:row>
      <xdr:rowOff>19050</xdr:rowOff>
    </xdr:to>
    <xdr:sp macro="" textlink="">
      <xdr:nvSpPr>
        <xdr:cNvPr id="336551" name="Text Box 1649">
          <a:extLst>
            <a:ext uri="{FF2B5EF4-FFF2-40B4-BE49-F238E27FC236}">
              <a16:creationId xmlns:a16="http://schemas.microsoft.com/office/drawing/2014/main" id="{00000000-0008-0000-0300-0000A7220500}"/>
            </a:ext>
          </a:extLst>
        </xdr:cNvPr>
        <xdr:cNvSpPr txBox="1">
          <a:spLocks noChangeArrowheads="1"/>
        </xdr:cNvSpPr>
      </xdr:nvSpPr>
      <xdr:spPr bwMode="auto">
        <a:xfrm>
          <a:off x="522922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7" name="Text Box 1599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44481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8" name="Text Box 1599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44481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9" name="Text Box 1599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60102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10" name="Text Box 159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679132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11" name="Text Box 1599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rrowheads="1"/>
        </xdr:cNvSpPr>
      </xdr:nvSpPr>
      <xdr:spPr bwMode="auto">
        <a:xfrm>
          <a:off x="75723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12" name="Text Box 1599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>
          <a:spLocks noChangeArrowheads="1"/>
        </xdr:cNvSpPr>
      </xdr:nvSpPr>
      <xdr:spPr bwMode="auto">
        <a:xfrm>
          <a:off x="75723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13" name="Text Box 1599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>
          <a:spLocks noChangeArrowheads="1"/>
        </xdr:cNvSpPr>
      </xdr:nvSpPr>
      <xdr:spPr bwMode="auto">
        <a:xfrm>
          <a:off x="75723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14" name="Text Box 1599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>
          <a:spLocks noChangeArrowheads="1"/>
        </xdr:cNvSpPr>
      </xdr:nvSpPr>
      <xdr:spPr bwMode="auto">
        <a:xfrm>
          <a:off x="75723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15" name="Text Box 1599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>
          <a:spLocks noChangeArrowheads="1"/>
        </xdr:cNvSpPr>
      </xdr:nvSpPr>
      <xdr:spPr bwMode="auto">
        <a:xfrm>
          <a:off x="75723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16" name="Text Box 1599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>
          <a:spLocks noChangeArrowheads="1"/>
        </xdr:cNvSpPr>
      </xdr:nvSpPr>
      <xdr:spPr bwMode="auto">
        <a:xfrm>
          <a:off x="75723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152400</xdr:colOff>
      <xdr:row>23</xdr:row>
      <xdr:rowOff>152400</xdr:rowOff>
    </xdr:from>
    <xdr:ext cx="76200" cy="200025"/>
    <xdr:sp macro="" textlink="">
      <xdr:nvSpPr>
        <xdr:cNvPr id="17" name="Text Box 1599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>
          <a:spLocks noChangeArrowheads="1"/>
        </xdr:cNvSpPr>
      </xdr:nvSpPr>
      <xdr:spPr bwMode="auto">
        <a:xfrm>
          <a:off x="75723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152400</xdr:colOff>
      <xdr:row>23</xdr:row>
      <xdr:rowOff>152400</xdr:rowOff>
    </xdr:from>
    <xdr:ext cx="76200" cy="200025"/>
    <xdr:sp macro="" textlink="">
      <xdr:nvSpPr>
        <xdr:cNvPr id="18" name="Text Box 1599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>
          <a:spLocks noChangeArrowheads="1"/>
        </xdr:cNvSpPr>
      </xdr:nvSpPr>
      <xdr:spPr bwMode="auto">
        <a:xfrm>
          <a:off x="75723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23</xdr:row>
      <xdr:rowOff>152400</xdr:rowOff>
    </xdr:from>
    <xdr:ext cx="76200" cy="200025"/>
    <xdr:sp macro="" textlink="">
      <xdr:nvSpPr>
        <xdr:cNvPr id="19" name="Text Box 1599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>
          <a:spLocks noChangeArrowheads="1"/>
        </xdr:cNvSpPr>
      </xdr:nvSpPr>
      <xdr:spPr bwMode="auto">
        <a:xfrm>
          <a:off x="75723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23</xdr:row>
      <xdr:rowOff>152400</xdr:rowOff>
    </xdr:from>
    <xdr:ext cx="76200" cy="200025"/>
    <xdr:sp macro="" textlink="">
      <xdr:nvSpPr>
        <xdr:cNvPr id="20" name="Text Box 159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>
          <a:spLocks noChangeArrowheads="1"/>
        </xdr:cNvSpPr>
      </xdr:nvSpPr>
      <xdr:spPr bwMode="auto">
        <a:xfrm>
          <a:off x="7572375" y="2038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152400</xdr:colOff>
      <xdr:row>23</xdr:row>
      <xdr:rowOff>152400</xdr:rowOff>
    </xdr:from>
    <xdr:ext cx="76200" cy="200025"/>
    <xdr:sp macro="" textlink="">
      <xdr:nvSpPr>
        <xdr:cNvPr id="21" name="Text Box 159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152400</xdr:colOff>
      <xdr:row>23</xdr:row>
      <xdr:rowOff>152400</xdr:rowOff>
    </xdr:from>
    <xdr:ext cx="76200" cy="200025"/>
    <xdr:sp macro="" textlink="">
      <xdr:nvSpPr>
        <xdr:cNvPr id="22" name="Text Box 1599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152400</xdr:colOff>
      <xdr:row>23</xdr:row>
      <xdr:rowOff>152400</xdr:rowOff>
    </xdr:from>
    <xdr:ext cx="76200" cy="200025"/>
    <xdr:sp macro="" textlink="">
      <xdr:nvSpPr>
        <xdr:cNvPr id="23" name="Text Box 1599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152400</xdr:colOff>
      <xdr:row>23</xdr:row>
      <xdr:rowOff>152400</xdr:rowOff>
    </xdr:from>
    <xdr:ext cx="76200" cy="200025"/>
    <xdr:sp macro="" textlink="">
      <xdr:nvSpPr>
        <xdr:cNvPr id="24" name="Text Box 1599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152400</xdr:colOff>
      <xdr:row>23</xdr:row>
      <xdr:rowOff>152400</xdr:rowOff>
    </xdr:from>
    <xdr:ext cx="76200" cy="200025"/>
    <xdr:sp macro="" textlink="">
      <xdr:nvSpPr>
        <xdr:cNvPr id="25" name="Text Box 1599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152400</xdr:colOff>
      <xdr:row>23</xdr:row>
      <xdr:rowOff>152400</xdr:rowOff>
    </xdr:from>
    <xdr:ext cx="76200" cy="200025"/>
    <xdr:sp macro="" textlink="">
      <xdr:nvSpPr>
        <xdr:cNvPr id="26" name="Text Box 1599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152400</xdr:colOff>
      <xdr:row>23</xdr:row>
      <xdr:rowOff>152400</xdr:rowOff>
    </xdr:from>
    <xdr:ext cx="76200" cy="200025"/>
    <xdr:sp macro="" textlink="">
      <xdr:nvSpPr>
        <xdr:cNvPr id="27" name="Text Box 1599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152400</xdr:colOff>
      <xdr:row>23</xdr:row>
      <xdr:rowOff>152400</xdr:rowOff>
    </xdr:from>
    <xdr:ext cx="76200" cy="200025"/>
    <xdr:sp macro="" textlink="">
      <xdr:nvSpPr>
        <xdr:cNvPr id="28" name="Text Box 1599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152400</xdr:colOff>
      <xdr:row>23</xdr:row>
      <xdr:rowOff>152400</xdr:rowOff>
    </xdr:from>
    <xdr:ext cx="76200" cy="200025"/>
    <xdr:sp macro="" textlink="">
      <xdr:nvSpPr>
        <xdr:cNvPr id="29" name="Text Box 1599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152400</xdr:colOff>
      <xdr:row>23</xdr:row>
      <xdr:rowOff>152400</xdr:rowOff>
    </xdr:from>
    <xdr:ext cx="76200" cy="200025"/>
    <xdr:sp macro="" textlink="">
      <xdr:nvSpPr>
        <xdr:cNvPr id="30" name="Text Box 159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152400</xdr:colOff>
      <xdr:row>23</xdr:row>
      <xdr:rowOff>152400</xdr:rowOff>
    </xdr:from>
    <xdr:ext cx="76200" cy="200025"/>
    <xdr:sp macro="" textlink="">
      <xdr:nvSpPr>
        <xdr:cNvPr id="31" name="Text Box 1599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152400</xdr:colOff>
      <xdr:row>23</xdr:row>
      <xdr:rowOff>152400</xdr:rowOff>
    </xdr:from>
    <xdr:ext cx="76200" cy="200025"/>
    <xdr:sp macro="" textlink="">
      <xdr:nvSpPr>
        <xdr:cNvPr id="32" name="Text Box 1599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152400</xdr:colOff>
      <xdr:row>23</xdr:row>
      <xdr:rowOff>152400</xdr:rowOff>
    </xdr:from>
    <xdr:ext cx="76200" cy="200025"/>
    <xdr:sp macro="" textlink="">
      <xdr:nvSpPr>
        <xdr:cNvPr id="33" name="Text Box 1599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152400</xdr:colOff>
      <xdr:row>23</xdr:row>
      <xdr:rowOff>152400</xdr:rowOff>
    </xdr:from>
    <xdr:ext cx="76200" cy="200025"/>
    <xdr:sp macro="" textlink="">
      <xdr:nvSpPr>
        <xdr:cNvPr id="34" name="Text Box 1599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152400</xdr:colOff>
      <xdr:row>23</xdr:row>
      <xdr:rowOff>152400</xdr:rowOff>
    </xdr:from>
    <xdr:ext cx="76200" cy="200025"/>
    <xdr:sp macro="" textlink="">
      <xdr:nvSpPr>
        <xdr:cNvPr id="35" name="Text Box 1599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152400</xdr:colOff>
      <xdr:row>23</xdr:row>
      <xdr:rowOff>152400</xdr:rowOff>
    </xdr:from>
    <xdr:ext cx="76200" cy="200025"/>
    <xdr:sp macro="" textlink="">
      <xdr:nvSpPr>
        <xdr:cNvPr id="36" name="Text Box 1599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152400</xdr:colOff>
      <xdr:row>23</xdr:row>
      <xdr:rowOff>152400</xdr:rowOff>
    </xdr:from>
    <xdr:ext cx="76200" cy="200025"/>
    <xdr:sp macro="" textlink="">
      <xdr:nvSpPr>
        <xdr:cNvPr id="39" name="Text Box 1599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152400</xdr:colOff>
      <xdr:row>23</xdr:row>
      <xdr:rowOff>152400</xdr:rowOff>
    </xdr:from>
    <xdr:ext cx="76200" cy="200025"/>
    <xdr:sp macro="" textlink="">
      <xdr:nvSpPr>
        <xdr:cNvPr id="40" name="Text Box 159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152400</xdr:colOff>
      <xdr:row>23</xdr:row>
      <xdr:rowOff>152400</xdr:rowOff>
    </xdr:from>
    <xdr:ext cx="76200" cy="200025"/>
    <xdr:sp macro="" textlink="">
      <xdr:nvSpPr>
        <xdr:cNvPr id="41" name="Text Box 1599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152400</xdr:colOff>
      <xdr:row>23</xdr:row>
      <xdr:rowOff>152400</xdr:rowOff>
    </xdr:from>
    <xdr:ext cx="76200" cy="200025"/>
    <xdr:sp macro="" textlink="">
      <xdr:nvSpPr>
        <xdr:cNvPr id="42" name="Text Box 1599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</xdr:col>
      <xdr:colOff>152400</xdr:colOff>
      <xdr:row>23</xdr:row>
      <xdr:rowOff>152400</xdr:rowOff>
    </xdr:from>
    <xdr:ext cx="76200" cy="200025"/>
    <xdr:sp macro="" textlink="">
      <xdr:nvSpPr>
        <xdr:cNvPr id="43" name="Text Box 1599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</xdr:col>
      <xdr:colOff>152400</xdr:colOff>
      <xdr:row>23</xdr:row>
      <xdr:rowOff>152400</xdr:rowOff>
    </xdr:from>
    <xdr:ext cx="76200" cy="200025"/>
    <xdr:sp macro="" textlink="">
      <xdr:nvSpPr>
        <xdr:cNvPr id="44" name="Text Box 1599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152400</xdr:colOff>
      <xdr:row>23</xdr:row>
      <xdr:rowOff>152400</xdr:rowOff>
    </xdr:from>
    <xdr:ext cx="76200" cy="200025"/>
    <xdr:sp macro="" textlink="">
      <xdr:nvSpPr>
        <xdr:cNvPr id="45" name="Text Box 1599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152400</xdr:colOff>
      <xdr:row>23</xdr:row>
      <xdr:rowOff>152400</xdr:rowOff>
    </xdr:from>
    <xdr:ext cx="76200" cy="200025"/>
    <xdr:sp macro="" textlink="">
      <xdr:nvSpPr>
        <xdr:cNvPr id="46" name="Text Box 1599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152400</xdr:colOff>
      <xdr:row>23</xdr:row>
      <xdr:rowOff>152400</xdr:rowOff>
    </xdr:from>
    <xdr:ext cx="76200" cy="200025"/>
    <xdr:sp macro="" textlink="">
      <xdr:nvSpPr>
        <xdr:cNvPr id="47" name="Text Box 1599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152400</xdr:colOff>
      <xdr:row>23</xdr:row>
      <xdr:rowOff>152400</xdr:rowOff>
    </xdr:from>
    <xdr:ext cx="76200" cy="200025"/>
    <xdr:sp macro="" textlink="">
      <xdr:nvSpPr>
        <xdr:cNvPr id="48" name="Text Box 1599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</xdr:col>
      <xdr:colOff>152400</xdr:colOff>
      <xdr:row>23</xdr:row>
      <xdr:rowOff>152400</xdr:rowOff>
    </xdr:from>
    <xdr:ext cx="76200" cy="200025"/>
    <xdr:sp macro="" textlink="">
      <xdr:nvSpPr>
        <xdr:cNvPr id="49" name="Text Box 1599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</xdr:col>
      <xdr:colOff>152400</xdr:colOff>
      <xdr:row>23</xdr:row>
      <xdr:rowOff>152400</xdr:rowOff>
    </xdr:from>
    <xdr:ext cx="76200" cy="200025"/>
    <xdr:sp macro="" textlink="">
      <xdr:nvSpPr>
        <xdr:cNvPr id="50" name="Text Box 159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152400</xdr:colOff>
      <xdr:row>23</xdr:row>
      <xdr:rowOff>152400</xdr:rowOff>
    </xdr:from>
    <xdr:ext cx="76200" cy="200025"/>
    <xdr:sp macro="" textlink="">
      <xdr:nvSpPr>
        <xdr:cNvPr id="51" name="Text Box 1599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152400</xdr:colOff>
      <xdr:row>23</xdr:row>
      <xdr:rowOff>152400</xdr:rowOff>
    </xdr:from>
    <xdr:ext cx="76200" cy="200025"/>
    <xdr:sp macro="" textlink="">
      <xdr:nvSpPr>
        <xdr:cNvPr id="52" name="Text Box 1599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152400</xdr:colOff>
      <xdr:row>23</xdr:row>
      <xdr:rowOff>152400</xdr:rowOff>
    </xdr:from>
    <xdr:ext cx="76200" cy="200025"/>
    <xdr:sp macro="" textlink="">
      <xdr:nvSpPr>
        <xdr:cNvPr id="53" name="Text Box 1599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152400</xdr:colOff>
      <xdr:row>23</xdr:row>
      <xdr:rowOff>152400</xdr:rowOff>
    </xdr:from>
    <xdr:ext cx="76200" cy="200025"/>
    <xdr:sp macro="" textlink="">
      <xdr:nvSpPr>
        <xdr:cNvPr id="54" name="Text Box 1599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152400</xdr:colOff>
      <xdr:row>23</xdr:row>
      <xdr:rowOff>152400</xdr:rowOff>
    </xdr:from>
    <xdr:ext cx="76200" cy="200025"/>
    <xdr:sp macro="" textlink="">
      <xdr:nvSpPr>
        <xdr:cNvPr id="55" name="Text Box 1599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152400</xdr:colOff>
      <xdr:row>23</xdr:row>
      <xdr:rowOff>152400</xdr:rowOff>
    </xdr:from>
    <xdr:ext cx="76200" cy="200025"/>
    <xdr:sp macro="" textlink="">
      <xdr:nvSpPr>
        <xdr:cNvPr id="56" name="Text Box 1599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152400</xdr:colOff>
      <xdr:row>23</xdr:row>
      <xdr:rowOff>152400</xdr:rowOff>
    </xdr:from>
    <xdr:ext cx="76200" cy="200025"/>
    <xdr:sp macro="" textlink="">
      <xdr:nvSpPr>
        <xdr:cNvPr id="57" name="Text Box 1599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152400</xdr:colOff>
      <xdr:row>23</xdr:row>
      <xdr:rowOff>152400</xdr:rowOff>
    </xdr:from>
    <xdr:ext cx="76200" cy="200025"/>
    <xdr:sp macro="" textlink="">
      <xdr:nvSpPr>
        <xdr:cNvPr id="58" name="Text Box 1599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152400</xdr:colOff>
      <xdr:row>23</xdr:row>
      <xdr:rowOff>152400</xdr:rowOff>
    </xdr:from>
    <xdr:ext cx="76200" cy="200025"/>
    <xdr:sp macro="" textlink="">
      <xdr:nvSpPr>
        <xdr:cNvPr id="59" name="Text Box 1599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152400</xdr:colOff>
      <xdr:row>23</xdr:row>
      <xdr:rowOff>152400</xdr:rowOff>
    </xdr:from>
    <xdr:ext cx="76200" cy="200025"/>
    <xdr:sp macro="" textlink="">
      <xdr:nvSpPr>
        <xdr:cNvPr id="60" name="Text Box 159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35</xdr:col>
      <xdr:colOff>152400</xdr:colOff>
      <xdr:row>23</xdr:row>
      <xdr:rowOff>152400</xdr:rowOff>
    </xdr:from>
    <xdr:ext cx="76200" cy="200025"/>
    <xdr:sp macro="" textlink="">
      <xdr:nvSpPr>
        <xdr:cNvPr id="61" name="Text Box 1599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35</xdr:col>
      <xdr:colOff>152400</xdr:colOff>
      <xdr:row>23</xdr:row>
      <xdr:rowOff>152400</xdr:rowOff>
    </xdr:from>
    <xdr:ext cx="76200" cy="200025"/>
    <xdr:sp macro="" textlink="">
      <xdr:nvSpPr>
        <xdr:cNvPr id="62" name="Text Box 1599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36</xdr:col>
      <xdr:colOff>152400</xdr:colOff>
      <xdr:row>23</xdr:row>
      <xdr:rowOff>152400</xdr:rowOff>
    </xdr:from>
    <xdr:ext cx="76200" cy="200025"/>
    <xdr:sp macro="" textlink="">
      <xdr:nvSpPr>
        <xdr:cNvPr id="63" name="Text Box 1599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36</xdr:col>
      <xdr:colOff>152400</xdr:colOff>
      <xdr:row>23</xdr:row>
      <xdr:rowOff>152400</xdr:rowOff>
    </xdr:from>
    <xdr:ext cx="76200" cy="200025"/>
    <xdr:sp macro="" textlink="">
      <xdr:nvSpPr>
        <xdr:cNvPr id="64" name="Text Box 1599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152400</xdr:colOff>
      <xdr:row>23</xdr:row>
      <xdr:rowOff>152400</xdr:rowOff>
    </xdr:from>
    <xdr:ext cx="76200" cy="200025"/>
    <xdr:sp macro="" textlink="">
      <xdr:nvSpPr>
        <xdr:cNvPr id="65" name="Text Box 1599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152400</xdr:colOff>
      <xdr:row>23</xdr:row>
      <xdr:rowOff>152400</xdr:rowOff>
    </xdr:from>
    <xdr:ext cx="76200" cy="200025"/>
    <xdr:sp macro="" textlink="">
      <xdr:nvSpPr>
        <xdr:cNvPr id="66" name="Text Box 1599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38</xdr:col>
      <xdr:colOff>152400</xdr:colOff>
      <xdr:row>23</xdr:row>
      <xdr:rowOff>152400</xdr:rowOff>
    </xdr:from>
    <xdr:ext cx="76200" cy="200025"/>
    <xdr:sp macro="" textlink="">
      <xdr:nvSpPr>
        <xdr:cNvPr id="67" name="Text Box 1599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38</xdr:col>
      <xdr:colOff>152400</xdr:colOff>
      <xdr:row>23</xdr:row>
      <xdr:rowOff>152400</xdr:rowOff>
    </xdr:from>
    <xdr:ext cx="76200" cy="200025"/>
    <xdr:sp macro="" textlink="">
      <xdr:nvSpPr>
        <xdr:cNvPr id="68" name="Text Box 1599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39</xdr:col>
      <xdr:colOff>152400</xdr:colOff>
      <xdr:row>23</xdr:row>
      <xdr:rowOff>152400</xdr:rowOff>
    </xdr:from>
    <xdr:ext cx="76200" cy="200025"/>
    <xdr:sp macro="" textlink="">
      <xdr:nvSpPr>
        <xdr:cNvPr id="69" name="Text Box 1599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39</xdr:col>
      <xdr:colOff>152400</xdr:colOff>
      <xdr:row>23</xdr:row>
      <xdr:rowOff>152400</xdr:rowOff>
    </xdr:from>
    <xdr:ext cx="76200" cy="200025"/>
    <xdr:sp macro="" textlink="">
      <xdr:nvSpPr>
        <xdr:cNvPr id="70" name="Text Box 159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152400</xdr:colOff>
      <xdr:row>23</xdr:row>
      <xdr:rowOff>152400</xdr:rowOff>
    </xdr:from>
    <xdr:ext cx="76200" cy="200025"/>
    <xdr:sp macro="" textlink="">
      <xdr:nvSpPr>
        <xdr:cNvPr id="71" name="Text Box 1599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152400</xdr:colOff>
      <xdr:row>23</xdr:row>
      <xdr:rowOff>152400</xdr:rowOff>
    </xdr:from>
    <xdr:ext cx="76200" cy="200025"/>
    <xdr:sp macro="" textlink="">
      <xdr:nvSpPr>
        <xdr:cNvPr id="72" name="Text Box 1599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41</xdr:col>
      <xdr:colOff>152400</xdr:colOff>
      <xdr:row>23</xdr:row>
      <xdr:rowOff>152400</xdr:rowOff>
    </xdr:from>
    <xdr:ext cx="76200" cy="200025"/>
    <xdr:sp macro="" textlink="">
      <xdr:nvSpPr>
        <xdr:cNvPr id="73" name="Text Box 1599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41</xdr:col>
      <xdr:colOff>152400</xdr:colOff>
      <xdr:row>23</xdr:row>
      <xdr:rowOff>152400</xdr:rowOff>
    </xdr:from>
    <xdr:ext cx="76200" cy="200025"/>
    <xdr:sp macro="" textlink="">
      <xdr:nvSpPr>
        <xdr:cNvPr id="74" name="Text Box 1599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152400</xdr:colOff>
      <xdr:row>23</xdr:row>
      <xdr:rowOff>152400</xdr:rowOff>
    </xdr:from>
    <xdr:ext cx="76200" cy="200025"/>
    <xdr:sp macro="" textlink="">
      <xdr:nvSpPr>
        <xdr:cNvPr id="75" name="Text Box 1599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152400</xdr:colOff>
      <xdr:row>23</xdr:row>
      <xdr:rowOff>152400</xdr:rowOff>
    </xdr:from>
    <xdr:ext cx="76200" cy="200025"/>
    <xdr:sp macro="" textlink="">
      <xdr:nvSpPr>
        <xdr:cNvPr id="76" name="Text Box 1599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23</xdr:row>
      <xdr:rowOff>152400</xdr:rowOff>
    </xdr:from>
    <xdr:ext cx="76200" cy="200025"/>
    <xdr:sp macro="" textlink="">
      <xdr:nvSpPr>
        <xdr:cNvPr id="77" name="Text Box 1599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23</xdr:row>
      <xdr:rowOff>152400</xdr:rowOff>
    </xdr:from>
    <xdr:ext cx="76200" cy="200025"/>
    <xdr:sp macro="" textlink="">
      <xdr:nvSpPr>
        <xdr:cNvPr id="78" name="Text Box 1599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23</xdr:row>
      <xdr:rowOff>152400</xdr:rowOff>
    </xdr:from>
    <xdr:ext cx="76200" cy="200025"/>
    <xdr:sp macro="" textlink="">
      <xdr:nvSpPr>
        <xdr:cNvPr id="79" name="Text Box 1599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23</xdr:row>
      <xdr:rowOff>152400</xdr:rowOff>
    </xdr:from>
    <xdr:ext cx="76200" cy="200025"/>
    <xdr:sp macro="" textlink="">
      <xdr:nvSpPr>
        <xdr:cNvPr id="80" name="Text Box 159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 txBox="1">
          <a:spLocks noChangeArrowheads="1"/>
        </xdr:cNvSpPr>
      </xdr:nvSpPr>
      <xdr:spPr bwMode="auto">
        <a:xfrm>
          <a:off x="35109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152400</xdr:colOff>
      <xdr:row>23</xdr:row>
      <xdr:rowOff>152400</xdr:rowOff>
    </xdr:from>
    <xdr:ext cx="76200" cy="200025"/>
    <xdr:sp macro="" textlink="">
      <xdr:nvSpPr>
        <xdr:cNvPr id="81" name="Text Box 1599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 txBox="1">
          <a:spLocks noChangeArrowheads="1"/>
        </xdr:cNvSpPr>
      </xdr:nvSpPr>
      <xdr:spPr bwMode="auto">
        <a:xfrm>
          <a:off x="116776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152400</xdr:colOff>
      <xdr:row>23</xdr:row>
      <xdr:rowOff>152400</xdr:rowOff>
    </xdr:from>
    <xdr:ext cx="76200" cy="200025"/>
    <xdr:sp macro="" textlink="">
      <xdr:nvSpPr>
        <xdr:cNvPr id="82" name="Text Box 1599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 txBox="1">
          <a:spLocks noChangeArrowheads="1"/>
        </xdr:cNvSpPr>
      </xdr:nvSpPr>
      <xdr:spPr bwMode="auto">
        <a:xfrm>
          <a:off x="116776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152400</xdr:colOff>
      <xdr:row>23</xdr:row>
      <xdr:rowOff>152400</xdr:rowOff>
    </xdr:from>
    <xdr:ext cx="76200" cy="200025"/>
    <xdr:sp macro="" textlink="">
      <xdr:nvSpPr>
        <xdr:cNvPr id="83" name="Text Box 1599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152400</xdr:colOff>
      <xdr:row>23</xdr:row>
      <xdr:rowOff>152400</xdr:rowOff>
    </xdr:from>
    <xdr:ext cx="76200" cy="200025"/>
    <xdr:sp macro="" textlink="">
      <xdr:nvSpPr>
        <xdr:cNvPr id="84" name="Text Box 1599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152400</xdr:colOff>
      <xdr:row>23</xdr:row>
      <xdr:rowOff>152400</xdr:rowOff>
    </xdr:from>
    <xdr:ext cx="76200" cy="200025"/>
    <xdr:sp macro="" textlink="">
      <xdr:nvSpPr>
        <xdr:cNvPr id="85" name="Text Box 1599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152400</xdr:colOff>
      <xdr:row>23</xdr:row>
      <xdr:rowOff>152400</xdr:rowOff>
    </xdr:from>
    <xdr:ext cx="76200" cy="200025"/>
    <xdr:sp macro="" textlink="">
      <xdr:nvSpPr>
        <xdr:cNvPr id="86" name="Text Box 1599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152400</xdr:colOff>
      <xdr:row>23</xdr:row>
      <xdr:rowOff>152400</xdr:rowOff>
    </xdr:from>
    <xdr:ext cx="76200" cy="200025"/>
    <xdr:sp macro="" textlink="">
      <xdr:nvSpPr>
        <xdr:cNvPr id="87" name="Text Box 1599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152400</xdr:colOff>
      <xdr:row>23</xdr:row>
      <xdr:rowOff>152400</xdr:rowOff>
    </xdr:from>
    <xdr:ext cx="76200" cy="200025"/>
    <xdr:sp macro="" textlink="">
      <xdr:nvSpPr>
        <xdr:cNvPr id="88" name="Text Box 1599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89" name="Text Box 1599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>
          <a:spLocks noChangeArrowheads="1"/>
        </xdr:cNvSpPr>
      </xdr:nvSpPr>
      <xdr:spPr bwMode="auto">
        <a:xfrm>
          <a:off x="4645025" y="38512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0</xdr:row>
          <xdr:rowOff>0</xdr:rowOff>
        </xdr:from>
        <xdr:to>
          <xdr:col>6</xdr:col>
          <xdr:colOff>628650</xdr:colOff>
          <xdr:row>0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90" name="Text Box 159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91" name="Text Box 1599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92" name="Text Box 1599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 txBox="1">
          <a:spLocks noChangeArrowheads="1"/>
        </xdr:cNvSpPr>
      </xdr:nvSpPr>
      <xdr:spPr bwMode="auto">
        <a:xfrm>
          <a:off x="19488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93" name="Text Box 1599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>
          <a:spLocks noChangeArrowheads="1"/>
        </xdr:cNvSpPr>
      </xdr:nvSpPr>
      <xdr:spPr bwMode="auto">
        <a:xfrm>
          <a:off x="19488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94" name="Text Box 1599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 txBox="1">
          <a:spLocks noChangeArrowheads="1"/>
        </xdr:cNvSpPr>
      </xdr:nvSpPr>
      <xdr:spPr bwMode="auto">
        <a:xfrm>
          <a:off x="20269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95" name="Text Box 1599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>
          <a:spLocks noChangeArrowheads="1"/>
        </xdr:cNvSpPr>
      </xdr:nvSpPr>
      <xdr:spPr bwMode="auto">
        <a:xfrm>
          <a:off x="20269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96" name="Text Box 1599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97" name="Text Box 1599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98" name="Text Box 1599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 txBox="1">
          <a:spLocks noChangeArrowheads="1"/>
        </xdr:cNvSpPr>
      </xdr:nvSpPr>
      <xdr:spPr bwMode="auto">
        <a:xfrm>
          <a:off x="19488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99" name="Text Box 1599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 txBox="1">
          <a:spLocks noChangeArrowheads="1"/>
        </xdr:cNvSpPr>
      </xdr:nvSpPr>
      <xdr:spPr bwMode="auto">
        <a:xfrm>
          <a:off x="19488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00" name="Text Box 15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01" name="Text Box 1599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02" name="Text Box 1599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03" name="Text Box 1599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04" name="Text Box 1599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 txBox="1">
          <a:spLocks noChangeArrowheads="1"/>
        </xdr:cNvSpPr>
      </xdr:nvSpPr>
      <xdr:spPr bwMode="auto">
        <a:xfrm>
          <a:off x="4648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05" name="Text Box 1649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06" name="Text Box 1599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107" name="Text Box 1599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08" name="Text Box 1599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 txBox="1">
          <a:spLocks noChangeArrowheads="1"/>
        </xdr:cNvSpPr>
      </xdr:nvSpPr>
      <xdr:spPr bwMode="auto">
        <a:xfrm>
          <a:off x="4648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09" name="Text Box 1599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 txBox="1">
          <a:spLocks noChangeArrowheads="1"/>
        </xdr:cNvSpPr>
      </xdr:nvSpPr>
      <xdr:spPr bwMode="auto">
        <a:xfrm>
          <a:off x="4648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10" name="Text Box 159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11" name="Text Box 1599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112" name="Text Box 1599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113" name="Text Box 1599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14" name="Text Box 1599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15" name="Text Box 1599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16" name="Text Box 1599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17" name="Text Box 1599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18" name="Text Box 1599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19" name="Text Box 1599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 txBox="1">
          <a:spLocks noChangeArrowheads="1"/>
        </xdr:cNvSpPr>
      </xdr:nvSpPr>
      <xdr:spPr bwMode="auto">
        <a:xfrm>
          <a:off x="101155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20" name="Text Box 159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 txBox="1">
          <a:spLocks noChangeArrowheads="1"/>
        </xdr:cNvSpPr>
      </xdr:nvSpPr>
      <xdr:spPr bwMode="auto">
        <a:xfrm>
          <a:off x="101155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21" name="Text Box 1599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22" name="Text Box 1599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23" name="Text Box 1599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>
          <a:spLocks noChangeArrowheads="1"/>
        </xdr:cNvSpPr>
      </xdr:nvSpPr>
      <xdr:spPr bwMode="auto">
        <a:xfrm>
          <a:off x="124587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24" name="Text Box 1599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 txBox="1">
          <a:spLocks noChangeArrowheads="1"/>
        </xdr:cNvSpPr>
      </xdr:nvSpPr>
      <xdr:spPr bwMode="auto">
        <a:xfrm>
          <a:off x="124587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25" name="Text Box 1599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 txBox="1">
          <a:spLocks noChangeArrowheads="1"/>
        </xdr:cNvSpPr>
      </xdr:nvSpPr>
      <xdr:spPr bwMode="auto">
        <a:xfrm>
          <a:off x="132397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26" name="Text Box 1599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 txBox="1">
          <a:spLocks noChangeArrowheads="1"/>
        </xdr:cNvSpPr>
      </xdr:nvSpPr>
      <xdr:spPr bwMode="auto">
        <a:xfrm>
          <a:off x="132397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27" name="Text Box 1599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 txBox="1">
          <a:spLocks noChangeArrowheads="1"/>
        </xdr:cNvSpPr>
      </xdr:nvSpPr>
      <xdr:spPr bwMode="auto">
        <a:xfrm>
          <a:off x="140208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28" name="Text Box 1599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 txBox="1">
          <a:spLocks noChangeArrowheads="1"/>
        </xdr:cNvSpPr>
      </xdr:nvSpPr>
      <xdr:spPr bwMode="auto">
        <a:xfrm>
          <a:off x="140208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129" name="Text Box 1599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130" name="Text Box 159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131" name="Text Box 1599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132" name="Text Box 1599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133" name="Text Box 1599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 txBox="1">
          <a:spLocks noChangeArrowheads="1"/>
        </xdr:cNvSpPr>
      </xdr:nvSpPr>
      <xdr:spPr bwMode="auto">
        <a:xfrm>
          <a:off x="116776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134" name="Text Box 1599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 txBox="1">
          <a:spLocks noChangeArrowheads="1"/>
        </xdr:cNvSpPr>
      </xdr:nvSpPr>
      <xdr:spPr bwMode="auto">
        <a:xfrm>
          <a:off x="116776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35" name="Text Box 1599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 txBox="1">
          <a:spLocks noChangeArrowheads="1"/>
        </xdr:cNvSpPr>
      </xdr:nvSpPr>
      <xdr:spPr bwMode="auto">
        <a:xfrm>
          <a:off x="140208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36" name="Text Box 1599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 txBox="1">
          <a:spLocks noChangeArrowheads="1"/>
        </xdr:cNvSpPr>
      </xdr:nvSpPr>
      <xdr:spPr bwMode="auto">
        <a:xfrm>
          <a:off x="140208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37" name="Text Box 1599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38" name="Text Box 1599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139" name="Text Box 1599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140" name="Text Box 159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41" name="Text Box 1599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42" name="Text Box 1599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43" name="Text Box 1599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44" name="Text Box 1599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45" name="Text Box 1599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46" name="Text Box 1599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147" name="Text Box 1599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 txBox="1">
          <a:spLocks noChangeArrowheads="1"/>
        </xdr:cNvSpPr>
      </xdr:nvSpPr>
      <xdr:spPr bwMode="auto">
        <a:xfrm>
          <a:off x="19488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148" name="Text Box 1599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 txBox="1">
          <a:spLocks noChangeArrowheads="1"/>
        </xdr:cNvSpPr>
      </xdr:nvSpPr>
      <xdr:spPr bwMode="auto">
        <a:xfrm>
          <a:off x="19488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149" name="Text Box 1599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 txBox="1">
          <a:spLocks noChangeArrowheads="1"/>
        </xdr:cNvSpPr>
      </xdr:nvSpPr>
      <xdr:spPr bwMode="auto">
        <a:xfrm>
          <a:off x="20269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150" name="Text Box 159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 txBox="1">
          <a:spLocks noChangeArrowheads="1"/>
        </xdr:cNvSpPr>
      </xdr:nvSpPr>
      <xdr:spPr bwMode="auto">
        <a:xfrm>
          <a:off x="20269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151" name="Text Box 1599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 txBox="1">
          <a:spLocks noChangeArrowheads="1"/>
        </xdr:cNvSpPr>
      </xdr:nvSpPr>
      <xdr:spPr bwMode="auto">
        <a:xfrm>
          <a:off x="21050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152" name="Text Box 1599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 txBox="1">
          <a:spLocks noChangeArrowheads="1"/>
        </xdr:cNvSpPr>
      </xdr:nvSpPr>
      <xdr:spPr bwMode="auto">
        <a:xfrm>
          <a:off x="21050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53" name="Text Box 1599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54" name="Text Box 1599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55" name="Text Box 1599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56" name="Text Box 1599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57" name="Text Box 1599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58" name="Text Box 1599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59" name="Text Box 1599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60" name="Text Box 159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61" name="Text Box 1599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62" name="Text Box 1599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163" name="Text Box 1599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164" name="Text Box 1599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65" name="Text Box 1599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SpPr txBox="1">
          <a:spLocks noChangeArrowheads="1"/>
        </xdr:cNvSpPr>
      </xdr:nvSpPr>
      <xdr:spPr bwMode="auto">
        <a:xfrm>
          <a:off x="19488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66" name="Text Box 1599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 txBox="1">
          <a:spLocks noChangeArrowheads="1"/>
        </xdr:cNvSpPr>
      </xdr:nvSpPr>
      <xdr:spPr bwMode="auto">
        <a:xfrm>
          <a:off x="19488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67" name="Text Box 1599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68" name="Text Box 1599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69" name="Text Box 1599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70" name="Text Box 159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71" name="Text Box 1599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72" name="Text Box 1599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173" name="Text Box 1599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174" name="Text Box 1649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75" name="Text Box 1649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76" name="Text Box 1599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177" name="Text Box 1599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178" name="Text Box 1599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179" name="Text Box 1599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180" name="Text Box 159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181" name="Text Box 1599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182" name="Text Box 1599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 txBox="1">
          <a:spLocks noChangeArrowheads="1"/>
        </xdr:cNvSpPr>
      </xdr:nvSpPr>
      <xdr:spPr bwMode="auto">
        <a:xfrm>
          <a:off x="101155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183" name="Text Box 1599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 txBox="1">
          <a:spLocks noChangeArrowheads="1"/>
        </xdr:cNvSpPr>
      </xdr:nvSpPr>
      <xdr:spPr bwMode="auto">
        <a:xfrm>
          <a:off x="101155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84" name="Text Box 1599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85" name="Text Box 1599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86" name="Text Box 1599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87" name="Text Box 1599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88" name="Text Box 1599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89" name="Text Box 1599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90" name="Text Box 159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91" name="Text Box 1649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92" name="Text Box 1599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93" name="Text Box 1599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94" name="Text Box 1599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95" name="Text Box 1599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96" name="Text Box 1599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97" name="Text Box 1599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98" name="Text Box 1599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99" name="Text Box 1599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200" name="Text Box 15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201" name="Text Box 1599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202" name="Text Box 1599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203" name="Text Box 1599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204" name="Text Box 1599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205" name="Text Box 1599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206" name="Text Box 1599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207" name="Text Box 1599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208" name="Text Box 1599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209" name="Text Box 1599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210" name="Text Box 159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211" name="Text Box 1599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212" name="Text Box 1599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213" name="Text Box 1599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214" name="Text Box 1599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215" name="Text Box 1599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216" name="Text Box 1599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217" name="Text Box 1599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18" name="Text Box 1599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 txBox="1">
          <a:spLocks noChangeArrowheads="1"/>
        </xdr:cNvSpPr>
      </xdr:nvSpPr>
      <xdr:spPr bwMode="auto">
        <a:xfrm>
          <a:off x="101155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19" name="Text Box 1599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 txBox="1">
          <a:spLocks noChangeArrowheads="1"/>
        </xdr:cNvSpPr>
      </xdr:nvSpPr>
      <xdr:spPr bwMode="auto">
        <a:xfrm>
          <a:off x="101155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220" name="Text Box 159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221" name="Text Box 1599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222" name="Text Box 1599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223" name="Text Box 1599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224" name="Text Box 1599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225" name="Text Box 1599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226" name="Text Box 1599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227" name="Text Box 1599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228" name="Text Box 1599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 txBox="1">
          <a:spLocks noChangeArrowheads="1"/>
        </xdr:cNvSpPr>
      </xdr:nvSpPr>
      <xdr:spPr bwMode="auto">
        <a:xfrm>
          <a:off x="21050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229" name="Text Box 1599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 txBox="1">
          <a:spLocks noChangeArrowheads="1"/>
        </xdr:cNvSpPr>
      </xdr:nvSpPr>
      <xdr:spPr bwMode="auto">
        <a:xfrm>
          <a:off x="21050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230" name="Text Box 159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 txBox="1">
          <a:spLocks noChangeArrowheads="1"/>
        </xdr:cNvSpPr>
      </xdr:nvSpPr>
      <xdr:spPr bwMode="auto">
        <a:xfrm>
          <a:off x="21831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231" name="Text Box 1599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 txBox="1">
          <a:spLocks noChangeArrowheads="1"/>
        </xdr:cNvSpPr>
      </xdr:nvSpPr>
      <xdr:spPr bwMode="auto">
        <a:xfrm>
          <a:off x="21831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232" name="Text Box 1599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 txBox="1">
          <a:spLocks noChangeArrowheads="1"/>
        </xdr:cNvSpPr>
      </xdr:nvSpPr>
      <xdr:spPr bwMode="auto">
        <a:xfrm>
          <a:off x="22612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233" name="Text Box 1599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 txBox="1">
          <a:spLocks noChangeArrowheads="1"/>
        </xdr:cNvSpPr>
      </xdr:nvSpPr>
      <xdr:spPr bwMode="auto">
        <a:xfrm>
          <a:off x="22612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234" name="Text Box 1599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 txBox="1">
          <a:spLocks noChangeArrowheads="1"/>
        </xdr:cNvSpPr>
      </xdr:nvSpPr>
      <xdr:spPr bwMode="auto">
        <a:xfrm>
          <a:off x="23393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235" name="Text Box 1599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 txBox="1">
          <a:spLocks noChangeArrowheads="1"/>
        </xdr:cNvSpPr>
      </xdr:nvSpPr>
      <xdr:spPr bwMode="auto">
        <a:xfrm>
          <a:off x="23393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236" name="Text Box 1599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 txBox="1">
          <a:spLocks noChangeArrowheads="1"/>
        </xdr:cNvSpPr>
      </xdr:nvSpPr>
      <xdr:spPr bwMode="auto">
        <a:xfrm>
          <a:off x="24174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237" name="Text Box 1599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 txBox="1">
          <a:spLocks noChangeArrowheads="1"/>
        </xdr:cNvSpPr>
      </xdr:nvSpPr>
      <xdr:spPr bwMode="auto">
        <a:xfrm>
          <a:off x="24174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238" name="Text Box 1599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 txBox="1">
          <a:spLocks noChangeArrowheads="1"/>
        </xdr:cNvSpPr>
      </xdr:nvSpPr>
      <xdr:spPr bwMode="auto">
        <a:xfrm>
          <a:off x="24955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239" name="Text Box 1599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 txBox="1">
          <a:spLocks noChangeArrowheads="1"/>
        </xdr:cNvSpPr>
      </xdr:nvSpPr>
      <xdr:spPr bwMode="auto">
        <a:xfrm>
          <a:off x="24955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240" name="Text Box 159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 txBox="1">
          <a:spLocks noChangeArrowheads="1"/>
        </xdr:cNvSpPr>
      </xdr:nvSpPr>
      <xdr:spPr bwMode="auto">
        <a:xfrm>
          <a:off x="257365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241" name="Text Box 1599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 txBox="1">
          <a:spLocks noChangeArrowheads="1"/>
        </xdr:cNvSpPr>
      </xdr:nvSpPr>
      <xdr:spPr bwMode="auto">
        <a:xfrm>
          <a:off x="257365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242" name="Text Box 1599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 txBox="1">
          <a:spLocks noChangeArrowheads="1"/>
        </xdr:cNvSpPr>
      </xdr:nvSpPr>
      <xdr:spPr bwMode="auto">
        <a:xfrm>
          <a:off x="26517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243" name="Text Box 1599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 txBox="1">
          <a:spLocks noChangeArrowheads="1"/>
        </xdr:cNvSpPr>
      </xdr:nvSpPr>
      <xdr:spPr bwMode="auto">
        <a:xfrm>
          <a:off x="26517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44" name="Text Box 1649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45" name="Text Box 1599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46" name="Text Box 1599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47" name="Text Box 1599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48" name="Text Box 1599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49" name="Text Box 1599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50" name="Text Box 1599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51" name="Text Box 1599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52" name="Text Box 1599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53" name="Text Box 1599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54" name="Text Box 1599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55" name="Text Box 1599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56" name="Text Box 1599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57" name="Text Box 1599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58" name="Text Box 1599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59" name="Text Box 1599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60" name="Text Box 1599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61" name="Text Box 1599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62" name="Text Box 1599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63" name="Text Box 1599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64" name="Text Box 1649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65" name="Text Box 1599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66" name="Text Box 1599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67" name="Text Box 1599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68" name="Text Box 1599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69" name="Text Box 1599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70" name="Text Box 1599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71" name="Text Box 1599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72" name="Text Box 1599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73" name="Text Box 1599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74" name="Text Box 1599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75" name="Text Box 1599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76" name="Text Box 1599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77" name="Text Box 1599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02" name="Text Box 1599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03" name="Text Box 1599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04" name="Text Box 1599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05" name="Text Box 1599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06" name="Text Box 1599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07" name="Text Box 1649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08" name="Text Box 1599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09" name="Text Box 1599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10" name="Text Box 1599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11" name="Text Box 1599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12" name="Text Box 1599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13" name="Text Box 1599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14" name="Text Box 1599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15" name="Text Box 1599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16" name="Text Box 1599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17" name="Text Box 1599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18" name="Text Box 1599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19" name="Text Box 1599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20" name="Text Box 1599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21" name="Text Box 1599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22" name="Text Box 1599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23" name="Text Box 1599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24" name="Text Box 1599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25" name="Text Box 1599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336" name="Text Box 1599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337" name="Text Box 1599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338" name="Text Box 1599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339" name="Text Box 1599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340" name="Text Box 1599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341" name="Text Box 1599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342" name="Text Box 1599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343" name="Text Box 1599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344" name="Text Box 1599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345" name="Text Box 1599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357" name="Text Box 1599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358" name="Text Box 1599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359" name="Text Box 1599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360" name="Text Box 1599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361" name="Text Box 1599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362" name="Text Box 1599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363" name="Text Box 1599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364" name="Text Box 1599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365" name="Text Box 1599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366" name="Text Box 1599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367" name="Text Box 1599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68" name="Text Box 1599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69" name="Text Box 1599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70" name="Text Box 1599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71" name="Text Box 1599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72" name="Text Box 1599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73" name="Text Box 1599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74" name="Text Box 1649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75" name="Text Box 1599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76" name="Text Box 1599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77" name="Text Box 1599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78" name="Text Box 1599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79" name="Text Box 1599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80" name="Text Box 1599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81" name="Text Box 1599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82" name="Text Box 1599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83" name="Text Box 1599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84" name="Text Box 1599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85" name="Text Box 1599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86" name="Text Box 1599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87" name="Text Box 1599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88" name="Text Box 1599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89" name="Text Box 1599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90" name="Text Box 1599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91" name="Text Box 1599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92" name="Text Box 1599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93" name="Text Box 1599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94" name="Text Box 1649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95" name="Text Box 1599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96" name="Text Box 1599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97" name="Text Box 1599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98" name="Text Box 1599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399" name="Text Box 1599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400" name="Text Box 1599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401" name="Text Box 1599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402" name="Text Box 1599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403" name="Text Box 1599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404" name="Text Box 1599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405" name="Text Box 1599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406" name="Text Box 1599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407" name="Text Box 1599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08" name="Text Box 1599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09" name="Text Box 1599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10" name="Text Box 1599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11" name="Text Box 1599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412" name="Text Box 1599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413" name="Text Box 1599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414" name="Text Box 1599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SpPr txBox="1">
          <a:spLocks noChangeArrowheads="1"/>
        </xdr:cNvSpPr>
      </xdr:nvSpPr>
      <xdr:spPr bwMode="auto">
        <a:xfrm>
          <a:off x="19488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415" name="Text Box 1599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SpPr txBox="1">
          <a:spLocks noChangeArrowheads="1"/>
        </xdr:cNvSpPr>
      </xdr:nvSpPr>
      <xdr:spPr bwMode="auto">
        <a:xfrm>
          <a:off x="19488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416" name="Text Box 1599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SpPr txBox="1">
          <a:spLocks noChangeArrowheads="1"/>
        </xdr:cNvSpPr>
      </xdr:nvSpPr>
      <xdr:spPr bwMode="auto">
        <a:xfrm>
          <a:off x="20269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417" name="Text Box 1599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SpPr txBox="1">
          <a:spLocks noChangeArrowheads="1"/>
        </xdr:cNvSpPr>
      </xdr:nvSpPr>
      <xdr:spPr bwMode="auto">
        <a:xfrm>
          <a:off x="20269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18" name="Text Box 1599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19" name="Text Box 1599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20" name="Text Box 1599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21" name="Text Box 1599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22" name="Text Box 1599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23" name="Text Box 1599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424" name="Text Box 1649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425" name="Text Box 1599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426" name="Text Box 1599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427" name="Text Box 1599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428" name="Text Box 1599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429" name="Text Box 1599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430" name="Text Box 1599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431" name="Text Box 1599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432" name="Text Box 1599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433" name="Text Box 1599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434" name="Text Box 1599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152400</xdr:colOff>
      <xdr:row>23</xdr:row>
      <xdr:rowOff>152400</xdr:rowOff>
    </xdr:from>
    <xdr:ext cx="76200" cy="200025"/>
    <xdr:sp macro="" textlink="">
      <xdr:nvSpPr>
        <xdr:cNvPr id="435" name="Text Box 1599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152400</xdr:colOff>
      <xdr:row>23</xdr:row>
      <xdr:rowOff>152400</xdr:rowOff>
    </xdr:from>
    <xdr:ext cx="76200" cy="200025"/>
    <xdr:sp macro="" textlink="">
      <xdr:nvSpPr>
        <xdr:cNvPr id="436" name="Text Box 1599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152400</xdr:colOff>
      <xdr:row>23</xdr:row>
      <xdr:rowOff>152400</xdr:rowOff>
    </xdr:from>
    <xdr:ext cx="76200" cy="200025"/>
    <xdr:sp macro="" textlink="">
      <xdr:nvSpPr>
        <xdr:cNvPr id="437" name="Text Box 1599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152400</xdr:colOff>
      <xdr:row>23</xdr:row>
      <xdr:rowOff>152400</xdr:rowOff>
    </xdr:from>
    <xdr:ext cx="76200" cy="200025"/>
    <xdr:sp macro="" textlink="">
      <xdr:nvSpPr>
        <xdr:cNvPr id="438" name="Text Box 1599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152400</xdr:colOff>
      <xdr:row>23</xdr:row>
      <xdr:rowOff>152400</xdr:rowOff>
    </xdr:from>
    <xdr:ext cx="76200" cy="200025"/>
    <xdr:sp macro="" textlink="">
      <xdr:nvSpPr>
        <xdr:cNvPr id="439" name="Text Box 1599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SpPr txBox="1">
          <a:spLocks noChangeArrowheads="1"/>
        </xdr:cNvSpPr>
      </xdr:nvSpPr>
      <xdr:spPr bwMode="auto">
        <a:xfrm>
          <a:off x="19488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152400</xdr:colOff>
      <xdr:row>23</xdr:row>
      <xdr:rowOff>152400</xdr:rowOff>
    </xdr:from>
    <xdr:ext cx="76200" cy="200025"/>
    <xdr:sp macro="" textlink="">
      <xdr:nvSpPr>
        <xdr:cNvPr id="440" name="Text Box 1599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SpPr txBox="1">
          <a:spLocks noChangeArrowheads="1"/>
        </xdr:cNvSpPr>
      </xdr:nvSpPr>
      <xdr:spPr bwMode="auto">
        <a:xfrm>
          <a:off x="19488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152400</xdr:colOff>
      <xdr:row>23</xdr:row>
      <xdr:rowOff>152400</xdr:rowOff>
    </xdr:from>
    <xdr:ext cx="76200" cy="200025"/>
    <xdr:sp macro="" textlink="">
      <xdr:nvSpPr>
        <xdr:cNvPr id="441" name="Text Box 1599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152400</xdr:colOff>
      <xdr:row>23</xdr:row>
      <xdr:rowOff>152400</xdr:rowOff>
    </xdr:from>
    <xdr:ext cx="76200" cy="200025"/>
    <xdr:sp macro="" textlink="">
      <xdr:nvSpPr>
        <xdr:cNvPr id="442" name="Text Box 1599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152400</xdr:colOff>
      <xdr:row>23</xdr:row>
      <xdr:rowOff>152400</xdr:rowOff>
    </xdr:from>
    <xdr:ext cx="76200" cy="200025"/>
    <xdr:sp macro="" textlink="">
      <xdr:nvSpPr>
        <xdr:cNvPr id="443" name="Text Box 1599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152400</xdr:colOff>
      <xdr:row>23</xdr:row>
      <xdr:rowOff>152400</xdr:rowOff>
    </xdr:from>
    <xdr:ext cx="76200" cy="200025"/>
    <xdr:sp macro="" textlink="">
      <xdr:nvSpPr>
        <xdr:cNvPr id="444" name="Text Box 1599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45" name="Text Box 1599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46" name="Text Box 1599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47" name="Text Box 1599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48" name="Text Box 1599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49" name="Text Box 1599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50" name="Text Box 1599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51" name="Text Box 1599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52" name="Text Box 1599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453" name="Text Box 1599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SpPr txBox="1">
          <a:spLocks noChangeArrowheads="1"/>
        </xdr:cNvSpPr>
      </xdr:nvSpPr>
      <xdr:spPr bwMode="auto">
        <a:xfrm>
          <a:off x="19488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454" name="Text Box 1599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SpPr txBox="1">
          <a:spLocks noChangeArrowheads="1"/>
        </xdr:cNvSpPr>
      </xdr:nvSpPr>
      <xdr:spPr bwMode="auto">
        <a:xfrm>
          <a:off x="19488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455" name="Text Box 1599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SpPr txBox="1">
          <a:spLocks noChangeArrowheads="1"/>
        </xdr:cNvSpPr>
      </xdr:nvSpPr>
      <xdr:spPr bwMode="auto">
        <a:xfrm>
          <a:off x="20269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456" name="Text Box 1599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SpPr txBox="1">
          <a:spLocks noChangeArrowheads="1"/>
        </xdr:cNvSpPr>
      </xdr:nvSpPr>
      <xdr:spPr bwMode="auto">
        <a:xfrm>
          <a:off x="20269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57" name="Text Box 1599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58" name="Text Box 1599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59" name="Text Box 1599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60" name="Text Box 1599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61" name="Text Box 1599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62" name="Text Box 1599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463" name="Text Box 1599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SpPr txBox="1">
          <a:spLocks noChangeArrowheads="1"/>
        </xdr:cNvSpPr>
      </xdr:nvSpPr>
      <xdr:spPr bwMode="auto">
        <a:xfrm>
          <a:off x="18707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464" name="Text Box 1599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SpPr txBox="1">
          <a:spLocks noChangeArrowheads="1"/>
        </xdr:cNvSpPr>
      </xdr:nvSpPr>
      <xdr:spPr bwMode="auto">
        <a:xfrm>
          <a:off x="18707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465" name="Text Box 1599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SpPr txBox="1">
          <a:spLocks noChangeArrowheads="1"/>
        </xdr:cNvSpPr>
      </xdr:nvSpPr>
      <xdr:spPr bwMode="auto">
        <a:xfrm>
          <a:off x="20269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466" name="Text Box 1599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SpPr txBox="1">
          <a:spLocks noChangeArrowheads="1"/>
        </xdr:cNvSpPr>
      </xdr:nvSpPr>
      <xdr:spPr bwMode="auto">
        <a:xfrm>
          <a:off x="20269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67" name="Text Box 1599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68" name="Text Box 1599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69" name="Text Box 1599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70" name="Text Box 1599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SpPr txBox="1">
          <a:spLocks noChangeArrowheads="1"/>
        </xdr:cNvSpPr>
      </xdr:nvSpPr>
      <xdr:spPr bwMode="auto">
        <a:xfrm>
          <a:off x="17926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87" name="Text Box 1599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SpPr txBox="1">
          <a:spLocks noChangeArrowheads="1"/>
        </xdr:cNvSpPr>
      </xdr:nvSpPr>
      <xdr:spPr bwMode="auto">
        <a:xfrm>
          <a:off x="21050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88" name="Text Box 1599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SpPr txBox="1">
          <a:spLocks noChangeArrowheads="1"/>
        </xdr:cNvSpPr>
      </xdr:nvSpPr>
      <xdr:spPr bwMode="auto">
        <a:xfrm>
          <a:off x="21050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89" name="Text Box 1599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SpPr txBox="1">
          <a:spLocks noChangeArrowheads="1"/>
        </xdr:cNvSpPr>
      </xdr:nvSpPr>
      <xdr:spPr bwMode="auto">
        <a:xfrm>
          <a:off x="21831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90" name="Text Box 1599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SpPr txBox="1">
          <a:spLocks noChangeArrowheads="1"/>
        </xdr:cNvSpPr>
      </xdr:nvSpPr>
      <xdr:spPr bwMode="auto">
        <a:xfrm>
          <a:off x="21831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491" name="Text Box 1599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SpPr txBox="1">
          <a:spLocks noChangeArrowheads="1"/>
        </xdr:cNvSpPr>
      </xdr:nvSpPr>
      <xdr:spPr bwMode="auto">
        <a:xfrm>
          <a:off x="22612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492" name="Text Box 1599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SpPr txBox="1">
          <a:spLocks noChangeArrowheads="1"/>
        </xdr:cNvSpPr>
      </xdr:nvSpPr>
      <xdr:spPr bwMode="auto">
        <a:xfrm>
          <a:off x="22612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493" name="Text Box 1599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SpPr txBox="1">
          <a:spLocks noChangeArrowheads="1"/>
        </xdr:cNvSpPr>
      </xdr:nvSpPr>
      <xdr:spPr bwMode="auto">
        <a:xfrm>
          <a:off x="23393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494" name="Text Box 1599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SpPr txBox="1">
          <a:spLocks noChangeArrowheads="1"/>
        </xdr:cNvSpPr>
      </xdr:nvSpPr>
      <xdr:spPr bwMode="auto">
        <a:xfrm>
          <a:off x="23393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495" name="Text Box 1599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SpPr txBox="1">
          <a:spLocks noChangeArrowheads="1"/>
        </xdr:cNvSpPr>
      </xdr:nvSpPr>
      <xdr:spPr bwMode="auto">
        <a:xfrm>
          <a:off x="24174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496" name="Text Box 1599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SpPr txBox="1">
          <a:spLocks noChangeArrowheads="1"/>
        </xdr:cNvSpPr>
      </xdr:nvSpPr>
      <xdr:spPr bwMode="auto">
        <a:xfrm>
          <a:off x="24174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497" name="Text Box 1599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SpPr txBox="1">
          <a:spLocks noChangeArrowheads="1"/>
        </xdr:cNvSpPr>
      </xdr:nvSpPr>
      <xdr:spPr bwMode="auto">
        <a:xfrm>
          <a:off x="24955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498" name="Text Box 1599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SpPr txBox="1">
          <a:spLocks noChangeArrowheads="1"/>
        </xdr:cNvSpPr>
      </xdr:nvSpPr>
      <xdr:spPr bwMode="auto">
        <a:xfrm>
          <a:off x="24955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499" name="Text Box 1599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SpPr txBox="1">
          <a:spLocks noChangeArrowheads="1"/>
        </xdr:cNvSpPr>
      </xdr:nvSpPr>
      <xdr:spPr bwMode="auto">
        <a:xfrm>
          <a:off x="257365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500" name="Text Box 1599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SpPr txBox="1">
          <a:spLocks noChangeArrowheads="1"/>
        </xdr:cNvSpPr>
      </xdr:nvSpPr>
      <xdr:spPr bwMode="auto">
        <a:xfrm>
          <a:off x="257365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501" name="Text Box 1599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SpPr txBox="1">
          <a:spLocks noChangeArrowheads="1"/>
        </xdr:cNvSpPr>
      </xdr:nvSpPr>
      <xdr:spPr bwMode="auto">
        <a:xfrm>
          <a:off x="26517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502" name="Text Box 1599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SpPr txBox="1">
          <a:spLocks noChangeArrowheads="1"/>
        </xdr:cNvSpPr>
      </xdr:nvSpPr>
      <xdr:spPr bwMode="auto">
        <a:xfrm>
          <a:off x="26517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71" name="Text Box 1599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SpPr txBox="1">
          <a:spLocks noChangeArrowheads="1"/>
        </xdr:cNvSpPr>
      </xdr:nvSpPr>
      <xdr:spPr bwMode="auto">
        <a:xfrm>
          <a:off x="2261235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72" name="Text Box 1599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SpPr txBox="1">
          <a:spLocks noChangeArrowheads="1"/>
        </xdr:cNvSpPr>
      </xdr:nvSpPr>
      <xdr:spPr bwMode="auto">
        <a:xfrm>
          <a:off x="2261235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73" name="Text Box 1599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SpPr txBox="1">
          <a:spLocks noChangeArrowheads="1"/>
        </xdr:cNvSpPr>
      </xdr:nvSpPr>
      <xdr:spPr bwMode="auto">
        <a:xfrm>
          <a:off x="233934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74" name="Text Box 1599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SpPr txBox="1">
          <a:spLocks noChangeArrowheads="1"/>
        </xdr:cNvSpPr>
      </xdr:nvSpPr>
      <xdr:spPr bwMode="auto">
        <a:xfrm>
          <a:off x="233934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75" name="Text Box 1599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SpPr txBox="1">
          <a:spLocks noChangeArrowheads="1"/>
        </xdr:cNvSpPr>
      </xdr:nvSpPr>
      <xdr:spPr bwMode="auto">
        <a:xfrm>
          <a:off x="2339340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76" name="Text Box 1599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SpPr txBox="1">
          <a:spLocks noChangeArrowheads="1"/>
        </xdr:cNvSpPr>
      </xdr:nvSpPr>
      <xdr:spPr bwMode="auto">
        <a:xfrm>
          <a:off x="2339340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77" name="Text Box 1599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SpPr txBox="1">
          <a:spLocks noChangeArrowheads="1"/>
        </xdr:cNvSpPr>
      </xdr:nvSpPr>
      <xdr:spPr bwMode="auto">
        <a:xfrm>
          <a:off x="2417445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78" name="Text Box 1599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SpPr txBox="1">
          <a:spLocks noChangeArrowheads="1"/>
        </xdr:cNvSpPr>
      </xdr:nvSpPr>
      <xdr:spPr bwMode="auto">
        <a:xfrm>
          <a:off x="2417445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479" name="Text Box 1599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SpPr txBox="1">
          <a:spLocks noChangeArrowheads="1"/>
        </xdr:cNvSpPr>
      </xdr:nvSpPr>
      <xdr:spPr bwMode="auto">
        <a:xfrm>
          <a:off x="2495550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480" name="Text Box 1599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SpPr txBox="1">
          <a:spLocks noChangeArrowheads="1"/>
        </xdr:cNvSpPr>
      </xdr:nvSpPr>
      <xdr:spPr bwMode="auto">
        <a:xfrm>
          <a:off x="2495550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481" name="Text Box 1599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SpPr txBox="1">
          <a:spLocks noChangeArrowheads="1"/>
        </xdr:cNvSpPr>
      </xdr:nvSpPr>
      <xdr:spPr bwMode="auto">
        <a:xfrm>
          <a:off x="2573655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482" name="Text Box 1599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SpPr txBox="1">
          <a:spLocks noChangeArrowheads="1"/>
        </xdr:cNvSpPr>
      </xdr:nvSpPr>
      <xdr:spPr bwMode="auto">
        <a:xfrm>
          <a:off x="2573655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483" name="Text Box 1599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SpPr txBox="1">
          <a:spLocks noChangeArrowheads="1"/>
        </xdr:cNvSpPr>
      </xdr:nvSpPr>
      <xdr:spPr bwMode="auto">
        <a:xfrm>
          <a:off x="2651760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484" name="Text Box 1599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SpPr txBox="1">
          <a:spLocks noChangeArrowheads="1"/>
        </xdr:cNvSpPr>
      </xdr:nvSpPr>
      <xdr:spPr bwMode="auto">
        <a:xfrm>
          <a:off x="2651760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485" name="Text Box 1599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SpPr txBox="1">
          <a:spLocks noChangeArrowheads="1"/>
        </xdr:cNvSpPr>
      </xdr:nvSpPr>
      <xdr:spPr bwMode="auto">
        <a:xfrm>
          <a:off x="2729865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486" name="Text Box 1599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SpPr txBox="1">
          <a:spLocks noChangeArrowheads="1"/>
        </xdr:cNvSpPr>
      </xdr:nvSpPr>
      <xdr:spPr bwMode="auto">
        <a:xfrm>
          <a:off x="2729865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503" name="Text Box 1599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SpPr txBox="1">
          <a:spLocks noChangeArrowheads="1"/>
        </xdr:cNvSpPr>
      </xdr:nvSpPr>
      <xdr:spPr bwMode="auto">
        <a:xfrm>
          <a:off x="2807970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504" name="Text Box 1599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SpPr txBox="1">
          <a:spLocks noChangeArrowheads="1"/>
        </xdr:cNvSpPr>
      </xdr:nvSpPr>
      <xdr:spPr bwMode="auto">
        <a:xfrm>
          <a:off x="2807970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505" name="Text Box 1599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SpPr txBox="1">
          <a:spLocks noChangeArrowheads="1"/>
        </xdr:cNvSpPr>
      </xdr:nvSpPr>
      <xdr:spPr bwMode="auto">
        <a:xfrm>
          <a:off x="2886075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506" name="Text Box 1599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SpPr txBox="1">
          <a:spLocks noChangeArrowheads="1"/>
        </xdr:cNvSpPr>
      </xdr:nvSpPr>
      <xdr:spPr bwMode="auto">
        <a:xfrm>
          <a:off x="2886075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07" name="Text Box 1599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SpPr txBox="1">
          <a:spLocks noChangeArrowheads="1"/>
        </xdr:cNvSpPr>
      </xdr:nvSpPr>
      <xdr:spPr bwMode="auto">
        <a:xfrm>
          <a:off x="2964180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08" name="Text Box 1599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SpPr txBox="1">
          <a:spLocks noChangeArrowheads="1"/>
        </xdr:cNvSpPr>
      </xdr:nvSpPr>
      <xdr:spPr bwMode="auto">
        <a:xfrm>
          <a:off x="2964180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509" name="Text Box 1599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SpPr txBox="1">
          <a:spLocks noChangeArrowheads="1"/>
        </xdr:cNvSpPr>
      </xdr:nvSpPr>
      <xdr:spPr bwMode="auto">
        <a:xfrm>
          <a:off x="3042285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510" name="Text Box 1599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SpPr txBox="1">
          <a:spLocks noChangeArrowheads="1"/>
        </xdr:cNvSpPr>
      </xdr:nvSpPr>
      <xdr:spPr bwMode="auto">
        <a:xfrm>
          <a:off x="30422850" y="4057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152400</xdr:colOff>
      <xdr:row>23</xdr:row>
      <xdr:rowOff>152400</xdr:rowOff>
    </xdr:from>
    <xdr:ext cx="76200" cy="200025"/>
    <xdr:sp macro="" textlink="">
      <xdr:nvSpPr>
        <xdr:cNvPr id="519" name="Text Box 1599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SpPr txBox="1">
          <a:spLocks noChangeArrowheads="1"/>
        </xdr:cNvSpPr>
      </xdr:nvSpPr>
      <xdr:spPr bwMode="auto">
        <a:xfrm>
          <a:off x="17926050" y="40671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152400</xdr:colOff>
      <xdr:row>23</xdr:row>
      <xdr:rowOff>152400</xdr:rowOff>
    </xdr:from>
    <xdr:ext cx="76200" cy="200025"/>
    <xdr:sp macro="" textlink="">
      <xdr:nvSpPr>
        <xdr:cNvPr id="520" name="Text Box 1599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SpPr txBox="1">
          <a:spLocks noChangeArrowheads="1"/>
        </xdr:cNvSpPr>
      </xdr:nvSpPr>
      <xdr:spPr bwMode="auto">
        <a:xfrm>
          <a:off x="17926050" y="40671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152400</xdr:colOff>
      <xdr:row>23</xdr:row>
      <xdr:rowOff>152400</xdr:rowOff>
    </xdr:from>
    <xdr:ext cx="76200" cy="200025"/>
    <xdr:sp macro="" textlink="">
      <xdr:nvSpPr>
        <xdr:cNvPr id="521" name="Text Box 1599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SpPr txBox="1">
          <a:spLocks noChangeArrowheads="1"/>
        </xdr:cNvSpPr>
      </xdr:nvSpPr>
      <xdr:spPr bwMode="auto">
        <a:xfrm>
          <a:off x="17926050" y="40671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152400</xdr:colOff>
      <xdr:row>23</xdr:row>
      <xdr:rowOff>152400</xdr:rowOff>
    </xdr:from>
    <xdr:ext cx="76200" cy="200025"/>
    <xdr:sp macro="" textlink="">
      <xdr:nvSpPr>
        <xdr:cNvPr id="522" name="Text Box 1599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SpPr txBox="1">
          <a:spLocks noChangeArrowheads="1"/>
        </xdr:cNvSpPr>
      </xdr:nvSpPr>
      <xdr:spPr bwMode="auto">
        <a:xfrm>
          <a:off x="17926050" y="40671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152400</xdr:colOff>
      <xdr:row>23</xdr:row>
      <xdr:rowOff>152400</xdr:rowOff>
    </xdr:from>
    <xdr:ext cx="76200" cy="200025"/>
    <xdr:sp macro="" textlink="">
      <xdr:nvSpPr>
        <xdr:cNvPr id="523" name="Text Box 1599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SpPr txBox="1">
          <a:spLocks noChangeArrowheads="1"/>
        </xdr:cNvSpPr>
      </xdr:nvSpPr>
      <xdr:spPr bwMode="auto">
        <a:xfrm>
          <a:off x="17926050" y="40671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152400</xdr:colOff>
      <xdr:row>23</xdr:row>
      <xdr:rowOff>152400</xdr:rowOff>
    </xdr:from>
    <xdr:ext cx="76200" cy="200025"/>
    <xdr:sp macro="" textlink="">
      <xdr:nvSpPr>
        <xdr:cNvPr id="524" name="Text Box 1599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SpPr txBox="1">
          <a:spLocks noChangeArrowheads="1"/>
        </xdr:cNvSpPr>
      </xdr:nvSpPr>
      <xdr:spPr bwMode="auto">
        <a:xfrm>
          <a:off x="17926050" y="40671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152400</xdr:colOff>
      <xdr:row>23</xdr:row>
      <xdr:rowOff>152400</xdr:rowOff>
    </xdr:from>
    <xdr:ext cx="76200" cy="200025"/>
    <xdr:sp macro="" textlink="">
      <xdr:nvSpPr>
        <xdr:cNvPr id="525" name="Text Box 1599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SpPr txBox="1">
          <a:spLocks noChangeArrowheads="1"/>
        </xdr:cNvSpPr>
      </xdr:nvSpPr>
      <xdr:spPr bwMode="auto">
        <a:xfrm>
          <a:off x="17926050" y="40671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152400</xdr:colOff>
      <xdr:row>23</xdr:row>
      <xdr:rowOff>152400</xdr:rowOff>
    </xdr:from>
    <xdr:ext cx="76200" cy="200025"/>
    <xdr:sp macro="" textlink="">
      <xdr:nvSpPr>
        <xdr:cNvPr id="526" name="Text Box 1599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SpPr txBox="1">
          <a:spLocks noChangeArrowheads="1"/>
        </xdr:cNvSpPr>
      </xdr:nvSpPr>
      <xdr:spPr bwMode="auto">
        <a:xfrm>
          <a:off x="17926050" y="40671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511" name="Text Box 1599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SpPr txBox="1">
          <a:spLocks noChangeArrowheads="1"/>
        </xdr:cNvSpPr>
      </xdr:nvSpPr>
      <xdr:spPr bwMode="auto">
        <a:xfrm>
          <a:off x="132397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512" name="Text Box 1599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SpPr txBox="1">
          <a:spLocks noChangeArrowheads="1"/>
        </xdr:cNvSpPr>
      </xdr:nvSpPr>
      <xdr:spPr bwMode="auto">
        <a:xfrm>
          <a:off x="132397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513" name="Text Box 1599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SpPr txBox="1">
          <a:spLocks noChangeArrowheads="1"/>
        </xdr:cNvSpPr>
      </xdr:nvSpPr>
      <xdr:spPr bwMode="auto">
        <a:xfrm>
          <a:off x="140208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514" name="Text Box 1599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SpPr txBox="1">
          <a:spLocks noChangeArrowheads="1"/>
        </xdr:cNvSpPr>
      </xdr:nvSpPr>
      <xdr:spPr bwMode="auto">
        <a:xfrm>
          <a:off x="140208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515" name="Text Box 1599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516" name="Text Box 1599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517" name="Text Box 1599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518" name="Text Box 1599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527" name="Text Box 1599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528" name="Text Box 1599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529" name="Text Box 1599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530" name="Text Box 1599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531" name="Text Box 1599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532" name="Text Box 1599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533" name="Text Box 1599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534" name="Text Box 1599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535" name="Text Box 1599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536" name="Text Box 1599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37" name="Text Box 1599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38" name="Text Box 1599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39" name="Text Box 1599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40" name="Text Box 1599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41" name="Text Box 1599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42" name="Text Box 1599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43" name="Text Box 1599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44" name="Text Box 1599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45" name="Text Box 1599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46" name="Text Box 1599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47" name="Text Box 1599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48" name="Text Box 1599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49" name="Text Box 1599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50" name="Text Box 1599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51" name="Text Box 1599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52" name="Text Box 1599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53" name="Text Box 1599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54" name="Text Box 1649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55" name="Text Box 1599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56" name="Text Box 1599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57" name="Text Box 1599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58" name="Text Box 1599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59" name="Text Box 1599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60" name="Text Box 1599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61" name="Text Box 1599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62" name="Text Box 1599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63" name="Text Box 1599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64" name="Text Box 1599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65" name="Text Box 1599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66" name="Text Box 1599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67" name="Text Box 1599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68" name="Text Box 1599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69" name="Text Box 1599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70" name="Text Box 1599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71" name="Text Box 1599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72" name="Text Box 1599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73" name="Text Box 1599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74" name="Text Box 1649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75" name="Text Box 1599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76" name="Text Box 1599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77" name="Text Box 1599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78" name="Text Box 1599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79" name="Text Box 1599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80" name="Text Box 1599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81" name="Text Box 1599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82" name="Text Box 1599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83" name="Text Box 1599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84" name="Text Box 1599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85" name="Text Box 1599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86" name="Text Box 1599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87" name="Text Box 1599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88" name="Text Box 1599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89" name="Text Box 1599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90" name="Text Box 1599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591" name="Text Box 1599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152400</xdr:colOff>
      <xdr:row>23</xdr:row>
      <xdr:rowOff>152400</xdr:rowOff>
    </xdr:from>
    <xdr:to>
      <xdr:col>10</xdr:col>
      <xdr:colOff>228600</xdr:colOff>
      <xdr:row>25</xdr:row>
      <xdr:rowOff>19050</xdr:rowOff>
    </xdr:to>
    <xdr:sp macro="" textlink="">
      <xdr:nvSpPr>
        <xdr:cNvPr id="2" name="Text Box 1599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31</xdr:col>
      <xdr:colOff>152400</xdr:colOff>
      <xdr:row>23</xdr:row>
      <xdr:rowOff>152400</xdr:rowOff>
    </xdr:from>
    <xdr:to>
      <xdr:col>31</xdr:col>
      <xdr:colOff>228600</xdr:colOff>
      <xdr:row>25</xdr:row>
      <xdr:rowOff>19050</xdr:rowOff>
    </xdr:to>
    <xdr:sp macro="" textlink="">
      <xdr:nvSpPr>
        <xdr:cNvPr id="3" name="Text Box 1649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152400</xdr:colOff>
      <xdr:row>23</xdr:row>
      <xdr:rowOff>152400</xdr:rowOff>
    </xdr:from>
    <xdr:to>
      <xdr:col>6</xdr:col>
      <xdr:colOff>228600</xdr:colOff>
      <xdr:row>25</xdr:row>
      <xdr:rowOff>19050</xdr:rowOff>
    </xdr:to>
    <xdr:sp macro="" textlink="">
      <xdr:nvSpPr>
        <xdr:cNvPr id="4" name="Text Box 1599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>
          <a:spLocks noChangeArrowheads="1"/>
        </xdr:cNvSpPr>
      </xdr:nvSpPr>
      <xdr:spPr bwMode="auto">
        <a:xfrm>
          <a:off x="4648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152400</xdr:colOff>
      <xdr:row>23</xdr:row>
      <xdr:rowOff>152400</xdr:rowOff>
    </xdr:from>
    <xdr:to>
      <xdr:col>7</xdr:col>
      <xdr:colOff>228600</xdr:colOff>
      <xdr:row>25</xdr:row>
      <xdr:rowOff>19050</xdr:rowOff>
    </xdr:to>
    <xdr:sp macro="" textlink="">
      <xdr:nvSpPr>
        <xdr:cNvPr id="5" name="Text Box 1649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0</xdr:row>
          <xdr:rowOff>0</xdr:rowOff>
        </xdr:from>
        <xdr:to>
          <xdr:col>6</xdr:col>
          <xdr:colOff>628650</xdr:colOff>
          <xdr:row>0</xdr:row>
          <xdr:rowOff>152400</xdr:rowOff>
        </xdr:to>
        <xdr:sp macro="" textlink="">
          <xdr:nvSpPr>
            <xdr:cNvPr id="327681" name="Button 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id="{00000000-0008-0000-0400-000001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7" name="Text Box 1599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8" name="Text Box 1599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9" name="Text Box 1599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7008416" y="3833416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10" name="Text Box 159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152400</xdr:colOff>
      <xdr:row>23</xdr:row>
      <xdr:rowOff>152400</xdr:rowOff>
    </xdr:from>
    <xdr:ext cx="76200" cy="200025"/>
    <xdr:sp macro="" textlink="">
      <xdr:nvSpPr>
        <xdr:cNvPr id="11" name="Text Box 1599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152400</xdr:colOff>
      <xdr:row>23</xdr:row>
      <xdr:rowOff>152400</xdr:rowOff>
    </xdr:from>
    <xdr:ext cx="76200" cy="200025"/>
    <xdr:sp macro="" textlink="">
      <xdr:nvSpPr>
        <xdr:cNvPr id="12" name="Text Box 1599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152400</xdr:colOff>
      <xdr:row>23</xdr:row>
      <xdr:rowOff>152400</xdr:rowOff>
    </xdr:from>
    <xdr:ext cx="76200" cy="200025"/>
    <xdr:sp macro="" textlink="">
      <xdr:nvSpPr>
        <xdr:cNvPr id="13" name="Text Box 1599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152400</xdr:colOff>
      <xdr:row>23</xdr:row>
      <xdr:rowOff>152400</xdr:rowOff>
    </xdr:from>
    <xdr:ext cx="76200" cy="200025"/>
    <xdr:sp macro="" textlink="">
      <xdr:nvSpPr>
        <xdr:cNvPr id="14" name="Text Box 1599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23</xdr:row>
      <xdr:rowOff>152400</xdr:rowOff>
    </xdr:from>
    <xdr:ext cx="76200" cy="200025"/>
    <xdr:sp macro="" textlink="">
      <xdr:nvSpPr>
        <xdr:cNvPr id="15" name="Text Box 1599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>
          <a:spLocks noChangeArrowheads="1"/>
        </xdr:cNvSpPr>
      </xdr:nvSpPr>
      <xdr:spPr bwMode="auto">
        <a:xfrm>
          <a:off x="101155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23</xdr:row>
      <xdr:rowOff>152400</xdr:rowOff>
    </xdr:from>
    <xdr:ext cx="76200" cy="200025"/>
    <xdr:sp macro="" textlink="">
      <xdr:nvSpPr>
        <xdr:cNvPr id="16" name="Text Box 1599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>
          <a:spLocks noChangeArrowheads="1"/>
        </xdr:cNvSpPr>
      </xdr:nvSpPr>
      <xdr:spPr bwMode="auto">
        <a:xfrm>
          <a:off x="101155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152400</xdr:colOff>
      <xdr:row>23</xdr:row>
      <xdr:rowOff>152400</xdr:rowOff>
    </xdr:from>
    <xdr:ext cx="76200" cy="200025"/>
    <xdr:sp macro="" textlink="">
      <xdr:nvSpPr>
        <xdr:cNvPr id="17" name="Text Box 1599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152400</xdr:colOff>
      <xdr:row>23</xdr:row>
      <xdr:rowOff>152400</xdr:rowOff>
    </xdr:from>
    <xdr:ext cx="76200" cy="200025"/>
    <xdr:sp macro="" textlink="">
      <xdr:nvSpPr>
        <xdr:cNvPr id="18" name="Text Box 1599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23</xdr:row>
      <xdr:rowOff>152400</xdr:rowOff>
    </xdr:from>
    <xdr:ext cx="76200" cy="200025"/>
    <xdr:sp macro="" textlink="">
      <xdr:nvSpPr>
        <xdr:cNvPr id="19" name="Text Box 1599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>
          <a:spLocks noChangeArrowheads="1"/>
        </xdr:cNvSpPr>
      </xdr:nvSpPr>
      <xdr:spPr bwMode="auto">
        <a:xfrm>
          <a:off x="116776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23</xdr:row>
      <xdr:rowOff>152400</xdr:rowOff>
    </xdr:from>
    <xdr:ext cx="76200" cy="200025"/>
    <xdr:sp macro="" textlink="">
      <xdr:nvSpPr>
        <xdr:cNvPr id="20" name="Text Box 159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>
          <a:spLocks noChangeArrowheads="1"/>
        </xdr:cNvSpPr>
      </xdr:nvSpPr>
      <xdr:spPr bwMode="auto">
        <a:xfrm>
          <a:off x="116776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152400</xdr:colOff>
      <xdr:row>23</xdr:row>
      <xdr:rowOff>152400</xdr:rowOff>
    </xdr:from>
    <xdr:ext cx="76200" cy="200025"/>
    <xdr:sp macro="" textlink="">
      <xdr:nvSpPr>
        <xdr:cNvPr id="21" name="Text Box 1599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152400</xdr:colOff>
      <xdr:row>23</xdr:row>
      <xdr:rowOff>152400</xdr:rowOff>
    </xdr:from>
    <xdr:ext cx="76200" cy="200025"/>
    <xdr:sp macro="" textlink="">
      <xdr:nvSpPr>
        <xdr:cNvPr id="22" name="Text Box 1599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194072"/>
    <xdr:sp macro="" textlink="">
      <xdr:nvSpPr>
        <xdr:cNvPr id="26" name="Text Box 1599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>
          <a:spLocks noChangeArrowheads="1"/>
        </xdr:cNvSpPr>
      </xdr:nvSpPr>
      <xdr:spPr bwMode="auto">
        <a:xfrm>
          <a:off x="4656931" y="3833416"/>
          <a:ext cx="76200" cy="1940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24" name="Text Box 1599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>
          <a:spLocks noChangeArrowheads="1"/>
        </xdr:cNvSpPr>
      </xdr:nvSpPr>
      <xdr:spPr bwMode="auto">
        <a:xfrm>
          <a:off x="6227233" y="3835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25" name="Text Box 1599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>
          <a:spLocks noChangeArrowheads="1"/>
        </xdr:cNvSpPr>
      </xdr:nvSpPr>
      <xdr:spPr bwMode="auto">
        <a:xfrm>
          <a:off x="6227233" y="3835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27" name="Text Box 1599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>
          <a:spLocks noChangeArrowheads="1"/>
        </xdr:cNvSpPr>
      </xdr:nvSpPr>
      <xdr:spPr bwMode="auto">
        <a:xfrm>
          <a:off x="6227233" y="3835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28" name="Text Box 1599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>
          <a:spLocks noChangeArrowheads="1"/>
        </xdr:cNvSpPr>
      </xdr:nvSpPr>
      <xdr:spPr bwMode="auto">
        <a:xfrm>
          <a:off x="6227233" y="3835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9" name="Text Box 1599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6227233" y="3835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390525</xdr:colOff>
      <xdr:row>23</xdr:row>
      <xdr:rowOff>152400</xdr:rowOff>
    </xdr:from>
    <xdr:ext cx="76200" cy="200025"/>
    <xdr:sp macro="" textlink="">
      <xdr:nvSpPr>
        <xdr:cNvPr id="30" name="Text Box 159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>
          <a:spLocks noChangeArrowheads="1"/>
        </xdr:cNvSpPr>
      </xdr:nvSpPr>
      <xdr:spPr bwMode="auto">
        <a:xfrm>
          <a:off x="12696825" y="3962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152400</xdr:colOff>
      <xdr:row>23</xdr:row>
      <xdr:rowOff>152400</xdr:rowOff>
    </xdr:from>
    <xdr:ext cx="76200" cy="200025"/>
    <xdr:sp macro="" textlink="">
      <xdr:nvSpPr>
        <xdr:cNvPr id="31" name="Text Box 1599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>
          <a:spLocks noChangeArrowheads="1"/>
        </xdr:cNvSpPr>
      </xdr:nvSpPr>
      <xdr:spPr bwMode="auto">
        <a:xfrm>
          <a:off x="6227233" y="3835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152400</xdr:colOff>
      <xdr:row>23</xdr:row>
      <xdr:rowOff>152400</xdr:rowOff>
    </xdr:from>
    <xdr:ext cx="76200" cy="200025"/>
    <xdr:sp macro="" textlink="">
      <xdr:nvSpPr>
        <xdr:cNvPr id="33" name="Text Box 1599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>
          <a:spLocks noChangeArrowheads="1"/>
        </xdr:cNvSpPr>
      </xdr:nvSpPr>
      <xdr:spPr bwMode="auto">
        <a:xfrm>
          <a:off x="6227233" y="3835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152400</xdr:colOff>
      <xdr:row>23</xdr:row>
      <xdr:rowOff>152400</xdr:rowOff>
    </xdr:from>
    <xdr:ext cx="76200" cy="200025"/>
    <xdr:sp macro="" textlink="">
      <xdr:nvSpPr>
        <xdr:cNvPr id="34" name="Text Box 1599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>
          <a:spLocks noChangeArrowheads="1"/>
        </xdr:cNvSpPr>
      </xdr:nvSpPr>
      <xdr:spPr bwMode="auto">
        <a:xfrm>
          <a:off x="6227233" y="3835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152400</xdr:colOff>
      <xdr:row>23</xdr:row>
      <xdr:rowOff>152400</xdr:rowOff>
    </xdr:from>
    <xdr:ext cx="76200" cy="200025"/>
    <xdr:sp macro="" textlink="">
      <xdr:nvSpPr>
        <xdr:cNvPr id="35" name="Text Box 1599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>
          <a:spLocks noChangeArrowheads="1"/>
        </xdr:cNvSpPr>
      </xdr:nvSpPr>
      <xdr:spPr bwMode="auto">
        <a:xfrm>
          <a:off x="6227233" y="3835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152400</xdr:colOff>
      <xdr:row>23</xdr:row>
      <xdr:rowOff>152400</xdr:rowOff>
    </xdr:from>
    <xdr:ext cx="76200" cy="200025"/>
    <xdr:sp macro="" textlink="">
      <xdr:nvSpPr>
        <xdr:cNvPr id="36" name="Text Box 1599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>
          <a:spLocks noChangeArrowheads="1"/>
        </xdr:cNvSpPr>
      </xdr:nvSpPr>
      <xdr:spPr bwMode="auto">
        <a:xfrm>
          <a:off x="6227233" y="3835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152400</xdr:colOff>
      <xdr:row>23</xdr:row>
      <xdr:rowOff>152400</xdr:rowOff>
    </xdr:from>
    <xdr:ext cx="76200" cy="200025"/>
    <xdr:sp macro="" textlink="">
      <xdr:nvSpPr>
        <xdr:cNvPr id="37" name="Text Box 1599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>
          <a:spLocks noChangeArrowheads="1"/>
        </xdr:cNvSpPr>
      </xdr:nvSpPr>
      <xdr:spPr bwMode="auto">
        <a:xfrm>
          <a:off x="6227233" y="3835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8" name="Text Box 1599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39" name="Text Box 1649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40" name="Text Box 159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41" name="Text Box 1599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194072"/>
    <xdr:sp macro="" textlink="">
      <xdr:nvSpPr>
        <xdr:cNvPr id="42" name="Text Box 1599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1940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3" name="Text Box 1599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4" name="Text Box 1599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5" name="Text Box 1599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>
          <a:spLocks noChangeArrowheads="1"/>
        </xdr:cNvSpPr>
      </xdr:nvSpPr>
      <xdr:spPr bwMode="auto">
        <a:xfrm>
          <a:off x="101155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46" name="Text Box 1599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>
          <a:spLocks noChangeArrowheads="1"/>
        </xdr:cNvSpPr>
      </xdr:nvSpPr>
      <xdr:spPr bwMode="auto">
        <a:xfrm>
          <a:off x="124587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47" name="Text Box 1599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>
          <a:spLocks noChangeArrowheads="1"/>
        </xdr:cNvSpPr>
      </xdr:nvSpPr>
      <xdr:spPr bwMode="auto">
        <a:xfrm>
          <a:off x="124587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8" name="Text Box 1599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49" name="Text Box 1599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>
          <a:spLocks noChangeArrowheads="1"/>
        </xdr:cNvSpPr>
      </xdr:nvSpPr>
      <xdr:spPr bwMode="auto">
        <a:xfrm>
          <a:off x="116776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50" name="Text Box 159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>
          <a:spLocks noChangeArrowheads="1"/>
        </xdr:cNvSpPr>
      </xdr:nvSpPr>
      <xdr:spPr bwMode="auto">
        <a:xfrm>
          <a:off x="124587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51" name="Text Box 1599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>
          <a:spLocks noChangeArrowheads="1"/>
        </xdr:cNvSpPr>
      </xdr:nvSpPr>
      <xdr:spPr bwMode="auto">
        <a:xfrm>
          <a:off x="132397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52" name="Text Box 1599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>
          <a:spLocks noChangeArrowheads="1"/>
        </xdr:cNvSpPr>
      </xdr:nvSpPr>
      <xdr:spPr bwMode="auto">
        <a:xfrm>
          <a:off x="140208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53" name="Text Box 1599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54" name="Text Box 1599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55" name="Text Box 1599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56" name="Text Box 1599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57" name="Text Box 1599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58" name="Text Box 1599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59" name="Text Box 1599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0" name="Text Box 159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1" name="Text Box 1599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2" name="Text Box 1599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3" name="Text Box 1599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4" name="Text Box 1599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5" name="Text Box 1599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6" name="Text Box 1599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7" name="Text Box 1599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8" name="Text Box 1599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9" name="Text Box 1599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70" name="Text Box 159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71" name="Text Box 1599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72" name="Text Box 1599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73" name="Text Box 1599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74" name="Text Box 1599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75" name="Text Box 1599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8</xdr:col>
      <xdr:colOff>152400</xdr:colOff>
      <xdr:row>23</xdr:row>
      <xdr:rowOff>152400</xdr:rowOff>
    </xdr:from>
    <xdr:to>
      <xdr:col>8</xdr:col>
      <xdr:colOff>228600</xdr:colOff>
      <xdr:row>25</xdr:row>
      <xdr:rowOff>19050</xdr:rowOff>
    </xdr:to>
    <xdr:sp macro="" textlink="">
      <xdr:nvSpPr>
        <xdr:cNvPr id="87" name="Text Box 1649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88" name="Text Box 1599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89" name="Text Box 1599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90" name="Text Box 159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91" name="Text Box 1599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92" name="Text Box 1599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93" name="Text Box 1599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94" name="Text Box 1599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95" name="Text Box 1599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96" name="Text Box 1599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97" name="Text Box 1599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86" name="Text Box 1599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98" name="Text Box 1599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99" name="Text Box 1599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>
          <a:spLocks noChangeArrowheads="1"/>
        </xdr:cNvSpPr>
      </xdr:nvSpPr>
      <xdr:spPr bwMode="auto">
        <a:xfrm>
          <a:off x="140208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00" name="Text Box 15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01" name="Text Box 1599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>
          <a:spLocks noChangeArrowheads="1"/>
        </xdr:cNvSpPr>
      </xdr:nvSpPr>
      <xdr:spPr bwMode="auto">
        <a:xfrm>
          <a:off x="140208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02" name="Text Box 1599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103" name="Text Box 1599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04" name="Text Box 1599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05" name="Text Box 1599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10</xdr:col>
      <xdr:colOff>152400</xdr:colOff>
      <xdr:row>23</xdr:row>
      <xdr:rowOff>152400</xdr:rowOff>
    </xdr:from>
    <xdr:to>
      <xdr:col>10</xdr:col>
      <xdr:colOff>228600</xdr:colOff>
      <xdr:row>25</xdr:row>
      <xdr:rowOff>19050</xdr:rowOff>
    </xdr:to>
    <xdr:sp macro="" textlink="">
      <xdr:nvSpPr>
        <xdr:cNvPr id="106" name="Text Box 1649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>
          <a:spLocks noChangeArrowheads="1"/>
        </xdr:cNvSpPr>
      </xdr:nvSpPr>
      <xdr:spPr bwMode="auto">
        <a:xfrm>
          <a:off x="24955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107" name="Text Box 1599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>
          <a:spLocks noChangeArrowheads="1"/>
        </xdr:cNvSpPr>
      </xdr:nvSpPr>
      <xdr:spPr bwMode="auto">
        <a:xfrm>
          <a:off x="24955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108" name="Text Box 1599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>
          <a:spLocks noChangeArrowheads="1"/>
        </xdr:cNvSpPr>
      </xdr:nvSpPr>
      <xdr:spPr bwMode="auto">
        <a:xfrm>
          <a:off x="24955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7</xdr:col>
      <xdr:colOff>152400</xdr:colOff>
      <xdr:row>23</xdr:row>
      <xdr:rowOff>152400</xdr:rowOff>
    </xdr:from>
    <xdr:to>
      <xdr:col>7</xdr:col>
      <xdr:colOff>228600</xdr:colOff>
      <xdr:row>25</xdr:row>
      <xdr:rowOff>19050</xdr:rowOff>
    </xdr:to>
    <xdr:sp macro="" textlink="">
      <xdr:nvSpPr>
        <xdr:cNvPr id="109" name="Text Box 1649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>
          <a:spLocks noChangeArrowheads="1"/>
        </xdr:cNvSpPr>
      </xdr:nvSpPr>
      <xdr:spPr bwMode="auto">
        <a:xfrm>
          <a:off x="24955500" y="40671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10" name="Text Box 159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>
          <a:spLocks noChangeArrowheads="1"/>
        </xdr:cNvSpPr>
      </xdr:nvSpPr>
      <xdr:spPr bwMode="auto">
        <a:xfrm>
          <a:off x="24955500" y="40671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11" name="Text Box 1599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>
          <a:spLocks noChangeArrowheads="1"/>
        </xdr:cNvSpPr>
      </xdr:nvSpPr>
      <xdr:spPr bwMode="auto">
        <a:xfrm>
          <a:off x="24955500" y="40671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12" name="Text Box 1599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>
          <a:spLocks noChangeArrowheads="1"/>
        </xdr:cNvSpPr>
      </xdr:nvSpPr>
      <xdr:spPr bwMode="auto">
        <a:xfrm>
          <a:off x="140208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13" name="Text Box 1599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114" name="Text Box 1599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15" name="Text Box 1599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40" name="Text Box 1599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41" name="Text Box 1599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42" name="Text Box 1599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43" name="Text Box 1599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44" name="Text Box 1599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45" name="Text Box 1599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46" name="Text Box 1599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47" name="Text Box 1599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48" name="Text Box 1599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49" name="Text Box 1599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50" name="Text Box 159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51" name="Text Box 1599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52" name="Text Box 1599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53" name="Text Box 1599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54" name="Text Box 1599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55" name="Text Box 1599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56" name="Text Box 1599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57" name="Text Box 1599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58" name="Text Box 1599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59" name="Text Box 1599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60" name="Text Box 1599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61" name="Text Box 1599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62" name="Text Box 1599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63" name="Text Box 1599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35" name="Text Box 1599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 txBox="1">
          <a:spLocks noChangeArrowheads="1"/>
        </xdr:cNvSpPr>
      </xdr:nvSpPr>
      <xdr:spPr bwMode="auto">
        <a:xfrm>
          <a:off x="5429250" y="3962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36" name="Text Box 1599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>
          <a:spLocks noChangeArrowheads="1"/>
        </xdr:cNvSpPr>
      </xdr:nvSpPr>
      <xdr:spPr bwMode="auto">
        <a:xfrm>
          <a:off x="5429250" y="3962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37" name="Text Box 1599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>
          <a:spLocks noChangeArrowheads="1"/>
        </xdr:cNvSpPr>
      </xdr:nvSpPr>
      <xdr:spPr bwMode="auto">
        <a:xfrm>
          <a:off x="5429250" y="3962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38" name="Text Box 1599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>
          <a:spLocks noChangeArrowheads="1"/>
        </xdr:cNvSpPr>
      </xdr:nvSpPr>
      <xdr:spPr bwMode="auto">
        <a:xfrm>
          <a:off x="5429250" y="3962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39" name="Text Box 1599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>
          <a:spLocks noChangeArrowheads="1"/>
        </xdr:cNvSpPr>
      </xdr:nvSpPr>
      <xdr:spPr bwMode="auto">
        <a:xfrm>
          <a:off x="5429250" y="3962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64" name="Text Box 1599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>
          <a:spLocks noChangeArrowheads="1"/>
        </xdr:cNvSpPr>
      </xdr:nvSpPr>
      <xdr:spPr bwMode="auto">
        <a:xfrm>
          <a:off x="5429250" y="3962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8</xdr:col>
      <xdr:colOff>152400</xdr:colOff>
      <xdr:row>23</xdr:row>
      <xdr:rowOff>152400</xdr:rowOff>
    </xdr:from>
    <xdr:to>
      <xdr:col>8</xdr:col>
      <xdr:colOff>228600</xdr:colOff>
      <xdr:row>25</xdr:row>
      <xdr:rowOff>19050</xdr:rowOff>
    </xdr:to>
    <xdr:sp macro="" textlink="">
      <xdr:nvSpPr>
        <xdr:cNvPr id="165" name="Text Box 1599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66" name="Text Box 1599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67" name="Text Box 1599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68" name="Text Box 1599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69" name="Text Box 1599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70" name="Text Box 1599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71" name="Text Box 1599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72" name="Text Box 1599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73" name="Text Box 1599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74" name="Text Box 1599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75" name="Text Box 1599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76" name="Text Box 1599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77" name="Text Box 1599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78" name="Text Box 1599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79" name="Text Box 1599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80" name="Text Box 1599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81" name="Text Box 1599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82" name="Text Box 1599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83" name="Text Box 1599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84" name="Text Box 1599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85" name="Text Box 1599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86" name="Text Box 1599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87" name="Text Box 1599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88" name="Text Box 1599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 txBox="1">
          <a:spLocks noChangeArrowheads="1"/>
        </xdr:cNvSpPr>
      </xdr:nvSpPr>
      <xdr:spPr bwMode="auto">
        <a:xfrm>
          <a:off x="4648200" y="39528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152400</xdr:colOff>
      <xdr:row>23</xdr:row>
      <xdr:rowOff>152400</xdr:rowOff>
    </xdr:from>
    <xdr:to>
      <xdr:col>10</xdr:col>
      <xdr:colOff>228600</xdr:colOff>
      <xdr:row>25</xdr:row>
      <xdr:rowOff>19050</xdr:rowOff>
    </xdr:to>
    <xdr:sp macro="" textlink="">
      <xdr:nvSpPr>
        <xdr:cNvPr id="2" name="Text Box 1599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31</xdr:col>
      <xdr:colOff>152400</xdr:colOff>
      <xdr:row>23</xdr:row>
      <xdr:rowOff>152400</xdr:rowOff>
    </xdr:from>
    <xdr:to>
      <xdr:col>31</xdr:col>
      <xdr:colOff>228600</xdr:colOff>
      <xdr:row>25</xdr:row>
      <xdr:rowOff>19050</xdr:rowOff>
    </xdr:to>
    <xdr:sp macro="" textlink="">
      <xdr:nvSpPr>
        <xdr:cNvPr id="3" name="Text Box 164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24955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152400</xdr:colOff>
      <xdr:row>23</xdr:row>
      <xdr:rowOff>152400</xdr:rowOff>
    </xdr:from>
    <xdr:to>
      <xdr:col>6</xdr:col>
      <xdr:colOff>228600</xdr:colOff>
      <xdr:row>25</xdr:row>
      <xdr:rowOff>19050</xdr:rowOff>
    </xdr:to>
    <xdr:sp macro="" textlink="">
      <xdr:nvSpPr>
        <xdr:cNvPr id="4" name="Text Box 1599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152400</xdr:colOff>
      <xdr:row>23</xdr:row>
      <xdr:rowOff>152400</xdr:rowOff>
    </xdr:from>
    <xdr:to>
      <xdr:col>7</xdr:col>
      <xdr:colOff>228600</xdr:colOff>
      <xdr:row>25</xdr:row>
      <xdr:rowOff>19050</xdr:rowOff>
    </xdr:to>
    <xdr:sp macro="" textlink="">
      <xdr:nvSpPr>
        <xdr:cNvPr id="5" name="Text Box 1649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0</xdr:row>
          <xdr:rowOff>0</xdr:rowOff>
        </xdr:from>
        <xdr:to>
          <xdr:col>6</xdr:col>
          <xdr:colOff>628650</xdr:colOff>
          <xdr:row>0</xdr:row>
          <xdr:rowOff>152400</xdr:rowOff>
        </xdr:to>
        <xdr:sp macro="" textlink="">
          <xdr:nvSpPr>
            <xdr:cNvPr id="332801" name="Button 1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05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7" name="Text Box 1599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8" name="Text Box 1599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9" name="Text Box 1599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10" name="Text Box 159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152400</xdr:colOff>
      <xdr:row>23</xdr:row>
      <xdr:rowOff>152400</xdr:rowOff>
    </xdr:from>
    <xdr:ext cx="76200" cy="200025"/>
    <xdr:sp macro="" textlink="">
      <xdr:nvSpPr>
        <xdr:cNvPr id="11" name="Text Box 159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24955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152400</xdr:colOff>
      <xdr:row>23</xdr:row>
      <xdr:rowOff>152400</xdr:rowOff>
    </xdr:from>
    <xdr:ext cx="76200" cy="200025"/>
    <xdr:sp macro="" textlink="">
      <xdr:nvSpPr>
        <xdr:cNvPr id="12" name="Text Box 1599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24955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152400</xdr:colOff>
      <xdr:row>23</xdr:row>
      <xdr:rowOff>152400</xdr:rowOff>
    </xdr:from>
    <xdr:ext cx="76200" cy="200025"/>
    <xdr:sp macro="" textlink="">
      <xdr:nvSpPr>
        <xdr:cNvPr id="13" name="Text Box 1599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>
          <a:spLocks noChangeArrowheads="1"/>
        </xdr:cNvSpPr>
      </xdr:nvSpPr>
      <xdr:spPr bwMode="auto">
        <a:xfrm>
          <a:off x="33547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152400</xdr:colOff>
      <xdr:row>23</xdr:row>
      <xdr:rowOff>152400</xdr:rowOff>
    </xdr:from>
    <xdr:ext cx="76200" cy="200025"/>
    <xdr:sp macro="" textlink="">
      <xdr:nvSpPr>
        <xdr:cNvPr id="14" name="Text Box 1599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>
          <a:spLocks noChangeArrowheads="1"/>
        </xdr:cNvSpPr>
      </xdr:nvSpPr>
      <xdr:spPr bwMode="auto">
        <a:xfrm>
          <a:off x="33547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23</xdr:row>
      <xdr:rowOff>152400</xdr:rowOff>
    </xdr:from>
    <xdr:ext cx="76200" cy="200025"/>
    <xdr:sp macro="" textlink="">
      <xdr:nvSpPr>
        <xdr:cNvPr id="15" name="Text Box 1599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>
          <a:spLocks noChangeArrowheads="1"/>
        </xdr:cNvSpPr>
      </xdr:nvSpPr>
      <xdr:spPr bwMode="auto">
        <a:xfrm>
          <a:off x="341757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23</xdr:row>
      <xdr:rowOff>152400</xdr:rowOff>
    </xdr:from>
    <xdr:ext cx="76200" cy="200025"/>
    <xdr:sp macro="" textlink="">
      <xdr:nvSpPr>
        <xdr:cNvPr id="16" name="Text Box 1599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>
          <a:spLocks noChangeArrowheads="1"/>
        </xdr:cNvSpPr>
      </xdr:nvSpPr>
      <xdr:spPr bwMode="auto">
        <a:xfrm>
          <a:off x="341757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152400</xdr:colOff>
      <xdr:row>23</xdr:row>
      <xdr:rowOff>152400</xdr:rowOff>
    </xdr:from>
    <xdr:ext cx="76200" cy="200025"/>
    <xdr:sp macro="" textlink="">
      <xdr:nvSpPr>
        <xdr:cNvPr id="17" name="Text Box 1599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>
          <a:spLocks noChangeArrowheads="1"/>
        </xdr:cNvSpPr>
      </xdr:nvSpPr>
      <xdr:spPr bwMode="auto">
        <a:xfrm>
          <a:off x="34328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152400</xdr:colOff>
      <xdr:row>23</xdr:row>
      <xdr:rowOff>152400</xdr:rowOff>
    </xdr:from>
    <xdr:ext cx="76200" cy="200025"/>
    <xdr:sp macro="" textlink="">
      <xdr:nvSpPr>
        <xdr:cNvPr id="18" name="Text Box 1599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>
          <a:spLocks noChangeArrowheads="1"/>
        </xdr:cNvSpPr>
      </xdr:nvSpPr>
      <xdr:spPr bwMode="auto">
        <a:xfrm>
          <a:off x="34328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23</xdr:row>
      <xdr:rowOff>152400</xdr:rowOff>
    </xdr:from>
    <xdr:ext cx="76200" cy="200025"/>
    <xdr:sp macro="" textlink="">
      <xdr:nvSpPr>
        <xdr:cNvPr id="19" name="Text Box 1599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>
          <a:spLocks noChangeArrowheads="1"/>
        </xdr:cNvSpPr>
      </xdr:nvSpPr>
      <xdr:spPr bwMode="auto">
        <a:xfrm>
          <a:off x="349567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23</xdr:row>
      <xdr:rowOff>152400</xdr:rowOff>
    </xdr:from>
    <xdr:ext cx="76200" cy="200025"/>
    <xdr:sp macro="" textlink="">
      <xdr:nvSpPr>
        <xdr:cNvPr id="20" name="Text Box 159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>
          <a:spLocks noChangeArrowheads="1"/>
        </xdr:cNvSpPr>
      </xdr:nvSpPr>
      <xdr:spPr bwMode="auto">
        <a:xfrm>
          <a:off x="349567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152400</xdr:colOff>
      <xdr:row>23</xdr:row>
      <xdr:rowOff>152400</xdr:rowOff>
    </xdr:from>
    <xdr:ext cx="76200" cy="200025"/>
    <xdr:sp macro="" textlink="">
      <xdr:nvSpPr>
        <xdr:cNvPr id="21" name="Text Box 1599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>
          <a:spLocks noChangeArrowheads="1"/>
        </xdr:cNvSpPr>
      </xdr:nvSpPr>
      <xdr:spPr bwMode="auto">
        <a:xfrm>
          <a:off x="124587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152400</xdr:colOff>
      <xdr:row>23</xdr:row>
      <xdr:rowOff>152400</xdr:rowOff>
    </xdr:from>
    <xdr:ext cx="76200" cy="200025"/>
    <xdr:sp macro="" textlink="">
      <xdr:nvSpPr>
        <xdr:cNvPr id="22" name="Text Box 1599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>
          <a:spLocks noChangeArrowheads="1"/>
        </xdr:cNvSpPr>
      </xdr:nvSpPr>
      <xdr:spPr bwMode="auto">
        <a:xfrm>
          <a:off x="124587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194072"/>
    <xdr:sp macro="" textlink="">
      <xdr:nvSpPr>
        <xdr:cNvPr id="23" name="Text Box 1599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1940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24" name="Text Box 1599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25" name="Text Box 1599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152400</xdr:colOff>
      <xdr:row>23</xdr:row>
      <xdr:rowOff>152400</xdr:rowOff>
    </xdr:from>
    <xdr:ext cx="76200" cy="200025"/>
    <xdr:sp macro="" textlink="">
      <xdr:nvSpPr>
        <xdr:cNvPr id="26" name="Text Box 1599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>
          <a:spLocks noChangeArrowheads="1"/>
        </xdr:cNvSpPr>
      </xdr:nvSpPr>
      <xdr:spPr bwMode="auto">
        <a:xfrm>
          <a:off x="93345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152400</xdr:colOff>
      <xdr:row>23</xdr:row>
      <xdr:rowOff>152400</xdr:rowOff>
    </xdr:from>
    <xdr:ext cx="76200" cy="200025"/>
    <xdr:sp macro="" textlink="">
      <xdr:nvSpPr>
        <xdr:cNvPr id="27" name="Text Box 1599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>
          <a:spLocks noChangeArrowheads="1"/>
        </xdr:cNvSpPr>
      </xdr:nvSpPr>
      <xdr:spPr bwMode="auto">
        <a:xfrm>
          <a:off x="101155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152400</xdr:colOff>
      <xdr:row>23</xdr:row>
      <xdr:rowOff>152400</xdr:rowOff>
    </xdr:from>
    <xdr:ext cx="76200" cy="200025"/>
    <xdr:sp macro="" textlink="">
      <xdr:nvSpPr>
        <xdr:cNvPr id="28" name="Text Box 1599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>
          <a:spLocks noChangeArrowheads="1"/>
        </xdr:cNvSpPr>
      </xdr:nvSpPr>
      <xdr:spPr bwMode="auto">
        <a:xfrm>
          <a:off x="108966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390525</xdr:colOff>
      <xdr:row>23</xdr:row>
      <xdr:rowOff>152400</xdr:rowOff>
    </xdr:from>
    <xdr:ext cx="76200" cy="200025"/>
    <xdr:sp macro="" textlink="">
      <xdr:nvSpPr>
        <xdr:cNvPr id="29" name="Text Box 1599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12696825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152400</xdr:colOff>
      <xdr:row>23</xdr:row>
      <xdr:rowOff>152400</xdr:rowOff>
    </xdr:from>
    <xdr:ext cx="76200" cy="200025"/>
    <xdr:sp macro="" textlink="">
      <xdr:nvSpPr>
        <xdr:cNvPr id="30" name="Text Box 159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>
          <a:spLocks noChangeArrowheads="1"/>
        </xdr:cNvSpPr>
      </xdr:nvSpPr>
      <xdr:spPr bwMode="auto">
        <a:xfrm>
          <a:off x="124587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152400</xdr:colOff>
      <xdr:row>23</xdr:row>
      <xdr:rowOff>152400</xdr:rowOff>
    </xdr:from>
    <xdr:ext cx="76200" cy="200025"/>
    <xdr:sp macro="" textlink="">
      <xdr:nvSpPr>
        <xdr:cNvPr id="31" name="Text Box 1599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>
          <a:spLocks noChangeArrowheads="1"/>
        </xdr:cNvSpPr>
      </xdr:nvSpPr>
      <xdr:spPr bwMode="auto">
        <a:xfrm>
          <a:off x="132397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152400</xdr:colOff>
      <xdr:row>23</xdr:row>
      <xdr:rowOff>152400</xdr:rowOff>
    </xdr:from>
    <xdr:ext cx="76200" cy="200025"/>
    <xdr:sp macro="" textlink="">
      <xdr:nvSpPr>
        <xdr:cNvPr id="32" name="Text Box 1599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>
          <a:spLocks noChangeArrowheads="1"/>
        </xdr:cNvSpPr>
      </xdr:nvSpPr>
      <xdr:spPr bwMode="auto">
        <a:xfrm>
          <a:off x="140208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152400</xdr:colOff>
      <xdr:row>23</xdr:row>
      <xdr:rowOff>152400</xdr:rowOff>
    </xdr:from>
    <xdr:ext cx="76200" cy="200025"/>
    <xdr:sp macro="" textlink="">
      <xdr:nvSpPr>
        <xdr:cNvPr id="33" name="Text Box 159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>
          <a:spLocks noChangeArrowheads="1"/>
        </xdr:cNvSpPr>
      </xdr:nvSpPr>
      <xdr:spPr bwMode="auto">
        <a:xfrm>
          <a:off x="148018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152400</xdr:colOff>
      <xdr:row>23</xdr:row>
      <xdr:rowOff>152400</xdr:rowOff>
    </xdr:from>
    <xdr:ext cx="76200" cy="200025"/>
    <xdr:sp macro="" textlink="">
      <xdr:nvSpPr>
        <xdr:cNvPr id="34" name="Text Box 1599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>
          <a:spLocks noChangeArrowheads="1"/>
        </xdr:cNvSpPr>
      </xdr:nvSpPr>
      <xdr:spPr bwMode="auto">
        <a:xfrm>
          <a:off x="155829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152400</xdr:colOff>
      <xdr:row>23</xdr:row>
      <xdr:rowOff>152400</xdr:rowOff>
    </xdr:from>
    <xdr:ext cx="76200" cy="200025"/>
    <xdr:sp macro="" textlink="">
      <xdr:nvSpPr>
        <xdr:cNvPr id="35" name="Text Box 1599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>
          <a:spLocks noChangeArrowheads="1"/>
        </xdr:cNvSpPr>
      </xdr:nvSpPr>
      <xdr:spPr bwMode="auto">
        <a:xfrm>
          <a:off x="163639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152400</xdr:colOff>
      <xdr:row>23</xdr:row>
      <xdr:rowOff>152400</xdr:rowOff>
    </xdr:from>
    <xdr:ext cx="76200" cy="200025"/>
    <xdr:sp macro="" textlink="">
      <xdr:nvSpPr>
        <xdr:cNvPr id="36" name="Text Box 1599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>
          <a:spLocks noChangeArrowheads="1"/>
        </xdr:cNvSpPr>
      </xdr:nvSpPr>
      <xdr:spPr bwMode="auto">
        <a:xfrm>
          <a:off x="17145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37" name="Text Box 1599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38" name="Text Box 1649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39" name="Text Box 1599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40" name="Text Box 159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194072"/>
    <xdr:sp macro="" textlink="">
      <xdr:nvSpPr>
        <xdr:cNvPr id="41" name="Text Box 1599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1940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2" name="Text Box 1599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3" name="Text Box 1599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44" name="Text Box 1599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45" name="Text Box 1599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46" name="Text Box 1599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47" name="Text Box 1599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48" name="Text Box 1599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>
          <a:spLocks noChangeArrowheads="1"/>
        </xdr:cNvSpPr>
      </xdr:nvSpPr>
      <xdr:spPr bwMode="auto">
        <a:xfrm>
          <a:off x="4648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49" name="Text Box 1599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50" name="Text Box 159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51" name="Text Box 1599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152400</xdr:colOff>
      <xdr:row>23</xdr:row>
      <xdr:rowOff>152400</xdr:rowOff>
    </xdr:from>
    <xdr:ext cx="76200" cy="200025"/>
    <xdr:sp macro="" textlink="">
      <xdr:nvSpPr>
        <xdr:cNvPr id="52" name="Text Box 1599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53" name="Text Box 159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54" name="Text Box 1599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55" name="Text Box 1599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56" name="Text Box 1599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57" name="Text Box 1599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58" name="Text Box 1599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>
          <a:spLocks noChangeArrowheads="1"/>
        </xdr:cNvSpPr>
      </xdr:nvSpPr>
      <xdr:spPr bwMode="auto">
        <a:xfrm>
          <a:off x="4648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59" name="Text Box 1599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0" name="Text Box 159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1" name="Text Box 1599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2" name="Text Box 15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3" name="Text Box 1599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4" name="Text Box 1599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5" name="Text Box 1599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6" name="Text Box 1599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7" name="Text Box 1599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8" name="Text Box 1599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69" name="Text Box 1599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70" name="Text Box 159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71" name="Text Box 1599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72" name="Text Box 1599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73" name="Text Box 1599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74" name="Text Box 1599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8</xdr:col>
      <xdr:colOff>152400</xdr:colOff>
      <xdr:row>23</xdr:row>
      <xdr:rowOff>152400</xdr:rowOff>
    </xdr:from>
    <xdr:to>
      <xdr:col>8</xdr:col>
      <xdr:colOff>228600</xdr:colOff>
      <xdr:row>25</xdr:row>
      <xdr:rowOff>19050</xdr:rowOff>
    </xdr:to>
    <xdr:sp macro="" textlink="">
      <xdr:nvSpPr>
        <xdr:cNvPr id="75" name="Text Box 1649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76" name="Text Box 1599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77" name="Text Box 1599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78" name="Text Box 1599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79" name="Text Box 1599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80" name="Text Box 159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81" name="Text Box 1599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82" name="Text Box 1599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83" name="Text Box 1599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84" name="Text Box 1599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85" name="Text Box 1599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86" name="Text Box 1599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87" name="Text Box 1599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88" name="Text Box 1599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89" name="Text Box 1599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90" name="Text Box 159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91" name="Text Box 1599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92" name="Text Box 1599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>
          <a:spLocks noChangeArrowheads="1"/>
        </xdr:cNvSpPr>
      </xdr:nvSpPr>
      <xdr:spPr bwMode="auto">
        <a:xfrm>
          <a:off x="4648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93" name="Text Box 1599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94" name="Text Box 1599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10</xdr:col>
      <xdr:colOff>152400</xdr:colOff>
      <xdr:row>23</xdr:row>
      <xdr:rowOff>152400</xdr:rowOff>
    </xdr:from>
    <xdr:to>
      <xdr:col>10</xdr:col>
      <xdr:colOff>228600</xdr:colOff>
      <xdr:row>25</xdr:row>
      <xdr:rowOff>19050</xdr:rowOff>
    </xdr:to>
    <xdr:sp macro="" textlink="">
      <xdr:nvSpPr>
        <xdr:cNvPr id="95" name="Text Box 1649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96" name="Text Box 1599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152400</xdr:colOff>
      <xdr:row>23</xdr:row>
      <xdr:rowOff>152400</xdr:rowOff>
    </xdr:from>
    <xdr:ext cx="76200" cy="200025"/>
    <xdr:sp macro="" textlink="">
      <xdr:nvSpPr>
        <xdr:cNvPr id="97" name="Text Box 1599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 txBox="1">
          <a:spLocks noChangeArrowheads="1"/>
        </xdr:cNvSpPr>
      </xdr:nvSpPr>
      <xdr:spPr bwMode="auto">
        <a:xfrm>
          <a:off x="8553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7</xdr:col>
      <xdr:colOff>152400</xdr:colOff>
      <xdr:row>23</xdr:row>
      <xdr:rowOff>152400</xdr:rowOff>
    </xdr:from>
    <xdr:to>
      <xdr:col>7</xdr:col>
      <xdr:colOff>228600</xdr:colOff>
      <xdr:row>25</xdr:row>
      <xdr:rowOff>19050</xdr:rowOff>
    </xdr:to>
    <xdr:sp macro="" textlink="">
      <xdr:nvSpPr>
        <xdr:cNvPr id="98" name="Text Box 1649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99" name="Text Box 1599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00" name="Text Box 15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01" name="Text Box 1599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>
          <a:spLocks noChangeArrowheads="1"/>
        </xdr:cNvSpPr>
      </xdr:nvSpPr>
      <xdr:spPr bwMode="auto">
        <a:xfrm>
          <a:off x="3086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02" name="Text Box 1599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152400</xdr:colOff>
      <xdr:row>23</xdr:row>
      <xdr:rowOff>152400</xdr:rowOff>
    </xdr:from>
    <xdr:ext cx="76200" cy="200025"/>
    <xdr:sp macro="" textlink="">
      <xdr:nvSpPr>
        <xdr:cNvPr id="103" name="Text Box 1599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 txBox="1">
          <a:spLocks noChangeArrowheads="1"/>
        </xdr:cNvSpPr>
      </xdr:nvSpPr>
      <xdr:spPr bwMode="auto">
        <a:xfrm>
          <a:off x="4648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152400</xdr:colOff>
      <xdr:row>23</xdr:row>
      <xdr:rowOff>152400</xdr:rowOff>
    </xdr:from>
    <xdr:ext cx="76200" cy="200025"/>
    <xdr:sp macro="" textlink="">
      <xdr:nvSpPr>
        <xdr:cNvPr id="104" name="Text Box 1599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05" name="Text Box 1599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06" name="Text Box 1599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07" name="Text Box 1599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08" name="Text Box 1599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09" name="Text Box 1599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10" name="Text Box 159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11" name="Text Box 1599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12" name="Text Box 1599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13" name="Text Box 1599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14" name="Text Box 1599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15" name="Text Box 1599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16" name="Text Box 1599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17" name="Text Box 1599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18" name="Text Box 1599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19" name="Text Box 1599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20" name="Text Box 159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21" name="Text Box 1599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22" name="Text Box 1599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23" name="Text Box 1599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24" name="Text Box 1599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25" name="Text Box 1599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26" name="Text Box 1599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27" name="Text Box 1599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28" name="Text Box 1599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>
          <a:spLocks noChangeArrowheads="1"/>
        </xdr:cNvSpPr>
      </xdr:nvSpPr>
      <xdr:spPr bwMode="auto">
        <a:xfrm>
          <a:off x="38671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29" name="Text Box 1599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30" name="Text Box 1599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31" name="Text Box 1599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32" name="Text Box 1599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33" name="Text Box 1599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34" name="Text Box 1599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8</xdr:col>
      <xdr:colOff>152400</xdr:colOff>
      <xdr:row>23</xdr:row>
      <xdr:rowOff>152400</xdr:rowOff>
    </xdr:from>
    <xdr:to>
      <xdr:col>8</xdr:col>
      <xdr:colOff>228600</xdr:colOff>
      <xdr:row>25</xdr:row>
      <xdr:rowOff>19050</xdr:rowOff>
    </xdr:to>
    <xdr:sp macro="" textlink="">
      <xdr:nvSpPr>
        <xdr:cNvPr id="135" name="Text Box 1599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36" name="Text Box 1599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37" name="Text Box 1599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38" name="Text Box 1599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39" name="Text Box 1599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40" name="Text Box 159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41" name="Text Box 1599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42" name="Text Box 1599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43" name="Text Box 1599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44" name="Text Box 1599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45" name="Text Box 1599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46" name="Text Box 1599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47" name="Text Box 1599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48" name="Text Box 1599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49" name="Text Box 1599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50" name="Text Box 1599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51" name="Text Box 1599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52" name="Text Box 1599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53" name="Text Box 1599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54" name="Text Box 1599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55" name="Text Box 1599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56" name="Text Box 1599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57" name="Text Box 1599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152400</xdr:colOff>
      <xdr:row>23</xdr:row>
      <xdr:rowOff>152400</xdr:rowOff>
    </xdr:from>
    <xdr:ext cx="76200" cy="200025"/>
    <xdr:sp macro="" textlink="">
      <xdr:nvSpPr>
        <xdr:cNvPr id="158" name="Text Box 1599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23</xdr:row>
      <xdr:rowOff>152400</xdr:rowOff>
    </xdr:from>
    <xdr:to>
      <xdr:col>3</xdr:col>
      <xdr:colOff>76200</xdr:colOff>
      <xdr:row>25</xdr:row>
      <xdr:rowOff>19050</xdr:rowOff>
    </xdr:to>
    <xdr:sp macro="" textlink="">
      <xdr:nvSpPr>
        <xdr:cNvPr id="2" name="Text Box 1599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23</xdr:row>
      <xdr:rowOff>152400</xdr:rowOff>
    </xdr:from>
    <xdr:to>
      <xdr:col>3</xdr:col>
      <xdr:colOff>76200</xdr:colOff>
      <xdr:row>25</xdr:row>
      <xdr:rowOff>19050</xdr:rowOff>
    </xdr:to>
    <xdr:sp macro="" textlink="">
      <xdr:nvSpPr>
        <xdr:cNvPr id="3" name="Text Box 164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24174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23</xdr:row>
      <xdr:rowOff>152400</xdr:rowOff>
    </xdr:from>
    <xdr:to>
      <xdr:col>3</xdr:col>
      <xdr:colOff>76200</xdr:colOff>
      <xdr:row>25</xdr:row>
      <xdr:rowOff>19050</xdr:rowOff>
    </xdr:to>
    <xdr:sp macro="" textlink="">
      <xdr:nvSpPr>
        <xdr:cNvPr id="4" name="Text Box 1599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>
          <a:spLocks noChangeArrowheads="1"/>
        </xdr:cNvSpPr>
      </xdr:nvSpPr>
      <xdr:spPr bwMode="auto">
        <a:xfrm>
          <a:off x="46482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23</xdr:row>
      <xdr:rowOff>152400</xdr:rowOff>
    </xdr:from>
    <xdr:to>
      <xdr:col>3</xdr:col>
      <xdr:colOff>76200</xdr:colOff>
      <xdr:row>25</xdr:row>
      <xdr:rowOff>19050</xdr:rowOff>
    </xdr:to>
    <xdr:sp macro="" textlink="">
      <xdr:nvSpPr>
        <xdr:cNvPr id="5" name="Text Box 1649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</xdr:col>
      <xdr:colOff>0</xdr:colOff>
      <xdr:row>23</xdr:row>
      <xdr:rowOff>152400</xdr:rowOff>
    </xdr:from>
    <xdr:ext cx="76200" cy="200025"/>
    <xdr:sp macro="" textlink="">
      <xdr:nvSpPr>
        <xdr:cNvPr id="7" name="Text Box 1599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>
          <a:spLocks noChangeArrowheads="1"/>
        </xdr:cNvSpPr>
      </xdr:nvSpPr>
      <xdr:spPr bwMode="auto">
        <a:xfrm>
          <a:off x="54292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152400</xdr:rowOff>
    </xdr:from>
    <xdr:ext cx="76200" cy="200025"/>
    <xdr:sp macro="" textlink="">
      <xdr:nvSpPr>
        <xdr:cNvPr id="8" name="Text Box 1599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>
          <a:spLocks noChangeArrowheads="1"/>
        </xdr:cNvSpPr>
      </xdr:nvSpPr>
      <xdr:spPr bwMode="auto">
        <a:xfrm>
          <a:off x="62103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152400</xdr:rowOff>
    </xdr:from>
    <xdr:ext cx="76200" cy="200025"/>
    <xdr:sp macro="" textlink="">
      <xdr:nvSpPr>
        <xdr:cNvPr id="9" name="Text Box 1599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>
          <a:spLocks noChangeArrowheads="1"/>
        </xdr:cNvSpPr>
      </xdr:nvSpPr>
      <xdr:spPr bwMode="auto">
        <a:xfrm>
          <a:off x="69913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152400</xdr:rowOff>
    </xdr:from>
    <xdr:ext cx="76200" cy="200025"/>
    <xdr:sp macro="" textlink="">
      <xdr:nvSpPr>
        <xdr:cNvPr id="10" name="Text Box 159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>
          <a:spLocks noChangeArrowheads="1"/>
        </xdr:cNvSpPr>
      </xdr:nvSpPr>
      <xdr:spPr bwMode="auto">
        <a:xfrm>
          <a:off x="77724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152400</xdr:rowOff>
    </xdr:from>
    <xdr:ext cx="76200" cy="200025"/>
    <xdr:sp macro="" textlink="">
      <xdr:nvSpPr>
        <xdr:cNvPr id="11" name="Text Box 1599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>
          <a:spLocks noChangeArrowheads="1"/>
        </xdr:cNvSpPr>
      </xdr:nvSpPr>
      <xdr:spPr bwMode="auto">
        <a:xfrm>
          <a:off x="24174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152400</xdr:rowOff>
    </xdr:from>
    <xdr:ext cx="76200" cy="200025"/>
    <xdr:sp macro="" textlink="">
      <xdr:nvSpPr>
        <xdr:cNvPr id="12" name="Text Box 1599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>
          <a:spLocks noChangeArrowheads="1"/>
        </xdr:cNvSpPr>
      </xdr:nvSpPr>
      <xdr:spPr bwMode="auto">
        <a:xfrm>
          <a:off x="241744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3" name="Text Box 1599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>
          <a:spLocks noChangeArrowheads="1"/>
        </xdr:cNvSpPr>
      </xdr:nvSpPr>
      <xdr:spPr bwMode="auto">
        <a:xfrm>
          <a:off x="32766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152400</xdr:colOff>
      <xdr:row>23</xdr:row>
      <xdr:rowOff>152400</xdr:rowOff>
    </xdr:from>
    <xdr:ext cx="76200" cy="200025"/>
    <xdr:sp macro="" textlink="">
      <xdr:nvSpPr>
        <xdr:cNvPr id="14" name="Text Box 1599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>
          <a:spLocks noChangeArrowheads="1"/>
        </xdr:cNvSpPr>
      </xdr:nvSpPr>
      <xdr:spPr bwMode="auto">
        <a:xfrm>
          <a:off x="327660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23</xdr:row>
      <xdr:rowOff>152400</xdr:rowOff>
    </xdr:from>
    <xdr:ext cx="76200" cy="200025"/>
    <xdr:sp macro="" textlink="">
      <xdr:nvSpPr>
        <xdr:cNvPr id="15" name="Text Box 159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>
          <a:spLocks noChangeArrowheads="1"/>
        </xdr:cNvSpPr>
      </xdr:nvSpPr>
      <xdr:spPr bwMode="auto">
        <a:xfrm>
          <a:off x="333946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23</xdr:row>
      <xdr:rowOff>152400</xdr:rowOff>
    </xdr:from>
    <xdr:ext cx="76200" cy="200025"/>
    <xdr:sp macro="" textlink="">
      <xdr:nvSpPr>
        <xdr:cNvPr id="16" name="Text Box 1599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>
          <a:spLocks noChangeArrowheads="1"/>
        </xdr:cNvSpPr>
      </xdr:nvSpPr>
      <xdr:spPr bwMode="auto">
        <a:xfrm>
          <a:off x="333946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7" name="Text Box 1599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>
          <a:spLocks noChangeArrowheads="1"/>
        </xdr:cNvSpPr>
      </xdr:nvSpPr>
      <xdr:spPr bwMode="auto">
        <a:xfrm>
          <a:off x="33547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152400</xdr:colOff>
      <xdr:row>23</xdr:row>
      <xdr:rowOff>152400</xdr:rowOff>
    </xdr:from>
    <xdr:ext cx="76200" cy="200025"/>
    <xdr:sp macro="" textlink="">
      <xdr:nvSpPr>
        <xdr:cNvPr id="18" name="Text Box 1599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 txBox="1">
          <a:spLocks noChangeArrowheads="1"/>
        </xdr:cNvSpPr>
      </xdr:nvSpPr>
      <xdr:spPr bwMode="auto">
        <a:xfrm>
          <a:off x="3354705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19" name="Text Box 1599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>
          <a:spLocks noChangeArrowheads="1"/>
        </xdr:cNvSpPr>
      </xdr:nvSpPr>
      <xdr:spPr bwMode="auto">
        <a:xfrm>
          <a:off x="34328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152400</xdr:colOff>
      <xdr:row>23</xdr:row>
      <xdr:rowOff>152400</xdr:rowOff>
    </xdr:from>
    <xdr:ext cx="76200" cy="200025"/>
    <xdr:sp macro="" textlink="">
      <xdr:nvSpPr>
        <xdr:cNvPr id="20" name="Text Box 159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>
          <a:spLocks noChangeArrowheads="1"/>
        </xdr:cNvSpPr>
      </xdr:nvSpPr>
      <xdr:spPr bwMode="auto">
        <a:xfrm>
          <a:off x="34328100" y="3905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11905</xdr:colOff>
      <xdr:row>0</xdr:row>
      <xdr:rowOff>0</xdr:rowOff>
    </xdr:from>
    <xdr:to>
      <xdr:col>24</xdr:col>
      <xdr:colOff>190500</xdr:colOff>
      <xdr:row>44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0.0567</cdr:x>
      <cdr:y>0.01963</cdr:y>
    </cdr:from>
    <cdr:to>
      <cdr:x>0.15036</cdr:x>
      <cdr:y>0.07198</cdr:y>
    </cdr:to>
    <cdr:pic macro="[0]!BtnMenu"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D78AEF1B-8BC1-4174-860F-EEA1229BC2A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57225" y="142875"/>
          <a:ext cx="1085714" cy="38095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0.76614</cdr:x>
      <cdr:y>0.00795</cdr:y>
    </cdr:from>
    <cdr:to>
      <cdr:x>0.94659</cdr:x>
      <cdr:y>0.0493</cdr:y>
    </cdr:to>
    <cdr:sp macro="" textlink="'Totalização (MTG+ACB)'!$Q$2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2E7D813A-D03B-4384-B3FA-A9E224DD17FA}"/>
            </a:ext>
          </a:extLst>
        </cdr:cNvPr>
        <cdr:cNvSpPr txBox="1"/>
      </cdr:nvSpPr>
      <cdr:spPr>
        <a:xfrm xmlns:a="http://schemas.openxmlformats.org/drawingml/2006/main">
          <a:off x="8846344" y="59531"/>
          <a:ext cx="2083594" cy="3095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0E88BA1E-BE93-487F-B4A8-3D29C4F45850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ACB (D+N)</a:t>
          </a:fld>
          <a:endParaRPr lang="pt-BR" sz="1600"/>
        </a:p>
      </cdr:txBody>
    </cdr:sp>
  </cdr:relSizeAnchor>
  <cdr:relSizeAnchor xmlns:cdr="http://schemas.openxmlformats.org/drawingml/2006/chartDrawing">
    <cdr:from>
      <cdr:x>0.3743</cdr:x>
      <cdr:y>0.05248</cdr:y>
    </cdr:from>
    <cdr:to>
      <cdr:x>0.563</cdr:x>
      <cdr:y>0.09065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4F08F56A-3BB5-49DC-8A05-2A323D87E310}"/>
            </a:ext>
          </a:extLst>
        </cdr:cNvPr>
        <cdr:cNvSpPr txBox="1"/>
      </cdr:nvSpPr>
      <cdr:spPr>
        <a:xfrm xmlns:a="http://schemas.openxmlformats.org/drawingml/2006/main">
          <a:off x="4321971" y="392906"/>
          <a:ext cx="2178844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Taxa defeituosa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(ppm): 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0.54032</cdr:x>
      <cdr:y>0.05089</cdr:y>
    </cdr:from>
    <cdr:to>
      <cdr:x>0.61765</cdr:x>
      <cdr:y>0.09224</cdr:y>
    </cdr:to>
    <cdr:sp macro="" textlink="'Totalização (MTG+ACB)'!$Q$105">
      <cdr:nvSpPr>
        <cdr:cNvPr id="4" name="CaixaDeTexto 3">
          <a:extLst xmlns:a="http://schemas.openxmlformats.org/drawingml/2006/main">
            <a:ext uri="{FF2B5EF4-FFF2-40B4-BE49-F238E27FC236}">
              <a16:creationId xmlns:a16="http://schemas.microsoft.com/office/drawing/2014/main" id="{5F7B216F-13BC-4A7B-A5F1-7305C68B7949}"/>
            </a:ext>
          </a:extLst>
        </cdr:cNvPr>
        <cdr:cNvSpPr txBox="1"/>
      </cdr:nvSpPr>
      <cdr:spPr>
        <a:xfrm xmlns:a="http://schemas.openxmlformats.org/drawingml/2006/main">
          <a:off x="6238902" y="380996"/>
          <a:ext cx="892942" cy="3095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9480E623-65C2-4553-8CE0-4A1671770034}" type="TxLink">
            <a:rPr lang="en-US" sz="1400" b="1" i="0" u="none" strike="noStrike">
              <a:solidFill>
                <a:srgbClr val="FF0000"/>
              </a:solidFill>
              <a:latin typeface="Arial"/>
              <a:cs typeface="Arial"/>
            </a:rPr>
            <a:pPr algn="ctr"/>
            <a:t>#DIV/0!</a:t>
          </a:fld>
          <a:endParaRPr lang="pt-BR" sz="1400" b="1">
            <a:solidFill>
              <a:srgbClr val="FF0000"/>
            </a:solidFill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TG-00\PBRVOL1\DADOS\PIL\ISO9002\Versao_2008\4%20-%20Sistema%20de%20Gest&#227;o%20da%20Qualidade\4.2.4%20-%20Controle%20de%20Registros\Formularios\F-7\CQ\SJCPIL-R%2015-115-00%20-%20UM-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Montagem/SJCPIL-R%2015-115-00%20-%20MTG%20-%20UM-4%20-%20VA%20-%20220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Montagem/SJCPIL-R%2015-115-00%20-%20MTG%20-%20UM-4%20-%20VA%20-%202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Dados do Gráfico"/>
      <sheetName val="Paretos VA"/>
    </sheetNames>
    <sheetDataSet>
      <sheetData sheetId="0" refreshError="1"/>
      <sheetData sheetId="1" refreshError="1"/>
      <sheetData sheetId="2" refreshError="1"/>
      <sheetData sheetId="3">
        <row r="2">
          <cell r="AR2" t="str">
            <v>L1 - Dia</v>
          </cell>
        </row>
        <row r="3">
          <cell r="AR3" t="str">
            <v>Total</v>
          </cell>
        </row>
        <row r="4">
          <cell r="AR4">
            <v>0</v>
          </cell>
        </row>
        <row r="5">
          <cell r="AR5">
            <v>0</v>
          </cell>
        </row>
        <row r="6">
          <cell r="AR6">
            <v>0</v>
          </cell>
        </row>
        <row r="7">
          <cell r="AR7">
            <v>0</v>
          </cell>
        </row>
        <row r="23">
          <cell r="AR23">
            <v>0</v>
          </cell>
        </row>
        <row r="24">
          <cell r="AR24">
            <v>0</v>
          </cell>
        </row>
        <row r="25">
          <cell r="AR25" t="e">
            <v>#DIV/0!</v>
          </cell>
        </row>
        <row r="26">
          <cell r="AR26" t="e">
            <v>#DIV/0!</v>
          </cell>
        </row>
        <row r="27">
          <cell r="AR27">
            <v>0</v>
          </cell>
        </row>
        <row r="28">
          <cell r="AR28">
            <v>0</v>
          </cell>
        </row>
        <row r="29">
          <cell r="AR29">
            <v>0</v>
          </cell>
        </row>
        <row r="30">
          <cell r="AR30">
            <v>0</v>
          </cell>
        </row>
        <row r="31">
          <cell r="AR31">
            <v>0</v>
          </cell>
        </row>
        <row r="32">
          <cell r="AR32">
            <v>0</v>
          </cell>
        </row>
        <row r="33">
          <cell r="AR33">
            <v>0</v>
          </cell>
        </row>
        <row r="34">
          <cell r="AR34">
            <v>0</v>
          </cell>
        </row>
        <row r="35">
          <cell r="AR35">
            <v>0</v>
          </cell>
        </row>
        <row r="36">
          <cell r="AR36">
            <v>0</v>
          </cell>
        </row>
        <row r="37">
          <cell r="AR37">
            <v>0</v>
          </cell>
        </row>
        <row r="38">
          <cell r="AR38">
            <v>0</v>
          </cell>
        </row>
        <row r="39">
          <cell r="AR39">
            <v>0</v>
          </cell>
        </row>
        <row r="40">
          <cell r="AR40">
            <v>0</v>
          </cell>
        </row>
        <row r="41">
          <cell r="AR41">
            <v>0</v>
          </cell>
        </row>
        <row r="42">
          <cell r="AR42">
            <v>0</v>
          </cell>
        </row>
        <row r="43">
          <cell r="AR43">
            <v>0</v>
          </cell>
        </row>
        <row r="44">
          <cell r="AR44">
            <v>0</v>
          </cell>
        </row>
        <row r="45">
          <cell r="AR45">
            <v>0</v>
          </cell>
        </row>
        <row r="46">
          <cell r="AR46">
            <v>0</v>
          </cell>
        </row>
        <row r="47">
          <cell r="AR47">
            <v>0</v>
          </cell>
        </row>
        <row r="48">
          <cell r="AR48">
            <v>0</v>
          </cell>
        </row>
        <row r="49">
          <cell r="AR49">
            <v>0</v>
          </cell>
        </row>
        <row r="50">
          <cell r="AR50">
            <v>0</v>
          </cell>
        </row>
        <row r="51">
          <cell r="AR51">
            <v>0</v>
          </cell>
        </row>
        <row r="52">
          <cell r="AR52">
            <v>0</v>
          </cell>
        </row>
        <row r="53">
          <cell r="AR53">
            <v>0</v>
          </cell>
        </row>
        <row r="54">
          <cell r="AR54">
            <v>0</v>
          </cell>
        </row>
        <row r="55">
          <cell r="AR55">
            <v>0</v>
          </cell>
        </row>
        <row r="56">
          <cell r="AR56">
            <v>0</v>
          </cell>
        </row>
        <row r="57">
          <cell r="AR57">
            <v>0</v>
          </cell>
        </row>
        <row r="58">
          <cell r="AR58">
            <v>0</v>
          </cell>
        </row>
        <row r="59">
          <cell r="AR59">
            <v>0</v>
          </cell>
        </row>
        <row r="60">
          <cell r="AR60">
            <v>0</v>
          </cell>
        </row>
        <row r="61">
          <cell r="AR61">
            <v>0</v>
          </cell>
        </row>
        <row r="62">
          <cell r="AR62">
            <v>0</v>
          </cell>
        </row>
        <row r="63">
          <cell r="AR63">
            <v>0</v>
          </cell>
        </row>
        <row r="64">
          <cell r="AR64">
            <v>0</v>
          </cell>
        </row>
        <row r="65">
          <cell r="AR65">
            <v>0</v>
          </cell>
        </row>
        <row r="66">
          <cell r="AR66">
            <v>0</v>
          </cell>
        </row>
        <row r="67">
          <cell r="AR67">
            <v>0</v>
          </cell>
        </row>
        <row r="68">
          <cell r="AR68">
            <v>0</v>
          </cell>
        </row>
        <row r="69">
          <cell r="AR69">
            <v>0</v>
          </cell>
        </row>
        <row r="70">
          <cell r="AR70">
            <v>0</v>
          </cell>
        </row>
        <row r="71">
          <cell r="AR71">
            <v>0</v>
          </cell>
        </row>
        <row r="72">
          <cell r="AR72">
            <v>0</v>
          </cell>
        </row>
        <row r="73">
          <cell r="AR73">
            <v>0</v>
          </cell>
        </row>
        <row r="74">
          <cell r="AR74">
            <v>0</v>
          </cell>
        </row>
        <row r="75">
          <cell r="AR75">
            <v>0</v>
          </cell>
        </row>
        <row r="76">
          <cell r="AR76">
            <v>0</v>
          </cell>
        </row>
        <row r="77">
          <cell r="AR77">
            <v>0</v>
          </cell>
        </row>
        <row r="86">
          <cell r="AR86">
            <v>0</v>
          </cell>
        </row>
        <row r="87">
          <cell r="AR87">
            <v>0</v>
          </cell>
        </row>
        <row r="88">
          <cell r="AR88">
            <v>0</v>
          </cell>
        </row>
        <row r="89">
          <cell r="AR89">
            <v>0</v>
          </cell>
        </row>
        <row r="90">
          <cell r="AR90">
            <v>0</v>
          </cell>
        </row>
        <row r="91">
          <cell r="AR91">
            <v>0</v>
          </cell>
        </row>
        <row r="92">
          <cell r="AR92">
            <v>0</v>
          </cell>
        </row>
        <row r="93">
          <cell r="AR93">
            <v>0</v>
          </cell>
        </row>
        <row r="94">
          <cell r="AR94">
            <v>0</v>
          </cell>
        </row>
        <row r="95">
          <cell r="AR95">
            <v>0</v>
          </cell>
        </row>
        <row r="96">
          <cell r="AR96">
            <v>0</v>
          </cell>
        </row>
        <row r="97">
          <cell r="AR97">
            <v>0</v>
          </cell>
        </row>
        <row r="98">
          <cell r="AR98">
            <v>0</v>
          </cell>
        </row>
        <row r="99">
          <cell r="AR99">
            <v>0</v>
          </cell>
        </row>
        <row r="100">
          <cell r="AR100">
            <v>0</v>
          </cell>
        </row>
        <row r="101">
          <cell r="AR101">
            <v>0</v>
          </cell>
        </row>
        <row r="102">
          <cell r="AR102">
            <v>0</v>
          </cell>
        </row>
      </sheetData>
      <sheetData sheetId="4">
        <row r="3">
          <cell r="AR3" t="str">
            <v>Total</v>
          </cell>
        </row>
        <row r="4">
          <cell r="AR4">
            <v>0</v>
          </cell>
        </row>
        <row r="5">
          <cell r="AR5">
            <v>0</v>
          </cell>
        </row>
        <row r="6">
          <cell r="AR6">
            <v>0</v>
          </cell>
        </row>
        <row r="7">
          <cell r="AR7">
            <v>0</v>
          </cell>
        </row>
        <row r="23">
          <cell r="AR23">
            <v>0</v>
          </cell>
        </row>
        <row r="24">
          <cell r="AR24">
            <v>0</v>
          </cell>
        </row>
        <row r="25">
          <cell r="AR25" t="e">
            <v>#DIV/0!</v>
          </cell>
        </row>
        <row r="26">
          <cell r="AR26" t="e">
            <v>#DIV/0!</v>
          </cell>
        </row>
        <row r="27">
          <cell r="AR27">
            <v>0</v>
          </cell>
        </row>
        <row r="28">
          <cell r="AR28">
            <v>0</v>
          </cell>
        </row>
        <row r="29">
          <cell r="AR29">
            <v>0</v>
          </cell>
        </row>
        <row r="30">
          <cell r="AR30">
            <v>0</v>
          </cell>
        </row>
        <row r="31">
          <cell r="AR31">
            <v>0</v>
          </cell>
        </row>
        <row r="32">
          <cell r="AR32">
            <v>0</v>
          </cell>
        </row>
        <row r="33">
          <cell r="AR33">
            <v>0</v>
          </cell>
        </row>
        <row r="34">
          <cell r="AR34">
            <v>0</v>
          </cell>
        </row>
        <row r="35">
          <cell r="AR35">
            <v>0</v>
          </cell>
        </row>
        <row r="36">
          <cell r="AR36">
            <v>0</v>
          </cell>
        </row>
        <row r="37">
          <cell r="AR37">
            <v>0</v>
          </cell>
        </row>
        <row r="38">
          <cell r="AR38">
            <v>0</v>
          </cell>
        </row>
        <row r="39">
          <cell r="AR39">
            <v>0</v>
          </cell>
        </row>
        <row r="40">
          <cell r="AR40">
            <v>0</v>
          </cell>
        </row>
        <row r="41">
          <cell r="AR41">
            <v>0</v>
          </cell>
        </row>
        <row r="42">
          <cell r="AR42">
            <v>0</v>
          </cell>
        </row>
        <row r="43">
          <cell r="AR43">
            <v>0</v>
          </cell>
        </row>
        <row r="44">
          <cell r="AR44">
            <v>0</v>
          </cell>
        </row>
        <row r="45">
          <cell r="AR45">
            <v>0</v>
          </cell>
        </row>
        <row r="46">
          <cell r="AR46">
            <v>0</v>
          </cell>
        </row>
        <row r="47">
          <cell r="AR47">
            <v>0</v>
          </cell>
        </row>
        <row r="48">
          <cell r="AR48">
            <v>0</v>
          </cell>
        </row>
        <row r="49">
          <cell r="AR49">
            <v>0</v>
          </cell>
        </row>
        <row r="50">
          <cell r="AR50">
            <v>0</v>
          </cell>
        </row>
        <row r="51">
          <cell r="AR51">
            <v>0</v>
          </cell>
        </row>
        <row r="52">
          <cell r="AR52">
            <v>0</v>
          </cell>
        </row>
        <row r="53">
          <cell r="AR53">
            <v>0</v>
          </cell>
        </row>
        <row r="54">
          <cell r="AR54">
            <v>0</v>
          </cell>
        </row>
        <row r="55">
          <cell r="AR55">
            <v>0</v>
          </cell>
        </row>
        <row r="56">
          <cell r="AR56">
            <v>0</v>
          </cell>
        </row>
        <row r="57">
          <cell r="AR57">
            <v>0</v>
          </cell>
        </row>
        <row r="58">
          <cell r="AR58">
            <v>0</v>
          </cell>
        </row>
        <row r="59">
          <cell r="AR59">
            <v>0</v>
          </cell>
        </row>
        <row r="60">
          <cell r="AR60">
            <v>0</v>
          </cell>
        </row>
        <row r="61">
          <cell r="AR61">
            <v>0</v>
          </cell>
        </row>
        <row r="62">
          <cell r="AR62">
            <v>0</v>
          </cell>
        </row>
        <row r="63">
          <cell r="AR63">
            <v>0</v>
          </cell>
        </row>
        <row r="64">
          <cell r="AR64">
            <v>0</v>
          </cell>
        </row>
        <row r="65">
          <cell r="AR65">
            <v>0</v>
          </cell>
        </row>
        <row r="66">
          <cell r="AR66">
            <v>0</v>
          </cell>
        </row>
        <row r="67">
          <cell r="AR67">
            <v>0</v>
          </cell>
        </row>
        <row r="68">
          <cell r="AR68">
            <v>0</v>
          </cell>
        </row>
        <row r="69">
          <cell r="AR69">
            <v>0</v>
          </cell>
        </row>
        <row r="70">
          <cell r="AR70">
            <v>0</v>
          </cell>
        </row>
        <row r="71">
          <cell r="AR71">
            <v>0</v>
          </cell>
        </row>
        <row r="72">
          <cell r="AR72">
            <v>0</v>
          </cell>
        </row>
        <row r="73">
          <cell r="AR73">
            <v>0</v>
          </cell>
        </row>
        <row r="74">
          <cell r="AR74">
            <v>0</v>
          </cell>
        </row>
        <row r="75">
          <cell r="AR75">
            <v>0</v>
          </cell>
        </row>
        <row r="76">
          <cell r="AR76">
            <v>0</v>
          </cell>
        </row>
        <row r="77">
          <cell r="AR77">
            <v>0</v>
          </cell>
        </row>
        <row r="86">
          <cell r="AR86">
            <v>0</v>
          </cell>
        </row>
        <row r="87">
          <cell r="AR87">
            <v>0</v>
          </cell>
        </row>
        <row r="88">
          <cell r="AR88">
            <v>0</v>
          </cell>
        </row>
        <row r="89">
          <cell r="AR89">
            <v>0</v>
          </cell>
        </row>
        <row r="90">
          <cell r="AR90">
            <v>0</v>
          </cell>
        </row>
        <row r="91">
          <cell r="AR91">
            <v>0</v>
          </cell>
        </row>
        <row r="92">
          <cell r="AR92">
            <v>0</v>
          </cell>
        </row>
        <row r="93">
          <cell r="AR93">
            <v>0</v>
          </cell>
        </row>
        <row r="94">
          <cell r="AR94">
            <v>0</v>
          </cell>
        </row>
        <row r="95">
          <cell r="AR95">
            <v>0</v>
          </cell>
        </row>
        <row r="96">
          <cell r="AR96">
            <v>0</v>
          </cell>
        </row>
        <row r="97">
          <cell r="AR97">
            <v>0</v>
          </cell>
        </row>
        <row r="98">
          <cell r="AR98">
            <v>0</v>
          </cell>
        </row>
        <row r="99">
          <cell r="AR99">
            <v>0</v>
          </cell>
        </row>
        <row r="100">
          <cell r="AR100">
            <v>0</v>
          </cell>
        </row>
        <row r="101">
          <cell r="AR101">
            <v>0</v>
          </cell>
        </row>
        <row r="102">
          <cell r="AR102">
            <v>0</v>
          </cell>
        </row>
      </sheetData>
      <sheetData sheetId="5">
        <row r="3">
          <cell r="AR3" t="str">
            <v>Total</v>
          </cell>
        </row>
        <row r="4">
          <cell r="AR4">
            <v>0</v>
          </cell>
        </row>
        <row r="5">
          <cell r="AR5">
            <v>0</v>
          </cell>
        </row>
        <row r="6">
          <cell r="AR6">
            <v>0</v>
          </cell>
        </row>
        <row r="7">
          <cell r="AR7">
            <v>0</v>
          </cell>
        </row>
        <row r="23">
          <cell r="AR23">
            <v>0</v>
          </cell>
        </row>
        <row r="24">
          <cell r="AR24">
            <v>0</v>
          </cell>
        </row>
        <row r="25">
          <cell r="AR25" t="e">
            <v>#DIV/0!</v>
          </cell>
        </row>
        <row r="26">
          <cell r="AR26" t="e">
            <v>#DIV/0!</v>
          </cell>
        </row>
        <row r="27">
          <cell r="AR27">
            <v>0</v>
          </cell>
        </row>
        <row r="28">
          <cell r="AR28">
            <v>0</v>
          </cell>
        </row>
        <row r="29">
          <cell r="AR29">
            <v>0</v>
          </cell>
        </row>
        <row r="30">
          <cell r="AR30">
            <v>0</v>
          </cell>
        </row>
        <row r="31">
          <cell r="AR31">
            <v>0</v>
          </cell>
        </row>
        <row r="32">
          <cell r="AR32">
            <v>0</v>
          </cell>
        </row>
        <row r="33">
          <cell r="AR33">
            <v>0</v>
          </cell>
        </row>
        <row r="34">
          <cell r="AR34">
            <v>0</v>
          </cell>
        </row>
        <row r="35">
          <cell r="AR35">
            <v>0</v>
          </cell>
        </row>
        <row r="36">
          <cell r="AR36">
            <v>0</v>
          </cell>
        </row>
        <row r="37">
          <cell r="AR37">
            <v>0</v>
          </cell>
        </row>
        <row r="38">
          <cell r="AR38">
            <v>0</v>
          </cell>
        </row>
        <row r="39">
          <cell r="AR39">
            <v>0</v>
          </cell>
        </row>
        <row r="40">
          <cell r="AR40">
            <v>0</v>
          </cell>
        </row>
        <row r="41">
          <cell r="AR41">
            <v>0</v>
          </cell>
        </row>
        <row r="42">
          <cell r="AR42">
            <v>0</v>
          </cell>
        </row>
        <row r="43">
          <cell r="AR43">
            <v>0</v>
          </cell>
        </row>
        <row r="44">
          <cell r="AR44">
            <v>0</v>
          </cell>
        </row>
        <row r="45">
          <cell r="AR45">
            <v>0</v>
          </cell>
        </row>
        <row r="46">
          <cell r="AR46">
            <v>0</v>
          </cell>
        </row>
        <row r="47">
          <cell r="AR47">
            <v>0</v>
          </cell>
        </row>
        <row r="48">
          <cell r="AR48">
            <v>0</v>
          </cell>
        </row>
        <row r="49">
          <cell r="AR49">
            <v>0</v>
          </cell>
        </row>
        <row r="50">
          <cell r="AR50">
            <v>0</v>
          </cell>
        </row>
        <row r="51">
          <cell r="AR51">
            <v>0</v>
          </cell>
        </row>
        <row r="52">
          <cell r="AR52">
            <v>0</v>
          </cell>
        </row>
        <row r="53">
          <cell r="AR53">
            <v>0</v>
          </cell>
        </row>
        <row r="54">
          <cell r="AR54">
            <v>0</v>
          </cell>
        </row>
        <row r="55">
          <cell r="AR55">
            <v>0</v>
          </cell>
        </row>
        <row r="56">
          <cell r="AR56">
            <v>0</v>
          </cell>
        </row>
        <row r="57">
          <cell r="AR57">
            <v>0</v>
          </cell>
        </row>
        <row r="58">
          <cell r="AR58">
            <v>0</v>
          </cell>
        </row>
        <row r="59">
          <cell r="AR59">
            <v>0</v>
          </cell>
        </row>
        <row r="60">
          <cell r="AR60">
            <v>0</v>
          </cell>
        </row>
        <row r="61">
          <cell r="AR61">
            <v>0</v>
          </cell>
        </row>
        <row r="62">
          <cell r="AR62">
            <v>0</v>
          </cell>
        </row>
        <row r="63">
          <cell r="AR63">
            <v>0</v>
          </cell>
        </row>
        <row r="64">
          <cell r="AR64">
            <v>0</v>
          </cell>
        </row>
        <row r="65">
          <cell r="AR65">
            <v>0</v>
          </cell>
        </row>
        <row r="66">
          <cell r="AR66">
            <v>0</v>
          </cell>
        </row>
        <row r="67">
          <cell r="AR67">
            <v>0</v>
          </cell>
        </row>
        <row r="68">
          <cell r="AR68">
            <v>0</v>
          </cell>
        </row>
        <row r="69">
          <cell r="AR69">
            <v>0</v>
          </cell>
        </row>
        <row r="70">
          <cell r="AR70">
            <v>0</v>
          </cell>
        </row>
        <row r="71">
          <cell r="AR71">
            <v>0</v>
          </cell>
        </row>
        <row r="72">
          <cell r="AR72">
            <v>0</v>
          </cell>
        </row>
        <row r="73">
          <cell r="AR73">
            <v>0</v>
          </cell>
        </row>
        <row r="74">
          <cell r="AR74">
            <v>0</v>
          </cell>
        </row>
        <row r="75">
          <cell r="AR75">
            <v>0</v>
          </cell>
        </row>
        <row r="76">
          <cell r="AR76">
            <v>0</v>
          </cell>
        </row>
        <row r="77">
          <cell r="AR77">
            <v>0</v>
          </cell>
        </row>
        <row r="86">
          <cell r="AR86">
            <v>0</v>
          </cell>
        </row>
        <row r="87">
          <cell r="AR87">
            <v>0</v>
          </cell>
        </row>
        <row r="88">
          <cell r="AR88">
            <v>0</v>
          </cell>
        </row>
        <row r="89">
          <cell r="AR89">
            <v>0</v>
          </cell>
        </row>
        <row r="90">
          <cell r="AR90">
            <v>0</v>
          </cell>
        </row>
        <row r="91">
          <cell r="AR91">
            <v>0</v>
          </cell>
        </row>
        <row r="92">
          <cell r="AR92">
            <v>0</v>
          </cell>
        </row>
        <row r="93">
          <cell r="AR93">
            <v>0</v>
          </cell>
        </row>
        <row r="94">
          <cell r="AR94">
            <v>0</v>
          </cell>
        </row>
        <row r="95">
          <cell r="AR95">
            <v>0</v>
          </cell>
        </row>
        <row r="96">
          <cell r="AR96">
            <v>0</v>
          </cell>
        </row>
        <row r="97">
          <cell r="AR97">
            <v>0</v>
          </cell>
        </row>
        <row r="98">
          <cell r="AR98">
            <v>0</v>
          </cell>
        </row>
        <row r="99">
          <cell r="AR99">
            <v>0</v>
          </cell>
        </row>
        <row r="100">
          <cell r="AR100">
            <v>0</v>
          </cell>
        </row>
        <row r="101">
          <cell r="AR101">
            <v>0</v>
          </cell>
        </row>
        <row r="102">
          <cell r="AR102">
            <v>0</v>
          </cell>
        </row>
      </sheetData>
      <sheetData sheetId="6">
        <row r="2">
          <cell r="AR2" t="str">
            <v>L2 - Noite</v>
          </cell>
        </row>
        <row r="3">
          <cell r="AR3" t="str">
            <v>Total</v>
          </cell>
        </row>
        <row r="4">
          <cell r="AR4">
            <v>0</v>
          </cell>
        </row>
        <row r="5">
          <cell r="AR5">
            <v>0</v>
          </cell>
        </row>
        <row r="6">
          <cell r="AR6">
            <v>0</v>
          </cell>
        </row>
        <row r="7">
          <cell r="AR7">
            <v>0</v>
          </cell>
        </row>
        <row r="23">
          <cell r="AR23">
            <v>0</v>
          </cell>
        </row>
        <row r="24">
          <cell r="AR24">
            <v>0</v>
          </cell>
        </row>
        <row r="25">
          <cell r="AR25" t="e">
            <v>#DIV/0!</v>
          </cell>
        </row>
        <row r="26">
          <cell r="AR26" t="e">
            <v>#DIV/0!</v>
          </cell>
        </row>
        <row r="27">
          <cell r="AR27">
            <v>0</v>
          </cell>
        </row>
        <row r="28">
          <cell r="AR28">
            <v>0</v>
          </cell>
        </row>
        <row r="29">
          <cell r="AR29">
            <v>0</v>
          </cell>
        </row>
        <row r="30">
          <cell r="AR30">
            <v>0</v>
          </cell>
        </row>
        <row r="31">
          <cell r="AR31">
            <v>0</v>
          </cell>
        </row>
        <row r="32">
          <cell r="AR32">
            <v>0</v>
          </cell>
        </row>
        <row r="33">
          <cell r="AR33">
            <v>0</v>
          </cell>
        </row>
        <row r="34">
          <cell r="AR34">
            <v>0</v>
          </cell>
        </row>
        <row r="35">
          <cell r="AR35">
            <v>0</v>
          </cell>
        </row>
        <row r="36">
          <cell r="AR36">
            <v>0</v>
          </cell>
        </row>
        <row r="37">
          <cell r="AR37">
            <v>0</v>
          </cell>
        </row>
        <row r="38">
          <cell r="AR38">
            <v>0</v>
          </cell>
        </row>
        <row r="39">
          <cell r="AR39">
            <v>0</v>
          </cell>
        </row>
        <row r="40">
          <cell r="AR40">
            <v>0</v>
          </cell>
        </row>
        <row r="41">
          <cell r="AR41">
            <v>0</v>
          </cell>
        </row>
        <row r="42">
          <cell r="AR42">
            <v>0</v>
          </cell>
        </row>
        <row r="43">
          <cell r="AR43">
            <v>0</v>
          </cell>
        </row>
        <row r="44">
          <cell r="AR44">
            <v>0</v>
          </cell>
        </row>
        <row r="45">
          <cell r="AR45">
            <v>0</v>
          </cell>
        </row>
        <row r="46">
          <cell r="AR46">
            <v>0</v>
          </cell>
        </row>
        <row r="47">
          <cell r="AR47">
            <v>0</v>
          </cell>
        </row>
        <row r="48">
          <cell r="AR48">
            <v>0</v>
          </cell>
        </row>
        <row r="49">
          <cell r="AR49">
            <v>0</v>
          </cell>
        </row>
        <row r="50">
          <cell r="AR50">
            <v>0</v>
          </cell>
        </row>
        <row r="51">
          <cell r="AR51">
            <v>0</v>
          </cell>
        </row>
        <row r="52">
          <cell r="AR52">
            <v>0</v>
          </cell>
        </row>
        <row r="53">
          <cell r="AR53">
            <v>0</v>
          </cell>
        </row>
        <row r="54">
          <cell r="AR54">
            <v>0</v>
          </cell>
        </row>
        <row r="55">
          <cell r="AR55">
            <v>0</v>
          </cell>
        </row>
        <row r="56">
          <cell r="AR56">
            <v>0</v>
          </cell>
        </row>
        <row r="57">
          <cell r="AR57">
            <v>0</v>
          </cell>
        </row>
        <row r="58">
          <cell r="AR58">
            <v>0</v>
          </cell>
        </row>
        <row r="59">
          <cell r="AR59">
            <v>0</v>
          </cell>
        </row>
        <row r="60">
          <cell r="AR60">
            <v>0</v>
          </cell>
        </row>
        <row r="61">
          <cell r="AR61">
            <v>0</v>
          </cell>
        </row>
        <row r="62">
          <cell r="AR62">
            <v>0</v>
          </cell>
        </row>
        <row r="63">
          <cell r="AR63">
            <v>0</v>
          </cell>
        </row>
        <row r="64">
          <cell r="AR64">
            <v>0</v>
          </cell>
        </row>
        <row r="65">
          <cell r="AR65">
            <v>0</v>
          </cell>
        </row>
        <row r="66">
          <cell r="AR66">
            <v>0</v>
          </cell>
        </row>
        <row r="67">
          <cell r="AR67">
            <v>0</v>
          </cell>
        </row>
        <row r="68">
          <cell r="AR68">
            <v>0</v>
          </cell>
        </row>
        <row r="69">
          <cell r="AR69">
            <v>0</v>
          </cell>
        </row>
        <row r="70">
          <cell r="AR70">
            <v>0</v>
          </cell>
        </row>
        <row r="71">
          <cell r="AR71">
            <v>0</v>
          </cell>
        </row>
        <row r="72">
          <cell r="AR72">
            <v>0</v>
          </cell>
        </row>
        <row r="73">
          <cell r="AR73">
            <v>0</v>
          </cell>
        </row>
        <row r="74">
          <cell r="AR74">
            <v>0</v>
          </cell>
        </row>
        <row r="75">
          <cell r="AR75">
            <v>0</v>
          </cell>
        </row>
        <row r="76">
          <cell r="AR76">
            <v>0</v>
          </cell>
        </row>
        <row r="77">
          <cell r="AR77">
            <v>0</v>
          </cell>
        </row>
        <row r="86">
          <cell r="AR86">
            <v>0</v>
          </cell>
        </row>
        <row r="87">
          <cell r="AR87">
            <v>0</v>
          </cell>
        </row>
        <row r="88">
          <cell r="AR88">
            <v>0</v>
          </cell>
        </row>
        <row r="89">
          <cell r="AR89">
            <v>0</v>
          </cell>
        </row>
        <row r="90">
          <cell r="AR90">
            <v>0</v>
          </cell>
        </row>
        <row r="91">
          <cell r="AR91">
            <v>0</v>
          </cell>
        </row>
        <row r="92">
          <cell r="AR92">
            <v>0</v>
          </cell>
        </row>
        <row r="93">
          <cell r="AR93">
            <v>0</v>
          </cell>
        </row>
        <row r="94">
          <cell r="AR94">
            <v>0</v>
          </cell>
        </row>
        <row r="95">
          <cell r="AR95">
            <v>0</v>
          </cell>
        </row>
        <row r="96">
          <cell r="AR96">
            <v>0</v>
          </cell>
        </row>
        <row r="97">
          <cell r="AR97">
            <v>0</v>
          </cell>
        </row>
        <row r="98">
          <cell r="AR98">
            <v>0</v>
          </cell>
        </row>
        <row r="99">
          <cell r="AR99">
            <v>0</v>
          </cell>
        </row>
        <row r="100">
          <cell r="AR100">
            <v>0</v>
          </cell>
        </row>
        <row r="101">
          <cell r="AR101">
            <v>0</v>
          </cell>
        </row>
        <row r="102">
          <cell r="AR102">
            <v>0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ipos de Defeitos"/>
      <sheetName val="UM-4 - Dia"/>
      <sheetName val="UM-4 - 2T"/>
      <sheetName val="UM-4 - 3T"/>
      <sheetName val="Rascunho"/>
      <sheetName val="Dados do Gráfico Total"/>
      <sheetName val="Gráfico Falhas VA"/>
      <sheetName val="Falhas por Modelo"/>
      <sheetName val="Dados do Gráfico"/>
      <sheetName val="SJCPIL-R 15-115-00 - MTG - UM-4"/>
    </sheetNames>
    <definedNames>
      <definedName name="TX_DV_TT" refersTo="='UM-4 - 2T'!$AT$80"/>
    </definedNames>
    <sheetDataSet>
      <sheetData sheetId="0"/>
      <sheetData sheetId="1"/>
      <sheetData sheetId="2">
        <row r="7">
          <cell r="AS7">
            <v>1200350</v>
          </cell>
        </row>
      </sheetData>
      <sheetData sheetId="3">
        <row r="7">
          <cell r="AS7">
            <v>2160550</v>
          </cell>
        </row>
        <row r="80">
          <cell r="AT80">
            <v>609.67486387574752</v>
          </cell>
        </row>
      </sheetData>
      <sheetData sheetId="4">
        <row r="7">
          <cell r="AS7">
            <v>1560650</v>
          </cell>
        </row>
        <row r="79">
          <cell r="AT79">
            <v>505.92801048450184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ipos de Defeitos"/>
      <sheetName val="UM-4 - Dia"/>
      <sheetName val="UM-4 - 2T"/>
      <sheetName val="UM-4 - 3T"/>
      <sheetName val="Rascunho"/>
      <sheetName val="Dados do Gráfico Total"/>
      <sheetName val="Gráfico Falhas VA"/>
      <sheetName val="Falhas por Modelo"/>
      <sheetName val="Dados do Gráfico"/>
    </sheetNames>
    <sheetDataSet>
      <sheetData sheetId="0"/>
      <sheetData sheetId="1"/>
      <sheetData sheetId="2">
        <row r="7">
          <cell r="AS7">
            <v>1200350</v>
          </cell>
        </row>
        <row r="23">
          <cell r="AS23">
            <v>1321</v>
          </cell>
        </row>
        <row r="24">
          <cell r="AS24">
            <v>1321</v>
          </cell>
        </row>
        <row r="27">
          <cell r="AS27">
            <v>160</v>
          </cell>
        </row>
        <row r="28">
          <cell r="AS28">
            <v>0</v>
          </cell>
        </row>
        <row r="29">
          <cell r="AS29">
            <v>0</v>
          </cell>
        </row>
        <row r="30">
          <cell r="AS30">
            <v>0</v>
          </cell>
        </row>
        <row r="31">
          <cell r="AS31">
            <v>0</v>
          </cell>
        </row>
        <row r="32">
          <cell r="AS32">
            <v>0</v>
          </cell>
        </row>
        <row r="33">
          <cell r="AS33">
            <v>0</v>
          </cell>
        </row>
        <row r="34">
          <cell r="AS34">
            <v>0</v>
          </cell>
        </row>
        <row r="35">
          <cell r="AS35">
            <v>54</v>
          </cell>
        </row>
        <row r="36">
          <cell r="AS36">
            <v>0</v>
          </cell>
        </row>
        <row r="37">
          <cell r="AS37">
            <v>0</v>
          </cell>
        </row>
        <row r="38">
          <cell r="AS38">
            <v>0</v>
          </cell>
        </row>
        <row r="39">
          <cell r="AS39">
            <v>0</v>
          </cell>
        </row>
        <row r="40">
          <cell r="AS40">
            <v>0</v>
          </cell>
        </row>
        <row r="41">
          <cell r="AS41">
            <v>0</v>
          </cell>
        </row>
        <row r="42">
          <cell r="AS42">
            <v>2</v>
          </cell>
        </row>
        <row r="43">
          <cell r="AS43">
            <v>0</v>
          </cell>
        </row>
        <row r="44">
          <cell r="AS44">
            <v>1</v>
          </cell>
        </row>
        <row r="45">
          <cell r="AS45">
            <v>6</v>
          </cell>
        </row>
        <row r="46">
          <cell r="AS46">
            <v>2</v>
          </cell>
        </row>
        <row r="47">
          <cell r="AS47">
            <v>0</v>
          </cell>
        </row>
        <row r="48">
          <cell r="AS48">
            <v>0</v>
          </cell>
        </row>
        <row r="49">
          <cell r="AS49">
            <v>0</v>
          </cell>
        </row>
        <row r="50">
          <cell r="AS50">
            <v>0</v>
          </cell>
        </row>
        <row r="51">
          <cell r="AS51">
            <v>0</v>
          </cell>
        </row>
        <row r="52">
          <cell r="AS52">
            <v>0</v>
          </cell>
        </row>
        <row r="53">
          <cell r="AS53">
            <v>0</v>
          </cell>
        </row>
        <row r="54">
          <cell r="AS54">
            <v>8</v>
          </cell>
        </row>
        <row r="55">
          <cell r="AS55">
            <v>0</v>
          </cell>
        </row>
        <row r="56">
          <cell r="AS56">
            <v>0</v>
          </cell>
        </row>
        <row r="57">
          <cell r="AS57">
            <v>0</v>
          </cell>
        </row>
        <row r="58">
          <cell r="AS58">
            <v>21</v>
          </cell>
        </row>
        <row r="59">
          <cell r="AS59">
            <v>0</v>
          </cell>
        </row>
        <row r="60">
          <cell r="AS60">
            <v>0</v>
          </cell>
        </row>
        <row r="61">
          <cell r="AS61">
            <v>0</v>
          </cell>
        </row>
        <row r="62">
          <cell r="AS62">
            <v>0</v>
          </cell>
        </row>
        <row r="63">
          <cell r="AS63">
            <v>0</v>
          </cell>
        </row>
        <row r="64">
          <cell r="AS64">
            <v>0</v>
          </cell>
        </row>
        <row r="65">
          <cell r="AS65">
            <v>0</v>
          </cell>
        </row>
        <row r="66">
          <cell r="AS66">
            <v>0</v>
          </cell>
        </row>
        <row r="67">
          <cell r="AS67">
            <v>0</v>
          </cell>
        </row>
        <row r="68">
          <cell r="AS68">
            <v>33</v>
          </cell>
        </row>
        <row r="69">
          <cell r="AS69">
            <v>0</v>
          </cell>
        </row>
        <row r="70">
          <cell r="AS70">
            <v>0</v>
          </cell>
        </row>
        <row r="71">
          <cell r="AS71">
            <v>14</v>
          </cell>
        </row>
        <row r="72">
          <cell r="AS72">
            <v>1</v>
          </cell>
        </row>
        <row r="73">
          <cell r="AS73">
            <v>0</v>
          </cell>
        </row>
        <row r="74">
          <cell r="AS74">
            <v>0</v>
          </cell>
        </row>
        <row r="75">
          <cell r="AS75">
            <v>5</v>
          </cell>
        </row>
        <row r="76">
          <cell r="AS76">
            <v>0</v>
          </cell>
        </row>
        <row r="77">
          <cell r="AS77">
            <v>3</v>
          </cell>
        </row>
        <row r="78">
          <cell r="AS78">
            <v>150</v>
          </cell>
        </row>
        <row r="81">
          <cell r="AS81">
            <v>117</v>
          </cell>
        </row>
        <row r="85">
          <cell r="AS85">
            <v>9</v>
          </cell>
        </row>
        <row r="86">
          <cell r="AS86">
            <v>0</v>
          </cell>
        </row>
        <row r="87">
          <cell r="AS87">
            <v>0</v>
          </cell>
        </row>
        <row r="88">
          <cell r="AS88">
            <v>0</v>
          </cell>
        </row>
        <row r="89">
          <cell r="AS89">
            <v>0</v>
          </cell>
        </row>
        <row r="90">
          <cell r="AS90">
            <v>9</v>
          </cell>
        </row>
        <row r="91">
          <cell r="AS91">
            <v>0</v>
          </cell>
        </row>
        <row r="92">
          <cell r="AS92">
            <v>0</v>
          </cell>
        </row>
        <row r="93">
          <cell r="AS93">
            <v>0</v>
          </cell>
        </row>
        <row r="94">
          <cell r="AS94">
            <v>0</v>
          </cell>
        </row>
        <row r="95">
          <cell r="AS95">
            <v>0</v>
          </cell>
        </row>
        <row r="96">
          <cell r="AS96">
            <v>0</v>
          </cell>
        </row>
        <row r="97">
          <cell r="AS97">
            <v>0</v>
          </cell>
        </row>
        <row r="98">
          <cell r="AS98">
            <v>0</v>
          </cell>
        </row>
        <row r="99">
          <cell r="AS99">
            <v>0</v>
          </cell>
        </row>
        <row r="100">
          <cell r="AS100">
            <v>0</v>
          </cell>
        </row>
        <row r="101">
          <cell r="AS101">
            <v>0</v>
          </cell>
        </row>
        <row r="102">
          <cell r="AS102">
            <v>0</v>
          </cell>
        </row>
        <row r="103">
          <cell r="AS103">
            <v>9</v>
          </cell>
        </row>
        <row r="104">
          <cell r="AS104">
            <v>61.903819719248553</v>
          </cell>
        </row>
        <row r="105">
          <cell r="AS105">
            <v>1100.5123505644187</v>
          </cell>
        </row>
      </sheetData>
      <sheetData sheetId="3">
        <row r="7">
          <cell r="AS7">
            <v>2160550</v>
          </cell>
        </row>
        <row r="23">
          <cell r="AS23">
            <v>801</v>
          </cell>
        </row>
        <row r="24">
          <cell r="AS24">
            <v>801</v>
          </cell>
        </row>
        <row r="27">
          <cell r="AS27">
            <v>160</v>
          </cell>
        </row>
        <row r="28">
          <cell r="AS28">
            <v>0</v>
          </cell>
        </row>
        <row r="29">
          <cell r="AS29">
            <v>0</v>
          </cell>
        </row>
        <row r="30">
          <cell r="AS30">
            <v>0</v>
          </cell>
        </row>
        <row r="31">
          <cell r="AS31">
            <v>0</v>
          </cell>
        </row>
        <row r="32">
          <cell r="AS32">
            <v>2</v>
          </cell>
        </row>
        <row r="33">
          <cell r="AS33">
            <v>3</v>
          </cell>
        </row>
        <row r="34">
          <cell r="AS34">
            <v>0</v>
          </cell>
        </row>
        <row r="35">
          <cell r="AS35">
            <v>58</v>
          </cell>
        </row>
        <row r="36">
          <cell r="AS36">
            <v>2</v>
          </cell>
        </row>
        <row r="37">
          <cell r="AS37">
            <v>0</v>
          </cell>
        </row>
        <row r="38">
          <cell r="AS38">
            <v>0</v>
          </cell>
        </row>
        <row r="39">
          <cell r="AS39">
            <v>0</v>
          </cell>
        </row>
        <row r="40">
          <cell r="AS40">
            <v>0</v>
          </cell>
        </row>
        <row r="41">
          <cell r="AS41">
            <v>0</v>
          </cell>
        </row>
        <row r="42">
          <cell r="AS42">
            <v>0</v>
          </cell>
        </row>
        <row r="43">
          <cell r="AS43">
            <v>0</v>
          </cell>
        </row>
        <row r="44">
          <cell r="AS44">
            <v>5</v>
          </cell>
        </row>
        <row r="45">
          <cell r="AS45">
            <v>1</v>
          </cell>
        </row>
        <row r="46">
          <cell r="AS46">
            <v>0</v>
          </cell>
        </row>
        <row r="47">
          <cell r="AS47">
            <v>0</v>
          </cell>
        </row>
        <row r="48">
          <cell r="AS48">
            <v>0</v>
          </cell>
        </row>
        <row r="49">
          <cell r="AS49">
            <v>0</v>
          </cell>
        </row>
        <row r="50">
          <cell r="AS50">
            <v>0</v>
          </cell>
        </row>
        <row r="51">
          <cell r="AS51">
            <v>0</v>
          </cell>
        </row>
        <row r="52">
          <cell r="AS52">
            <v>0</v>
          </cell>
        </row>
        <row r="53">
          <cell r="AS53">
            <v>5</v>
          </cell>
        </row>
        <row r="54">
          <cell r="AS54">
            <v>0</v>
          </cell>
        </row>
        <row r="55">
          <cell r="AS55">
            <v>0</v>
          </cell>
        </row>
        <row r="56">
          <cell r="AS56">
            <v>0</v>
          </cell>
        </row>
        <row r="57">
          <cell r="AS57">
            <v>0</v>
          </cell>
        </row>
        <row r="58">
          <cell r="AS58">
            <v>43</v>
          </cell>
        </row>
        <row r="59">
          <cell r="AS59">
            <v>0</v>
          </cell>
        </row>
        <row r="60">
          <cell r="AS60">
            <v>0</v>
          </cell>
        </row>
        <row r="61">
          <cell r="AS61">
            <v>0</v>
          </cell>
        </row>
        <row r="62">
          <cell r="AS62">
            <v>0</v>
          </cell>
        </row>
        <row r="63">
          <cell r="AS63">
            <v>0</v>
          </cell>
        </row>
        <row r="64">
          <cell r="AS64">
            <v>0</v>
          </cell>
        </row>
        <row r="65">
          <cell r="AS65">
            <v>0</v>
          </cell>
        </row>
        <row r="66">
          <cell r="AS66">
            <v>0</v>
          </cell>
        </row>
        <row r="67">
          <cell r="AS67">
            <v>0</v>
          </cell>
        </row>
        <row r="68">
          <cell r="AS68">
            <v>19</v>
          </cell>
        </row>
        <row r="69">
          <cell r="AS69">
            <v>0</v>
          </cell>
        </row>
        <row r="70">
          <cell r="AS70">
            <v>0</v>
          </cell>
        </row>
        <row r="71">
          <cell r="AS71">
            <v>7</v>
          </cell>
        </row>
        <row r="72">
          <cell r="AS72">
            <v>6</v>
          </cell>
        </row>
        <row r="73">
          <cell r="AS73">
            <v>0</v>
          </cell>
        </row>
        <row r="74">
          <cell r="AS74">
            <v>0</v>
          </cell>
        </row>
        <row r="75">
          <cell r="AS75">
            <v>8</v>
          </cell>
        </row>
        <row r="76">
          <cell r="AS76">
            <v>0</v>
          </cell>
        </row>
        <row r="77">
          <cell r="AS77">
            <v>0</v>
          </cell>
        </row>
        <row r="78">
          <cell r="AS78">
            <v>159</v>
          </cell>
        </row>
        <row r="81">
          <cell r="AS81">
            <v>127</v>
          </cell>
        </row>
        <row r="85">
          <cell r="AS85">
            <v>1</v>
          </cell>
        </row>
        <row r="86">
          <cell r="AS86">
            <v>0</v>
          </cell>
        </row>
        <row r="87">
          <cell r="AS87">
            <v>0</v>
          </cell>
        </row>
        <row r="88">
          <cell r="AS88">
            <v>0</v>
          </cell>
        </row>
        <row r="89">
          <cell r="AS89">
            <v>0</v>
          </cell>
        </row>
        <row r="90">
          <cell r="AS90">
            <v>0</v>
          </cell>
        </row>
        <row r="91">
          <cell r="AS91">
            <v>0</v>
          </cell>
        </row>
        <row r="92">
          <cell r="AS92">
            <v>0</v>
          </cell>
        </row>
        <row r="93">
          <cell r="AS93">
            <v>1</v>
          </cell>
        </row>
        <row r="94">
          <cell r="AS94">
            <v>0</v>
          </cell>
        </row>
        <row r="95">
          <cell r="AS95">
            <v>0</v>
          </cell>
        </row>
        <row r="96">
          <cell r="AS96">
            <v>0</v>
          </cell>
        </row>
        <row r="97">
          <cell r="AS97">
            <v>0</v>
          </cell>
        </row>
        <row r="98">
          <cell r="AS98">
            <v>0</v>
          </cell>
        </row>
        <row r="99">
          <cell r="AS99">
            <v>0</v>
          </cell>
        </row>
        <row r="100">
          <cell r="AS100">
            <v>0</v>
          </cell>
        </row>
        <row r="101">
          <cell r="AS101">
            <v>0</v>
          </cell>
        </row>
        <row r="102">
          <cell r="AS102">
            <v>0</v>
          </cell>
        </row>
        <row r="103">
          <cell r="AS103">
            <v>1</v>
          </cell>
        </row>
        <row r="104">
          <cell r="AS104">
            <v>2.3171183263520865</v>
          </cell>
        </row>
        <row r="105">
          <cell r="AS105">
            <v>370.73893221633381</v>
          </cell>
        </row>
      </sheetData>
      <sheetData sheetId="4">
        <row r="7">
          <cell r="AS7">
            <v>1560650</v>
          </cell>
        </row>
        <row r="23">
          <cell r="AS23">
            <v>499</v>
          </cell>
        </row>
        <row r="24">
          <cell r="AS24">
            <v>499</v>
          </cell>
        </row>
        <row r="27">
          <cell r="AS27">
            <v>160</v>
          </cell>
        </row>
        <row r="28">
          <cell r="AS28">
            <v>1</v>
          </cell>
        </row>
        <row r="29">
          <cell r="AS29">
            <v>0</v>
          </cell>
        </row>
        <row r="30">
          <cell r="AS30">
            <v>0</v>
          </cell>
        </row>
        <row r="31">
          <cell r="AS31">
            <v>0</v>
          </cell>
        </row>
        <row r="32">
          <cell r="AS32">
            <v>0</v>
          </cell>
        </row>
        <row r="33">
          <cell r="AS33">
            <v>0</v>
          </cell>
        </row>
        <row r="34">
          <cell r="AS34">
            <v>0</v>
          </cell>
        </row>
        <row r="35">
          <cell r="AS35">
            <v>53</v>
          </cell>
        </row>
        <row r="36">
          <cell r="AS36">
            <v>1</v>
          </cell>
        </row>
        <row r="37">
          <cell r="AS37">
            <v>0</v>
          </cell>
        </row>
        <row r="38">
          <cell r="AS38">
            <v>0</v>
          </cell>
        </row>
        <row r="39">
          <cell r="AS39">
            <v>0</v>
          </cell>
        </row>
        <row r="40">
          <cell r="AS40">
            <v>0</v>
          </cell>
        </row>
        <row r="41">
          <cell r="AS41">
            <v>0</v>
          </cell>
        </row>
        <row r="42">
          <cell r="AS42">
            <v>0</v>
          </cell>
        </row>
        <row r="43">
          <cell r="AS43">
            <v>0</v>
          </cell>
        </row>
        <row r="44">
          <cell r="AS44">
            <v>1</v>
          </cell>
        </row>
        <row r="45">
          <cell r="AS45">
            <v>6</v>
          </cell>
        </row>
        <row r="46">
          <cell r="AS46">
            <v>1</v>
          </cell>
        </row>
        <row r="47">
          <cell r="AS47">
            <v>0</v>
          </cell>
        </row>
        <row r="48">
          <cell r="AS48">
            <v>0</v>
          </cell>
        </row>
        <row r="49">
          <cell r="AS49">
            <v>0</v>
          </cell>
        </row>
        <row r="50">
          <cell r="AS50">
            <v>0</v>
          </cell>
        </row>
        <row r="51">
          <cell r="AS51">
            <v>0</v>
          </cell>
        </row>
        <row r="52">
          <cell r="AS52">
            <v>0</v>
          </cell>
        </row>
        <row r="53">
          <cell r="AS53">
            <v>0</v>
          </cell>
        </row>
        <row r="54">
          <cell r="AS54">
            <v>3</v>
          </cell>
        </row>
        <row r="55">
          <cell r="AS55">
            <v>1</v>
          </cell>
        </row>
        <row r="56">
          <cell r="AS56">
            <v>0</v>
          </cell>
        </row>
        <row r="57">
          <cell r="AS57">
            <v>0</v>
          </cell>
        </row>
        <row r="58">
          <cell r="AS58">
            <v>36</v>
          </cell>
        </row>
        <row r="59">
          <cell r="AS59">
            <v>1</v>
          </cell>
        </row>
        <row r="60">
          <cell r="AS60">
            <v>0</v>
          </cell>
        </row>
        <row r="61">
          <cell r="AS61">
            <v>0</v>
          </cell>
        </row>
        <row r="62">
          <cell r="AS62">
            <v>0</v>
          </cell>
        </row>
        <row r="63">
          <cell r="AS63">
            <v>0</v>
          </cell>
        </row>
        <row r="64">
          <cell r="AS64">
            <v>0</v>
          </cell>
        </row>
        <row r="65">
          <cell r="AS65">
            <v>0</v>
          </cell>
        </row>
        <row r="66">
          <cell r="AS66">
            <v>0</v>
          </cell>
        </row>
        <row r="67">
          <cell r="AS67">
            <v>0</v>
          </cell>
        </row>
        <row r="68">
          <cell r="AS68">
            <v>27</v>
          </cell>
        </row>
        <row r="69">
          <cell r="AS69">
            <v>2</v>
          </cell>
        </row>
        <row r="70">
          <cell r="AS70">
            <v>0</v>
          </cell>
        </row>
        <row r="71">
          <cell r="AS71">
            <v>7</v>
          </cell>
        </row>
        <row r="72">
          <cell r="AS72">
            <v>1</v>
          </cell>
        </row>
        <row r="73">
          <cell r="AS73">
            <v>0</v>
          </cell>
        </row>
        <row r="74">
          <cell r="AS74">
            <v>0</v>
          </cell>
        </row>
        <row r="75">
          <cell r="AS75">
            <v>5</v>
          </cell>
        </row>
        <row r="76">
          <cell r="AS76">
            <v>0</v>
          </cell>
        </row>
        <row r="77">
          <cell r="AS77">
            <v>1</v>
          </cell>
        </row>
        <row r="78">
          <cell r="AS78">
            <v>147</v>
          </cell>
        </row>
        <row r="81">
          <cell r="AS81">
            <v>126</v>
          </cell>
        </row>
        <row r="85">
          <cell r="AS85">
            <v>13</v>
          </cell>
        </row>
        <row r="86">
          <cell r="AS86">
            <v>0</v>
          </cell>
        </row>
        <row r="87">
          <cell r="AS87">
            <v>0</v>
          </cell>
        </row>
        <row r="88">
          <cell r="AS88">
            <v>0</v>
          </cell>
        </row>
        <row r="89">
          <cell r="AS89">
            <v>0</v>
          </cell>
        </row>
        <row r="90">
          <cell r="AS90">
            <v>12</v>
          </cell>
        </row>
        <row r="91">
          <cell r="AS91">
            <v>0</v>
          </cell>
        </row>
        <row r="92">
          <cell r="AS92">
            <v>0</v>
          </cell>
        </row>
        <row r="93">
          <cell r="AS93">
            <v>0</v>
          </cell>
        </row>
        <row r="94">
          <cell r="AS94">
            <v>0</v>
          </cell>
        </row>
        <row r="95">
          <cell r="AS95">
            <v>1</v>
          </cell>
        </row>
        <row r="96">
          <cell r="AS96">
            <v>0</v>
          </cell>
        </row>
        <row r="97">
          <cell r="AS97">
            <v>0</v>
          </cell>
        </row>
        <row r="98">
          <cell r="AS98">
            <v>0</v>
          </cell>
        </row>
        <row r="99">
          <cell r="AS99">
            <v>0</v>
          </cell>
        </row>
        <row r="100">
          <cell r="AS100">
            <v>0</v>
          </cell>
        </row>
        <row r="101">
          <cell r="AS101">
            <v>0</v>
          </cell>
        </row>
        <row r="102">
          <cell r="AS102">
            <v>0</v>
          </cell>
        </row>
        <row r="103">
          <cell r="AS103">
            <v>13</v>
          </cell>
        </row>
        <row r="104">
          <cell r="AS104">
            <v>25.978758850478968</v>
          </cell>
        </row>
        <row r="105">
          <cell r="AS105">
            <v>319.73857046743348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6:L30"/>
  <sheetViews>
    <sheetView zoomScaleNormal="100" workbookViewId="0">
      <selection activeCell="H6" sqref="H6"/>
    </sheetView>
  </sheetViews>
  <sheetFormatPr defaultColWidth="9.140625" defaultRowHeight="12.75"/>
  <cols>
    <col min="1" max="16384" width="9.140625" style="1"/>
  </cols>
  <sheetData>
    <row r="6" spans="2:12" ht="13.5" thickBot="1"/>
    <row r="7" spans="2:12" ht="18.75">
      <c r="C7" s="7" t="s">
        <v>43</v>
      </c>
      <c r="D7" s="8"/>
      <c r="G7" s="2"/>
      <c r="H7" s="281" t="s">
        <v>264</v>
      </c>
      <c r="I7" s="280"/>
      <c r="J7" s="282"/>
      <c r="K7" s="282"/>
      <c r="L7" s="283"/>
    </row>
    <row r="8" spans="2:12">
      <c r="B8" s="6"/>
      <c r="C8" s="6"/>
      <c r="D8" s="6"/>
      <c r="E8" s="6"/>
      <c r="F8" s="6"/>
      <c r="G8" s="6"/>
      <c r="H8" s="248"/>
      <c r="I8" s="3"/>
      <c r="L8" s="66"/>
    </row>
    <row r="9" spans="2:12">
      <c r="B9" s="3"/>
      <c r="C9" s="333" t="s">
        <v>364</v>
      </c>
      <c r="D9" s="333"/>
      <c r="E9" s="333"/>
      <c r="F9" s="333"/>
      <c r="G9" s="334"/>
      <c r="H9" s="9"/>
      <c r="I9" s="3"/>
      <c r="L9" s="66"/>
    </row>
    <row r="10" spans="2:12">
      <c r="B10" s="3"/>
      <c r="C10" s="333"/>
      <c r="D10" s="333"/>
      <c r="E10" s="333"/>
      <c r="F10" s="333"/>
      <c r="G10" s="334"/>
      <c r="H10" s="9"/>
      <c r="I10" s="3"/>
      <c r="L10" s="66"/>
    </row>
    <row r="11" spans="2:12">
      <c r="B11" s="3"/>
      <c r="C11" s="3"/>
      <c r="D11" s="3"/>
      <c r="E11" s="3"/>
      <c r="F11" s="3"/>
      <c r="G11" s="4"/>
      <c r="H11" s="9"/>
      <c r="I11" s="3"/>
      <c r="L11" s="66"/>
    </row>
    <row r="12" spans="2:12">
      <c r="B12" s="3"/>
      <c r="E12" s="3"/>
      <c r="F12" s="3"/>
      <c r="G12" s="4"/>
      <c r="H12" s="9"/>
      <c r="I12" s="3"/>
      <c r="L12" s="66"/>
    </row>
    <row r="13" spans="2:12">
      <c r="B13" s="3"/>
      <c r="C13" s="3"/>
      <c r="D13" s="3"/>
      <c r="E13" s="3"/>
      <c r="F13" s="3"/>
      <c r="G13" s="3"/>
      <c r="H13" s="248"/>
      <c r="I13" s="3"/>
      <c r="L13" s="66"/>
    </row>
    <row r="14" spans="2:12" ht="13.5" customHeight="1">
      <c r="B14" s="3"/>
      <c r="C14" s="3"/>
      <c r="D14" s="3"/>
      <c r="E14" s="3"/>
      <c r="F14" s="3"/>
      <c r="G14" s="3"/>
      <c r="H14" s="65"/>
      <c r="L14" s="66"/>
    </row>
    <row r="15" spans="2:12" ht="13.5" customHeight="1">
      <c r="B15" s="3"/>
      <c r="C15" s="3"/>
      <c r="D15" s="3"/>
      <c r="E15" s="3"/>
      <c r="F15" s="3"/>
      <c r="G15" s="3"/>
      <c r="H15" s="65"/>
      <c r="L15" s="66"/>
    </row>
    <row r="16" spans="2:12" ht="13.5" customHeight="1">
      <c r="B16" s="3"/>
      <c r="C16" s="332" t="s">
        <v>254</v>
      </c>
      <c r="D16" s="332"/>
      <c r="E16" s="3"/>
      <c r="F16" s="3"/>
      <c r="G16" s="3"/>
      <c r="H16" s="65"/>
      <c r="L16" s="66"/>
    </row>
    <row r="17" spans="2:12" ht="13.5" customHeight="1">
      <c r="B17" s="3"/>
      <c r="C17" s="3"/>
      <c r="D17" s="3"/>
      <c r="E17" s="3"/>
      <c r="F17" s="3"/>
      <c r="G17" s="3"/>
      <c r="H17" s="65"/>
      <c r="L17" s="66"/>
    </row>
    <row r="18" spans="2:12" ht="13.5" thickBot="1">
      <c r="B18" s="3"/>
      <c r="C18" s="3"/>
      <c r="D18" s="3"/>
      <c r="E18" s="3"/>
      <c r="F18" s="3"/>
      <c r="G18" s="3"/>
      <c r="H18" s="67"/>
      <c r="I18" s="68"/>
      <c r="J18" s="68"/>
      <c r="K18" s="68"/>
      <c r="L18" s="69"/>
    </row>
    <row r="19" spans="2:12">
      <c r="B19" s="3"/>
      <c r="C19" s="3"/>
      <c r="D19" s="3"/>
      <c r="E19" s="3"/>
      <c r="F19" s="3"/>
      <c r="G19" s="3"/>
    </row>
    <row r="20" spans="2:12" ht="13.5" customHeight="1">
      <c r="B20" s="3"/>
      <c r="C20" s="3"/>
      <c r="D20" s="3"/>
      <c r="E20" s="3"/>
      <c r="F20" s="3"/>
      <c r="G20" s="3"/>
    </row>
    <row r="21" spans="2:12" ht="13.5" thickBot="1">
      <c r="B21" s="3"/>
      <c r="C21" s="3"/>
      <c r="D21" s="3"/>
      <c r="E21" s="3"/>
      <c r="F21" s="3"/>
      <c r="G21" s="3"/>
    </row>
    <row r="22" spans="2:12" ht="13.5" thickBot="1">
      <c r="B22" s="5"/>
      <c r="C22" s="70" t="s">
        <v>105</v>
      </c>
      <c r="D22" s="71"/>
      <c r="E22" s="71"/>
      <c r="F22" s="71"/>
      <c r="G22" s="71"/>
      <c r="H22" s="72"/>
      <c r="I22" s="72"/>
      <c r="J22" s="73"/>
    </row>
    <row r="23" spans="2:12">
      <c r="C23" s="65" t="s">
        <v>106</v>
      </c>
      <c r="J23" s="66"/>
    </row>
    <row r="24" spans="2:12">
      <c r="C24" s="65" t="s">
        <v>107</v>
      </c>
      <c r="J24" s="66"/>
    </row>
    <row r="25" spans="2:12" ht="13.5" thickBot="1">
      <c r="C25" s="67" t="s">
        <v>108</v>
      </c>
      <c r="D25" s="68"/>
      <c r="E25" s="68"/>
      <c r="F25" s="68"/>
      <c r="G25" s="68"/>
      <c r="H25" s="68"/>
      <c r="I25" s="68"/>
      <c r="J25" s="69"/>
    </row>
    <row r="27" spans="2:12">
      <c r="B27" s="251">
        <v>8</v>
      </c>
      <c r="C27" s="310"/>
      <c r="D27" s="247"/>
    </row>
    <row r="28" spans="2:12">
      <c r="B28" s="247">
        <v>2</v>
      </c>
      <c r="C28" s="310" t="s">
        <v>252</v>
      </c>
      <c r="D28" s="247"/>
    </row>
    <row r="29" spans="2:12">
      <c r="B29" s="247"/>
      <c r="C29" s="310" t="s">
        <v>253</v>
      </c>
      <c r="D29" s="247"/>
    </row>
    <row r="30" spans="2:12">
      <c r="C30" s="310" t="s">
        <v>357</v>
      </c>
    </row>
  </sheetData>
  <sheetProtection algorithmName="SHA-512" hashValue="kN40azYAAIxd0Taf5MDOVJibJKp/wsVvzBaSKjOJ3q07msvJs7VAPfpXNpMgYeyBP8WsnoWJ/ehyYHfeWMj6Sg==" saltValue="i6Kg5TM/9bDLL8TNyZU5Bg==" spinCount="100000" sheet="1" objects="1" scenarios="1" selectLockedCells="1"/>
  <mergeCells count="2">
    <mergeCell ref="C16:D16"/>
    <mergeCell ref="C9:G10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Option Button 7">
              <controlPr locked="0" defaultSize="0" print="0" autoFill="0" autoLine="0" autoPict="0" altText="DIA_x000a_">
                <anchor>
                  <from>
                    <xdr:col>7</xdr:col>
                    <xdr:colOff>57150</xdr:colOff>
                    <xdr:row>7</xdr:row>
                    <xdr:rowOff>47625</xdr:rowOff>
                  </from>
                  <to>
                    <xdr:col>8</xdr:col>
                    <xdr:colOff>438150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Option Button 8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114300</xdr:rowOff>
                  </from>
                  <to>
                    <xdr:col>8</xdr:col>
                    <xdr:colOff>428625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Drop Down 9">
              <controlPr defaultSize="0" autoLine="0" autoPict="0">
                <anchor moveWithCells="1">
                  <from>
                    <xdr:col>1</xdr:col>
                    <xdr:colOff>600075</xdr:colOff>
                    <xdr:row>16</xdr:row>
                    <xdr:rowOff>85725</xdr:rowOff>
                  </from>
                  <to>
                    <xdr:col>3</xdr:col>
                    <xdr:colOff>428625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Option Button 30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428625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Option Button 31">
              <controlPr defaultSize="0" autoFill="0" autoLine="0" autoPict="0">
                <anchor moveWithCells="1">
                  <from>
                    <xdr:col>7</xdr:col>
                    <xdr:colOff>57150</xdr:colOff>
                    <xdr:row>11</xdr:row>
                    <xdr:rowOff>66675</xdr:rowOff>
                  </from>
                  <to>
                    <xdr:col>9</xdr:col>
                    <xdr:colOff>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Option Button 32">
              <controlPr defaultSize="0" autoFill="0" autoLine="0" autoPict="0">
                <anchor moveWithCells="1">
                  <from>
                    <xdr:col>9</xdr:col>
                    <xdr:colOff>438150</xdr:colOff>
                    <xdr:row>7</xdr:row>
                    <xdr:rowOff>38100</xdr:rowOff>
                  </from>
                  <to>
                    <xdr:col>11</xdr:col>
                    <xdr:colOff>209550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Option Button 33">
              <controlPr defaultSize="0" autoFill="0" autoLine="0" autoPict="0">
                <anchor moveWithCells="1">
                  <from>
                    <xdr:col>9</xdr:col>
                    <xdr:colOff>438150</xdr:colOff>
                    <xdr:row>8</xdr:row>
                    <xdr:rowOff>114300</xdr:rowOff>
                  </from>
                  <to>
                    <xdr:col>11</xdr:col>
                    <xdr:colOff>209550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1" name="Option Button 34">
              <controlPr defaultSize="0" autoFill="0" autoLine="0" autoPict="0">
                <anchor moveWithCells="1">
                  <from>
                    <xdr:col>9</xdr:col>
                    <xdr:colOff>447675</xdr:colOff>
                    <xdr:row>10</xdr:row>
                    <xdr:rowOff>0</xdr:rowOff>
                  </from>
                  <to>
                    <xdr:col>11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2" name="Option Button 35">
              <controlPr defaultSize="0" autoFill="0" autoLine="0" autoPict="0">
                <anchor moveWithCells="1">
                  <from>
                    <xdr:col>9</xdr:col>
                    <xdr:colOff>457200</xdr:colOff>
                    <xdr:row>11</xdr:row>
                    <xdr:rowOff>47625</xdr:rowOff>
                  </from>
                  <to>
                    <xdr:col>11</xdr:col>
                    <xdr:colOff>457200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13" name="Option Button 36">
              <controlPr defaultSize="0" autoFill="0" autoLine="0" autoPict="0">
                <anchor moveWithCells="1">
                  <from>
                    <xdr:col>7</xdr:col>
                    <xdr:colOff>66675</xdr:colOff>
                    <xdr:row>13</xdr:row>
                    <xdr:rowOff>76200</xdr:rowOff>
                  </from>
                  <to>
                    <xdr:col>8</xdr:col>
                    <xdr:colOff>447675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4" name="Option Button 37">
              <controlPr defaultSize="0" autoFill="0" autoLine="0" autoPict="0">
                <anchor moveWithCells="1">
                  <from>
                    <xdr:col>7</xdr:col>
                    <xdr:colOff>57150</xdr:colOff>
                    <xdr:row>14</xdr:row>
                    <xdr:rowOff>123825</xdr:rowOff>
                  </from>
                  <to>
                    <xdr:col>9</xdr:col>
                    <xdr:colOff>104775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5" name="Option Button 38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0</xdr:rowOff>
                  </from>
                  <to>
                    <xdr:col>9</xdr:col>
                    <xdr:colOff>133350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16" name="Option Button 39">
              <controlPr defaultSize="0" autoFill="0" autoLine="0" autoPict="0">
                <anchor moveWithCells="1">
                  <from>
                    <xdr:col>9</xdr:col>
                    <xdr:colOff>447675</xdr:colOff>
                    <xdr:row>14</xdr:row>
                    <xdr:rowOff>114300</xdr:rowOff>
                  </from>
                  <to>
                    <xdr:col>11</xdr:col>
                    <xdr:colOff>219075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17" name="Button 40">
              <controlPr defaultSize="0" print="0" autoFill="0" autoPict="0" macro="[0]!modEventClick.DadosVA_Click">
                <anchor moveWithCells="1" sizeWithCells="1">
                  <from>
                    <xdr:col>2</xdr:col>
                    <xdr:colOff>28575</xdr:colOff>
                    <xdr:row>10</xdr:row>
                    <xdr:rowOff>76200</xdr:rowOff>
                  </from>
                  <to>
                    <xdr:col>3</xdr:col>
                    <xdr:colOff>447675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18" name="Button 41">
              <controlPr defaultSize="0" print="0" autoFill="0" autoPict="0" macro="[0]!btnPareto_Click">
                <anchor moveWithCells="1" sizeWithCells="1">
                  <from>
                    <xdr:col>3</xdr:col>
                    <xdr:colOff>542925</xdr:colOff>
                    <xdr:row>10</xdr:row>
                    <xdr:rowOff>66675</xdr:rowOff>
                  </from>
                  <to>
                    <xdr:col>6</xdr:col>
                    <xdr:colOff>285750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5"/>
  <dimension ref="A1:O22"/>
  <sheetViews>
    <sheetView zoomScaleNormal="100" workbookViewId="0">
      <selection activeCell="B2" sqref="B2"/>
    </sheetView>
  </sheetViews>
  <sheetFormatPr defaultRowHeight="12.75"/>
  <cols>
    <col min="1" max="1" width="5.5703125" bestFit="1" customWidth="1"/>
    <col min="2" max="2" width="14.140625" bestFit="1" customWidth="1"/>
    <col min="3" max="12" width="11.7109375" customWidth="1"/>
    <col min="13" max="13" width="10.140625" bestFit="1" customWidth="1"/>
    <col min="14" max="14" width="9.7109375" bestFit="1" customWidth="1"/>
  </cols>
  <sheetData>
    <row r="1" spans="1:15">
      <c r="A1" s="338" t="s">
        <v>48</v>
      </c>
      <c r="B1" s="19" t="s">
        <v>49</v>
      </c>
      <c r="C1" s="24" t="s">
        <v>50</v>
      </c>
      <c r="D1" s="24" t="s">
        <v>58</v>
      </c>
      <c r="E1" s="24" t="s">
        <v>54</v>
      </c>
      <c r="F1" s="24">
        <v>1250</v>
      </c>
      <c r="G1" s="24" t="s">
        <v>87</v>
      </c>
      <c r="H1" s="24" t="s">
        <v>52</v>
      </c>
      <c r="I1" s="24" t="s">
        <v>63</v>
      </c>
      <c r="J1" s="24" t="s">
        <v>51</v>
      </c>
      <c r="K1" s="24" t="s">
        <v>67</v>
      </c>
      <c r="L1" s="29" t="s">
        <v>53</v>
      </c>
      <c r="M1" s="39" t="s">
        <v>44</v>
      </c>
      <c r="N1" s="39" t="s">
        <v>84</v>
      </c>
      <c r="O1" s="32" t="s">
        <v>75</v>
      </c>
    </row>
    <row r="2" spans="1:15">
      <c r="A2" s="339"/>
      <c r="B2" s="11" t="s">
        <v>2</v>
      </c>
      <c r="C2" s="17">
        <f t="array" ref="C2">SUM(IF('UM-4 - Dia'!$D$6:$AR$6='Falhas por Modelo'!C$1,'UM-4 - Dia'!$D7:$AR7))</f>
        <v>0</v>
      </c>
      <c r="D2" s="17">
        <f t="array" ref="D2">SUM(IF('UM-4 - Dia'!$D$10:$AR$10='Falhas por Modelo'!D$1,'UM-4 - Dia'!$D18:$AR18))</f>
        <v>0</v>
      </c>
      <c r="E2" s="17">
        <f t="array" ref="E2">SUM(IF('UM-4 - Dia'!$D$10:$AR$10='Falhas por Modelo'!E$1,'UM-4 - Dia'!$D18:$AR18))</f>
        <v>0</v>
      </c>
      <c r="F2" s="17">
        <f t="array" ref="F2">SUM(IF('UM-4 - Dia'!$D$10:$AR$10='Falhas por Modelo'!F$1,'UM-4 - Dia'!$D18:$AR18))</f>
        <v>0</v>
      </c>
      <c r="G2" s="17">
        <f t="array" ref="G2">SUM(IF('UM-4 - Dia'!$D$10:$AR$10='Falhas por Modelo'!G$1,'UM-4 - Dia'!$D18:$AR18))</f>
        <v>0</v>
      </c>
      <c r="H2" s="17">
        <f t="array" ref="H2">SUM(IF('UM-4 - Dia'!$D$10:$AR$10='Falhas por Modelo'!H$1,'UM-4 - Dia'!$D18:$AR18))</f>
        <v>0</v>
      </c>
      <c r="I2" s="17">
        <f t="array" ref="I2">SUM(IF('UM-4 - Dia'!$D$10:$AR$10='Falhas por Modelo'!I$1,'UM-4 - Dia'!$D18:$AR18))</f>
        <v>0</v>
      </c>
      <c r="J2" s="17">
        <f t="array" ref="J2">SUM(IF('UM-4 - Dia'!$D$10:$AS$10='Falhas por Modelo'!J$1,'UM-4 - Dia'!$D18:$AS18))</f>
        <v>0</v>
      </c>
      <c r="K2" s="17">
        <f t="array" ref="K2">SUM(IF('UM-4 - Dia'!$D$10:$AS$10='Falhas por Modelo'!K$1,'UM-4 - Dia'!$D18:$AS18))</f>
        <v>0</v>
      </c>
      <c r="L2" s="30">
        <f t="array" ref="L2">SUM(IF('UM-4 - Dia'!$D$10:$AS$10='Falhas por Modelo'!L$1,'UM-4 - Dia'!$D18:$AS18))</f>
        <v>0</v>
      </c>
      <c r="M2" s="40">
        <f>SUM(C2:L2)</f>
        <v>0</v>
      </c>
      <c r="N2" s="40">
        <f>'UM-4 - Dia'!AS7-M2</f>
        <v>0</v>
      </c>
      <c r="O2" s="20"/>
    </row>
    <row r="3" spans="1:15">
      <c r="A3" s="339"/>
      <c r="B3" s="11" t="s">
        <v>3</v>
      </c>
      <c r="C3" s="17">
        <f t="array" ref="C3">SUM(IF('UM-4 - Dia'!$D$6:$AR$6='Falhas por Modelo'!C$1,'UM-4 - Dia'!$D23:$AR23))</f>
        <v>0</v>
      </c>
      <c r="D3" s="17">
        <f t="array" ref="D3">SUM(IF('UM-4 - Dia'!$D$10:$AR$10='Falhas por Modelo'!D$1,'UM-4 - Dia'!$D19:$AR19))</f>
        <v>0</v>
      </c>
      <c r="E3" s="17">
        <f t="array" ref="E3">SUM(IF('UM-4 - Dia'!$D$10:$AR$10='Falhas por Modelo'!E$1,'UM-4 - Dia'!$D19:$AR19))</f>
        <v>0</v>
      </c>
      <c r="F3" s="17">
        <f t="array" ref="F3">SUM(IF('UM-4 - Dia'!$D$10:$AR$10='Falhas por Modelo'!F$1,'UM-4 - Dia'!$D19:$AR19))</f>
        <v>0</v>
      </c>
      <c r="G3" s="17">
        <f t="array" ref="G3">SUM(IF('UM-4 - Dia'!$D$10:$AR$10='Falhas por Modelo'!G$1,'UM-4 - Dia'!$D19:$AR19))</f>
        <v>0</v>
      </c>
      <c r="H3" s="17">
        <f t="array" ref="H3">SUM(IF('UM-4 - Dia'!$D$10:$AR$10='Falhas por Modelo'!H$1,'UM-4 - Dia'!$D19:$AR19))</f>
        <v>0</v>
      </c>
      <c r="I3" s="17">
        <f t="array" ref="I3">SUM(IF('UM-4 - Dia'!$D$10:$AR$10='Falhas por Modelo'!I$1,'UM-4 - Dia'!$D19:$AR19))</f>
        <v>0</v>
      </c>
      <c r="J3" s="17">
        <f t="array" ref="J3">SUM(IF('UM-4 - Dia'!$D$10:$AS$10='Falhas por Modelo'!J$1,'UM-4 - Dia'!$D19:$AS19))</f>
        <v>0</v>
      </c>
      <c r="K3" s="17">
        <f t="array" ref="K3">SUM(IF('UM-4 - Dia'!$D$10:$AS$10='Falhas por Modelo'!K$1,'UM-4 - Dia'!$D19:$AS19))</f>
        <v>0</v>
      </c>
      <c r="L3" s="30">
        <f t="array" ref="L3">SUM(IF('UM-4 - Dia'!$D$10:$AS$10='Falhas por Modelo'!L$1,'UM-4 - Dia'!$D19:$AS19))</f>
        <v>0</v>
      </c>
      <c r="M3" s="40">
        <f t="shared" ref="M3:M12" si="0">SUM(C3:L3)</f>
        <v>0</v>
      </c>
      <c r="N3" s="40">
        <f>'UM-4 - Dia'!AS23-M3</f>
        <v>0</v>
      </c>
      <c r="O3" s="16" t="e">
        <f>M3/M2*1000000</f>
        <v>#DIV/0!</v>
      </c>
    </row>
    <row r="4" spans="1:15">
      <c r="A4" s="339"/>
      <c r="B4" s="11" t="s">
        <v>55</v>
      </c>
      <c r="C4" s="17">
        <f t="array" ref="C4">SUM(IF('UM-4 - Dia'!$D$6:$AR$6='Falhas por Modelo'!C$1,'UM-4 - Dia'!$D24:$AR24))</f>
        <v>0</v>
      </c>
      <c r="D4" s="17">
        <f t="array" ref="D4">SUM(IF('UM-4 - Dia'!$D$10:$AR$10='Falhas por Modelo'!D$1,'UM-4 - Dia'!$D20:$AR20))</f>
        <v>0</v>
      </c>
      <c r="E4" s="17">
        <f t="array" ref="E4">SUM(IF('UM-4 - Dia'!$D$10:$AR$10='Falhas por Modelo'!E$1,'UM-4 - Dia'!$D20:$AR20))</f>
        <v>0</v>
      </c>
      <c r="F4" s="17">
        <f t="array" ref="F4">SUM(IF('UM-4 - Dia'!$D$10:$AR$10='Falhas por Modelo'!F$1,'UM-4 - Dia'!$D20:$AR20))</f>
        <v>0</v>
      </c>
      <c r="G4" s="17">
        <f t="array" ref="G4">SUM(IF('UM-4 - Dia'!$D$10:$AR$10='Falhas por Modelo'!G$1,'UM-4 - Dia'!$D20:$AR20))</f>
        <v>0</v>
      </c>
      <c r="H4" s="17">
        <f t="array" ref="H4">SUM(IF('UM-4 - Dia'!$D$10:$AR$10='Falhas por Modelo'!H$1,'UM-4 - Dia'!$D20:$AR20))</f>
        <v>0</v>
      </c>
      <c r="I4" s="17">
        <f t="array" ref="I4">SUM(IF('UM-4 - Dia'!$D$10:$AR$10='Falhas por Modelo'!I$1,'UM-4 - Dia'!$D20:$AR20))</f>
        <v>0</v>
      </c>
      <c r="J4" s="17">
        <f t="array" ref="J4">SUM(IF('UM-4 - Dia'!$D$10:$AS$10='Falhas por Modelo'!J$1,'UM-4 - Dia'!$D20:$AS20))</f>
        <v>0</v>
      </c>
      <c r="K4" s="17">
        <f t="array" ref="K4">SUM(IF('UM-4 - Dia'!$D$10:$AS$10='Falhas por Modelo'!K$1,'UM-4 - Dia'!$D20:$AS20))</f>
        <v>0</v>
      </c>
      <c r="L4" s="30">
        <f t="array" ref="L4">SUM(IF('UM-4 - Dia'!$D$10:$AS$10='Falhas por Modelo'!L$1,'UM-4 - Dia'!$D20:$AS20))</f>
        <v>0</v>
      </c>
      <c r="M4" s="40">
        <f t="shared" si="0"/>
        <v>0</v>
      </c>
      <c r="N4" s="40">
        <f>'UM-4 - Dia'!AS24-M4</f>
        <v>0</v>
      </c>
      <c r="O4" s="47" t="e">
        <f>M4/C17*1000000</f>
        <v>#DIV/0!</v>
      </c>
    </row>
    <row r="5" spans="1:15">
      <c r="A5" s="340"/>
      <c r="B5" s="13" t="s">
        <v>91</v>
      </c>
      <c r="C5" s="17">
        <f t="array" ref="C5">SUM(IF('UM-4 - Dia'!$D$6:$AR$6='Falhas por Modelo'!C$1,'UM-4 - Dia'!$D27:$AR27))</f>
        <v>0</v>
      </c>
      <c r="D5" s="17">
        <f t="array" ref="D5">SUM(IF('UM-4 - Dia'!$D$10:$AR$10='Falhas por Modelo'!D$1,'UM-4 - Dia'!$D23:$AR23))</f>
        <v>0</v>
      </c>
      <c r="E5" s="17">
        <f t="array" ref="E5">SUM(IF('UM-4 - Dia'!$D$10:$AR$10='Falhas por Modelo'!E$1,'UM-4 - Dia'!$D23:$AR23))</f>
        <v>0</v>
      </c>
      <c r="F5" s="17">
        <f t="array" ref="F5">SUM(IF('UM-4 - Dia'!$D$10:$AR$10='Falhas por Modelo'!F$1,'UM-4 - Dia'!$D23:$AR23))</f>
        <v>0</v>
      </c>
      <c r="G5" s="17">
        <f t="array" ref="G5">SUM(IF('UM-4 - Dia'!$D$10:$AR$10='Falhas por Modelo'!G$1,'UM-4 - Dia'!$D23:$AR23))</f>
        <v>0</v>
      </c>
      <c r="H5" s="17">
        <f t="array" ref="H5">SUM(IF('UM-4 - Dia'!$D$10:$AR$10='Falhas por Modelo'!H$1,'UM-4 - Dia'!$D23:$AR23))</f>
        <v>0</v>
      </c>
      <c r="I5" s="17">
        <f t="array" ref="I5">SUM(IF('UM-4 - Dia'!$D$10:$AR$10='Falhas por Modelo'!I$1,'UM-4 - Dia'!$D23:$AR23))</f>
        <v>0</v>
      </c>
      <c r="J5" s="18"/>
      <c r="K5" s="18"/>
      <c r="L5" s="31"/>
      <c r="M5" s="40">
        <f t="shared" si="0"/>
        <v>0</v>
      </c>
      <c r="N5" s="40">
        <f>'UM-4 - Dia'!AS27-M5</f>
        <v>0</v>
      </c>
      <c r="O5" s="50"/>
    </row>
    <row r="6" spans="1:15" ht="13.5" thickBot="1">
      <c r="A6" s="341"/>
      <c r="B6" s="12" t="s">
        <v>56</v>
      </c>
      <c r="C6" s="90">
        <f>C2-C4</f>
        <v>0</v>
      </c>
      <c r="D6" s="90">
        <f t="shared" ref="D6:I6" si="1">D2-D4</f>
        <v>0</v>
      </c>
      <c r="E6" s="90">
        <f t="shared" si="1"/>
        <v>0</v>
      </c>
      <c r="F6" s="90">
        <f t="shared" si="1"/>
        <v>0</v>
      </c>
      <c r="G6" s="90">
        <f t="shared" si="1"/>
        <v>0</v>
      </c>
      <c r="H6" s="90">
        <f t="shared" si="1"/>
        <v>0</v>
      </c>
      <c r="I6" s="90">
        <f t="shared" si="1"/>
        <v>0</v>
      </c>
      <c r="J6" s="90">
        <f>J2-SUM(J3:J4)</f>
        <v>0</v>
      </c>
      <c r="K6" s="90">
        <f>K2-SUM(K3:K4)</f>
        <v>0</v>
      </c>
      <c r="L6" s="91">
        <f>L2-SUM(L3:L4)</f>
        <v>0</v>
      </c>
      <c r="M6" s="165">
        <f t="shared" si="0"/>
        <v>0</v>
      </c>
      <c r="N6" s="165"/>
      <c r="O6" s="33"/>
    </row>
    <row r="7" spans="1:15">
      <c r="A7" s="338" t="s">
        <v>57</v>
      </c>
      <c r="B7" s="10" t="s">
        <v>2</v>
      </c>
      <c r="C7" s="88">
        <f t="array" ref="C7">SUM(IF('UM-4 - 2T'!$D$6:$AS$6='Falhas por Modelo'!C$1,'UM-4 - 2T'!$D7:$AS7))</f>
        <v>0</v>
      </c>
      <c r="D7" s="88">
        <v>0</v>
      </c>
      <c r="E7" s="88">
        <v>0</v>
      </c>
      <c r="F7" s="88">
        <v>0</v>
      </c>
      <c r="G7" s="88">
        <v>0</v>
      </c>
      <c r="H7" s="88">
        <v>0</v>
      </c>
      <c r="I7" s="88">
        <v>0</v>
      </c>
      <c r="J7" s="88">
        <v>0</v>
      </c>
      <c r="K7" s="88">
        <v>0</v>
      </c>
      <c r="L7" s="89">
        <v>0</v>
      </c>
      <c r="M7" s="80">
        <f>SUM(C7:L7)</f>
        <v>0</v>
      </c>
      <c r="N7" s="83">
        <f>'UM-4 - 2T'!AS7-'Falhas por Modelo'!M7</f>
        <v>0</v>
      </c>
      <c r="O7" s="34"/>
    </row>
    <row r="8" spans="1:15">
      <c r="A8" s="339"/>
      <c r="B8" s="11" t="s">
        <v>3</v>
      </c>
      <c r="C8" s="17">
        <f t="array" ref="C8">SUM(IF('UM-4 - 2T'!$D$6:$AS$6='Falhas por Modelo'!C$1,'UM-4 - 2T'!$D23:$AS23))</f>
        <v>0</v>
      </c>
      <c r="D8" s="17">
        <f t="array" ref="D8">SUM(IF('UM-4 - 2T'!$D$6:$AR$6='Falhas por Modelo'!D$1,'UM-4 - 2T'!$D23:$AR23))</f>
        <v>0</v>
      </c>
      <c r="E8" s="17">
        <f t="array" ref="E8">SUM(IF('UM-4 - 2T'!$D$6:$AR$6='Falhas por Modelo'!E$1,'UM-4 - 2T'!$D23:$AR23))</f>
        <v>0</v>
      </c>
      <c r="F8" s="17">
        <f t="array" ref="F8">SUM(IF('UM-4 - 2T'!$D$6:$AR$6='Falhas por Modelo'!F$1,'UM-4 - 2T'!$D23:$AR23))</f>
        <v>0</v>
      </c>
      <c r="G8" s="17">
        <f t="array" ref="G8">SUM(IF('UM-4 - 2T'!$D$6:$AR$6='Falhas por Modelo'!G$1,'UM-4 - 2T'!$D23:$AR23))</f>
        <v>0</v>
      </c>
      <c r="H8" s="17">
        <f t="array" ref="H8">SUM(IF('UM-4 - 2T'!$D$6:$AR$6='Falhas por Modelo'!H$1,'UM-4 - 2T'!$D23:$AR23))</f>
        <v>0</v>
      </c>
      <c r="I8" s="17">
        <f t="array" ref="I8">SUM(IF('UM-4 - 2T'!$D$6:$AR$6='Falhas por Modelo'!I$1,'UM-4 - 2T'!$D23:$AR23))</f>
        <v>0</v>
      </c>
      <c r="J8" s="17">
        <f t="array" ref="J8">SUM(IF('UM-4 - 2T'!$D$6:$AR$6='Falhas por Modelo'!J$1,'UM-4 - 2T'!$D23:$AR23))</f>
        <v>0</v>
      </c>
      <c r="K8" s="17">
        <f t="array" ref="K8">SUM(IF('UM-4 - 2T'!$D$6:$AR$6='Falhas por Modelo'!K$1,'UM-4 - 2T'!$D23:$AR23))</f>
        <v>0</v>
      </c>
      <c r="L8" s="30">
        <f t="array" ref="L8">SUM(IF('UM-4 - 2T'!$D$6:$AR$6='Falhas por Modelo'!L$1,'UM-4 - 2T'!$D23:$AR23))</f>
        <v>0</v>
      </c>
      <c r="M8" s="81">
        <f t="shared" si="0"/>
        <v>0</v>
      </c>
      <c r="N8" s="84">
        <f>'UM-4 - 2T'!AS23-'Falhas por Modelo'!M8</f>
        <v>0</v>
      </c>
      <c r="O8" s="16" t="e">
        <f>M8/M7*1000000</f>
        <v>#DIV/0!</v>
      </c>
    </row>
    <row r="9" spans="1:15">
      <c r="A9" s="339"/>
      <c r="B9" s="11" t="s">
        <v>55</v>
      </c>
      <c r="C9" s="17">
        <f t="array" ref="C9">SUM(IF('UM-4 - 2T'!$D$6:$AS$6='Falhas por Modelo'!C$1,'UM-4 - 2T'!$D24:$AS24))</f>
        <v>0</v>
      </c>
      <c r="D9" s="17">
        <f t="array" ref="D9">SUM(IF('UM-4 - 2T'!$D$6:$AR$6='Falhas por Modelo'!D$1,'UM-4 - 2T'!$D24:$AR24))</f>
        <v>0</v>
      </c>
      <c r="E9" s="17">
        <f t="array" ref="E9">SUM(IF('UM-4 - 2T'!$D$6:$AR$6='Falhas por Modelo'!E$1,'UM-4 - 2T'!$D24:$AR24))</f>
        <v>0</v>
      </c>
      <c r="F9" s="17">
        <f t="array" ref="F9">SUM(IF('UM-4 - 2T'!$D$6:$AR$6='Falhas por Modelo'!F$1,'UM-4 - 2T'!$D24:$AR24))</f>
        <v>0</v>
      </c>
      <c r="G9" s="17">
        <f t="array" ref="G9">SUM(IF('UM-4 - 2T'!$D$6:$AR$6='Falhas por Modelo'!G$1,'UM-4 - 2T'!$D24:$AR24))</f>
        <v>0</v>
      </c>
      <c r="H9" s="17">
        <f t="array" ref="H9">SUM(IF('UM-4 - 2T'!$D$6:$AR$6='Falhas por Modelo'!H$1,'UM-4 - 2T'!$D24:$AR24))</f>
        <v>0</v>
      </c>
      <c r="I9" s="17">
        <f t="array" ref="I9">SUM(IF('UM-4 - 2T'!$D$6:$AR$6='Falhas por Modelo'!I$1,'UM-4 - 2T'!$D24:$AR24))</f>
        <v>0</v>
      </c>
      <c r="J9" s="17">
        <f t="array" ref="J9">SUM(IF('UM-4 - 2T'!$D$6:$AR$6='Falhas por Modelo'!J$1,'UM-4 - 2T'!$D24:$AR24))</f>
        <v>0</v>
      </c>
      <c r="K9" s="17">
        <f t="array" ref="K9">SUM(IF('UM-4 - 2T'!$D$6:$AR$6='Falhas por Modelo'!K$1,'UM-4 - 2T'!$D24:$AR24))</f>
        <v>0</v>
      </c>
      <c r="L9" s="30">
        <f t="array" ref="L9">SUM(IF('UM-4 - 2T'!$D$6:$AR$6='Falhas por Modelo'!L$1,'UM-4 - 2T'!$D24:$AR24))</f>
        <v>0</v>
      </c>
      <c r="M9" s="81">
        <f t="shared" si="0"/>
        <v>0</v>
      </c>
      <c r="N9" s="84">
        <f>'UM-4 - 2T'!AS24-'Falhas por Modelo'!M9</f>
        <v>0</v>
      </c>
      <c r="O9" s="16" t="e">
        <f>M9/C18*1000000</f>
        <v>#DIV/0!</v>
      </c>
    </row>
    <row r="10" spans="1:15">
      <c r="A10" s="340"/>
      <c r="B10" s="13" t="s">
        <v>91</v>
      </c>
      <c r="C10" s="17">
        <f t="array" ref="C10">SUM(IF('UM-4 - 2T'!$D$6:$AS$6='Falhas por Modelo'!C$1,'UM-4 - 2T'!$D27:$AS27))</f>
        <v>0</v>
      </c>
      <c r="D10" s="17">
        <f t="array" ref="D10">SUM(IF('UM-4 - 2T'!$D$6:$AR$6='Falhas por Modelo'!D$1,'UM-4 - 2T'!$D27:$AR27))</f>
        <v>0</v>
      </c>
      <c r="E10" s="17">
        <f t="array" ref="E10">SUM(IF('UM-4 - 2T'!$D$6:$AR$6='Falhas por Modelo'!E$1,'UM-4 - 2T'!$D27:$AR27))</f>
        <v>0</v>
      </c>
      <c r="F10" s="17">
        <f t="array" ref="F10">SUM(IF('UM-4 - 2T'!$D$6:$AR$6='Falhas por Modelo'!F$1,'UM-4 - 2T'!$D27:$AR27))</f>
        <v>0</v>
      </c>
      <c r="G10" s="17">
        <f t="array" ref="G10">SUM(IF('UM-4 - 2T'!$D$6:$AR$6='Falhas por Modelo'!G$1,'UM-4 - 2T'!$D27:$AR27))</f>
        <v>0</v>
      </c>
      <c r="H10" s="17">
        <f t="array" ref="H10">SUM(IF('UM-4 - 2T'!$D$6:$AR$6='Falhas por Modelo'!H$1,'UM-4 - 2T'!$D27:$AR27))</f>
        <v>0</v>
      </c>
      <c r="I10" s="17">
        <f t="array" ref="I10">SUM(IF('UM-4 - 2T'!$D$6:$AR$6='Falhas por Modelo'!I$1,'UM-4 - 2T'!$D27:$AR27))</f>
        <v>0</v>
      </c>
      <c r="J10" s="17">
        <f t="array" ref="J10">SUM(IF('UM-4 - 2T'!$D$6:$AR$6='Falhas por Modelo'!J$1,'UM-4 - 2T'!$D27:$AR27))</f>
        <v>0</v>
      </c>
      <c r="K10" s="17">
        <f t="array" ref="K10">SUM(IF('UM-4 - 2T'!$D$6:$AR$6='Falhas por Modelo'!K$1,'UM-4 - 2T'!$D27:$AR27))</f>
        <v>0</v>
      </c>
      <c r="L10" s="30">
        <f t="array" ref="L10">SUM(IF('UM-4 - 2T'!$D$6:$AR$6='Falhas por Modelo'!L$1,'UM-4 - 2T'!$D27:$AR27))</f>
        <v>0</v>
      </c>
      <c r="M10" s="81">
        <f t="shared" si="0"/>
        <v>0</v>
      </c>
      <c r="N10" s="84">
        <f>'UM-4 - 2T'!AS27-'Falhas por Modelo'!M10</f>
        <v>0</v>
      </c>
      <c r="O10" s="50"/>
    </row>
    <row r="11" spans="1:15" ht="13.5" thickBot="1">
      <c r="A11" s="341"/>
      <c r="B11" s="12" t="s">
        <v>56</v>
      </c>
      <c r="C11" s="90">
        <f>C7-C9</f>
        <v>0</v>
      </c>
      <c r="D11" s="90">
        <f t="shared" ref="D11:L11" si="2">D7-D9</f>
        <v>0</v>
      </c>
      <c r="E11" s="90">
        <f t="shared" si="2"/>
        <v>0</v>
      </c>
      <c r="F11" s="90">
        <f t="shared" si="2"/>
        <v>0</v>
      </c>
      <c r="G11" s="90">
        <f t="shared" si="2"/>
        <v>0</v>
      </c>
      <c r="H11" s="90">
        <f t="shared" si="2"/>
        <v>0</v>
      </c>
      <c r="I11" s="90">
        <f t="shared" si="2"/>
        <v>0</v>
      </c>
      <c r="J11" s="90">
        <f t="shared" si="2"/>
        <v>0</v>
      </c>
      <c r="K11" s="90">
        <f t="shared" si="2"/>
        <v>0</v>
      </c>
      <c r="L11" s="91">
        <f t="shared" si="2"/>
        <v>0</v>
      </c>
      <c r="M11" s="82">
        <f t="shared" si="0"/>
        <v>0</v>
      </c>
      <c r="N11" s="85"/>
      <c r="O11" s="33"/>
    </row>
    <row r="12" spans="1:15" ht="13.5" thickBot="1">
      <c r="A12" s="342" t="s">
        <v>26</v>
      </c>
      <c r="B12" s="343"/>
      <c r="C12" s="43">
        <f>C2+C7</f>
        <v>0</v>
      </c>
      <c r="D12" s="43">
        <f t="shared" ref="D12:L12" si="3">D2+D7</f>
        <v>0</v>
      </c>
      <c r="E12" s="43">
        <f t="shared" si="3"/>
        <v>0</v>
      </c>
      <c r="F12" s="43">
        <f t="shared" si="3"/>
        <v>0</v>
      </c>
      <c r="G12" s="43">
        <f t="shared" si="3"/>
        <v>0</v>
      </c>
      <c r="H12" s="43">
        <f t="shared" si="3"/>
        <v>0</v>
      </c>
      <c r="I12" s="43">
        <f t="shared" si="3"/>
        <v>0</v>
      </c>
      <c r="J12" s="43">
        <f t="shared" si="3"/>
        <v>0</v>
      </c>
      <c r="K12" s="43">
        <f t="shared" si="3"/>
        <v>0</v>
      </c>
      <c r="L12" s="44">
        <f t="shared" si="3"/>
        <v>0</v>
      </c>
      <c r="M12" s="77">
        <f t="shared" si="0"/>
        <v>0</v>
      </c>
      <c r="N12" s="86">
        <f>N7+N2</f>
        <v>0</v>
      </c>
      <c r="O12" s="87"/>
    </row>
    <row r="13" spans="1:15" ht="13.5" thickBot="1">
      <c r="A13" s="346" t="s">
        <v>90</v>
      </c>
      <c r="B13" s="347"/>
      <c r="C13" s="45">
        <f>C4+C9</f>
        <v>0</v>
      </c>
      <c r="D13" s="45">
        <f t="shared" ref="D13:N13" si="4">D4+D9</f>
        <v>0</v>
      </c>
      <c r="E13" s="45">
        <f t="shared" si="4"/>
        <v>0</v>
      </c>
      <c r="F13" s="45">
        <f t="shared" si="4"/>
        <v>0</v>
      </c>
      <c r="G13" s="45">
        <f t="shared" si="4"/>
        <v>0</v>
      </c>
      <c r="H13" s="45">
        <f t="shared" si="4"/>
        <v>0</v>
      </c>
      <c r="I13" s="45">
        <f t="shared" si="4"/>
        <v>0</v>
      </c>
      <c r="J13" s="45">
        <f t="shared" si="4"/>
        <v>0</v>
      </c>
      <c r="K13" s="45">
        <f t="shared" si="4"/>
        <v>0</v>
      </c>
      <c r="L13" s="46">
        <f t="shared" si="4"/>
        <v>0</v>
      </c>
      <c r="M13" s="77">
        <f t="shared" si="4"/>
        <v>0</v>
      </c>
      <c r="N13" s="78">
        <f t="shared" si="4"/>
        <v>0</v>
      </c>
      <c r="O13" s="79"/>
    </row>
    <row r="14" spans="1:15" ht="13.5" thickBot="1">
      <c r="A14" s="14"/>
      <c r="B14" s="14"/>
    </row>
    <row r="15" spans="1:15" ht="13.5" thickBot="1">
      <c r="A15" s="344" t="s">
        <v>26</v>
      </c>
      <c r="B15" s="345"/>
      <c r="C15" s="37" t="s">
        <v>59</v>
      </c>
      <c r="D15" s="38" t="s">
        <v>47</v>
      </c>
      <c r="F15" s="337" t="s">
        <v>76</v>
      </c>
      <c r="G15" s="337"/>
      <c r="H15" s="337"/>
    </row>
    <row r="16" spans="1:15" ht="13.5" thickBot="1">
      <c r="A16" s="15" t="s">
        <v>60</v>
      </c>
      <c r="B16" s="11"/>
      <c r="C16" s="17">
        <f>M2+M7</f>
        <v>0</v>
      </c>
      <c r="D16" s="36"/>
      <c r="F16" s="54"/>
      <c r="G16" s="164" t="s">
        <v>234</v>
      </c>
      <c r="H16" s="55"/>
    </row>
    <row r="17" spans="1:8" ht="13.5" thickBot="1">
      <c r="A17" s="15" t="s">
        <v>78</v>
      </c>
      <c r="B17" s="11"/>
      <c r="C17" s="17">
        <f t="array" ref="C17">SUM(IF('UM-4 - Dia'!D7:AR7&lt;&gt;"",'UM-4 - Dia'!D7:AR7))</f>
        <v>0</v>
      </c>
      <c r="D17" s="36"/>
      <c r="F17" s="56"/>
      <c r="G17" s="335" t="s">
        <v>235</v>
      </c>
      <c r="H17" s="336"/>
    </row>
    <row r="18" spans="1:8" ht="13.5" thickBot="1">
      <c r="A18" s="15" t="s">
        <v>79</v>
      </c>
      <c r="B18" s="11"/>
      <c r="C18" s="17">
        <f t="array" ref="C18">SUM(IF('UM-4 - 2T'!D8:AR8&lt;&gt;"",'UM-4 - Dia'!D7:AR7))</f>
        <v>0</v>
      </c>
      <c r="D18" s="36"/>
      <c r="F18" s="57"/>
      <c r="G18" s="164" t="s">
        <v>236</v>
      </c>
      <c r="H18" s="55"/>
    </row>
    <row r="19" spans="1:8">
      <c r="A19" s="15" t="s">
        <v>80</v>
      </c>
      <c r="B19" s="11"/>
      <c r="C19" s="17">
        <f>SUM(C17:C18)</f>
        <v>0</v>
      </c>
      <c r="D19" s="36"/>
    </row>
    <row r="20" spans="1:8">
      <c r="A20" s="15" t="s">
        <v>61</v>
      </c>
      <c r="B20" s="11"/>
      <c r="C20" s="17">
        <f>M3+M8</f>
        <v>0</v>
      </c>
      <c r="D20" s="35" t="e">
        <f>C20/C19*1000000</f>
        <v>#DIV/0!</v>
      </c>
    </row>
    <row r="21" spans="1:8">
      <c r="A21" s="15" t="s">
        <v>62</v>
      </c>
      <c r="B21" s="11"/>
      <c r="C21" s="17">
        <f>M4+M9</f>
        <v>0</v>
      </c>
      <c r="D21" s="47" t="e">
        <f>C21/C19*1000000</f>
        <v>#DIV/0!</v>
      </c>
    </row>
    <row r="22" spans="1:8" ht="13.5" thickBot="1">
      <c r="A22" s="48" t="s">
        <v>92</v>
      </c>
      <c r="B22" s="12"/>
      <c r="C22" s="64"/>
      <c r="D22" s="49" t="e">
        <f>C22/(M5+M10)*C21/C19*1000000</f>
        <v>#DIV/0!</v>
      </c>
    </row>
  </sheetData>
  <sheetProtection algorithmName="SHA-512" hashValue="1qSFEUwaeecWryY3rFMyRmPC5fPJCVJelCfslztoRTHOrizcZZSGsHOzKvOJ9ms6y0XnP3Yo61BvnC2Hb4tmkg==" saltValue="RzyFtSF83RxMpICPp/UFJw==" spinCount="100000" sheet="1" objects="1" scenarios="1" selectLockedCells="1"/>
  <mergeCells count="7">
    <mergeCell ref="G17:H17"/>
    <mergeCell ref="F15:H15"/>
    <mergeCell ref="A1:A6"/>
    <mergeCell ref="A7:A11"/>
    <mergeCell ref="A12:B12"/>
    <mergeCell ref="A15:B15"/>
    <mergeCell ref="A13:B13"/>
  </mergeCells>
  <phoneticPr fontId="0" type="noConversion"/>
  <conditionalFormatting sqref="C16">
    <cfRule type="cellIs" dxfId="27" priority="1" stopIfTrue="1" operator="notEqual">
      <formula>$M$12</formula>
    </cfRule>
  </conditionalFormatting>
  <conditionalFormatting sqref="N12 N2:N5 N7:N10">
    <cfRule type="cellIs" dxfId="26" priority="2" stopIfTrue="1" operator="notEqual">
      <formula>0</formula>
    </cfRule>
  </conditionalFormatting>
  <conditionalFormatting sqref="O9">
    <cfRule type="cellIs" dxfId="25" priority="3" stopIfTrue="1" operator="greaterThan">
      <formula>200</formula>
    </cfRule>
    <cfRule type="cellIs" dxfId="24" priority="4" stopIfTrue="1" operator="between">
      <formula>101</formula>
      <formula>200</formula>
    </cfRule>
    <cfRule type="cellIs" dxfId="23" priority="5" stopIfTrue="1" operator="lessThan">
      <formula>100</formula>
    </cfRule>
  </conditionalFormatting>
  <conditionalFormatting sqref="D21 O4">
    <cfRule type="cellIs" dxfId="22" priority="6" stopIfTrue="1" operator="greaterThan">
      <formula>322</formula>
    </cfRule>
    <cfRule type="cellIs" dxfId="21" priority="7" stopIfTrue="1" operator="between">
      <formula>161</formula>
      <formula>322</formula>
    </cfRule>
    <cfRule type="cellIs" dxfId="20" priority="8" stopIfTrue="1" operator="lessThan">
      <formula>161</formula>
    </cfRule>
  </conditionalFormatting>
  <printOptions horizontalCentered="1"/>
  <pageMargins left="0.39370078740157483" right="0.39370078740157483" top="1.5748031496062993" bottom="0.39370078740157483" header="0.98425196850393704" footer="0.59055118110236227"/>
  <pageSetup paperSize="9" orientation="landscape" r:id="rId1"/>
  <headerFooter alignWithMargins="0">
    <oddHeader>&amp;L&amp;"SwitzerlandBlack,Negrito"&amp;16Panasonic
&amp;"Arial,Negrito"&amp;9PILHAS / BATERIAS&amp;C&amp;14RESUMO DE FALHAS DE V/A&amp;RNOVEMBRO</oddHeader>
    <oddFooter>&amp;L&amp;A&amp;R&amp;F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">
    <pageSetUpPr fitToPage="1"/>
  </sheetPr>
  <dimension ref="A1:E106"/>
  <sheetViews>
    <sheetView topLeftCell="A70" zoomScaleNormal="100" workbookViewId="0">
      <selection activeCell="E3" sqref="E3:E106"/>
    </sheetView>
  </sheetViews>
  <sheetFormatPr defaultColWidth="9.140625" defaultRowHeight="12.75"/>
  <cols>
    <col min="1" max="1" width="3.28515625" style="115" bestFit="1" customWidth="1"/>
    <col min="2" max="2" width="9.140625" style="125"/>
    <col min="3" max="3" width="29.28515625" style="115" bestFit="1" customWidth="1"/>
    <col min="4" max="4" width="39.140625" style="115" bestFit="1" customWidth="1"/>
    <col min="5" max="5" width="38.5703125" style="115" bestFit="1" customWidth="1"/>
    <col min="6" max="16384" width="9.140625" style="115"/>
  </cols>
  <sheetData>
    <row r="1" spans="1:5">
      <c r="B1" s="116"/>
    </row>
    <row r="2" spans="1:5" ht="13.5" thickBot="1">
      <c r="B2" s="116"/>
    </row>
    <row r="3" spans="1:5" ht="13.5" thickBot="1">
      <c r="B3" s="117" t="s">
        <v>95</v>
      </c>
      <c r="C3" s="118" t="s">
        <v>166</v>
      </c>
      <c r="D3" s="119" t="s">
        <v>167</v>
      </c>
      <c r="E3" s="119" t="s">
        <v>357</v>
      </c>
    </row>
    <row r="4" spans="1:5" ht="12.75" customHeight="1">
      <c r="A4" s="351" t="s">
        <v>198</v>
      </c>
      <c r="B4" s="98">
        <v>10</v>
      </c>
      <c r="C4" s="96" t="s">
        <v>183</v>
      </c>
      <c r="D4" s="104" t="s">
        <v>185</v>
      </c>
      <c r="E4" s="104" t="s">
        <v>265</v>
      </c>
    </row>
    <row r="5" spans="1:5">
      <c r="A5" s="352"/>
      <c r="B5" s="61">
        <f>(B4/10+1)*10</f>
        <v>20</v>
      </c>
      <c r="C5" s="95" t="s">
        <v>184</v>
      </c>
      <c r="D5" s="105" t="s">
        <v>0</v>
      </c>
      <c r="E5" s="105" t="s">
        <v>266</v>
      </c>
    </row>
    <row r="6" spans="1:5">
      <c r="A6" s="352"/>
      <c r="B6" s="61">
        <f t="shared" ref="B6:B72" si="0">(B5/10+1)*10</f>
        <v>30</v>
      </c>
      <c r="C6" s="95" t="s">
        <v>1</v>
      </c>
      <c r="D6" s="105" t="s">
        <v>186</v>
      </c>
      <c r="E6" s="105" t="s">
        <v>267</v>
      </c>
    </row>
    <row r="7" spans="1:5">
      <c r="A7" s="352"/>
      <c r="B7" s="61">
        <f t="shared" si="0"/>
        <v>40</v>
      </c>
      <c r="C7" s="113" t="s">
        <v>217</v>
      </c>
      <c r="D7" s="114" t="s">
        <v>49</v>
      </c>
      <c r="E7" s="114" t="s">
        <v>268</v>
      </c>
    </row>
    <row r="8" spans="1:5">
      <c r="A8" s="352"/>
      <c r="B8" s="120">
        <f t="shared" si="0"/>
        <v>50</v>
      </c>
      <c r="C8" s="113" t="s">
        <v>187</v>
      </c>
      <c r="D8" s="114" t="s">
        <v>188</v>
      </c>
      <c r="E8" s="114" t="s">
        <v>269</v>
      </c>
    </row>
    <row r="9" spans="1:5" ht="12.75" customHeight="1">
      <c r="A9" s="352"/>
      <c r="B9" s="61">
        <f t="shared" si="0"/>
        <v>60</v>
      </c>
      <c r="C9" s="121" t="s">
        <v>218</v>
      </c>
      <c r="D9" s="101" t="s">
        <v>203</v>
      </c>
      <c r="E9" s="101" t="s">
        <v>270</v>
      </c>
    </row>
    <row r="10" spans="1:5">
      <c r="A10" s="352"/>
      <c r="B10" s="61">
        <f t="shared" si="0"/>
        <v>70</v>
      </c>
      <c r="C10" s="92" t="s">
        <v>219</v>
      </c>
      <c r="D10" s="101" t="s">
        <v>204</v>
      </c>
      <c r="E10" s="101" t="s">
        <v>271</v>
      </c>
    </row>
    <row r="11" spans="1:5">
      <c r="A11" s="352"/>
      <c r="B11" s="61">
        <f t="shared" si="0"/>
        <v>80</v>
      </c>
      <c r="C11" s="92" t="s">
        <v>197</v>
      </c>
      <c r="D11" s="101" t="s">
        <v>205</v>
      </c>
      <c r="E11" s="101" t="s">
        <v>272</v>
      </c>
    </row>
    <row r="12" spans="1:5">
      <c r="A12" s="352"/>
      <c r="B12" s="61">
        <f t="shared" si="0"/>
        <v>90</v>
      </c>
      <c r="C12" s="92" t="s">
        <v>194</v>
      </c>
      <c r="D12" s="122" t="s">
        <v>220</v>
      </c>
      <c r="E12" s="122" t="s">
        <v>273</v>
      </c>
    </row>
    <row r="13" spans="1:5">
      <c r="A13" s="352"/>
      <c r="B13" s="61">
        <f t="shared" si="0"/>
        <v>100</v>
      </c>
      <c r="C13" s="92" t="s">
        <v>219</v>
      </c>
      <c r="D13" s="101" t="s">
        <v>204</v>
      </c>
      <c r="E13" s="101" t="s">
        <v>271</v>
      </c>
    </row>
    <row r="14" spans="1:5">
      <c r="A14" s="352"/>
      <c r="B14" s="61">
        <f t="shared" si="0"/>
        <v>110</v>
      </c>
      <c r="C14" s="92" t="s">
        <v>197</v>
      </c>
      <c r="D14" s="101" t="s">
        <v>205</v>
      </c>
      <c r="E14" s="101" t="s">
        <v>272</v>
      </c>
    </row>
    <row r="15" spans="1:5">
      <c r="A15" s="352"/>
      <c r="B15" s="61">
        <f t="shared" si="0"/>
        <v>120</v>
      </c>
      <c r="C15" s="92" t="s">
        <v>196</v>
      </c>
      <c r="D15" s="101" t="s">
        <v>206</v>
      </c>
      <c r="E15" s="101" t="s">
        <v>274</v>
      </c>
    </row>
    <row r="16" spans="1:5">
      <c r="A16" s="352"/>
      <c r="B16" s="61">
        <f t="shared" si="0"/>
        <v>130</v>
      </c>
      <c r="C16" s="92" t="s">
        <v>221</v>
      </c>
      <c r="D16" s="101" t="s">
        <v>195</v>
      </c>
      <c r="E16" s="101" t="s">
        <v>275</v>
      </c>
    </row>
    <row r="17" spans="1:5">
      <c r="A17" s="352"/>
      <c r="B17" s="61">
        <f t="shared" si="0"/>
        <v>140</v>
      </c>
      <c r="C17" s="92" t="s">
        <v>197</v>
      </c>
      <c r="D17" s="101" t="s">
        <v>205</v>
      </c>
      <c r="E17" s="101" t="s">
        <v>272</v>
      </c>
    </row>
    <row r="18" spans="1:5">
      <c r="A18" s="352"/>
      <c r="B18" s="61">
        <f t="shared" si="0"/>
        <v>150</v>
      </c>
      <c r="C18" s="92" t="s">
        <v>207</v>
      </c>
      <c r="D18" s="122" t="s">
        <v>222</v>
      </c>
      <c r="E18" s="122" t="s">
        <v>276</v>
      </c>
    </row>
    <row r="19" spans="1:5">
      <c r="A19" s="352"/>
      <c r="B19" s="61">
        <f t="shared" si="0"/>
        <v>160</v>
      </c>
      <c r="C19" s="92" t="s">
        <v>195</v>
      </c>
      <c r="D19" s="101" t="s">
        <v>204</v>
      </c>
      <c r="E19" s="101" t="s">
        <v>271</v>
      </c>
    </row>
    <row r="20" spans="1:5">
      <c r="A20" s="352"/>
      <c r="B20" s="61">
        <f t="shared" si="0"/>
        <v>170</v>
      </c>
      <c r="C20" s="92" t="s">
        <v>205</v>
      </c>
      <c r="D20" s="101" t="s">
        <v>205</v>
      </c>
      <c r="E20" s="101" t="s">
        <v>272</v>
      </c>
    </row>
    <row r="21" spans="1:5">
      <c r="A21" s="352"/>
      <c r="B21" s="61">
        <f t="shared" si="0"/>
        <v>180</v>
      </c>
      <c r="C21" s="121" t="s">
        <v>223</v>
      </c>
      <c r="D21" s="122" t="s">
        <v>224</v>
      </c>
      <c r="E21" s="122" t="s">
        <v>277</v>
      </c>
    </row>
    <row r="22" spans="1:5">
      <c r="A22" s="352"/>
      <c r="B22" s="61">
        <f t="shared" si="0"/>
        <v>190</v>
      </c>
      <c r="C22" s="92" t="s">
        <v>225</v>
      </c>
      <c r="D22" s="101" t="s">
        <v>226</v>
      </c>
      <c r="E22" s="101" t="s">
        <v>278</v>
      </c>
    </row>
    <row r="23" spans="1:5" ht="13.5" thickBot="1">
      <c r="A23" s="353"/>
      <c r="B23" s="100">
        <f t="shared" si="0"/>
        <v>200</v>
      </c>
      <c r="C23" s="94" t="s">
        <v>221</v>
      </c>
      <c r="D23" s="103" t="s">
        <v>204</v>
      </c>
      <c r="E23" s="103" t="s">
        <v>271</v>
      </c>
    </row>
    <row r="24" spans="1:5">
      <c r="A24" s="352" t="s">
        <v>199</v>
      </c>
      <c r="B24" s="157">
        <f t="shared" si="0"/>
        <v>210</v>
      </c>
      <c r="C24" s="96" t="s">
        <v>180</v>
      </c>
      <c r="D24" s="112" t="s">
        <v>189</v>
      </c>
      <c r="E24" s="112" t="s">
        <v>279</v>
      </c>
    </row>
    <row r="25" spans="1:5">
      <c r="A25" s="352"/>
      <c r="B25" s="158">
        <f t="shared" si="0"/>
        <v>220</v>
      </c>
      <c r="C25" s="95" t="s">
        <v>181</v>
      </c>
      <c r="D25" s="105" t="s">
        <v>190</v>
      </c>
      <c r="E25" s="105" t="s">
        <v>280</v>
      </c>
    </row>
    <row r="26" spans="1:5">
      <c r="A26" s="352"/>
      <c r="B26" s="158">
        <f t="shared" si="0"/>
        <v>230</v>
      </c>
      <c r="C26" s="95" t="s">
        <v>171</v>
      </c>
      <c r="D26" s="105" t="s">
        <v>191</v>
      </c>
      <c r="E26" s="105" t="s">
        <v>281</v>
      </c>
    </row>
    <row r="27" spans="1:5">
      <c r="A27" s="352"/>
      <c r="B27" s="158">
        <f t="shared" si="0"/>
        <v>240</v>
      </c>
      <c r="C27" s="95" t="s">
        <v>172</v>
      </c>
      <c r="D27" s="105" t="s">
        <v>192</v>
      </c>
      <c r="E27" s="105" t="s">
        <v>282</v>
      </c>
    </row>
    <row r="28" spans="1:5" ht="13.5" thickBot="1">
      <c r="A28" s="353"/>
      <c r="B28" s="159">
        <f t="shared" si="0"/>
        <v>250</v>
      </c>
      <c r="C28" s="97" t="s">
        <v>173</v>
      </c>
      <c r="D28" s="109" t="s">
        <v>193</v>
      </c>
      <c r="E28" s="109" t="s">
        <v>283</v>
      </c>
    </row>
    <row r="29" spans="1:5">
      <c r="A29" s="352" t="s">
        <v>200</v>
      </c>
      <c r="B29" s="98">
        <f t="shared" si="0"/>
        <v>260</v>
      </c>
      <c r="C29" s="102" t="s">
        <v>112</v>
      </c>
      <c r="D29" s="99" t="s">
        <v>4</v>
      </c>
      <c r="E29" s="99" t="s">
        <v>284</v>
      </c>
    </row>
    <row r="30" spans="1:5">
      <c r="A30" s="352"/>
      <c r="B30" s="61">
        <f t="shared" si="0"/>
        <v>270</v>
      </c>
      <c r="C30" s="92" t="s">
        <v>113</v>
      </c>
      <c r="D30" s="101" t="s">
        <v>40</v>
      </c>
      <c r="E30" s="101" t="s">
        <v>285</v>
      </c>
    </row>
    <row r="31" spans="1:5">
      <c r="A31" s="352"/>
      <c r="B31" s="61">
        <f t="shared" si="0"/>
        <v>280</v>
      </c>
      <c r="C31" s="92" t="s">
        <v>114</v>
      </c>
      <c r="D31" s="101" t="s">
        <v>88</v>
      </c>
      <c r="E31" s="101" t="s">
        <v>286</v>
      </c>
    </row>
    <row r="32" spans="1:5">
      <c r="A32" s="352"/>
      <c r="B32" s="61">
        <f t="shared" si="0"/>
        <v>290</v>
      </c>
      <c r="C32" s="92" t="s">
        <v>115</v>
      </c>
      <c r="D32" s="101" t="s">
        <v>5</v>
      </c>
      <c r="E32" s="101" t="s">
        <v>287</v>
      </c>
    </row>
    <row r="33" spans="1:5">
      <c r="A33" s="352"/>
      <c r="B33" s="61">
        <f t="shared" si="0"/>
        <v>300</v>
      </c>
      <c r="C33" s="92" t="s">
        <v>116</v>
      </c>
      <c r="D33" s="101" t="s">
        <v>6</v>
      </c>
      <c r="E33" s="101" t="s">
        <v>288</v>
      </c>
    </row>
    <row r="34" spans="1:5">
      <c r="A34" s="352"/>
      <c r="B34" s="61">
        <f t="shared" si="0"/>
        <v>310</v>
      </c>
      <c r="C34" s="92" t="s">
        <v>117</v>
      </c>
      <c r="D34" s="101" t="s">
        <v>7</v>
      </c>
      <c r="E34" s="101" t="s">
        <v>289</v>
      </c>
    </row>
    <row r="35" spans="1:5">
      <c r="A35" s="352"/>
      <c r="B35" s="61">
        <f t="shared" si="0"/>
        <v>320</v>
      </c>
      <c r="C35" s="92" t="s">
        <v>118</v>
      </c>
      <c r="D35" s="101" t="s">
        <v>8</v>
      </c>
      <c r="E35" s="101" t="s">
        <v>290</v>
      </c>
    </row>
    <row r="36" spans="1:5">
      <c r="A36" s="352"/>
      <c r="B36" s="61">
        <f t="shared" si="0"/>
        <v>330</v>
      </c>
      <c r="C36" s="92" t="s">
        <v>119</v>
      </c>
      <c r="D36" s="101" t="s">
        <v>9</v>
      </c>
      <c r="E36" s="101" t="s">
        <v>291</v>
      </c>
    </row>
    <row r="37" spans="1:5">
      <c r="A37" s="352"/>
      <c r="B37" s="61">
        <f t="shared" si="0"/>
        <v>340</v>
      </c>
      <c r="C37" s="92" t="s">
        <v>120</v>
      </c>
      <c r="D37" s="101" t="s">
        <v>98</v>
      </c>
      <c r="E37" s="101" t="s">
        <v>292</v>
      </c>
    </row>
    <row r="38" spans="1:5">
      <c r="A38" s="352"/>
      <c r="B38" s="61">
        <f t="shared" si="0"/>
        <v>350</v>
      </c>
      <c r="C38" s="92" t="s">
        <v>121</v>
      </c>
      <c r="D38" s="101" t="s">
        <v>10</v>
      </c>
      <c r="E38" s="101" t="s">
        <v>293</v>
      </c>
    </row>
    <row r="39" spans="1:5">
      <c r="A39" s="352"/>
      <c r="B39" s="61">
        <f t="shared" si="0"/>
        <v>360</v>
      </c>
      <c r="C39" s="92" t="s">
        <v>122</v>
      </c>
      <c r="D39" s="101" t="s">
        <v>70</v>
      </c>
      <c r="E39" s="101" t="s">
        <v>294</v>
      </c>
    </row>
    <row r="40" spans="1:5">
      <c r="A40" s="352"/>
      <c r="B40" s="61">
        <f t="shared" si="0"/>
        <v>370</v>
      </c>
      <c r="C40" s="92" t="s">
        <v>123</v>
      </c>
      <c r="D40" s="101" t="s">
        <v>82</v>
      </c>
      <c r="E40" s="101" t="s">
        <v>295</v>
      </c>
    </row>
    <row r="41" spans="1:5">
      <c r="A41" s="352"/>
      <c r="B41" s="61">
        <f t="shared" si="0"/>
        <v>380</v>
      </c>
      <c r="C41" s="92" t="s">
        <v>124</v>
      </c>
      <c r="D41" s="101" t="s">
        <v>83</v>
      </c>
      <c r="E41" s="101" t="s">
        <v>296</v>
      </c>
    </row>
    <row r="42" spans="1:5">
      <c r="A42" s="352"/>
      <c r="B42" s="61">
        <f t="shared" si="0"/>
        <v>390</v>
      </c>
      <c r="C42" s="92" t="s">
        <v>125</v>
      </c>
      <c r="D42" s="101" t="s">
        <v>69</v>
      </c>
      <c r="E42" s="101" t="s">
        <v>297</v>
      </c>
    </row>
    <row r="43" spans="1:5">
      <c r="A43" s="352"/>
      <c r="B43" s="61">
        <f t="shared" si="0"/>
        <v>400</v>
      </c>
      <c r="C43" s="92" t="s">
        <v>126</v>
      </c>
      <c r="D43" s="101" t="s">
        <v>77</v>
      </c>
      <c r="E43" s="101" t="s">
        <v>298</v>
      </c>
    </row>
    <row r="44" spans="1:5">
      <c r="A44" s="352"/>
      <c r="B44" s="61">
        <f t="shared" si="0"/>
        <v>410</v>
      </c>
      <c r="C44" s="92" t="s">
        <v>127</v>
      </c>
      <c r="D44" s="101" t="s">
        <v>11</v>
      </c>
      <c r="E44" s="101" t="s">
        <v>299</v>
      </c>
    </row>
    <row r="45" spans="1:5">
      <c r="A45" s="352"/>
      <c r="B45" s="61">
        <f t="shared" si="0"/>
        <v>420</v>
      </c>
      <c r="C45" s="92" t="s">
        <v>128</v>
      </c>
      <c r="D45" s="101" t="s">
        <v>71</v>
      </c>
      <c r="E45" s="101" t="s">
        <v>300</v>
      </c>
    </row>
    <row r="46" spans="1:5">
      <c r="A46" s="352"/>
      <c r="B46" s="61">
        <f t="shared" si="0"/>
        <v>430</v>
      </c>
      <c r="C46" s="92" t="s">
        <v>129</v>
      </c>
      <c r="D46" s="101" t="s">
        <v>81</v>
      </c>
      <c r="E46" s="101" t="s">
        <v>301</v>
      </c>
    </row>
    <row r="47" spans="1:5">
      <c r="A47" s="352"/>
      <c r="B47" s="61">
        <f t="shared" si="0"/>
        <v>440</v>
      </c>
      <c r="C47" s="92" t="s">
        <v>130</v>
      </c>
      <c r="D47" s="101" t="s">
        <v>12</v>
      </c>
      <c r="E47" s="101" t="s">
        <v>302</v>
      </c>
    </row>
    <row r="48" spans="1:5">
      <c r="A48" s="352"/>
      <c r="B48" s="61">
        <f t="shared" si="0"/>
        <v>450</v>
      </c>
      <c r="C48" s="92" t="s">
        <v>131</v>
      </c>
      <c r="D48" s="101" t="s">
        <v>13</v>
      </c>
      <c r="E48" s="101" t="s">
        <v>303</v>
      </c>
    </row>
    <row r="49" spans="1:5">
      <c r="A49" s="352"/>
      <c r="B49" s="61">
        <f t="shared" si="0"/>
        <v>460</v>
      </c>
      <c r="C49" s="92" t="s">
        <v>132</v>
      </c>
      <c r="D49" s="101" t="s">
        <v>109</v>
      </c>
      <c r="E49" s="101" t="s">
        <v>304</v>
      </c>
    </row>
    <row r="50" spans="1:5">
      <c r="A50" s="352"/>
      <c r="B50" s="61">
        <f t="shared" si="0"/>
        <v>470</v>
      </c>
      <c r="C50" s="92" t="s">
        <v>133</v>
      </c>
      <c r="D50" s="101" t="s">
        <v>14</v>
      </c>
      <c r="E50" s="101" t="s">
        <v>305</v>
      </c>
    </row>
    <row r="51" spans="1:5">
      <c r="A51" s="352"/>
      <c r="B51" s="61">
        <f t="shared" si="0"/>
        <v>480</v>
      </c>
      <c r="C51" s="92" t="s">
        <v>134</v>
      </c>
      <c r="D51" s="101" t="s">
        <v>15</v>
      </c>
      <c r="E51" s="101" t="s">
        <v>306</v>
      </c>
    </row>
    <row r="52" spans="1:5">
      <c r="A52" s="352"/>
      <c r="B52" s="61">
        <f t="shared" si="0"/>
        <v>490</v>
      </c>
      <c r="C52" s="92" t="s">
        <v>135</v>
      </c>
      <c r="D52" s="101" t="s">
        <v>16</v>
      </c>
      <c r="E52" s="101" t="s">
        <v>307</v>
      </c>
    </row>
    <row r="53" spans="1:5">
      <c r="A53" s="352"/>
      <c r="B53" s="61">
        <f t="shared" si="0"/>
        <v>500</v>
      </c>
      <c r="C53" s="92" t="s">
        <v>177</v>
      </c>
      <c r="D53" s="101" t="s">
        <v>17</v>
      </c>
      <c r="E53" s="101" t="s">
        <v>308</v>
      </c>
    </row>
    <row r="54" spans="1:5">
      <c r="A54" s="352"/>
      <c r="B54" s="61">
        <f t="shared" si="0"/>
        <v>510</v>
      </c>
      <c r="C54" s="92" t="s">
        <v>158</v>
      </c>
      <c r="D54" s="101" t="s">
        <v>18</v>
      </c>
      <c r="E54" s="101" t="s">
        <v>309</v>
      </c>
    </row>
    <row r="55" spans="1:5">
      <c r="A55" s="352"/>
      <c r="B55" s="61">
        <f t="shared" si="0"/>
        <v>520</v>
      </c>
      <c r="C55" s="92" t="s">
        <v>178</v>
      </c>
      <c r="D55" s="101" t="s">
        <v>19</v>
      </c>
      <c r="E55" s="101" t="s">
        <v>310</v>
      </c>
    </row>
    <row r="56" spans="1:5">
      <c r="A56" s="352"/>
      <c r="B56" s="61">
        <f t="shared" si="0"/>
        <v>530</v>
      </c>
      <c r="C56" s="92" t="s">
        <v>179</v>
      </c>
      <c r="D56" s="101" t="s">
        <v>20</v>
      </c>
      <c r="E56" s="101" t="s">
        <v>311</v>
      </c>
    </row>
    <row r="57" spans="1:5">
      <c r="A57" s="352"/>
      <c r="B57" s="61">
        <f t="shared" si="0"/>
        <v>540</v>
      </c>
      <c r="C57" s="92" t="s">
        <v>21</v>
      </c>
      <c r="D57" s="101" t="s">
        <v>21</v>
      </c>
      <c r="E57" s="101" t="s">
        <v>312</v>
      </c>
    </row>
    <row r="58" spans="1:5">
      <c r="A58" s="352"/>
      <c r="B58" s="61">
        <f t="shared" si="0"/>
        <v>550</v>
      </c>
      <c r="C58" s="92" t="s">
        <v>136</v>
      </c>
      <c r="D58" s="101" t="s">
        <v>22</v>
      </c>
      <c r="E58" s="101" t="s">
        <v>313</v>
      </c>
    </row>
    <row r="59" spans="1:5">
      <c r="A59" s="352"/>
      <c r="B59" s="61">
        <f t="shared" si="0"/>
        <v>560</v>
      </c>
      <c r="C59" s="92" t="s">
        <v>137</v>
      </c>
      <c r="D59" s="101" t="s">
        <v>86</v>
      </c>
      <c r="E59" s="101" t="s">
        <v>314</v>
      </c>
    </row>
    <row r="60" spans="1:5">
      <c r="A60" s="352"/>
      <c r="B60" s="61">
        <f t="shared" si="0"/>
        <v>570</v>
      </c>
      <c r="C60" s="92" t="s">
        <v>138</v>
      </c>
      <c r="D60" s="101" t="s">
        <v>23</v>
      </c>
      <c r="E60" s="101" t="s">
        <v>315</v>
      </c>
    </row>
    <row r="61" spans="1:5">
      <c r="A61" s="352"/>
      <c r="B61" s="61">
        <f t="shared" si="0"/>
        <v>580</v>
      </c>
      <c r="C61" s="92" t="s">
        <v>139</v>
      </c>
      <c r="D61" s="101" t="s">
        <v>24</v>
      </c>
      <c r="E61" s="101" t="s">
        <v>316</v>
      </c>
    </row>
    <row r="62" spans="1:5">
      <c r="A62" s="352"/>
      <c r="B62" s="61">
        <f t="shared" si="0"/>
        <v>590</v>
      </c>
      <c r="C62" s="92" t="s">
        <v>140</v>
      </c>
      <c r="D62" s="101" t="s">
        <v>89</v>
      </c>
      <c r="E62" s="101" t="s">
        <v>317</v>
      </c>
    </row>
    <row r="63" spans="1:5">
      <c r="A63" s="352"/>
      <c r="B63" s="61">
        <f t="shared" si="0"/>
        <v>600</v>
      </c>
      <c r="C63" s="92" t="s">
        <v>227</v>
      </c>
      <c r="D63" s="101" t="s">
        <v>228</v>
      </c>
      <c r="E63" s="101" t="s">
        <v>318</v>
      </c>
    </row>
    <row r="64" spans="1:5">
      <c r="A64" s="352"/>
      <c r="B64" s="61">
        <f t="shared" si="0"/>
        <v>610</v>
      </c>
      <c r="C64" s="92" t="s">
        <v>141</v>
      </c>
      <c r="D64" s="101" t="s">
        <v>68</v>
      </c>
      <c r="E64" s="101" t="s">
        <v>319</v>
      </c>
    </row>
    <row r="65" spans="1:5">
      <c r="A65" s="352"/>
      <c r="B65" s="61">
        <f t="shared" si="0"/>
        <v>620</v>
      </c>
      <c r="C65" s="92" t="s">
        <v>142</v>
      </c>
      <c r="D65" s="101" t="s">
        <v>85</v>
      </c>
      <c r="E65" s="101" t="s">
        <v>320</v>
      </c>
    </row>
    <row r="66" spans="1:5">
      <c r="A66" s="352"/>
      <c r="B66" s="61">
        <f t="shared" si="0"/>
        <v>630</v>
      </c>
      <c r="C66" s="92" t="s">
        <v>143</v>
      </c>
      <c r="D66" s="101" t="s">
        <v>100</v>
      </c>
      <c r="E66" s="101" t="s">
        <v>321</v>
      </c>
    </row>
    <row r="67" spans="1:5">
      <c r="A67" s="352"/>
      <c r="B67" s="61">
        <f t="shared" si="0"/>
        <v>640</v>
      </c>
      <c r="C67" s="92" t="s">
        <v>144</v>
      </c>
      <c r="D67" s="101" t="s">
        <v>99</v>
      </c>
      <c r="E67" s="101" t="s">
        <v>322</v>
      </c>
    </row>
    <row r="68" spans="1:5">
      <c r="A68" s="352"/>
      <c r="B68" s="61">
        <f t="shared" si="0"/>
        <v>650</v>
      </c>
      <c r="C68" s="92" t="s">
        <v>145</v>
      </c>
      <c r="D68" s="101" t="s">
        <v>74</v>
      </c>
      <c r="E68" s="101" t="s">
        <v>323</v>
      </c>
    </row>
    <row r="69" spans="1:5">
      <c r="A69" s="352"/>
      <c r="B69" s="61">
        <f t="shared" si="0"/>
        <v>660</v>
      </c>
      <c r="C69" s="92" t="s">
        <v>241</v>
      </c>
      <c r="D69" s="101" t="s">
        <v>240</v>
      </c>
      <c r="E69" s="101" t="s">
        <v>324</v>
      </c>
    </row>
    <row r="70" spans="1:5">
      <c r="A70" s="352"/>
      <c r="B70" s="61">
        <f t="shared" si="0"/>
        <v>670</v>
      </c>
      <c r="C70" s="92" t="s">
        <v>146</v>
      </c>
      <c r="D70" s="101" t="s">
        <v>101</v>
      </c>
      <c r="E70" s="101" t="s">
        <v>325</v>
      </c>
    </row>
    <row r="71" spans="1:5">
      <c r="A71" s="352"/>
      <c r="B71" s="61">
        <f t="shared" si="0"/>
        <v>680</v>
      </c>
      <c r="C71" s="92" t="s">
        <v>147</v>
      </c>
      <c r="D71" s="101" t="s">
        <v>41</v>
      </c>
      <c r="E71" s="101" t="s">
        <v>326</v>
      </c>
    </row>
    <row r="72" spans="1:5">
      <c r="A72" s="352"/>
      <c r="B72" s="61">
        <f t="shared" si="0"/>
        <v>690</v>
      </c>
      <c r="C72" s="92" t="s">
        <v>148</v>
      </c>
      <c r="D72" s="101" t="s">
        <v>45</v>
      </c>
      <c r="E72" s="101" t="s">
        <v>327</v>
      </c>
    </row>
    <row r="73" spans="1:5">
      <c r="A73" s="352"/>
      <c r="B73" s="61">
        <f t="shared" ref="B73:B106" si="1">(B72/10+1)*10</f>
        <v>700</v>
      </c>
      <c r="C73" s="92" t="s">
        <v>149</v>
      </c>
      <c r="D73" s="101" t="s">
        <v>25</v>
      </c>
      <c r="E73" s="101" t="s">
        <v>328</v>
      </c>
    </row>
    <row r="74" spans="1:5">
      <c r="A74" s="352"/>
      <c r="B74" s="61">
        <f t="shared" si="1"/>
        <v>710</v>
      </c>
      <c r="C74" s="92" t="s">
        <v>243</v>
      </c>
      <c r="D74" s="101" t="s">
        <v>242</v>
      </c>
      <c r="E74" s="101" t="s">
        <v>329</v>
      </c>
    </row>
    <row r="75" spans="1:5">
      <c r="A75" s="352"/>
      <c r="B75" s="61">
        <f t="shared" si="1"/>
        <v>720</v>
      </c>
      <c r="C75" s="92" t="s">
        <v>150</v>
      </c>
      <c r="D75" s="101" t="s">
        <v>104</v>
      </c>
      <c r="E75" s="101" t="s">
        <v>330</v>
      </c>
    </row>
    <row r="76" spans="1:5">
      <c r="A76" s="352"/>
      <c r="B76" s="61">
        <f t="shared" si="1"/>
        <v>730</v>
      </c>
      <c r="C76" s="92" t="s">
        <v>151</v>
      </c>
      <c r="D76" s="101" t="s">
        <v>111</v>
      </c>
      <c r="E76" s="101" t="s">
        <v>331</v>
      </c>
    </row>
    <row r="77" spans="1:5">
      <c r="A77" s="352"/>
      <c r="B77" s="61">
        <f t="shared" si="1"/>
        <v>740</v>
      </c>
      <c r="C77" s="92" t="s">
        <v>152</v>
      </c>
      <c r="D77" s="101" t="s">
        <v>72</v>
      </c>
      <c r="E77" s="101" t="s">
        <v>332</v>
      </c>
    </row>
    <row r="78" spans="1:5" ht="13.5" thickBot="1">
      <c r="A78" s="352"/>
      <c r="B78" s="100">
        <f t="shared" si="1"/>
        <v>750</v>
      </c>
      <c r="C78" s="94" t="s">
        <v>153</v>
      </c>
      <c r="D78" s="103" t="s">
        <v>97</v>
      </c>
      <c r="E78" s="103" t="s">
        <v>333</v>
      </c>
    </row>
    <row r="79" spans="1:5">
      <c r="A79" s="351" t="s">
        <v>201</v>
      </c>
      <c r="B79" s="98">
        <f t="shared" si="1"/>
        <v>760</v>
      </c>
      <c r="C79" s="96" t="s">
        <v>182</v>
      </c>
      <c r="D79" s="104" t="s">
        <v>208</v>
      </c>
      <c r="E79" s="104" t="s">
        <v>334</v>
      </c>
    </row>
    <row r="80" spans="1:5">
      <c r="A80" s="352"/>
      <c r="B80" s="61">
        <f t="shared" si="1"/>
        <v>770</v>
      </c>
      <c r="C80" s="108" t="s">
        <v>232</v>
      </c>
      <c r="D80" s="111" t="s">
        <v>231</v>
      </c>
      <c r="E80" s="111" t="s">
        <v>335</v>
      </c>
    </row>
    <row r="81" spans="1:5">
      <c r="A81" s="352"/>
      <c r="B81" s="61">
        <f t="shared" si="1"/>
        <v>780</v>
      </c>
      <c r="C81" s="95" t="s">
        <v>170</v>
      </c>
      <c r="D81" s="105" t="s">
        <v>27</v>
      </c>
      <c r="E81" s="105" t="s">
        <v>336</v>
      </c>
    </row>
    <row r="82" spans="1:5">
      <c r="A82" s="352"/>
      <c r="B82" s="61">
        <f t="shared" si="1"/>
        <v>790</v>
      </c>
      <c r="C82" s="95" t="s">
        <v>168</v>
      </c>
      <c r="D82" s="105" t="s">
        <v>209</v>
      </c>
      <c r="E82" s="105" t="s">
        <v>337</v>
      </c>
    </row>
    <row r="83" spans="1:5" ht="13.5" thickBot="1">
      <c r="A83" s="353"/>
      <c r="B83" s="100">
        <f t="shared" si="1"/>
        <v>800</v>
      </c>
      <c r="C83" s="97" t="s">
        <v>169</v>
      </c>
      <c r="D83" s="106" t="s">
        <v>210</v>
      </c>
      <c r="E83" s="106" t="s">
        <v>338</v>
      </c>
    </row>
    <row r="84" spans="1:5">
      <c r="A84" s="354" t="s">
        <v>199</v>
      </c>
      <c r="B84" s="98">
        <f t="shared" si="1"/>
        <v>810</v>
      </c>
      <c r="C84" s="107" t="s">
        <v>211</v>
      </c>
      <c r="D84" s="110" t="s">
        <v>213</v>
      </c>
      <c r="E84" s="110" t="s">
        <v>339</v>
      </c>
    </row>
    <row r="85" spans="1:5">
      <c r="A85" s="355"/>
      <c r="B85" s="61">
        <f t="shared" si="1"/>
        <v>820</v>
      </c>
      <c r="C85" s="108" t="s">
        <v>212</v>
      </c>
      <c r="D85" s="111" t="s">
        <v>29</v>
      </c>
      <c r="E85" s="111" t="s">
        <v>340</v>
      </c>
    </row>
    <row r="86" spans="1:5" ht="13.5" thickBot="1">
      <c r="A86" s="356"/>
      <c r="B86" s="100">
        <f t="shared" si="1"/>
        <v>830</v>
      </c>
      <c r="C86" s="97" t="s">
        <v>173</v>
      </c>
      <c r="D86" s="106" t="s">
        <v>214</v>
      </c>
      <c r="E86" s="106" t="s">
        <v>341</v>
      </c>
    </row>
    <row r="87" spans="1:5">
      <c r="A87" s="351" t="s">
        <v>28</v>
      </c>
      <c r="B87" s="98">
        <f t="shared" si="1"/>
        <v>840</v>
      </c>
      <c r="C87" s="102" t="s">
        <v>154</v>
      </c>
      <c r="D87" s="99" t="s">
        <v>30</v>
      </c>
      <c r="E87" s="99" t="s">
        <v>342</v>
      </c>
    </row>
    <row r="88" spans="1:5">
      <c r="A88" s="352"/>
      <c r="B88" s="61">
        <f t="shared" si="1"/>
        <v>850</v>
      </c>
      <c r="C88" s="92" t="s">
        <v>155</v>
      </c>
      <c r="D88" s="101" t="s">
        <v>31</v>
      </c>
      <c r="E88" s="101" t="s">
        <v>343</v>
      </c>
    </row>
    <row r="89" spans="1:5">
      <c r="A89" s="352"/>
      <c r="B89" s="61">
        <f t="shared" si="1"/>
        <v>860</v>
      </c>
      <c r="C89" s="123" t="s">
        <v>156</v>
      </c>
      <c r="D89" s="101" t="s">
        <v>32</v>
      </c>
      <c r="E89" s="101" t="s">
        <v>344</v>
      </c>
    </row>
    <row r="90" spans="1:5">
      <c r="A90" s="352"/>
      <c r="B90" s="61">
        <f t="shared" si="1"/>
        <v>870</v>
      </c>
      <c r="C90" s="92" t="s">
        <v>157</v>
      </c>
      <c r="D90" s="101" t="s">
        <v>94</v>
      </c>
      <c r="E90" s="101" t="s">
        <v>345</v>
      </c>
    </row>
    <row r="91" spans="1:5">
      <c r="A91" s="352"/>
      <c r="B91" s="61">
        <f t="shared" si="1"/>
        <v>880</v>
      </c>
      <c r="C91" s="92" t="s">
        <v>158</v>
      </c>
      <c r="D91" s="101" t="s">
        <v>18</v>
      </c>
      <c r="E91" s="101" t="s">
        <v>309</v>
      </c>
    </row>
    <row r="92" spans="1:5">
      <c r="A92" s="352"/>
      <c r="B92" s="61">
        <f t="shared" si="1"/>
        <v>890</v>
      </c>
      <c r="C92" s="92" t="s">
        <v>159</v>
      </c>
      <c r="D92" s="101" t="s">
        <v>33</v>
      </c>
      <c r="E92" s="101" t="s">
        <v>346</v>
      </c>
    </row>
    <row r="93" spans="1:5">
      <c r="A93" s="352"/>
      <c r="B93" s="61">
        <f t="shared" si="1"/>
        <v>900</v>
      </c>
      <c r="C93" s="92" t="s">
        <v>160</v>
      </c>
      <c r="D93" s="101" t="s">
        <v>34</v>
      </c>
      <c r="E93" s="101" t="s">
        <v>347</v>
      </c>
    </row>
    <row r="94" spans="1:5">
      <c r="A94" s="352"/>
      <c r="B94" s="61">
        <f t="shared" si="1"/>
        <v>910</v>
      </c>
      <c r="C94" s="92" t="s">
        <v>138</v>
      </c>
      <c r="D94" s="101" t="s">
        <v>23</v>
      </c>
      <c r="E94" s="101" t="s">
        <v>315</v>
      </c>
    </row>
    <row r="95" spans="1:5">
      <c r="A95" s="352"/>
      <c r="B95" s="61">
        <f t="shared" si="1"/>
        <v>920</v>
      </c>
      <c r="C95" s="92" t="s">
        <v>161</v>
      </c>
      <c r="D95" s="101" t="s">
        <v>35</v>
      </c>
      <c r="E95" s="101" t="s">
        <v>348</v>
      </c>
    </row>
    <row r="96" spans="1:5">
      <c r="A96" s="352"/>
      <c r="B96" s="61">
        <f t="shared" si="1"/>
        <v>930</v>
      </c>
      <c r="C96" s="92" t="s">
        <v>176</v>
      </c>
      <c r="D96" s="101" t="s">
        <v>36</v>
      </c>
      <c r="E96" s="101" t="s">
        <v>349</v>
      </c>
    </row>
    <row r="97" spans="1:5">
      <c r="A97" s="352"/>
      <c r="B97" s="61">
        <f t="shared" si="1"/>
        <v>940</v>
      </c>
      <c r="C97" s="92" t="s">
        <v>162</v>
      </c>
      <c r="D97" s="101" t="s">
        <v>37</v>
      </c>
      <c r="E97" s="101" t="s">
        <v>350</v>
      </c>
    </row>
    <row r="98" spans="1:5">
      <c r="A98" s="352"/>
      <c r="B98" s="61">
        <f t="shared" si="1"/>
        <v>950</v>
      </c>
      <c r="C98" s="92" t="s">
        <v>136</v>
      </c>
      <c r="D98" s="101" t="s">
        <v>22</v>
      </c>
      <c r="E98" s="101" t="s">
        <v>313</v>
      </c>
    </row>
    <row r="99" spans="1:5">
      <c r="A99" s="352"/>
      <c r="B99" s="61">
        <f t="shared" si="1"/>
        <v>960</v>
      </c>
      <c r="C99" s="92" t="s">
        <v>163</v>
      </c>
      <c r="D99" s="101" t="s">
        <v>21</v>
      </c>
      <c r="E99" s="101" t="s">
        <v>312</v>
      </c>
    </row>
    <row r="100" spans="1:5">
      <c r="A100" s="352"/>
      <c r="B100" s="61">
        <f t="shared" si="1"/>
        <v>970</v>
      </c>
      <c r="C100" s="92" t="s">
        <v>164</v>
      </c>
      <c r="D100" s="101" t="s">
        <v>38</v>
      </c>
      <c r="E100" s="101" t="s">
        <v>351</v>
      </c>
    </row>
    <row r="101" spans="1:5">
      <c r="A101" s="352"/>
      <c r="B101" s="61">
        <f t="shared" si="1"/>
        <v>980</v>
      </c>
      <c r="C101" s="92" t="s">
        <v>175</v>
      </c>
      <c r="D101" s="101" t="s">
        <v>39</v>
      </c>
      <c r="E101" s="101" t="s">
        <v>352</v>
      </c>
    </row>
    <row r="102" spans="1:5">
      <c r="A102" s="352"/>
      <c r="B102" s="61">
        <f t="shared" si="1"/>
        <v>990</v>
      </c>
      <c r="C102" s="92" t="s">
        <v>151</v>
      </c>
      <c r="D102" s="101" t="s">
        <v>110</v>
      </c>
      <c r="E102" s="101" t="s">
        <v>353</v>
      </c>
    </row>
    <row r="103" spans="1:5" ht="13.5" thickBot="1">
      <c r="A103" s="353"/>
      <c r="B103" s="100">
        <f t="shared" si="1"/>
        <v>1000</v>
      </c>
      <c r="C103" s="94" t="s">
        <v>165</v>
      </c>
      <c r="D103" s="103" t="s">
        <v>96</v>
      </c>
      <c r="E103" s="103" t="s">
        <v>354</v>
      </c>
    </row>
    <row r="104" spans="1:5">
      <c r="A104" s="348" t="s">
        <v>201</v>
      </c>
      <c r="B104" s="98">
        <f t="shared" si="1"/>
        <v>1010</v>
      </c>
      <c r="C104" s="107" t="s">
        <v>215</v>
      </c>
      <c r="D104" s="104" t="s">
        <v>26</v>
      </c>
      <c r="E104" s="104" t="s">
        <v>355</v>
      </c>
    </row>
    <row r="105" spans="1:5">
      <c r="A105" s="349"/>
      <c r="B105" s="61">
        <f t="shared" si="1"/>
        <v>1020</v>
      </c>
      <c r="C105" s="95" t="s">
        <v>170</v>
      </c>
      <c r="D105" s="105" t="s">
        <v>27</v>
      </c>
      <c r="E105" s="105" t="s">
        <v>336</v>
      </c>
    </row>
    <row r="106" spans="1:5" ht="13.5" thickBot="1">
      <c r="A106" s="350"/>
      <c r="B106" s="100">
        <f t="shared" si="1"/>
        <v>1030</v>
      </c>
      <c r="C106" s="97" t="s">
        <v>174</v>
      </c>
      <c r="D106" s="124" t="s">
        <v>216</v>
      </c>
      <c r="E106" s="124" t="s">
        <v>356</v>
      </c>
    </row>
  </sheetData>
  <sheetProtection algorithmName="SHA-512" hashValue="XHzKIWmmiioyNraCPK6mqe7ey4lTe1lDGOo7qRAx/SJkTv85r0c0pmKISY1JQDN0ABUZB0Ppm/AtLfZdFAyLUw==" saltValue="8UehlTLm167tA0xQ4wlmgQ==" spinCount="100000" sheet="1" objects="1" scenarios="1" selectLockedCells="1"/>
  <mergeCells count="7">
    <mergeCell ref="A104:A106"/>
    <mergeCell ref="A4:A23"/>
    <mergeCell ref="A24:A28"/>
    <mergeCell ref="A29:A78"/>
    <mergeCell ref="A79:A83"/>
    <mergeCell ref="A84:A86"/>
    <mergeCell ref="A87:A103"/>
  </mergeCells>
  <phoneticPr fontId="20"/>
  <conditionalFormatting sqref="B4:D106">
    <cfRule type="expression" dxfId="19" priority="2">
      <formula>MOD(ROW(),2)=0</formula>
    </cfRule>
  </conditionalFormatting>
  <conditionalFormatting sqref="E4:E106">
    <cfRule type="expression" dxfId="18" priority="1">
      <formula>MOD(ROW(),2)=0</formula>
    </cfRule>
  </conditionalFormatting>
  <pageMargins left="0.98425196850393704" right="0.39370078740157483" top="0.39370078740157483" bottom="0.59055118110236227" header="0.31496062992125984" footer="0.31496062992125984"/>
  <pageSetup paperSize="9" scale="89" orientation="portrait" r:id="rId1"/>
  <headerFooter>
    <oddFooter>&amp;R&amp;8&amp;Z&amp;F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A1:AU131"/>
  <sheetViews>
    <sheetView topLeftCell="A10" zoomScaleNormal="100" workbookViewId="0">
      <pane xSplit="3" topLeftCell="D1" activePane="topRight" state="frozen"/>
      <selection pane="topRight" activeCell="D10" sqref="D10"/>
    </sheetView>
  </sheetViews>
  <sheetFormatPr defaultColWidth="10.28515625" defaultRowHeight="12.75"/>
  <cols>
    <col min="1" max="1" width="3.28515625" style="229" bestFit="1" customWidth="1"/>
    <col min="2" max="2" width="5" style="229" bestFit="1" customWidth="1"/>
    <col min="3" max="3" width="35.7109375" style="229" bestFit="1" customWidth="1"/>
    <col min="4" max="5" width="11.7109375" style="229" customWidth="1"/>
    <col min="6" max="7" width="11.7109375" style="232" customWidth="1"/>
    <col min="8" max="9" width="11.7109375" style="229" customWidth="1"/>
    <col min="10" max="10" width="11.7109375" style="232" customWidth="1"/>
    <col min="11" max="43" width="11.7109375" style="229" customWidth="1"/>
    <col min="44" max="44" width="11.7109375" style="232" customWidth="1"/>
    <col min="45" max="45" width="12.42578125" style="232" bestFit="1" customWidth="1"/>
    <col min="46" max="46" width="10.28515625" style="229" customWidth="1"/>
    <col min="47" max="47" width="10" style="229" customWidth="1"/>
    <col min="48" max="16384" width="10.28515625" style="229"/>
  </cols>
  <sheetData>
    <row r="1" spans="1:45" ht="13.5" thickBot="1">
      <c r="C1" s="230" t="str">
        <f>AS2</f>
        <v>Dia</v>
      </c>
      <c r="D1" s="231"/>
      <c r="AS1" s="163" t="s">
        <v>233</v>
      </c>
    </row>
    <row r="2" spans="1:45" ht="13.5" thickBot="1">
      <c r="B2" s="126" t="s">
        <v>202</v>
      </c>
      <c r="C2" s="135" t="s">
        <v>229</v>
      </c>
      <c r="D2" s="364" t="str">
        <f ca="1">MID(CELL("nome.arquivo"),SEARCH(".xl",CELL("nome.arquivo"))-2,2)&amp;" / 20"&amp;MID(CELL("nome.arquivo"),SEARCH(".xl",CELL("nome.arquivo"))-4,2)</f>
        <v>03 / 2022</v>
      </c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179" t="s">
        <v>230</v>
      </c>
    </row>
    <row r="3" spans="1:45">
      <c r="A3" s="366" t="s">
        <v>198</v>
      </c>
      <c r="B3" s="129">
        <v>10</v>
      </c>
      <c r="C3" s="136" t="str">
        <f>VLOOKUP(B3,'Tipos de Defeitos'!B$4:E$106,Menu!$B$28+1,)</f>
        <v>Data da Montagem</v>
      </c>
      <c r="D3" s="190"/>
      <c r="E3" s="190"/>
      <c r="F3" s="189"/>
      <c r="G3" s="189"/>
      <c r="H3" s="189"/>
      <c r="I3" s="189"/>
      <c r="J3" s="190"/>
      <c r="K3" s="190"/>
      <c r="L3" s="190"/>
      <c r="M3" s="190"/>
      <c r="N3" s="190"/>
      <c r="O3" s="190"/>
      <c r="P3" s="190"/>
      <c r="Q3" s="189"/>
      <c r="R3" s="190"/>
      <c r="S3" s="189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166" t="s">
        <v>26</v>
      </c>
    </row>
    <row r="4" spans="1:45">
      <c r="A4" s="367"/>
      <c r="B4" s="127">
        <f>(B3/10+1)*10</f>
        <v>20</v>
      </c>
      <c r="C4" s="137" t="str">
        <f>VLOOKUP(B4,'Tipos de Defeitos'!B$4:E$106,Menu!$B$28+1,)</f>
        <v>Data do Acabamento</v>
      </c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67"/>
    </row>
    <row r="5" spans="1:45">
      <c r="A5" s="367"/>
      <c r="B5" s="127">
        <f t="shared" ref="B5:B75" si="0">(B4/10+1)*10</f>
        <v>30</v>
      </c>
      <c r="C5" s="137" t="str">
        <f>VLOOKUP(B5,'Tipos de Defeitos'!B$4:E$106,Menu!$B$28+1,)</f>
        <v>Descanso:</v>
      </c>
      <c r="D5" s="141" t="str">
        <f t="shared" ref="D5:J5" si="1">IF(D4="","",D4-D3)</f>
        <v/>
      </c>
      <c r="E5" s="141" t="str">
        <f t="shared" si="1"/>
        <v/>
      </c>
      <c r="F5" s="141" t="str">
        <f t="shared" si="1"/>
        <v/>
      </c>
      <c r="G5" s="141" t="str">
        <f t="shared" si="1"/>
        <v/>
      </c>
      <c r="H5" s="141" t="str">
        <f t="shared" si="1"/>
        <v/>
      </c>
      <c r="I5" s="141" t="str">
        <f t="shared" si="1"/>
        <v/>
      </c>
      <c r="J5" s="141" t="str">
        <f t="shared" si="1"/>
        <v/>
      </c>
      <c r="K5" s="141" t="str">
        <f t="shared" ref="K5:M5" si="2">IF(K4="","",K4-K3)</f>
        <v/>
      </c>
      <c r="L5" s="141" t="str">
        <f t="shared" si="2"/>
        <v/>
      </c>
      <c r="M5" s="141" t="str">
        <f t="shared" si="2"/>
        <v/>
      </c>
      <c r="N5" s="141" t="str">
        <f t="shared" ref="N5:R5" si="3">IF(N4="","",N4-N3)</f>
        <v/>
      </c>
      <c r="O5" s="141" t="str">
        <f t="shared" si="3"/>
        <v/>
      </c>
      <c r="P5" s="141" t="str">
        <f t="shared" ref="P5" si="4">IF(P4="","",P4-P3)</f>
        <v/>
      </c>
      <c r="Q5" s="141" t="str">
        <f t="shared" si="3"/>
        <v/>
      </c>
      <c r="R5" s="141" t="str">
        <f t="shared" si="3"/>
        <v/>
      </c>
      <c r="S5" s="141" t="str">
        <f t="shared" ref="S5:AR5" si="5">IF(S4="","",S4-S3)</f>
        <v/>
      </c>
      <c r="T5" s="141" t="str">
        <f t="shared" si="5"/>
        <v/>
      </c>
      <c r="U5" s="141" t="str">
        <f t="shared" si="5"/>
        <v/>
      </c>
      <c r="V5" s="141" t="str">
        <f t="shared" si="5"/>
        <v/>
      </c>
      <c r="W5" s="141" t="str">
        <f t="shared" ref="W5:Z5" si="6">IF(W4="","",W4-W3)</f>
        <v/>
      </c>
      <c r="X5" s="141" t="str">
        <f t="shared" si="6"/>
        <v/>
      </c>
      <c r="Y5" s="141" t="str">
        <f t="shared" si="6"/>
        <v/>
      </c>
      <c r="Z5" s="141" t="str">
        <f t="shared" si="6"/>
        <v/>
      </c>
      <c r="AA5" s="141" t="str">
        <f t="shared" si="5"/>
        <v/>
      </c>
      <c r="AB5" s="141" t="str">
        <f t="shared" si="5"/>
        <v/>
      </c>
      <c r="AC5" s="141" t="str">
        <f t="shared" si="5"/>
        <v/>
      </c>
      <c r="AD5" s="141" t="str">
        <f t="shared" si="5"/>
        <v/>
      </c>
      <c r="AE5" s="141" t="str">
        <f t="shared" si="5"/>
        <v/>
      </c>
      <c r="AF5" s="141" t="str">
        <f t="shared" si="5"/>
        <v/>
      </c>
      <c r="AG5" s="141" t="str">
        <f t="shared" si="5"/>
        <v/>
      </c>
      <c r="AH5" s="141" t="str">
        <f t="shared" si="5"/>
        <v/>
      </c>
      <c r="AI5" s="141" t="str">
        <f t="shared" si="5"/>
        <v/>
      </c>
      <c r="AJ5" s="141" t="str">
        <f t="shared" si="5"/>
        <v/>
      </c>
      <c r="AK5" s="141" t="str">
        <f t="shared" si="5"/>
        <v/>
      </c>
      <c r="AL5" s="141" t="str">
        <f t="shared" si="5"/>
        <v/>
      </c>
      <c r="AM5" s="141" t="str">
        <f t="shared" si="5"/>
        <v/>
      </c>
      <c r="AN5" s="141" t="str">
        <f t="shared" si="5"/>
        <v/>
      </c>
      <c r="AO5" s="141" t="str">
        <f t="shared" si="5"/>
        <v/>
      </c>
      <c r="AP5" s="141" t="str">
        <f t="shared" si="5"/>
        <v/>
      </c>
      <c r="AQ5" s="141" t="str">
        <f t="shared" si="5"/>
        <v/>
      </c>
      <c r="AR5" s="141" t="str">
        <f t="shared" si="5"/>
        <v/>
      </c>
      <c r="AS5" s="167"/>
    </row>
    <row r="6" spans="1:45">
      <c r="A6" s="367"/>
      <c r="B6" s="127">
        <f t="shared" si="0"/>
        <v>40</v>
      </c>
      <c r="C6" s="137" t="str">
        <f>VLOOKUP(B6,'Tipos de Defeitos'!B$4:E$106,Menu!$B$28+1,)</f>
        <v>Modelo</v>
      </c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AQ6" s="142"/>
      <c r="AR6" s="142"/>
      <c r="AS6" s="167"/>
    </row>
    <row r="7" spans="1:45">
      <c r="A7" s="367"/>
      <c r="B7" s="127">
        <f t="shared" si="0"/>
        <v>50</v>
      </c>
      <c r="C7" s="137" t="str">
        <f>VLOOKUP(B7,'Tipos de Defeitos'!B$4:E$106,Menu!$B$28+1,)</f>
        <v>Qtd de Produção (pçs)</v>
      </c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8"/>
      <c r="O7" s="226"/>
      <c r="P7" s="226"/>
      <c r="Q7" s="226"/>
      <c r="R7" s="226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  <c r="AD7" s="226"/>
      <c r="AE7" s="226"/>
      <c r="AF7" s="226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AQ7" s="142"/>
      <c r="AR7" s="142"/>
      <c r="AS7" s="168">
        <f>SUM(D7:AR7)</f>
        <v>0</v>
      </c>
    </row>
    <row r="8" spans="1:45">
      <c r="A8" s="367"/>
      <c r="B8" s="127">
        <f t="shared" si="0"/>
        <v>60</v>
      </c>
      <c r="C8" s="137" t="str">
        <f>VLOOKUP(B8,'Tipos de Defeitos'!B$4:E$106,Menu!$B$28+1,)</f>
        <v>GME - Fornecedor</v>
      </c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81"/>
      <c r="AF8" s="181"/>
      <c r="AG8" s="181"/>
      <c r="AH8" s="181"/>
      <c r="AI8" s="181"/>
      <c r="AJ8" s="181"/>
      <c r="AK8" s="181"/>
      <c r="AL8" s="181"/>
      <c r="AM8" s="181"/>
      <c r="AN8" s="181"/>
      <c r="AO8" s="181"/>
      <c r="AP8" s="181"/>
      <c r="AQ8" s="181"/>
      <c r="AR8" s="181"/>
      <c r="AS8" s="169"/>
    </row>
    <row r="9" spans="1:45">
      <c r="A9" s="367"/>
      <c r="B9" s="127">
        <f t="shared" si="0"/>
        <v>70</v>
      </c>
      <c r="C9" s="137" t="str">
        <f>VLOOKUP(B9,'Tipos de Defeitos'!B$4:E$106,Menu!$B$28+1,)</f>
        <v>Nº Lote</v>
      </c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AD9" s="289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69"/>
    </row>
    <row r="10" spans="1:45">
      <c r="A10" s="367"/>
      <c r="B10" s="127">
        <f t="shared" si="0"/>
        <v>80</v>
      </c>
      <c r="C10" s="137" t="str">
        <f>VLOOKUP(B10,'Tipos de Defeitos'!B$4:E$106,Menu!$B$28+1,)</f>
        <v>Qtd</v>
      </c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53"/>
    </row>
    <row r="11" spans="1:45">
      <c r="A11" s="367"/>
      <c r="B11" s="127">
        <f t="shared" si="0"/>
        <v>90</v>
      </c>
      <c r="C11" s="137" t="str">
        <f>VLOOKUP(B11,'Tipos de Defeitos'!B$4:E$106,Menu!$B$28+1,)</f>
        <v>GMT - Fornecedor</v>
      </c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53"/>
    </row>
    <row r="12" spans="1:45">
      <c r="A12" s="367"/>
      <c r="B12" s="127">
        <f t="shared" si="0"/>
        <v>100</v>
      </c>
      <c r="C12" s="137" t="str">
        <f>VLOOKUP(B12,'Tipos de Defeitos'!B$4:E$106,Menu!$B$28+1,)</f>
        <v>Nº Lote</v>
      </c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2"/>
      <c r="AP12" s="142"/>
      <c r="AQ12" s="142"/>
      <c r="AR12" s="142"/>
      <c r="AS12" s="53"/>
    </row>
    <row r="13" spans="1:45">
      <c r="A13" s="367"/>
      <c r="B13" s="127">
        <f t="shared" si="0"/>
        <v>110</v>
      </c>
      <c r="C13" s="137" t="str">
        <f>VLOOKUP(B13,'Tipos de Defeitos'!B$4:E$106,Menu!$B$28+1,)</f>
        <v>Qtd</v>
      </c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53"/>
    </row>
    <row r="14" spans="1:45">
      <c r="A14" s="367"/>
      <c r="B14" s="127">
        <f t="shared" si="0"/>
        <v>120</v>
      </c>
      <c r="C14" s="137" t="str">
        <f>VLOOKUP(B14,'Tipos de Defeitos'!B$4:E$106,Menu!$B$28+1,)</f>
        <v>GCA - Fornecedor</v>
      </c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53"/>
    </row>
    <row r="15" spans="1:45">
      <c r="A15" s="367"/>
      <c r="B15" s="127">
        <f t="shared" si="0"/>
        <v>130</v>
      </c>
      <c r="C15" s="137" t="str">
        <f>VLOOKUP(B15,'Tipos de Defeitos'!B$4:E$106,Menu!$B$28+1,)</f>
        <v>Lot.</v>
      </c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53"/>
    </row>
    <row r="16" spans="1:45">
      <c r="A16" s="367"/>
      <c r="B16" s="127">
        <f t="shared" si="0"/>
        <v>140</v>
      </c>
      <c r="C16" s="137" t="str">
        <f>VLOOKUP(B16,'Tipos de Defeitos'!B$4:E$106,Menu!$B$28+1,)</f>
        <v>Qtd</v>
      </c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53"/>
    </row>
    <row r="17" spans="1:47">
      <c r="A17" s="367"/>
      <c r="B17" s="127">
        <f t="shared" si="0"/>
        <v>150</v>
      </c>
      <c r="C17" s="137" t="str">
        <f>VLOOKUP(B17,'Tipos de Defeitos'!B$4:E$106,Menu!$B$28+1,)</f>
        <v>GZO - Fornecedor</v>
      </c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53"/>
    </row>
    <row r="18" spans="1:47">
      <c r="A18" s="367"/>
      <c r="B18" s="127">
        <f t="shared" si="0"/>
        <v>160</v>
      </c>
      <c r="C18" s="137" t="str">
        <f>VLOOKUP(B18,'Tipos de Defeitos'!B$4:E$106,Menu!$B$28+1,)</f>
        <v>Nº Lote</v>
      </c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88"/>
      <c r="AF18" s="188"/>
      <c r="AG18" s="188"/>
      <c r="AH18" s="188"/>
      <c r="AI18" s="188"/>
      <c r="AJ18" s="188"/>
      <c r="AK18" s="188"/>
      <c r="AL18" s="188"/>
      <c r="AM18" s="188"/>
      <c r="AN18" s="188"/>
      <c r="AO18" s="188"/>
      <c r="AP18" s="188"/>
      <c r="AQ18" s="188"/>
      <c r="AR18" s="188"/>
      <c r="AS18" s="170"/>
    </row>
    <row r="19" spans="1:47">
      <c r="A19" s="367"/>
      <c r="B19" s="127">
        <f t="shared" si="0"/>
        <v>170</v>
      </c>
      <c r="C19" s="137" t="str">
        <f>VLOOKUP(B19,'Tipos de Defeitos'!B$4:E$106,Menu!$B$28+1,)</f>
        <v>Qtd</v>
      </c>
      <c r="D19" s="144"/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70">
        <f>SUM(D19:AR19)</f>
        <v>0</v>
      </c>
    </row>
    <row r="20" spans="1:47">
      <c r="A20" s="367"/>
      <c r="B20" s="127">
        <f t="shared" si="0"/>
        <v>180</v>
      </c>
      <c r="C20" s="137" t="str">
        <f>VLOOKUP(B20,'Tipos de Defeitos'!B$4:E$106,Menu!$B$28+1,)</f>
        <v>Solução nº 125 Qtd</v>
      </c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285"/>
      <c r="AF20" s="284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53">
        <f>SUM(D20:AR20)</f>
        <v>0</v>
      </c>
    </row>
    <row r="21" spans="1:47" ht="12.75" customHeight="1">
      <c r="A21" s="367"/>
      <c r="B21" s="127">
        <f t="shared" si="0"/>
        <v>190</v>
      </c>
      <c r="C21" s="137" t="str">
        <f>VLOOKUP(B21,'Tipos de Defeitos'!B$4:E$106,Menu!$B$28+1,)</f>
        <v>Carvão - Fornecedor</v>
      </c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71" t="e">
        <f>AVERAGE(D21:AR21)</f>
        <v>#DIV/0!</v>
      </c>
    </row>
    <row r="22" spans="1:47" ht="13.5" thickBot="1">
      <c r="A22" s="368"/>
      <c r="B22" s="130">
        <f t="shared" si="0"/>
        <v>200</v>
      </c>
      <c r="C22" s="138" t="str">
        <f>VLOOKUP(B22,'Tipos de Defeitos'!B$4:E$106,Menu!$B$28+1,)</f>
        <v>Nº Lote</v>
      </c>
      <c r="D22" s="180"/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  <c r="AM22" s="180"/>
      <c r="AN22" s="180"/>
      <c r="AO22" s="180"/>
      <c r="AP22" s="180"/>
      <c r="AQ22" s="180"/>
      <c r="AR22" s="180"/>
      <c r="AS22" s="172" t="e">
        <f>AVERAGE(D22:AR22)</f>
        <v>#DIV/0!</v>
      </c>
    </row>
    <row r="23" spans="1:47">
      <c r="A23" s="369" t="s">
        <v>199</v>
      </c>
      <c r="B23" s="129">
        <f t="shared" si="0"/>
        <v>210</v>
      </c>
      <c r="C23" s="132" t="str">
        <f>VLOOKUP(B23,'Tipos de Defeitos'!B$4:E$106,Menu!$B$28+1,)</f>
        <v>Qtd. Retestada (pçs)</v>
      </c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  <c r="AP23" s="146"/>
      <c r="AQ23" s="146"/>
      <c r="AR23" s="146"/>
      <c r="AS23" s="52">
        <f t="shared" ref="AS23:AS54" si="7">SUM(D23:AR23)</f>
        <v>0</v>
      </c>
    </row>
    <row r="24" spans="1:47" ht="13.5" customHeight="1">
      <c r="A24" s="360"/>
      <c r="B24" s="127">
        <f t="shared" si="0"/>
        <v>220</v>
      </c>
      <c r="C24" s="133" t="str">
        <f>VLOOKUP(B24,'Tipos de Defeitos'!B$4:E$106,Menu!$B$28+1,)</f>
        <v>Defeitos (Qty)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74">
        <f t="shared" si="7"/>
        <v>0</v>
      </c>
      <c r="AT24" s="233"/>
    </row>
    <row r="25" spans="1:47">
      <c r="A25" s="360"/>
      <c r="B25" s="127">
        <f t="shared" si="0"/>
        <v>230</v>
      </c>
      <c r="C25" s="133" t="str">
        <f>VLOOKUP(B25,'Tipos de Defeitos'!B$4:E$106,Menu!$B$28+1,)</f>
        <v>Voltagem (Moda)</v>
      </c>
      <c r="D25" s="222"/>
      <c r="E25" s="222"/>
      <c r="F25" s="222"/>
      <c r="G25" s="222"/>
      <c r="H25" s="222"/>
      <c r="I25" s="222"/>
      <c r="J25" s="148"/>
      <c r="K25" s="148"/>
      <c r="L25" s="148"/>
      <c r="M25" s="148"/>
      <c r="N25" s="222"/>
      <c r="O25" s="222"/>
      <c r="P25" s="222"/>
      <c r="Q25" s="222"/>
      <c r="R25" s="222"/>
      <c r="S25" s="222"/>
      <c r="T25" s="222"/>
      <c r="U25" s="222"/>
      <c r="V25" s="222"/>
      <c r="W25" s="222"/>
      <c r="X25" s="222"/>
      <c r="Y25" s="222"/>
      <c r="Z25" s="148"/>
      <c r="AA25" s="148"/>
      <c r="AB25" s="148"/>
      <c r="AC25" s="148"/>
      <c r="AD25" s="148"/>
      <c r="AE25" s="148"/>
      <c r="AF25" s="148"/>
      <c r="AG25" s="148"/>
      <c r="AH25" s="222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53">
        <f t="shared" si="7"/>
        <v>0</v>
      </c>
      <c r="AT25" s="233"/>
    </row>
    <row r="26" spans="1:47">
      <c r="A26" s="360"/>
      <c r="B26" s="127">
        <f t="shared" si="0"/>
        <v>240</v>
      </c>
      <c r="C26" s="133" t="str">
        <f>VLOOKUP(B26,'Tipos de Defeitos'!B$4:E$106,Menu!$B$28+1,)</f>
        <v>Voltagem (ajustada)</v>
      </c>
      <c r="D26" s="223" t="str">
        <f t="shared" ref="D26:N26" si="8">IF(D25&gt;0,D25-0.005," ")</f>
        <v xml:space="preserve"> </v>
      </c>
      <c r="E26" s="223" t="str">
        <f t="shared" si="8"/>
        <v xml:space="preserve"> </v>
      </c>
      <c r="F26" s="223" t="str">
        <f t="shared" si="8"/>
        <v xml:space="preserve"> </v>
      </c>
      <c r="G26" s="223" t="str">
        <f t="shared" si="8"/>
        <v xml:space="preserve"> </v>
      </c>
      <c r="H26" s="223" t="str">
        <f t="shared" si="8"/>
        <v xml:space="preserve"> </v>
      </c>
      <c r="I26" s="223" t="str">
        <f t="shared" si="8"/>
        <v xml:space="preserve"> </v>
      </c>
      <c r="J26" s="223" t="str">
        <f t="shared" si="8"/>
        <v xml:space="preserve"> </v>
      </c>
      <c r="K26" s="223" t="str">
        <f t="shared" si="8"/>
        <v xml:space="preserve"> </v>
      </c>
      <c r="L26" s="223" t="str">
        <f t="shared" si="8"/>
        <v xml:space="preserve"> </v>
      </c>
      <c r="M26" s="223" t="str">
        <f t="shared" si="8"/>
        <v xml:space="preserve"> </v>
      </c>
      <c r="N26" s="223" t="str">
        <f t="shared" si="8"/>
        <v xml:space="preserve"> </v>
      </c>
      <c r="O26" s="223" t="str">
        <f t="shared" ref="O26" si="9">IF(O25&gt;0,O25-0.005," ")</f>
        <v xml:space="preserve"> </v>
      </c>
      <c r="P26" s="223" t="str">
        <f t="shared" ref="P26" si="10">IF(P25&gt;0,P25-0.005," ")</f>
        <v xml:space="preserve"> </v>
      </c>
      <c r="Q26" s="193" t="str">
        <f t="shared" ref="Q26" si="11">IF(Q25&gt;0,Q25-0.005," ")</f>
        <v xml:space="preserve"> </v>
      </c>
      <c r="R26" s="223" t="str">
        <f t="shared" ref="R26" si="12">IF(R25&gt;0,R25-0.005," ")</f>
        <v xml:space="preserve"> </v>
      </c>
      <c r="S26" s="193" t="str">
        <f t="shared" ref="S26" si="13">IF(S25&gt;0,S25-0.005," ")</f>
        <v xml:space="preserve"> </v>
      </c>
      <c r="T26" s="193" t="str">
        <f t="shared" ref="T26:AR26" si="14">IF(T25&gt;0,T25-0.005," ")</f>
        <v xml:space="preserve"> </v>
      </c>
      <c r="U26" s="223" t="str">
        <f t="shared" si="14"/>
        <v xml:space="preserve"> </v>
      </c>
      <c r="V26" s="193" t="str">
        <f t="shared" si="14"/>
        <v xml:space="preserve"> </v>
      </c>
      <c r="W26" s="193" t="str">
        <f t="shared" ref="W26:Z26" si="15">IF(W25&gt;0,W25-0.005," ")</f>
        <v xml:space="preserve"> </v>
      </c>
      <c r="X26" s="193" t="str">
        <f t="shared" ref="X26" si="16">IF(X25&gt;0,X25-0.005," ")</f>
        <v xml:space="preserve"> </v>
      </c>
      <c r="Y26" s="193" t="str">
        <f t="shared" si="15"/>
        <v xml:space="preserve"> </v>
      </c>
      <c r="Z26" s="193" t="str">
        <f t="shared" si="15"/>
        <v xml:space="preserve"> </v>
      </c>
      <c r="AA26" s="193" t="str">
        <f t="shared" si="14"/>
        <v xml:space="preserve"> </v>
      </c>
      <c r="AB26" s="193"/>
      <c r="AC26" s="193" t="str">
        <f t="shared" si="14"/>
        <v xml:space="preserve"> </v>
      </c>
      <c r="AD26" s="193" t="str">
        <f t="shared" si="14"/>
        <v xml:space="preserve"> </v>
      </c>
      <c r="AE26" s="193" t="str">
        <f t="shared" si="14"/>
        <v xml:space="preserve"> </v>
      </c>
      <c r="AF26" s="223" t="str">
        <f t="shared" si="14"/>
        <v xml:space="preserve"> </v>
      </c>
      <c r="AG26" s="223" t="str">
        <f t="shared" si="14"/>
        <v xml:space="preserve"> </v>
      </c>
      <c r="AH26" s="193" t="str">
        <f t="shared" si="14"/>
        <v xml:space="preserve"> </v>
      </c>
      <c r="AI26" s="193" t="str">
        <f t="shared" si="14"/>
        <v xml:space="preserve"> </v>
      </c>
      <c r="AJ26" s="193" t="str">
        <f t="shared" si="14"/>
        <v xml:space="preserve"> </v>
      </c>
      <c r="AK26" s="193" t="str">
        <f t="shared" si="14"/>
        <v xml:space="preserve"> </v>
      </c>
      <c r="AL26" s="193" t="str">
        <f t="shared" si="14"/>
        <v xml:space="preserve"> </v>
      </c>
      <c r="AM26" s="193" t="str">
        <f t="shared" si="14"/>
        <v xml:space="preserve"> </v>
      </c>
      <c r="AN26" s="193" t="str">
        <f t="shared" si="14"/>
        <v xml:space="preserve"> </v>
      </c>
      <c r="AO26" s="193" t="str">
        <f t="shared" si="14"/>
        <v xml:space="preserve"> </v>
      </c>
      <c r="AP26" s="193" t="str">
        <f t="shared" si="14"/>
        <v xml:space="preserve"> </v>
      </c>
      <c r="AQ26" s="193" t="str">
        <f t="shared" si="14"/>
        <v xml:space="preserve"> </v>
      </c>
      <c r="AR26" s="193" t="str">
        <f t="shared" si="14"/>
        <v xml:space="preserve"> </v>
      </c>
      <c r="AS26" s="53">
        <f t="shared" si="7"/>
        <v>0</v>
      </c>
      <c r="AT26" s="233"/>
    </row>
    <row r="27" spans="1:47" ht="13.5" thickBot="1">
      <c r="A27" s="370"/>
      <c r="B27" s="130">
        <f t="shared" si="0"/>
        <v>250</v>
      </c>
      <c r="C27" s="134" t="str">
        <f>VLOOKUP(B27,'Tipos de Defeitos'!B$4:E$106,Menu!$B$28+1,)</f>
        <v>Qtd. Analisada (pçs)</v>
      </c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49"/>
      <c r="Q27" s="149"/>
      <c r="R27" s="149"/>
      <c r="S27" s="149"/>
      <c r="T27" s="149"/>
      <c r="U27" s="149"/>
      <c r="V27" s="149"/>
      <c r="W27" s="149"/>
      <c r="X27" s="149"/>
      <c r="Y27" s="149"/>
      <c r="Z27" s="149"/>
      <c r="AA27" s="149"/>
      <c r="AB27" s="149"/>
      <c r="AC27" s="149"/>
      <c r="AD27" s="149"/>
      <c r="AE27" s="149"/>
      <c r="AF27" s="149"/>
      <c r="AG27" s="149"/>
      <c r="AH27" s="149"/>
      <c r="AI27" s="149"/>
      <c r="AJ27" s="149"/>
      <c r="AK27" s="149"/>
      <c r="AL27" s="149"/>
      <c r="AM27" s="149"/>
      <c r="AN27" s="149"/>
      <c r="AO27" s="149"/>
      <c r="AP27" s="149"/>
      <c r="AQ27" s="149"/>
      <c r="AR27" s="149"/>
      <c r="AS27" s="131">
        <f t="shared" si="7"/>
        <v>0</v>
      </c>
      <c r="AT27" s="233"/>
      <c r="AU27" s="234"/>
    </row>
    <row r="28" spans="1:47">
      <c r="A28" s="369" t="s">
        <v>200</v>
      </c>
      <c r="B28" s="129">
        <f t="shared" si="0"/>
        <v>260</v>
      </c>
      <c r="C28" s="132" t="str">
        <f>VLOOKUP(B28,'Tipos de Defeitos'!B$4:E$106,Menu!$B$28+1,)</f>
        <v>Sem Papel Separador</v>
      </c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  <c r="X28" s="150"/>
      <c r="Y28" s="150"/>
      <c r="Z28" s="150"/>
      <c r="AA28" s="150"/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  <c r="AN28" s="150"/>
      <c r="AO28" s="150"/>
      <c r="AP28" s="150"/>
      <c r="AQ28" s="150"/>
      <c r="AR28" s="150"/>
      <c r="AS28" s="52">
        <f t="shared" si="7"/>
        <v>0</v>
      </c>
      <c r="AT28" s="235" t="e">
        <f>(AS28/$AS$78)*100</f>
        <v>#DIV/0!</v>
      </c>
    </row>
    <row r="29" spans="1:47">
      <c r="A29" s="360"/>
      <c r="B29" s="127">
        <f t="shared" si="0"/>
        <v>270</v>
      </c>
      <c r="C29" s="133" t="str">
        <f>VLOOKUP(B29,'Tipos de Defeitos'!B$4:E$106,Menu!$B$28+1,)</f>
        <v>Papel Separador Cortado</v>
      </c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53">
        <f t="shared" si="7"/>
        <v>0</v>
      </c>
      <c r="AT29" s="235" t="e">
        <f t="shared" ref="AT29:AT77" si="17">(AS29/$AS$78)*100</f>
        <v>#DIV/0!</v>
      </c>
    </row>
    <row r="30" spans="1:47">
      <c r="A30" s="360"/>
      <c r="B30" s="127">
        <f t="shared" si="0"/>
        <v>280</v>
      </c>
      <c r="C30" s="133" t="str">
        <f>VLOOKUP(B30,'Tipos de Defeitos'!B$4:E$106,Menu!$B$28+1,)</f>
        <v>Papel Separador Rasgado</v>
      </c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53">
        <f t="shared" si="7"/>
        <v>0</v>
      </c>
      <c r="AT30" s="235" t="e">
        <f t="shared" si="17"/>
        <v>#DIV/0!</v>
      </c>
    </row>
    <row r="31" spans="1:47">
      <c r="A31" s="360"/>
      <c r="B31" s="127">
        <f t="shared" si="0"/>
        <v>290</v>
      </c>
      <c r="C31" s="133" t="str">
        <f>VLOOKUP(B31,'Tipos de Defeitos'!B$4:E$106,Menu!$B$28+1,)</f>
        <v>Papel Dobrado Sup.</v>
      </c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53">
        <f t="shared" si="7"/>
        <v>0</v>
      </c>
      <c r="AT31" s="235" t="e">
        <f t="shared" si="17"/>
        <v>#DIV/0!</v>
      </c>
    </row>
    <row r="32" spans="1:47">
      <c r="A32" s="360"/>
      <c r="B32" s="127">
        <f t="shared" si="0"/>
        <v>300</v>
      </c>
      <c r="C32" s="133" t="str">
        <f>VLOOKUP(B32,'Tipos de Defeitos'!B$4:E$106,Menu!$B$28+1,)</f>
        <v>Papel Dobrado Meio</v>
      </c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53">
        <f t="shared" si="7"/>
        <v>0</v>
      </c>
      <c r="AT32" s="235" t="e">
        <f t="shared" si="17"/>
        <v>#DIV/0!</v>
      </c>
    </row>
    <row r="33" spans="1:46">
      <c r="A33" s="360"/>
      <c r="B33" s="127">
        <f t="shared" si="0"/>
        <v>310</v>
      </c>
      <c r="C33" s="133" t="str">
        <f>VLOOKUP(B33,'Tipos de Defeitos'!B$4:E$106,Menu!$B$28+1,)</f>
        <v>Papel Dobrado Inf.</v>
      </c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53">
        <f t="shared" si="7"/>
        <v>0</v>
      </c>
      <c r="AT33" s="235" t="e">
        <f t="shared" si="17"/>
        <v>#DIV/0!</v>
      </c>
    </row>
    <row r="34" spans="1:46">
      <c r="A34" s="360"/>
      <c r="B34" s="127">
        <f t="shared" si="0"/>
        <v>320</v>
      </c>
      <c r="C34" s="133" t="str">
        <f>VLOOKUP(B34,'Tipos de Defeitos'!B$4:E$106,Menu!$B$28+1,)</f>
        <v>Papel Afundado</v>
      </c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53">
        <f t="shared" si="7"/>
        <v>0</v>
      </c>
      <c r="AT34" s="235" t="e">
        <f t="shared" si="17"/>
        <v>#DIV/0!</v>
      </c>
    </row>
    <row r="35" spans="1:46">
      <c r="A35" s="360"/>
      <c r="B35" s="127">
        <f t="shared" si="0"/>
        <v>330</v>
      </c>
      <c r="C35" s="133" t="str">
        <f>VLOOKUP(B35,'Tipos de Defeitos'!B$4:E$106,Menu!$B$28+1,)</f>
        <v>Papel Deslocado</v>
      </c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53">
        <f t="shared" si="7"/>
        <v>0</v>
      </c>
      <c r="AT35" s="235" t="e">
        <f t="shared" si="17"/>
        <v>#DIV/0!</v>
      </c>
    </row>
    <row r="36" spans="1:46" ht="12.75" customHeight="1">
      <c r="A36" s="360"/>
      <c r="B36" s="127">
        <f t="shared" si="0"/>
        <v>340</v>
      </c>
      <c r="C36" s="133" t="str">
        <f>VLOOKUP(B36,'Tipos de Defeitos'!B$4:E$106,Menu!$B$28+1,)</f>
        <v>Papel menor</v>
      </c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53">
        <f t="shared" si="7"/>
        <v>0</v>
      </c>
      <c r="AT36" s="235" t="e">
        <f t="shared" si="17"/>
        <v>#DIV/0!</v>
      </c>
    </row>
    <row r="37" spans="1:46">
      <c r="A37" s="360"/>
      <c r="B37" s="127">
        <f t="shared" si="0"/>
        <v>350</v>
      </c>
      <c r="C37" s="133" t="str">
        <f>VLOOKUP(B37,'Tipos de Defeitos'!B$4:E$106,Menu!$B$28+1,)</f>
        <v>Sem Disco</v>
      </c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53">
        <f t="shared" si="7"/>
        <v>0</v>
      </c>
      <c r="AT37" s="235" t="e">
        <f t="shared" si="17"/>
        <v>#DIV/0!</v>
      </c>
    </row>
    <row r="38" spans="1:46">
      <c r="A38" s="360"/>
      <c r="B38" s="127">
        <f t="shared" si="0"/>
        <v>360</v>
      </c>
      <c r="C38" s="133" t="str">
        <f>VLOOKUP(B38,'Tipos de Defeitos'!B$4:E$106,Menu!$B$28+1,)</f>
        <v>Disco Cortado</v>
      </c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53">
        <f t="shared" si="7"/>
        <v>0</v>
      </c>
      <c r="AT38" s="235" t="e">
        <f t="shared" si="17"/>
        <v>#DIV/0!</v>
      </c>
    </row>
    <row r="39" spans="1:46">
      <c r="A39" s="360"/>
      <c r="B39" s="127">
        <f t="shared" si="0"/>
        <v>370</v>
      </c>
      <c r="C39" s="133" t="str">
        <f>VLOOKUP(B39,'Tipos de Defeitos'!B$4:E$106,Menu!$B$28+1,)</f>
        <v>Disco Rasgado</v>
      </c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53">
        <f t="shared" si="7"/>
        <v>0</v>
      </c>
      <c r="AT39" s="235" t="e">
        <f t="shared" si="17"/>
        <v>#DIV/0!</v>
      </c>
    </row>
    <row r="40" spans="1:46">
      <c r="A40" s="360"/>
      <c r="B40" s="127">
        <f t="shared" si="0"/>
        <v>380</v>
      </c>
      <c r="C40" s="133" t="str">
        <f>VLOOKUP(B40,'Tipos de Defeitos'!B$4:E$106,Menu!$B$28+1,)</f>
        <v>Disco Furado</v>
      </c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53">
        <f t="shared" si="7"/>
        <v>0</v>
      </c>
      <c r="AT40" s="235" t="e">
        <f t="shared" si="17"/>
        <v>#DIV/0!</v>
      </c>
    </row>
    <row r="41" spans="1:46">
      <c r="A41" s="360"/>
      <c r="B41" s="127">
        <f t="shared" si="0"/>
        <v>390</v>
      </c>
      <c r="C41" s="133" t="str">
        <f>VLOOKUP(B41,'Tipos de Defeitos'!B$4:E$106,Menu!$B$28+1,)</f>
        <v>Disco Dobrado</v>
      </c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53">
        <f t="shared" si="7"/>
        <v>0</v>
      </c>
      <c r="AT41" s="235" t="e">
        <f t="shared" si="17"/>
        <v>#DIV/0!</v>
      </c>
    </row>
    <row r="42" spans="1:46">
      <c r="A42" s="360"/>
      <c r="B42" s="127">
        <f t="shared" si="0"/>
        <v>400</v>
      </c>
      <c r="C42" s="133" t="str">
        <f>VLOOKUP(B42,'Tipos de Defeitos'!B$4:E$106,Menu!$B$28+1,)</f>
        <v>Disco fora de centro / deslocado</v>
      </c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53">
        <f t="shared" si="7"/>
        <v>0</v>
      </c>
      <c r="AT42" s="235" t="e">
        <f t="shared" si="17"/>
        <v>#DIV/0!</v>
      </c>
    </row>
    <row r="43" spans="1:46">
      <c r="A43" s="360"/>
      <c r="B43" s="127">
        <f t="shared" si="0"/>
        <v>410</v>
      </c>
      <c r="C43" s="133" t="str">
        <f>VLOOKUP(B43,'Tipos de Defeitos'!B$4:E$106,Menu!$B$28+1,)</f>
        <v>Isolador fora de centro</v>
      </c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53">
        <f t="shared" si="7"/>
        <v>0</v>
      </c>
      <c r="AT43" s="235" t="e">
        <f t="shared" si="17"/>
        <v>#DIV/0!</v>
      </c>
    </row>
    <row r="44" spans="1:46">
      <c r="A44" s="360"/>
      <c r="B44" s="127">
        <f t="shared" si="0"/>
        <v>420</v>
      </c>
      <c r="C44" s="133" t="str">
        <f>VLOOKUP(B44,'Tipos de Defeitos'!B$4:E$106,Menu!$B$28+1,)</f>
        <v>Isolador afundado</v>
      </c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53">
        <f t="shared" si="7"/>
        <v>0</v>
      </c>
      <c r="AT44" s="235" t="e">
        <f t="shared" si="17"/>
        <v>#DIV/0!</v>
      </c>
    </row>
    <row r="45" spans="1:46">
      <c r="A45" s="360"/>
      <c r="B45" s="127">
        <f t="shared" si="0"/>
        <v>430</v>
      </c>
      <c r="C45" s="133" t="str">
        <f>VLOOKUP(B45,'Tipos de Defeitos'!B$4:E$106,Menu!$B$28+1,)</f>
        <v>Isolador Inclinado</v>
      </c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53">
        <f t="shared" si="7"/>
        <v>0</v>
      </c>
      <c r="AT45" s="235" t="e">
        <f t="shared" si="17"/>
        <v>#DIV/0!</v>
      </c>
    </row>
    <row r="46" spans="1:46">
      <c r="A46" s="360"/>
      <c r="B46" s="127">
        <f t="shared" si="0"/>
        <v>440</v>
      </c>
      <c r="C46" s="133" t="str">
        <f>VLOOKUP(B46,'Tipos de Defeitos'!B$4:E$106,Menu!$B$28+1,)</f>
        <v>Papel sujo</v>
      </c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53">
        <f t="shared" si="7"/>
        <v>0</v>
      </c>
      <c r="AT46" s="235" t="e">
        <f t="shared" si="17"/>
        <v>#DIV/0!</v>
      </c>
    </row>
    <row r="47" spans="1:46">
      <c r="A47" s="360"/>
      <c r="B47" s="127">
        <f t="shared" si="0"/>
        <v>450</v>
      </c>
      <c r="C47" s="133" t="str">
        <f>VLOOKUP(B47,'Tipos de Defeitos'!B$4:E$106,Menu!$B$28+1,)</f>
        <v>Manchado</v>
      </c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53">
        <f t="shared" si="7"/>
        <v>0</v>
      </c>
      <c r="AT47" s="235" t="e">
        <f t="shared" si="17"/>
        <v>#DIV/0!</v>
      </c>
    </row>
    <row r="48" spans="1:46">
      <c r="A48" s="360"/>
      <c r="B48" s="127">
        <f t="shared" si="0"/>
        <v>460</v>
      </c>
      <c r="C48" s="133" t="str">
        <f>VLOOKUP(B48,'Tipos de Defeitos'!B$4:E$106,Menu!$B$28+1,)</f>
        <v>Manchado Superior</v>
      </c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53">
        <f t="shared" si="7"/>
        <v>0</v>
      </c>
      <c r="AT48" s="235" t="e">
        <f t="shared" si="17"/>
        <v>#DIV/0!</v>
      </c>
    </row>
    <row r="49" spans="1:46">
      <c r="A49" s="360"/>
      <c r="B49" s="127">
        <f t="shared" si="0"/>
        <v>470</v>
      </c>
      <c r="C49" s="133" t="str">
        <f>VLOOKUP(B49,'Tipos de Defeitos'!B$4:E$106,Menu!$B$28+1,)</f>
        <v>Ferro</v>
      </c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53">
        <f t="shared" si="7"/>
        <v>0</v>
      </c>
      <c r="AT49" s="235" t="e">
        <f t="shared" si="17"/>
        <v>#DIV/0!</v>
      </c>
    </row>
    <row r="50" spans="1:46">
      <c r="A50" s="360"/>
      <c r="B50" s="127">
        <f t="shared" si="0"/>
        <v>480</v>
      </c>
      <c r="C50" s="133" t="str">
        <f>VLOOKUP(B50,'Tipos de Defeitos'!B$4:E$106,Menu!$B$28+1,)</f>
        <v>Cobre</v>
      </c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53">
        <f t="shared" si="7"/>
        <v>0</v>
      </c>
      <c r="AT50" s="235" t="e">
        <f t="shared" si="17"/>
        <v>#DIV/0!</v>
      </c>
    </row>
    <row r="51" spans="1:46">
      <c r="A51" s="360"/>
      <c r="B51" s="127">
        <f t="shared" si="0"/>
        <v>490</v>
      </c>
      <c r="C51" s="133" t="str">
        <f>VLOOKUP(B51,'Tipos de Defeitos'!B$4:E$106,Menu!$B$28+1,)</f>
        <v>Mistura no Tubo</v>
      </c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53">
        <f t="shared" si="7"/>
        <v>0</v>
      </c>
      <c r="AT51" s="235" t="e">
        <f t="shared" si="17"/>
        <v>#DIV/0!</v>
      </c>
    </row>
    <row r="52" spans="1:46">
      <c r="A52" s="360"/>
      <c r="B52" s="127">
        <f t="shared" si="0"/>
        <v>500</v>
      </c>
      <c r="C52" s="133" t="str">
        <f>VLOOKUP(B52,'Tipos de Defeitos'!B$4:E$106,Menu!$B$28+1,)</f>
        <v>Pó de Mistura</v>
      </c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53">
        <f t="shared" si="7"/>
        <v>0</v>
      </c>
      <c r="AT52" s="235" t="e">
        <f t="shared" si="17"/>
        <v>#DIV/0!</v>
      </c>
    </row>
    <row r="53" spans="1:46">
      <c r="A53" s="360"/>
      <c r="B53" s="127">
        <f t="shared" si="0"/>
        <v>510</v>
      </c>
      <c r="C53" s="133" t="str">
        <f>VLOOKUP(B53,'Tipos de Defeitos'!B$4:E$106,Menu!$B$28+1,)</f>
        <v>Bobina Baixa</v>
      </c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53">
        <f t="shared" si="7"/>
        <v>0</v>
      </c>
      <c r="AT53" s="235" t="e">
        <f t="shared" si="17"/>
        <v>#DIV/0!</v>
      </c>
    </row>
    <row r="54" spans="1:46">
      <c r="A54" s="360"/>
      <c r="B54" s="127">
        <f t="shared" si="0"/>
        <v>520</v>
      </c>
      <c r="C54" s="133" t="str">
        <f>VLOOKUP(B54,'Tipos de Defeitos'!B$4:E$106,Menu!$B$28+1,)</f>
        <v>Bobina Alta</v>
      </c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53">
        <f t="shared" si="7"/>
        <v>0</v>
      </c>
      <c r="AT54" s="235" t="e">
        <f t="shared" si="17"/>
        <v>#DIV/0!</v>
      </c>
    </row>
    <row r="55" spans="1:46">
      <c r="A55" s="360"/>
      <c r="B55" s="127">
        <f t="shared" si="0"/>
        <v>530</v>
      </c>
      <c r="C55" s="133" t="str">
        <f>VLOOKUP(B55,'Tipos de Defeitos'!B$4:E$106,Menu!$B$28+1,)</f>
        <v>Bobina Molhada</v>
      </c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53">
        <f t="shared" ref="AS55:AS77" si="18">SUM(D55:AR55)</f>
        <v>0</v>
      </c>
      <c r="AT55" s="235" t="e">
        <f t="shared" si="17"/>
        <v>#DIV/0!</v>
      </c>
    </row>
    <row r="56" spans="1:46">
      <c r="A56" s="360"/>
      <c r="B56" s="127">
        <f t="shared" si="0"/>
        <v>540</v>
      </c>
      <c r="C56" s="133" t="str">
        <f>VLOOKUP(B56,'Tipos de Defeitos'!B$4:E$106,Menu!$B$28+1,)</f>
        <v>Mistura seca</v>
      </c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53">
        <f t="shared" si="18"/>
        <v>0</v>
      </c>
      <c r="AT56" s="235" t="e">
        <f t="shared" si="17"/>
        <v>#DIV/0!</v>
      </c>
    </row>
    <row r="57" spans="1:46">
      <c r="A57" s="360"/>
      <c r="B57" s="127">
        <f t="shared" si="0"/>
        <v>550</v>
      </c>
      <c r="C57" s="133" t="str">
        <f>VLOOKUP(B57,'Tipos de Defeitos'!B$4:E$106,Menu!$B$28+1,)</f>
        <v>Contem estranho</v>
      </c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53">
        <f t="shared" si="18"/>
        <v>0</v>
      </c>
      <c r="AT57" s="235" t="e">
        <f t="shared" si="17"/>
        <v>#DIV/0!</v>
      </c>
    </row>
    <row r="58" spans="1:46">
      <c r="A58" s="360"/>
      <c r="B58" s="127">
        <f t="shared" si="0"/>
        <v>560</v>
      </c>
      <c r="C58" s="133" t="str">
        <f>VLOOKUP(B58,'Tipos de Defeitos'!B$4:E$106,Menu!$B$28+1,)</f>
        <v>Pedra de Óxido</v>
      </c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53">
        <f t="shared" si="18"/>
        <v>0</v>
      </c>
      <c r="AT58" s="235" t="e">
        <f t="shared" si="17"/>
        <v>#DIV/0!</v>
      </c>
    </row>
    <row r="59" spans="1:46">
      <c r="A59" s="360"/>
      <c r="B59" s="127">
        <f t="shared" si="0"/>
        <v>570</v>
      </c>
      <c r="C59" s="133" t="str">
        <f>VLOOKUP(B59,'Tipos de Defeitos'!B$4:E$106,Menu!$B$28+1,)</f>
        <v>Carvão Quebrado</v>
      </c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53">
        <f t="shared" si="18"/>
        <v>0</v>
      </c>
      <c r="AT59" s="235" t="e">
        <f t="shared" si="17"/>
        <v>#DIV/0!</v>
      </c>
    </row>
    <row r="60" spans="1:46">
      <c r="A60" s="360"/>
      <c r="B60" s="127">
        <f t="shared" si="0"/>
        <v>580</v>
      </c>
      <c r="C60" s="133" t="str">
        <f>VLOOKUP(B60,'Tipos de Defeitos'!B$4:E$106,Menu!$B$28+1,)</f>
        <v>Sem Selante</v>
      </c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53">
        <f t="shared" si="18"/>
        <v>0</v>
      </c>
      <c r="AT60" s="235" t="e">
        <f t="shared" si="17"/>
        <v>#DIV/0!</v>
      </c>
    </row>
    <row r="61" spans="1:46">
      <c r="A61" s="360"/>
      <c r="B61" s="127">
        <f t="shared" si="0"/>
        <v>590</v>
      </c>
      <c r="C61" s="133" t="str">
        <f>VLOOKUP(B61,'Tipos de Defeitos'!B$4:E$106,Menu!$B$28+1,)</f>
        <v>PY c/ Falha de Injeção</v>
      </c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53">
        <f t="shared" si="18"/>
        <v>0</v>
      </c>
      <c r="AT61" s="235" t="e">
        <f t="shared" si="17"/>
        <v>#DIV/0!</v>
      </c>
    </row>
    <row r="62" spans="1:46">
      <c r="A62" s="360"/>
      <c r="B62" s="127">
        <f t="shared" si="0"/>
        <v>600</v>
      </c>
      <c r="C62" s="133" t="str">
        <f>VLOOKUP(B62,'Tipos de Defeitos'!B$4:E$106,Menu!$B$28+1,)</f>
        <v>Sem PY</v>
      </c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53">
        <f t="shared" si="18"/>
        <v>0</v>
      </c>
      <c r="AT62" s="235" t="e">
        <f t="shared" si="17"/>
        <v>#DIV/0!</v>
      </c>
    </row>
    <row r="63" spans="1:46">
      <c r="A63" s="360"/>
      <c r="B63" s="127">
        <f t="shared" si="0"/>
        <v>610</v>
      </c>
      <c r="C63" s="133" t="str">
        <f>VLOOKUP(B63,'Tipos de Defeitos'!B$4:E$106,Menu!$B$28+1,)</f>
        <v>PY Fora de Centro</v>
      </c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53">
        <f t="shared" si="18"/>
        <v>0</v>
      </c>
      <c r="AT63" s="235" t="e">
        <f t="shared" si="17"/>
        <v>#DIV/0!</v>
      </c>
    </row>
    <row r="64" spans="1:46">
      <c r="A64" s="360"/>
      <c r="B64" s="127">
        <f t="shared" si="0"/>
        <v>620</v>
      </c>
      <c r="C64" s="133" t="str">
        <f>VLOOKUP(B64,'Tipos de Defeitos'!B$4:E$106,Menu!$B$28+1,)</f>
        <v>PY Queimado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53">
        <f t="shared" si="18"/>
        <v>0</v>
      </c>
      <c r="AT64" s="235" t="e">
        <f t="shared" si="17"/>
        <v>#DIV/0!</v>
      </c>
    </row>
    <row r="65" spans="1:46">
      <c r="A65" s="360"/>
      <c r="B65" s="127">
        <f t="shared" si="0"/>
        <v>630</v>
      </c>
      <c r="C65" s="133" t="str">
        <f>VLOOKUP(B65,'Tipos de Defeitos'!B$4:E$106,Menu!$B$28+1,)</f>
        <v>Tb c/ Boca Amassada - Operador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53">
        <f t="shared" si="18"/>
        <v>0</v>
      </c>
      <c r="AT65" s="235" t="e">
        <f t="shared" si="17"/>
        <v>#DIV/0!</v>
      </c>
    </row>
    <row r="66" spans="1:46">
      <c r="A66" s="360"/>
      <c r="B66" s="127">
        <f t="shared" si="0"/>
        <v>640</v>
      </c>
      <c r="C66" s="133" t="str">
        <f>VLOOKUP(B66,'Tipos de Defeitos'!B$4:E$106,Menu!$B$28+1,)</f>
        <v>Tb c/ Boca Amassada - Câmera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53">
        <f t="shared" si="18"/>
        <v>0</v>
      </c>
      <c r="AT66" s="235" t="e">
        <f t="shared" si="17"/>
        <v>#DIV/0!</v>
      </c>
    </row>
    <row r="67" spans="1:46">
      <c r="A67" s="360"/>
      <c r="B67" s="127">
        <f t="shared" si="0"/>
        <v>650</v>
      </c>
      <c r="C67" s="133" t="str">
        <f>VLOOKUP(B67,'Tipos de Defeitos'!B$4:E$106,Menu!$B$28+1,)</f>
        <v>Tb c/ Boca Amassada - recuperada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53">
        <f t="shared" si="18"/>
        <v>0</v>
      </c>
      <c r="AT67" s="235" t="e">
        <f t="shared" si="17"/>
        <v>#DIV/0!</v>
      </c>
    </row>
    <row r="68" spans="1:46">
      <c r="A68" s="360"/>
      <c r="B68" s="127">
        <f t="shared" si="0"/>
        <v>660</v>
      </c>
      <c r="C68" s="133" t="str">
        <f>VLOOKUP(B68,'Tipos de Defeitos'!B$4:E$106,Menu!$B$28+1,)</f>
        <v>Tubo descascado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53">
        <f t="shared" si="18"/>
        <v>0</v>
      </c>
      <c r="AT68" s="235" t="e">
        <f t="shared" si="17"/>
        <v>#DIV/0!</v>
      </c>
    </row>
    <row r="69" spans="1:46">
      <c r="A69" s="360"/>
      <c r="B69" s="127">
        <f t="shared" si="0"/>
        <v>670</v>
      </c>
      <c r="C69" s="133" t="str">
        <f>VLOOKUP(B69,'Tipos de Defeitos'!B$4:E$106,Menu!$B$28+1,)</f>
        <v>Tubo Rachado - Câmera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53">
        <f t="shared" si="18"/>
        <v>0</v>
      </c>
      <c r="AT69" s="235" t="e">
        <f t="shared" si="17"/>
        <v>#DIV/0!</v>
      </c>
    </row>
    <row r="70" spans="1:46">
      <c r="A70" s="360"/>
      <c r="B70" s="127">
        <f t="shared" si="0"/>
        <v>680</v>
      </c>
      <c r="C70" s="133" t="str">
        <f>VLOOKUP(B70,'Tipos de Defeitos'!B$4:E$106,Menu!$B$28+1,)</f>
        <v>Tubo de Zinco Amassado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53">
        <f t="shared" si="18"/>
        <v>0</v>
      </c>
      <c r="AT70" s="235" t="e">
        <f t="shared" si="17"/>
        <v>#DIV/0!</v>
      </c>
    </row>
    <row r="71" spans="1:46">
      <c r="A71" s="360"/>
      <c r="B71" s="127">
        <f t="shared" si="0"/>
        <v>690</v>
      </c>
      <c r="C71" s="133" t="str">
        <f>VLOOKUP(B71,'Tipos de Defeitos'!B$4:E$106,Menu!$B$28+1,)</f>
        <v>Tubo com Rebarba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53">
        <f t="shared" si="18"/>
        <v>0</v>
      </c>
      <c r="AT71" s="235" t="e">
        <f t="shared" si="17"/>
        <v>#DIV/0!</v>
      </c>
    </row>
    <row r="72" spans="1:46">
      <c r="A72" s="360"/>
      <c r="B72" s="127">
        <f t="shared" si="0"/>
        <v>700</v>
      </c>
      <c r="C72" s="133" t="str">
        <f>VLOOKUP(B72,'Tipos de Defeitos'!B$4:E$106,Menu!$B$28+1,)</f>
        <v>Curto Circuito Externo</v>
      </c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53">
        <f t="shared" si="18"/>
        <v>0</v>
      </c>
      <c r="AT72" s="235" t="e">
        <f t="shared" si="17"/>
        <v>#DIV/0!</v>
      </c>
    </row>
    <row r="73" spans="1:46">
      <c r="A73" s="360"/>
      <c r="B73" s="127">
        <f t="shared" si="0"/>
        <v>710</v>
      </c>
      <c r="C73" s="133" t="str">
        <f>VLOOKUP(B73,'Tipos de Defeitos'!B$4:E$106,Menu!$B$28+1,)</f>
        <v>Curto Circ. Externo -  Cap sujo</v>
      </c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53">
        <f t="shared" si="18"/>
        <v>0</v>
      </c>
      <c r="AT73" s="235" t="e">
        <f t="shared" si="17"/>
        <v>#DIV/0!</v>
      </c>
    </row>
    <row r="74" spans="1:46">
      <c r="A74" s="360"/>
      <c r="B74" s="127">
        <f t="shared" ref="B74" si="19">(B73/10+1)*10</f>
        <v>720</v>
      </c>
      <c r="C74" s="133" t="str">
        <f>VLOOKUP(B74,'Tipos de Defeitos'!B$4:E$106,Menu!$B$28+1,)</f>
        <v>Pilha recuperada do Acabamento</v>
      </c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53">
        <f t="shared" si="18"/>
        <v>0</v>
      </c>
      <c r="AT74" s="235" t="e">
        <f t="shared" si="17"/>
        <v>#DIV/0!</v>
      </c>
    </row>
    <row r="75" spans="1:46">
      <c r="A75" s="360"/>
      <c r="B75" s="127">
        <f t="shared" si="0"/>
        <v>730</v>
      </c>
      <c r="C75" s="133" t="str">
        <f>VLOOKUP(B75,'Tipos de Defeitos'!B$4:E$106,Menu!$B$28+1,)</f>
        <v>Causa Desconhecida - Voltagem</v>
      </c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53">
        <f t="shared" si="18"/>
        <v>0</v>
      </c>
      <c r="AT75" s="235" t="e">
        <f t="shared" si="17"/>
        <v>#DIV/0!</v>
      </c>
    </row>
    <row r="76" spans="1:46">
      <c r="A76" s="360"/>
      <c r="B76" s="127">
        <f t="shared" ref="B76:B77" si="20">(B75/10+1)*10</f>
        <v>740</v>
      </c>
      <c r="C76" s="133" t="str">
        <f>VLOOKUP(B76,'Tipos de Defeitos'!B$4:E$106,Menu!$B$28+1,)</f>
        <v>Pilha Boa</v>
      </c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53">
        <f t="shared" si="18"/>
        <v>0</v>
      </c>
      <c r="AT76" s="235" t="e">
        <f t="shared" si="17"/>
        <v>#DIV/0!</v>
      </c>
    </row>
    <row r="77" spans="1:46" ht="13.5" thickBot="1">
      <c r="A77" s="370"/>
      <c r="B77" s="130">
        <f t="shared" si="20"/>
        <v>750</v>
      </c>
      <c r="C77" s="134" t="str">
        <f>VLOOKUP(B77,'Tipos de Defeitos'!B$4:E$106,Menu!$B$28+1,)</f>
        <v>Outros - Voltagem</v>
      </c>
      <c r="D77" s="149"/>
      <c r="E77" s="149"/>
      <c r="F77" s="149"/>
      <c r="G77" s="149"/>
      <c r="H77" s="149"/>
      <c r="I77" s="149"/>
      <c r="J77" s="149"/>
      <c r="K77" s="149"/>
      <c r="L77" s="149"/>
      <c r="M77" s="149"/>
      <c r="N77" s="149"/>
      <c r="O77" s="149"/>
      <c r="P77" s="149"/>
      <c r="Q77" s="149"/>
      <c r="R77" s="149"/>
      <c r="S77" s="149"/>
      <c r="T77" s="149"/>
      <c r="U77" s="149"/>
      <c r="V77" s="149"/>
      <c r="W77" s="149"/>
      <c r="X77" s="149"/>
      <c r="Y77" s="149"/>
      <c r="Z77" s="149"/>
      <c r="AA77" s="149"/>
      <c r="AB77" s="149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31">
        <f t="shared" si="18"/>
        <v>0</v>
      </c>
      <c r="AT77" s="235" t="e">
        <f t="shared" si="17"/>
        <v>#DIV/0!</v>
      </c>
    </row>
    <row r="78" spans="1:46">
      <c r="A78" s="369" t="s">
        <v>201</v>
      </c>
      <c r="B78" s="129">
        <f t="shared" ref="B78:B105" si="21">(B77/10+1)*10</f>
        <v>760</v>
      </c>
      <c r="C78" s="132" t="str">
        <f>VLOOKUP(B78,'Tipos de Defeitos'!B$4:E$106,Menu!$B$28+1,)</f>
        <v>Total (pçs)</v>
      </c>
      <c r="D78" s="151">
        <f t="shared" ref="D78:N78" si="22">SUM(D28:D77)</f>
        <v>0</v>
      </c>
      <c r="E78" s="151">
        <f t="shared" si="22"/>
        <v>0</v>
      </c>
      <c r="F78" s="151">
        <f t="shared" si="22"/>
        <v>0</v>
      </c>
      <c r="G78" s="151">
        <f t="shared" si="22"/>
        <v>0</v>
      </c>
      <c r="H78" s="151">
        <f t="shared" si="22"/>
        <v>0</v>
      </c>
      <c r="I78" s="151">
        <f t="shared" si="22"/>
        <v>0</v>
      </c>
      <c r="J78" s="151">
        <f t="shared" si="22"/>
        <v>0</v>
      </c>
      <c r="K78" s="151">
        <f t="shared" si="22"/>
        <v>0</v>
      </c>
      <c r="L78" s="151">
        <f t="shared" si="22"/>
        <v>0</v>
      </c>
      <c r="M78" s="151">
        <f t="shared" si="22"/>
        <v>0</v>
      </c>
      <c r="N78" s="151">
        <f t="shared" si="22"/>
        <v>0</v>
      </c>
      <c r="O78" s="151">
        <f t="shared" ref="O78:AR78" si="23">SUM(O28:O77)</f>
        <v>0</v>
      </c>
      <c r="P78" s="151">
        <f t="shared" si="23"/>
        <v>0</v>
      </c>
      <c r="Q78" s="151">
        <f t="shared" si="23"/>
        <v>0</v>
      </c>
      <c r="R78" s="151">
        <f t="shared" si="23"/>
        <v>0</v>
      </c>
      <c r="S78" s="151">
        <f t="shared" si="23"/>
        <v>0</v>
      </c>
      <c r="T78" s="151">
        <f t="shared" si="23"/>
        <v>0</v>
      </c>
      <c r="U78" s="151">
        <f t="shared" si="23"/>
        <v>0</v>
      </c>
      <c r="V78" s="151">
        <f t="shared" si="23"/>
        <v>0</v>
      </c>
      <c r="W78" s="151">
        <f t="shared" ref="W78:Z78" si="24">SUM(W28:W77)</f>
        <v>0</v>
      </c>
      <c r="X78" s="151">
        <f t="shared" si="24"/>
        <v>0</v>
      </c>
      <c r="Y78" s="151">
        <f t="shared" si="24"/>
        <v>0</v>
      </c>
      <c r="Z78" s="151">
        <f t="shared" si="24"/>
        <v>0</v>
      </c>
      <c r="AA78" s="151">
        <f t="shared" si="23"/>
        <v>0</v>
      </c>
      <c r="AB78" s="151">
        <f t="shared" ref="AB78" si="25">SUM(AB28:AB77)</f>
        <v>0</v>
      </c>
      <c r="AC78" s="151">
        <f t="shared" si="23"/>
        <v>0</v>
      </c>
      <c r="AD78" s="151">
        <f t="shared" si="23"/>
        <v>0</v>
      </c>
      <c r="AE78" s="151">
        <f t="shared" si="23"/>
        <v>0</v>
      </c>
      <c r="AF78" s="151">
        <f t="shared" si="23"/>
        <v>0</v>
      </c>
      <c r="AG78" s="151">
        <f t="shared" si="23"/>
        <v>0</v>
      </c>
      <c r="AH78" s="151">
        <f t="shared" si="23"/>
        <v>0</v>
      </c>
      <c r="AI78" s="151">
        <f t="shared" si="23"/>
        <v>0</v>
      </c>
      <c r="AJ78" s="151">
        <f t="shared" si="23"/>
        <v>0</v>
      </c>
      <c r="AK78" s="151">
        <f t="shared" si="23"/>
        <v>0</v>
      </c>
      <c r="AL78" s="151">
        <f t="shared" si="23"/>
        <v>0</v>
      </c>
      <c r="AM78" s="151">
        <f t="shared" si="23"/>
        <v>0</v>
      </c>
      <c r="AN78" s="151">
        <f t="shared" si="23"/>
        <v>0</v>
      </c>
      <c r="AO78" s="151">
        <f t="shared" si="23"/>
        <v>0</v>
      </c>
      <c r="AP78" s="151">
        <f t="shared" si="23"/>
        <v>0</v>
      </c>
      <c r="AQ78" s="151">
        <f t="shared" si="23"/>
        <v>0</v>
      </c>
      <c r="AR78" s="151">
        <f t="shared" si="23"/>
        <v>0</v>
      </c>
      <c r="AS78" s="173">
        <f t="shared" ref="AS78" si="26">SUM(AS28:AS77)</f>
        <v>0</v>
      </c>
    </row>
    <row r="79" spans="1:46">
      <c r="A79" s="360"/>
      <c r="B79" s="127">
        <f t="shared" si="21"/>
        <v>770</v>
      </c>
      <c r="C79" s="133" t="str">
        <f>VLOOKUP(B79,'Tipos de Defeitos'!B$4:E$106,Menu!$B$28+1,)</f>
        <v>Taxa Defeituosa 1º Teste</v>
      </c>
      <c r="D79" s="160" t="str">
        <f t="shared" ref="D79:N79" si="27">IF(D23&gt;0,D23/D7*1000000,"")</f>
        <v/>
      </c>
      <c r="E79" s="160" t="str">
        <f t="shared" si="27"/>
        <v/>
      </c>
      <c r="F79" s="160" t="str">
        <f t="shared" si="27"/>
        <v/>
      </c>
      <c r="G79" s="160" t="str">
        <f t="shared" si="27"/>
        <v/>
      </c>
      <c r="H79" s="160" t="str">
        <f t="shared" si="27"/>
        <v/>
      </c>
      <c r="I79" s="160" t="str">
        <f t="shared" si="27"/>
        <v/>
      </c>
      <c r="J79" s="160" t="str">
        <f t="shared" si="27"/>
        <v/>
      </c>
      <c r="K79" s="160" t="str">
        <f t="shared" si="27"/>
        <v/>
      </c>
      <c r="L79" s="160" t="str">
        <f t="shared" si="27"/>
        <v/>
      </c>
      <c r="M79" s="160" t="str">
        <f t="shared" si="27"/>
        <v/>
      </c>
      <c r="N79" s="160" t="str">
        <f t="shared" si="27"/>
        <v/>
      </c>
      <c r="O79" s="160" t="str">
        <f t="shared" ref="O79:AR79" si="28">IF(O23&gt;0,O23/O7*1000000,"")</f>
        <v/>
      </c>
      <c r="P79" s="160" t="str">
        <f t="shared" si="28"/>
        <v/>
      </c>
      <c r="Q79" s="160" t="str">
        <f t="shared" si="28"/>
        <v/>
      </c>
      <c r="R79" s="160" t="str">
        <f t="shared" si="28"/>
        <v/>
      </c>
      <c r="S79" s="160" t="str">
        <f t="shared" si="28"/>
        <v/>
      </c>
      <c r="T79" s="160" t="str">
        <f t="shared" si="28"/>
        <v/>
      </c>
      <c r="U79" s="160" t="str">
        <f t="shared" si="28"/>
        <v/>
      </c>
      <c r="V79" s="160" t="str">
        <f t="shared" si="28"/>
        <v/>
      </c>
      <c r="W79" s="160" t="str">
        <f t="shared" ref="W79:Z79" si="29">IF(W23&gt;0,W23/W7*1000000,"")</f>
        <v/>
      </c>
      <c r="X79" s="160" t="str">
        <f t="shared" si="29"/>
        <v/>
      </c>
      <c r="Y79" s="160" t="str">
        <f t="shared" si="29"/>
        <v/>
      </c>
      <c r="Z79" s="160" t="str">
        <f t="shared" si="29"/>
        <v/>
      </c>
      <c r="AA79" s="160" t="str">
        <f t="shared" si="28"/>
        <v/>
      </c>
      <c r="AB79" s="160" t="str">
        <f t="shared" ref="AB79" si="30">IF(AB23&gt;0,AB23/AB7*1000000,"")</f>
        <v/>
      </c>
      <c r="AC79" s="160" t="str">
        <f t="shared" si="28"/>
        <v/>
      </c>
      <c r="AD79" s="160" t="str">
        <f t="shared" si="28"/>
        <v/>
      </c>
      <c r="AE79" s="160" t="str">
        <f t="shared" si="28"/>
        <v/>
      </c>
      <c r="AF79" s="160" t="str">
        <f t="shared" si="28"/>
        <v/>
      </c>
      <c r="AG79" s="160" t="str">
        <f t="shared" si="28"/>
        <v/>
      </c>
      <c r="AH79" s="160" t="str">
        <f t="shared" si="28"/>
        <v/>
      </c>
      <c r="AI79" s="160" t="str">
        <f t="shared" si="28"/>
        <v/>
      </c>
      <c r="AJ79" s="160" t="str">
        <f t="shared" si="28"/>
        <v/>
      </c>
      <c r="AK79" s="160" t="str">
        <f t="shared" si="28"/>
        <v/>
      </c>
      <c r="AL79" s="160" t="str">
        <f t="shared" si="28"/>
        <v/>
      </c>
      <c r="AM79" s="160" t="str">
        <f t="shared" si="28"/>
        <v/>
      </c>
      <c r="AN79" s="160" t="str">
        <f t="shared" si="28"/>
        <v/>
      </c>
      <c r="AO79" s="160" t="str">
        <f t="shared" si="28"/>
        <v/>
      </c>
      <c r="AP79" s="160" t="str">
        <f t="shared" si="28"/>
        <v/>
      </c>
      <c r="AQ79" s="160" t="str">
        <f t="shared" si="28"/>
        <v/>
      </c>
      <c r="AR79" s="160" t="str">
        <f t="shared" si="28"/>
        <v/>
      </c>
      <c r="AS79" s="174" t="str">
        <f>IF(AS7&gt;0,AS23/AS7*1000000,"")</f>
        <v/>
      </c>
    </row>
    <row r="80" spans="1:46">
      <c r="A80" s="360"/>
      <c r="B80" s="127">
        <f t="shared" si="21"/>
        <v>780</v>
      </c>
      <c r="C80" s="133" t="str">
        <f>VLOOKUP(B80,'Tipos de Defeitos'!B$4:E$106,Menu!$B$28+1,)</f>
        <v>Taxa defeituosa (ppm)</v>
      </c>
      <c r="D80" s="161" t="str">
        <f t="shared" ref="D80:N80" si="31">IF(D27&lt;&gt;0,D78/D27*D24/D7*1000000,"")</f>
        <v/>
      </c>
      <c r="E80" s="161" t="str">
        <f t="shared" si="31"/>
        <v/>
      </c>
      <c r="F80" s="161" t="str">
        <f t="shared" si="31"/>
        <v/>
      </c>
      <c r="G80" s="161" t="str">
        <f t="shared" si="31"/>
        <v/>
      </c>
      <c r="H80" s="161" t="str">
        <f t="shared" si="31"/>
        <v/>
      </c>
      <c r="I80" s="161" t="str">
        <f t="shared" si="31"/>
        <v/>
      </c>
      <c r="J80" s="161" t="str">
        <f t="shared" si="31"/>
        <v/>
      </c>
      <c r="K80" s="161" t="str">
        <f t="shared" si="31"/>
        <v/>
      </c>
      <c r="L80" s="161" t="str">
        <f t="shared" si="31"/>
        <v/>
      </c>
      <c r="M80" s="161" t="str">
        <f t="shared" si="31"/>
        <v/>
      </c>
      <c r="N80" s="161" t="str">
        <f t="shared" si="31"/>
        <v/>
      </c>
      <c r="O80" s="161" t="str">
        <f t="shared" ref="O80:AR80" si="32">IF(O27&lt;&gt;0,O78/O27*O24/O7*1000000,"")</f>
        <v/>
      </c>
      <c r="P80" s="161" t="str">
        <f t="shared" si="32"/>
        <v/>
      </c>
      <c r="Q80" s="161" t="str">
        <f t="shared" si="32"/>
        <v/>
      </c>
      <c r="R80" s="161" t="str">
        <f t="shared" si="32"/>
        <v/>
      </c>
      <c r="S80" s="161" t="str">
        <f t="shared" si="32"/>
        <v/>
      </c>
      <c r="T80" s="161" t="str">
        <f t="shared" si="32"/>
        <v/>
      </c>
      <c r="U80" s="161" t="str">
        <f t="shared" si="32"/>
        <v/>
      </c>
      <c r="V80" s="161" t="str">
        <f t="shared" si="32"/>
        <v/>
      </c>
      <c r="W80" s="161" t="str">
        <f t="shared" ref="W80:Z80" si="33">IF(W27&lt;&gt;0,W78/W27*W24/W7*1000000,"")</f>
        <v/>
      </c>
      <c r="X80" s="161" t="str">
        <f t="shared" si="33"/>
        <v/>
      </c>
      <c r="Y80" s="161" t="str">
        <f t="shared" si="33"/>
        <v/>
      </c>
      <c r="Z80" s="161" t="str">
        <f t="shared" si="33"/>
        <v/>
      </c>
      <c r="AA80" s="161" t="str">
        <f t="shared" si="32"/>
        <v/>
      </c>
      <c r="AB80" s="161" t="str">
        <f t="shared" ref="AB80" si="34">IF(AB27&lt;&gt;0,AB78/AB27*AB24/AB7*1000000,"")</f>
        <v/>
      </c>
      <c r="AC80" s="161" t="str">
        <f t="shared" si="32"/>
        <v/>
      </c>
      <c r="AD80" s="161" t="str">
        <f t="shared" si="32"/>
        <v/>
      </c>
      <c r="AE80" s="161" t="str">
        <f t="shared" si="32"/>
        <v/>
      </c>
      <c r="AF80" s="161" t="str">
        <f t="shared" si="32"/>
        <v/>
      </c>
      <c r="AG80" s="161" t="str">
        <f t="shared" si="32"/>
        <v/>
      </c>
      <c r="AH80" s="161" t="str">
        <f t="shared" si="32"/>
        <v/>
      </c>
      <c r="AI80" s="161" t="str">
        <f t="shared" si="32"/>
        <v/>
      </c>
      <c r="AJ80" s="161" t="str">
        <f t="shared" si="32"/>
        <v/>
      </c>
      <c r="AK80" s="161" t="str">
        <f t="shared" si="32"/>
        <v/>
      </c>
      <c r="AL80" s="161" t="str">
        <f t="shared" si="32"/>
        <v/>
      </c>
      <c r="AM80" s="161" t="str">
        <f t="shared" si="32"/>
        <v/>
      </c>
      <c r="AN80" s="161" t="str">
        <f t="shared" si="32"/>
        <v/>
      </c>
      <c r="AO80" s="161" t="str">
        <f t="shared" si="32"/>
        <v/>
      </c>
      <c r="AP80" s="161" t="str">
        <f t="shared" si="32"/>
        <v/>
      </c>
      <c r="AQ80" s="161" t="str">
        <f t="shared" si="32"/>
        <v/>
      </c>
      <c r="AR80" s="161" t="str">
        <f t="shared" si="32"/>
        <v/>
      </c>
      <c r="AS80" s="174" t="str">
        <f>IF((AS27*AS7)&gt;0,AS78/AS27*AS24/AS7*1000000,"")</f>
        <v/>
      </c>
    </row>
    <row r="81" spans="1:45">
      <c r="A81" s="360"/>
      <c r="B81" s="127">
        <f t="shared" si="21"/>
        <v>790</v>
      </c>
      <c r="C81" s="133" t="str">
        <f>VLOOKUP(B81,'Tipos de Defeitos'!B$4:E$106,Menu!$B$28+1,)</f>
        <v>Qtd. Defeitos internos (pçs)</v>
      </c>
      <c r="D81" s="141">
        <f t="shared" ref="D81:N81" si="35">SUM(D28:D71,D86:D98)</f>
        <v>0</v>
      </c>
      <c r="E81" s="141">
        <f t="shared" si="35"/>
        <v>0</v>
      </c>
      <c r="F81" s="141">
        <f t="shared" si="35"/>
        <v>0</v>
      </c>
      <c r="G81" s="141">
        <f t="shared" si="35"/>
        <v>0</v>
      </c>
      <c r="H81" s="141">
        <f t="shared" si="35"/>
        <v>0</v>
      </c>
      <c r="I81" s="141">
        <f t="shared" si="35"/>
        <v>0</v>
      </c>
      <c r="J81" s="141">
        <f t="shared" si="35"/>
        <v>0</v>
      </c>
      <c r="K81" s="141">
        <f t="shared" si="35"/>
        <v>0</v>
      </c>
      <c r="L81" s="141">
        <f t="shared" si="35"/>
        <v>0</v>
      </c>
      <c r="M81" s="141">
        <f t="shared" si="35"/>
        <v>0</v>
      </c>
      <c r="N81" s="141">
        <f t="shared" si="35"/>
        <v>0</v>
      </c>
      <c r="O81" s="141">
        <f t="shared" ref="O81:AR81" si="36">SUM(O28:O71,O86:O98)</f>
        <v>0</v>
      </c>
      <c r="P81" s="141">
        <f t="shared" si="36"/>
        <v>0</v>
      </c>
      <c r="Q81" s="141">
        <f t="shared" si="36"/>
        <v>0</v>
      </c>
      <c r="R81" s="141">
        <f t="shared" si="36"/>
        <v>0</v>
      </c>
      <c r="S81" s="141">
        <f t="shared" si="36"/>
        <v>0</v>
      </c>
      <c r="T81" s="141">
        <f t="shared" si="36"/>
        <v>0</v>
      </c>
      <c r="U81" s="141">
        <f t="shared" si="36"/>
        <v>0</v>
      </c>
      <c r="V81" s="141">
        <f t="shared" si="36"/>
        <v>0</v>
      </c>
      <c r="W81" s="141">
        <f t="shared" ref="W81:Z81" si="37">SUM(W28:W71,W86:W98)</f>
        <v>0</v>
      </c>
      <c r="X81" s="141">
        <f t="shared" si="37"/>
        <v>0</v>
      </c>
      <c r="Y81" s="141">
        <f t="shared" si="37"/>
        <v>0</v>
      </c>
      <c r="Z81" s="141">
        <f t="shared" si="37"/>
        <v>0</v>
      </c>
      <c r="AA81" s="141">
        <f t="shared" si="36"/>
        <v>0</v>
      </c>
      <c r="AB81" s="141">
        <f t="shared" ref="AB81" si="38">SUM(AB28:AB71,AB86:AB98)</f>
        <v>0</v>
      </c>
      <c r="AC81" s="141">
        <f t="shared" si="36"/>
        <v>0</v>
      </c>
      <c r="AD81" s="141">
        <f t="shared" si="36"/>
        <v>0</v>
      </c>
      <c r="AE81" s="141">
        <f t="shared" si="36"/>
        <v>0</v>
      </c>
      <c r="AF81" s="141">
        <f t="shared" si="36"/>
        <v>0</v>
      </c>
      <c r="AG81" s="141">
        <f t="shared" si="36"/>
        <v>0</v>
      </c>
      <c r="AH81" s="141">
        <f t="shared" si="36"/>
        <v>0</v>
      </c>
      <c r="AI81" s="141">
        <f t="shared" si="36"/>
        <v>0</v>
      </c>
      <c r="AJ81" s="141">
        <f t="shared" si="36"/>
        <v>0</v>
      </c>
      <c r="AK81" s="141">
        <f t="shared" si="36"/>
        <v>0</v>
      </c>
      <c r="AL81" s="141">
        <f t="shared" si="36"/>
        <v>0</v>
      </c>
      <c r="AM81" s="141">
        <f t="shared" si="36"/>
        <v>0</v>
      </c>
      <c r="AN81" s="141">
        <f t="shared" si="36"/>
        <v>0</v>
      </c>
      <c r="AO81" s="141">
        <f t="shared" si="36"/>
        <v>0</v>
      </c>
      <c r="AP81" s="141">
        <f t="shared" si="36"/>
        <v>0</v>
      </c>
      <c r="AQ81" s="141">
        <f t="shared" si="36"/>
        <v>0</v>
      </c>
      <c r="AR81" s="141">
        <f t="shared" si="36"/>
        <v>0</v>
      </c>
      <c r="AS81" s="174">
        <f>SUM(AS28:AS67,AS69:AS71)</f>
        <v>0</v>
      </c>
    </row>
    <row r="82" spans="1:45" ht="13.5" thickBot="1">
      <c r="A82" s="370"/>
      <c r="B82" s="130">
        <f t="shared" si="21"/>
        <v>800</v>
      </c>
      <c r="C82" s="134" t="str">
        <f>VLOOKUP(B82,'Tipos de Defeitos'!B$4:E$106,Menu!$B$28+1,)</f>
        <v>Defeitos Internos - Taxa defeituosa (ppm)</v>
      </c>
      <c r="D82" s="162" t="str">
        <f t="shared" ref="D82:N82" si="39">IF(D24&gt;0,D81/D27*D24/D7*1000000,"")</f>
        <v/>
      </c>
      <c r="E82" s="162" t="str">
        <f t="shared" si="39"/>
        <v/>
      </c>
      <c r="F82" s="162" t="str">
        <f t="shared" si="39"/>
        <v/>
      </c>
      <c r="G82" s="162" t="str">
        <f t="shared" si="39"/>
        <v/>
      </c>
      <c r="H82" s="162" t="str">
        <f t="shared" si="39"/>
        <v/>
      </c>
      <c r="I82" s="162" t="str">
        <f t="shared" si="39"/>
        <v/>
      </c>
      <c r="J82" s="162" t="str">
        <f t="shared" si="39"/>
        <v/>
      </c>
      <c r="K82" s="162" t="str">
        <f t="shared" si="39"/>
        <v/>
      </c>
      <c r="L82" s="162" t="str">
        <f t="shared" si="39"/>
        <v/>
      </c>
      <c r="M82" s="162" t="str">
        <f t="shared" si="39"/>
        <v/>
      </c>
      <c r="N82" s="162" t="str">
        <f t="shared" si="39"/>
        <v/>
      </c>
      <c r="O82" s="162" t="str">
        <f t="shared" ref="O82:AR82" si="40">IF(O24&gt;0,O81/O27*O24/O7*1000000,"")</f>
        <v/>
      </c>
      <c r="P82" s="162" t="str">
        <f t="shared" si="40"/>
        <v/>
      </c>
      <c r="Q82" s="162" t="str">
        <f t="shared" si="40"/>
        <v/>
      </c>
      <c r="R82" s="162" t="str">
        <f t="shared" si="40"/>
        <v/>
      </c>
      <c r="S82" s="162" t="str">
        <f t="shared" si="40"/>
        <v/>
      </c>
      <c r="T82" s="162" t="str">
        <f t="shared" si="40"/>
        <v/>
      </c>
      <c r="U82" s="162" t="str">
        <f t="shared" si="40"/>
        <v/>
      </c>
      <c r="V82" s="162" t="str">
        <f t="shared" si="40"/>
        <v/>
      </c>
      <c r="W82" s="162" t="str">
        <f t="shared" ref="W82:Z82" si="41">IF(W24&gt;0,W81/W27*W24/W7*1000000,"")</f>
        <v/>
      </c>
      <c r="X82" s="162" t="str">
        <f t="shared" si="41"/>
        <v/>
      </c>
      <c r="Y82" s="162" t="str">
        <f t="shared" si="41"/>
        <v/>
      </c>
      <c r="Z82" s="162" t="str">
        <f t="shared" si="41"/>
        <v/>
      </c>
      <c r="AA82" s="162" t="str">
        <f t="shared" si="40"/>
        <v/>
      </c>
      <c r="AB82" s="162" t="str">
        <f t="shared" ref="AB82" si="42">IF(AB24&gt;0,AB81/AB27*AB24/AB7*1000000,"")</f>
        <v/>
      </c>
      <c r="AC82" s="162" t="str">
        <f t="shared" si="40"/>
        <v/>
      </c>
      <c r="AD82" s="162" t="str">
        <f t="shared" si="40"/>
        <v/>
      </c>
      <c r="AE82" s="162" t="str">
        <f t="shared" si="40"/>
        <v/>
      </c>
      <c r="AF82" s="162" t="str">
        <f t="shared" si="40"/>
        <v/>
      </c>
      <c r="AG82" s="162" t="str">
        <f t="shared" si="40"/>
        <v/>
      </c>
      <c r="AH82" s="162" t="str">
        <f t="shared" si="40"/>
        <v/>
      </c>
      <c r="AI82" s="162" t="str">
        <f t="shared" si="40"/>
        <v/>
      </c>
      <c r="AJ82" s="162" t="str">
        <f t="shared" si="40"/>
        <v/>
      </c>
      <c r="AK82" s="162" t="str">
        <f t="shared" si="40"/>
        <v/>
      </c>
      <c r="AL82" s="162" t="str">
        <f t="shared" si="40"/>
        <v/>
      </c>
      <c r="AM82" s="162" t="str">
        <f t="shared" si="40"/>
        <v/>
      </c>
      <c r="AN82" s="162" t="str">
        <f t="shared" si="40"/>
        <v/>
      </c>
      <c r="AO82" s="162" t="str">
        <f t="shared" si="40"/>
        <v/>
      </c>
      <c r="AP82" s="162" t="str">
        <f t="shared" si="40"/>
        <v/>
      </c>
      <c r="AQ82" s="162" t="str">
        <f t="shared" si="40"/>
        <v/>
      </c>
      <c r="AR82" s="162" t="str">
        <f t="shared" si="40"/>
        <v/>
      </c>
      <c r="AS82" s="175" t="str">
        <f>IF((AS27*AS7)&gt;0,AS81/AS27*AS24/AS7*1000000,"")</f>
        <v/>
      </c>
    </row>
    <row r="83" spans="1:45" ht="14.25" customHeight="1">
      <c r="A83" s="357" t="s">
        <v>199</v>
      </c>
      <c r="B83" s="129">
        <f t="shared" si="21"/>
        <v>810</v>
      </c>
      <c r="C83" s="132" t="str">
        <f>VLOOKUP(B83,'Tipos de Defeitos'!B$4:E$106,Menu!$B$28+1,)</f>
        <v>Amperagem (Moda)</v>
      </c>
      <c r="D83" s="184"/>
      <c r="E83" s="184"/>
      <c r="F83" s="184"/>
      <c r="G83" s="184"/>
      <c r="H83" s="184"/>
      <c r="I83" s="184"/>
      <c r="J83" s="184"/>
      <c r="K83" s="184"/>
      <c r="L83" s="184"/>
      <c r="M83" s="184"/>
      <c r="N83" s="184"/>
      <c r="O83" s="184"/>
      <c r="P83" s="184"/>
      <c r="Q83" s="184"/>
      <c r="R83" s="184"/>
      <c r="S83" s="184"/>
      <c r="T83" s="184"/>
      <c r="U83" s="184"/>
      <c r="V83" s="184"/>
      <c r="W83" s="184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84"/>
      <c r="AL83" s="184"/>
      <c r="AM83" s="184"/>
      <c r="AN83" s="184"/>
      <c r="AO83" s="184"/>
      <c r="AP83" s="184"/>
      <c r="AQ83" s="184"/>
      <c r="AR83" s="184"/>
      <c r="AS83" s="176" t="e">
        <f>AVERAGE(D83:AR83)</f>
        <v>#DIV/0!</v>
      </c>
    </row>
    <row r="84" spans="1:45">
      <c r="A84" s="358"/>
      <c r="B84" s="127">
        <f t="shared" si="21"/>
        <v>820</v>
      </c>
      <c r="C84" s="133" t="str">
        <f>VLOOKUP(B84,'Tipos de Defeitos'!B$4:E$106,Menu!$B$28+1,)</f>
        <v>Amperagem Ajustada</v>
      </c>
      <c r="D84" s="185" t="str">
        <f t="shared" ref="D84:K84" si="43">IF(D83&gt;0,D83-1," ")</f>
        <v xml:space="preserve"> </v>
      </c>
      <c r="E84" s="185" t="str">
        <f t="shared" si="43"/>
        <v xml:space="preserve"> </v>
      </c>
      <c r="F84" s="185" t="str">
        <f t="shared" si="43"/>
        <v xml:space="preserve"> </v>
      </c>
      <c r="G84" s="185" t="str">
        <f t="shared" si="43"/>
        <v xml:space="preserve"> </v>
      </c>
      <c r="H84" s="185" t="str">
        <f t="shared" si="43"/>
        <v xml:space="preserve"> </v>
      </c>
      <c r="I84" s="185" t="str">
        <f t="shared" si="43"/>
        <v xml:space="preserve"> </v>
      </c>
      <c r="J84" s="185" t="str">
        <f t="shared" si="43"/>
        <v xml:space="preserve"> </v>
      </c>
      <c r="K84" s="185" t="str">
        <f t="shared" si="43"/>
        <v xml:space="preserve"> </v>
      </c>
      <c r="L84" s="185" t="str">
        <f t="shared" ref="L84:M84" si="44">IF(L83&gt;0,L83-1," ")</f>
        <v xml:space="preserve"> </v>
      </c>
      <c r="M84" s="185" t="str">
        <f t="shared" si="44"/>
        <v xml:space="preserve"> </v>
      </c>
      <c r="N84" s="185" t="str">
        <f t="shared" ref="N84:AR84" si="45">IF(N83&gt;0,N83-1," ")</f>
        <v xml:space="preserve"> </v>
      </c>
      <c r="O84" s="185" t="str">
        <f t="shared" si="45"/>
        <v xml:space="preserve"> </v>
      </c>
      <c r="P84" s="185" t="str">
        <f t="shared" si="45"/>
        <v xml:space="preserve"> </v>
      </c>
      <c r="Q84" s="185" t="str">
        <f t="shared" si="45"/>
        <v xml:space="preserve"> </v>
      </c>
      <c r="R84" s="185" t="str">
        <f t="shared" si="45"/>
        <v xml:space="preserve"> </v>
      </c>
      <c r="S84" s="185" t="str">
        <f t="shared" si="45"/>
        <v xml:space="preserve"> </v>
      </c>
      <c r="T84" s="185" t="str">
        <f t="shared" si="45"/>
        <v xml:space="preserve"> </v>
      </c>
      <c r="U84" s="185" t="str">
        <f t="shared" si="45"/>
        <v xml:space="preserve"> </v>
      </c>
      <c r="V84" s="185" t="str">
        <f t="shared" si="45"/>
        <v xml:space="preserve"> </v>
      </c>
      <c r="W84" s="185" t="str">
        <f t="shared" ref="W84:Z84" si="46">IF(W83&gt;0,W83-1," ")</f>
        <v xml:space="preserve"> </v>
      </c>
      <c r="X84" s="185" t="str">
        <f t="shared" si="46"/>
        <v xml:space="preserve"> </v>
      </c>
      <c r="Y84" s="185" t="str">
        <f t="shared" si="46"/>
        <v xml:space="preserve"> </v>
      </c>
      <c r="Z84" s="185" t="str">
        <f t="shared" si="46"/>
        <v xml:space="preserve"> </v>
      </c>
      <c r="AA84" s="185" t="str">
        <f t="shared" si="45"/>
        <v xml:space="preserve"> </v>
      </c>
      <c r="AB84" s="185" t="str">
        <f t="shared" si="45"/>
        <v xml:space="preserve"> </v>
      </c>
      <c r="AC84" s="185" t="str">
        <f t="shared" si="45"/>
        <v xml:space="preserve"> </v>
      </c>
      <c r="AD84" s="185" t="str">
        <f t="shared" si="45"/>
        <v xml:space="preserve"> </v>
      </c>
      <c r="AE84" s="185" t="str">
        <f t="shared" si="45"/>
        <v xml:space="preserve"> </v>
      </c>
      <c r="AF84" s="185" t="str">
        <f t="shared" si="45"/>
        <v xml:space="preserve"> </v>
      </c>
      <c r="AG84" s="185" t="str">
        <f t="shared" si="45"/>
        <v xml:space="preserve"> </v>
      </c>
      <c r="AH84" s="185" t="str">
        <f t="shared" si="45"/>
        <v xml:space="preserve"> </v>
      </c>
      <c r="AI84" s="185" t="str">
        <f t="shared" si="45"/>
        <v xml:space="preserve"> </v>
      </c>
      <c r="AJ84" s="185" t="str">
        <f t="shared" si="45"/>
        <v xml:space="preserve"> </v>
      </c>
      <c r="AK84" s="185" t="str">
        <f t="shared" si="45"/>
        <v xml:space="preserve"> </v>
      </c>
      <c r="AL84" s="185" t="str">
        <f t="shared" si="45"/>
        <v xml:space="preserve"> </v>
      </c>
      <c r="AM84" s="185" t="str">
        <f t="shared" si="45"/>
        <v xml:space="preserve"> </v>
      </c>
      <c r="AN84" s="185" t="str">
        <f t="shared" si="45"/>
        <v xml:space="preserve"> </v>
      </c>
      <c r="AO84" s="185" t="str">
        <f t="shared" si="45"/>
        <v xml:space="preserve"> </v>
      </c>
      <c r="AP84" s="185" t="str">
        <f t="shared" si="45"/>
        <v xml:space="preserve"> </v>
      </c>
      <c r="AQ84" s="185" t="str">
        <f t="shared" si="45"/>
        <v xml:space="preserve"> </v>
      </c>
      <c r="AR84" s="185" t="str">
        <f t="shared" si="45"/>
        <v xml:space="preserve"> </v>
      </c>
      <c r="AS84" s="169" t="e">
        <f>AVERAGE(D84:AR84)</f>
        <v>#DIV/0!</v>
      </c>
    </row>
    <row r="85" spans="1:45" ht="13.5" thickBot="1">
      <c r="A85" s="359"/>
      <c r="B85" s="130">
        <f t="shared" si="21"/>
        <v>830</v>
      </c>
      <c r="C85" s="134" t="str">
        <f>VLOOKUP(B85,'Tipos de Defeitos'!B$4:E$106,Menu!$B$28+1,)</f>
        <v>Qtd Baterias analisadas (pçs)</v>
      </c>
      <c r="D85" s="236">
        <f t="shared" ref="D85:I85" si="47">D103</f>
        <v>0</v>
      </c>
      <c r="E85" s="236">
        <f t="shared" si="47"/>
        <v>0</v>
      </c>
      <c r="F85" s="236">
        <f t="shared" si="47"/>
        <v>0</v>
      </c>
      <c r="G85" s="236">
        <f t="shared" si="47"/>
        <v>0</v>
      </c>
      <c r="H85" s="236">
        <f t="shared" si="47"/>
        <v>0</v>
      </c>
      <c r="I85" s="236">
        <f t="shared" si="47"/>
        <v>0</v>
      </c>
      <c r="J85" s="236">
        <f t="shared" ref="J85:M85" si="48">J103</f>
        <v>0</v>
      </c>
      <c r="K85" s="236">
        <f t="shared" si="48"/>
        <v>0</v>
      </c>
      <c r="L85" s="236">
        <f t="shared" si="48"/>
        <v>0</v>
      </c>
      <c r="M85" s="236">
        <f t="shared" si="48"/>
        <v>0</v>
      </c>
      <c r="N85" s="236">
        <f t="shared" ref="N85:AR85" si="49">N103</f>
        <v>0</v>
      </c>
      <c r="O85" s="236">
        <f t="shared" si="49"/>
        <v>0</v>
      </c>
      <c r="P85" s="236">
        <f t="shared" si="49"/>
        <v>0</v>
      </c>
      <c r="Q85" s="236">
        <f t="shared" si="49"/>
        <v>0</v>
      </c>
      <c r="R85" s="236">
        <f t="shared" si="49"/>
        <v>0</v>
      </c>
      <c r="S85" s="236">
        <f t="shared" si="49"/>
        <v>0</v>
      </c>
      <c r="T85" s="236">
        <f t="shared" si="49"/>
        <v>0</v>
      </c>
      <c r="U85" s="236">
        <f t="shared" si="49"/>
        <v>0</v>
      </c>
      <c r="V85" s="236">
        <f t="shared" si="49"/>
        <v>0</v>
      </c>
      <c r="W85" s="236">
        <f t="shared" ref="W85:Z85" si="50">W103</f>
        <v>0</v>
      </c>
      <c r="X85" s="236">
        <f t="shared" si="50"/>
        <v>0</v>
      </c>
      <c r="Y85" s="236">
        <f t="shared" si="50"/>
        <v>0</v>
      </c>
      <c r="Z85" s="236">
        <f t="shared" si="50"/>
        <v>0</v>
      </c>
      <c r="AA85" s="236">
        <f t="shared" si="49"/>
        <v>0</v>
      </c>
      <c r="AB85" s="236">
        <f t="shared" si="49"/>
        <v>0</v>
      </c>
      <c r="AC85" s="236">
        <f t="shared" si="49"/>
        <v>0</v>
      </c>
      <c r="AD85" s="236">
        <f t="shared" si="49"/>
        <v>0</v>
      </c>
      <c r="AE85" s="236">
        <f t="shared" si="49"/>
        <v>0</v>
      </c>
      <c r="AF85" s="236">
        <f t="shared" si="49"/>
        <v>0</v>
      </c>
      <c r="AG85" s="236">
        <f t="shared" si="49"/>
        <v>0</v>
      </c>
      <c r="AH85" s="236">
        <f t="shared" si="49"/>
        <v>0</v>
      </c>
      <c r="AI85" s="236">
        <f t="shared" si="49"/>
        <v>0</v>
      </c>
      <c r="AJ85" s="236">
        <f t="shared" si="49"/>
        <v>0</v>
      </c>
      <c r="AK85" s="236">
        <f t="shared" si="49"/>
        <v>0</v>
      </c>
      <c r="AL85" s="236">
        <f t="shared" si="49"/>
        <v>0</v>
      </c>
      <c r="AM85" s="236">
        <f t="shared" si="49"/>
        <v>0</v>
      </c>
      <c r="AN85" s="236">
        <f t="shared" si="49"/>
        <v>0</v>
      </c>
      <c r="AO85" s="236">
        <f t="shared" si="49"/>
        <v>0</v>
      </c>
      <c r="AP85" s="236">
        <f t="shared" si="49"/>
        <v>0</v>
      </c>
      <c r="AQ85" s="236">
        <f t="shared" si="49"/>
        <v>0</v>
      </c>
      <c r="AR85" s="236">
        <f t="shared" si="49"/>
        <v>0</v>
      </c>
      <c r="AS85" s="177">
        <f>SUM(AS86:AS102)</f>
        <v>0</v>
      </c>
    </row>
    <row r="86" spans="1:45" ht="13.5" customHeight="1">
      <c r="A86" s="360" t="s">
        <v>28</v>
      </c>
      <c r="B86" s="128">
        <f t="shared" si="21"/>
        <v>840</v>
      </c>
      <c r="C86" s="139" t="str">
        <f>VLOOKUP(B86,'Tipos de Defeitos'!B$4:E$106,Menu!$B$28+1,)</f>
        <v>Papel Separdor Duplo</v>
      </c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74">
        <f t="shared" ref="AS86:AS103" si="51">SUM(D86:AR86)</f>
        <v>0</v>
      </c>
    </row>
    <row r="87" spans="1:45">
      <c r="A87" s="360"/>
      <c r="B87" s="127">
        <f t="shared" si="21"/>
        <v>850</v>
      </c>
      <c r="C87" s="133" t="str">
        <f>VLOOKUP(B87,'Tipos de Defeitos'!B$4:E$106,Menu!$B$28+1,)</f>
        <v>Pedra de Negro</v>
      </c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74">
        <f t="shared" si="51"/>
        <v>0</v>
      </c>
    </row>
    <row r="88" spans="1:45">
      <c r="A88" s="360"/>
      <c r="B88" s="127">
        <f t="shared" si="21"/>
        <v>860</v>
      </c>
      <c r="C88" s="133" t="str">
        <f>VLOOKUP(B88,'Tipos de Defeitos'!B$4:E$106,Menu!$B$28+1,)</f>
        <v>Pedra de Cl de Amônia</v>
      </c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74">
        <f t="shared" si="51"/>
        <v>0</v>
      </c>
    </row>
    <row r="89" spans="1:45">
      <c r="A89" s="360"/>
      <c r="B89" s="127">
        <f t="shared" si="21"/>
        <v>870</v>
      </c>
      <c r="C89" s="133" t="str">
        <f>VLOOKUP(B89,'Tipos de Defeitos'!B$4:E$106,Menu!$B$28+1,)</f>
        <v>Pelota de Manganês</v>
      </c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74">
        <f t="shared" si="51"/>
        <v>0</v>
      </c>
    </row>
    <row r="90" spans="1:45">
      <c r="A90" s="360"/>
      <c r="B90" s="127">
        <f t="shared" si="21"/>
        <v>880</v>
      </c>
      <c r="C90" s="133" t="str">
        <f>VLOOKUP(B90,'Tipos de Defeitos'!B$4:E$106,Menu!$B$28+1,)</f>
        <v>Bobina Baixa</v>
      </c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74">
        <f t="shared" si="51"/>
        <v>0</v>
      </c>
    </row>
    <row r="91" spans="1:45">
      <c r="A91" s="360"/>
      <c r="B91" s="127">
        <f t="shared" si="21"/>
        <v>890</v>
      </c>
      <c r="C91" s="133" t="str">
        <f>VLOOKUP(B91,'Tipos de Defeitos'!B$4:E$106,Menu!$B$28+1,)</f>
        <v>Bobina Rachada</v>
      </c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74">
        <f t="shared" si="51"/>
        <v>0</v>
      </c>
    </row>
    <row r="92" spans="1:45">
      <c r="A92" s="360"/>
      <c r="B92" s="127">
        <f t="shared" si="21"/>
        <v>900</v>
      </c>
      <c r="C92" s="133" t="str">
        <f>VLOOKUP(B92,'Tipos de Defeitos'!B$4:E$106,Menu!$B$28+1,)</f>
        <v>Emenda de Papel</v>
      </c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74">
        <f t="shared" si="51"/>
        <v>0</v>
      </c>
    </row>
    <row r="93" spans="1:45">
      <c r="A93" s="360"/>
      <c r="B93" s="127">
        <f t="shared" si="21"/>
        <v>910</v>
      </c>
      <c r="C93" s="133" t="str">
        <f>VLOOKUP(B93,'Tipos de Defeitos'!B$4:E$106,Menu!$B$28+1,)</f>
        <v>Carvão Quebrado</v>
      </c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74">
        <f t="shared" si="51"/>
        <v>0</v>
      </c>
    </row>
    <row r="94" spans="1:45">
      <c r="A94" s="360"/>
      <c r="B94" s="127">
        <f t="shared" si="21"/>
        <v>920</v>
      </c>
      <c r="C94" s="133" t="str">
        <f>VLOOKUP(B94,'Tipos de Defeitos'!B$4:E$106,Menu!$B$28+1,)</f>
        <v>Metade do Carvão</v>
      </c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74">
        <f t="shared" si="51"/>
        <v>0</v>
      </c>
    </row>
    <row r="95" spans="1:45">
      <c r="A95" s="360"/>
      <c r="B95" s="127">
        <f t="shared" si="21"/>
        <v>930</v>
      </c>
      <c r="C95" s="133" t="str">
        <f>VLOOKUP(B95,'Tipos de Defeitos'!B$4:E$106,Menu!$B$28+1,)</f>
        <v>Carvão Frouxo</v>
      </c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74">
        <f t="shared" si="51"/>
        <v>0</v>
      </c>
    </row>
    <row r="96" spans="1:45">
      <c r="A96" s="360"/>
      <c r="B96" s="127">
        <f t="shared" si="21"/>
        <v>940</v>
      </c>
      <c r="C96" s="133" t="str">
        <f>VLOOKUP(B96,'Tipos de Defeitos'!B$4:E$106,Menu!$B$28+1,)</f>
        <v>Tubo de Zinco Sujo</v>
      </c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74">
        <f t="shared" si="51"/>
        <v>0</v>
      </c>
    </row>
    <row r="97" spans="1:45">
      <c r="A97" s="360"/>
      <c r="B97" s="127">
        <f t="shared" si="21"/>
        <v>950</v>
      </c>
      <c r="C97" s="133" t="str">
        <f>VLOOKUP(B97,'Tipos de Defeitos'!B$4:E$106,Menu!$B$28+1,)</f>
        <v>Contem estranho</v>
      </c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74">
        <f t="shared" si="51"/>
        <v>0</v>
      </c>
    </row>
    <row r="98" spans="1:45">
      <c r="A98" s="360"/>
      <c r="B98" s="127">
        <f t="shared" si="21"/>
        <v>960</v>
      </c>
      <c r="C98" s="133" t="str">
        <f>VLOOKUP(B98,'Tipos de Defeitos'!B$4:E$106,Menu!$B$28+1,)</f>
        <v>Mistura seca</v>
      </c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74">
        <f t="shared" si="51"/>
        <v>0</v>
      </c>
    </row>
    <row r="99" spans="1:45">
      <c r="A99" s="360"/>
      <c r="B99" s="127">
        <f t="shared" si="21"/>
        <v>970</v>
      </c>
      <c r="C99" s="133" t="str">
        <f>VLOOKUP(B99,'Tipos de Defeitos'!B$4:E$106,Menu!$B$28+1,)</f>
        <v>Bottom Plate Amassado</v>
      </c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74">
        <f t="shared" si="51"/>
        <v>0</v>
      </c>
    </row>
    <row r="100" spans="1:45">
      <c r="A100" s="360"/>
      <c r="B100" s="127">
        <f t="shared" si="21"/>
        <v>980</v>
      </c>
      <c r="C100" s="133" t="str">
        <f>VLOOKUP(B100,'Tipos de Defeitos'!B$4:E$106,Menu!$B$28+1,)</f>
        <v>PVC Comprido</v>
      </c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74">
        <f t="shared" si="51"/>
        <v>0</v>
      </c>
    </row>
    <row r="101" spans="1:45">
      <c r="A101" s="360"/>
      <c r="B101" s="127">
        <f t="shared" si="21"/>
        <v>990</v>
      </c>
      <c r="C101" s="133" t="str">
        <f>VLOOKUP(B101,'Tipos de Defeitos'!B$4:E$106,Menu!$B$28+1,)</f>
        <v>Causa Desconhecida - Amperagem</v>
      </c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74">
        <f t="shared" si="51"/>
        <v>0</v>
      </c>
    </row>
    <row r="102" spans="1:45" ht="13.5" thickBot="1">
      <c r="A102" s="360"/>
      <c r="B102" s="154">
        <f t="shared" si="21"/>
        <v>1000</v>
      </c>
      <c r="C102" s="155" t="str">
        <f>VLOOKUP(B102,'Tipos de Defeitos'!B$4:E$106,Menu!$B$28+1,)</f>
        <v>Outros - Amperagem</v>
      </c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  <c r="AA102" s="156"/>
      <c r="AB102" s="156"/>
      <c r="AC102" s="156"/>
      <c r="AD102" s="156"/>
      <c r="AE102" s="156"/>
      <c r="AF102" s="156"/>
      <c r="AG102" s="156"/>
      <c r="AH102" s="156"/>
      <c r="AI102" s="156"/>
      <c r="AJ102" s="156"/>
      <c r="AK102" s="156"/>
      <c r="AL102" s="156"/>
      <c r="AM102" s="156"/>
      <c r="AN102" s="156"/>
      <c r="AO102" s="156"/>
      <c r="AP102" s="156"/>
      <c r="AQ102" s="156"/>
      <c r="AR102" s="156"/>
      <c r="AS102" s="178">
        <f t="shared" si="51"/>
        <v>0</v>
      </c>
    </row>
    <row r="103" spans="1:45">
      <c r="A103" s="361" t="s">
        <v>201</v>
      </c>
      <c r="B103" s="129">
        <f t="shared" si="21"/>
        <v>1010</v>
      </c>
      <c r="C103" s="102" t="str">
        <f>VLOOKUP(B103,'Tipos de Defeitos'!B$4:E$106,Menu!$B$28+1,)</f>
        <v>Total</v>
      </c>
      <c r="D103" s="194">
        <f t="shared" ref="D103:I103" si="52">SUM(D86:D102)</f>
        <v>0</v>
      </c>
      <c r="E103" s="194">
        <f t="shared" si="52"/>
        <v>0</v>
      </c>
      <c r="F103" s="194">
        <f t="shared" si="52"/>
        <v>0</v>
      </c>
      <c r="G103" s="194">
        <f t="shared" si="52"/>
        <v>0</v>
      </c>
      <c r="H103" s="194">
        <f t="shared" si="52"/>
        <v>0</v>
      </c>
      <c r="I103" s="194">
        <f t="shared" si="52"/>
        <v>0</v>
      </c>
      <c r="J103" s="194">
        <f t="shared" ref="J103:M103" si="53">SUM(J86:J102)</f>
        <v>0</v>
      </c>
      <c r="K103" s="194">
        <f t="shared" si="53"/>
        <v>0</v>
      </c>
      <c r="L103" s="194">
        <f t="shared" si="53"/>
        <v>0</v>
      </c>
      <c r="M103" s="194">
        <f t="shared" si="53"/>
        <v>0</v>
      </c>
      <c r="N103" s="194">
        <f t="shared" ref="N103:AR103" si="54">SUM(N86:N102)</f>
        <v>0</v>
      </c>
      <c r="O103" s="194">
        <f t="shared" si="54"/>
        <v>0</v>
      </c>
      <c r="P103" s="194">
        <f t="shared" si="54"/>
        <v>0</v>
      </c>
      <c r="Q103" s="194">
        <f t="shared" si="54"/>
        <v>0</v>
      </c>
      <c r="R103" s="194">
        <f t="shared" si="54"/>
        <v>0</v>
      </c>
      <c r="S103" s="194">
        <f t="shared" si="54"/>
        <v>0</v>
      </c>
      <c r="T103" s="194">
        <f t="shared" si="54"/>
        <v>0</v>
      </c>
      <c r="U103" s="194">
        <f t="shared" si="54"/>
        <v>0</v>
      </c>
      <c r="V103" s="194">
        <f t="shared" si="54"/>
        <v>0</v>
      </c>
      <c r="W103" s="194">
        <f t="shared" ref="W103:Z103" si="55">SUM(W86:W102)</f>
        <v>0</v>
      </c>
      <c r="X103" s="194">
        <f t="shared" si="55"/>
        <v>0</v>
      </c>
      <c r="Y103" s="194">
        <f t="shared" si="55"/>
        <v>0</v>
      </c>
      <c r="Z103" s="194">
        <f t="shared" si="55"/>
        <v>0</v>
      </c>
      <c r="AA103" s="194">
        <f t="shared" si="54"/>
        <v>0</v>
      </c>
      <c r="AB103" s="194">
        <f t="shared" si="54"/>
        <v>0</v>
      </c>
      <c r="AC103" s="194">
        <f t="shared" si="54"/>
        <v>0</v>
      </c>
      <c r="AD103" s="194">
        <f t="shared" si="54"/>
        <v>0</v>
      </c>
      <c r="AE103" s="194">
        <f t="shared" si="54"/>
        <v>0</v>
      </c>
      <c r="AF103" s="194">
        <f t="shared" si="54"/>
        <v>0</v>
      </c>
      <c r="AG103" s="194">
        <f t="shared" si="54"/>
        <v>0</v>
      </c>
      <c r="AH103" s="194">
        <f t="shared" si="54"/>
        <v>0</v>
      </c>
      <c r="AI103" s="194">
        <f t="shared" si="54"/>
        <v>0</v>
      </c>
      <c r="AJ103" s="194">
        <f t="shared" si="54"/>
        <v>0</v>
      </c>
      <c r="AK103" s="194">
        <f t="shared" si="54"/>
        <v>0</v>
      </c>
      <c r="AL103" s="194">
        <f t="shared" si="54"/>
        <v>0</v>
      </c>
      <c r="AM103" s="194">
        <f t="shared" si="54"/>
        <v>0</v>
      </c>
      <c r="AN103" s="194">
        <f t="shared" si="54"/>
        <v>0</v>
      </c>
      <c r="AO103" s="194">
        <f t="shared" si="54"/>
        <v>0</v>
      </c>
      <c r="AP103" s="194">
        <f t="shared" si="54"/>
        <v>0</v>
      </c>
      <c r="AQ103" s="194">
        <f t="shared" si="54"/>
        <v>0</v>
      </c>
      <c r="AR103" s="194">
        <f t="shared" si="54"/>
        <v>0</v>
      </c>
      <c r="AS103" s="52">
        <f t="shared" si="51"/>
        <v>0</v>
      </c>
    </row>
    <row r="104" spans="1:45">
      <c r="A104" s="362"/>
      <c r="B104" s="127">
        <f t="shared" si="21"/>
        <v>1020</v>
      </c>
      <c r="C104" s="92" t="str">
        <f>VLOOKUP(B104,'Tipos de Defeitos'!B$4:E$106,Menu!$B$28+1,)</f>
        <v>Taxa defeituosa (ppm)</v>
      </c>
      <c r="D104" s="195" t="str">
        <f t="shared" ref="D104:I104" si="56">IF(D27&lt;&gt;0,D103/D27*D24/D22*1000000,"")</f>
        <v/>
      </c>
      <c r="E104" s="195" t="str">
        <f>IF(E27&lt;&gt;0,E103/E27*E24/E22*1000000,"")</f>
        <v/>
      </c>
      <c r="F104" s="195" t="str">
        <f>IF(F27&lt;&gt;0,F103/F27*F24/F22*1000000,"")</f>
        <v/>
      </c>
      <c r="G104" s="195" t="str">
        <f t="shared" si="56"/>
        <v/>
      </c>
      <c r="H104" s="195" t="str">
        <f t="shared" si="56"/>
        <v/>
      </c>
      <c r="I104" s="195" t="str">
        <f t="shared" si="56"/>
        <v/>
      </c>
      <c r="J104" s="195" t="str">
        <f>IF(J27&lt;&gt;0,J103/J27*J24/J22*1000000,"")</f>
        <v/>
      </c>
      <c r="K104" s="195" t="str">
        <f>IF(K27&lt;&gt;0,K103/K27*K24/K22*1000000,"")</f>
        <v/>
      </c>
      <c r="L104" s="195" t="str">
        <f t="shared" ref="L104:M104" si="57">IF(L27&lt;&gt;0,L103/L27*L24/L22*1000000,"")</f>
        <v/>
      </c>
      <c r="M104" s="195" t="str">
        <f t="shared" si="57"/>
        <v/>
      </c>
      <c r="N104" s="195" t="str">
        <f t="shared" ref="N104:AR104" si="58">IF(N27&lt;&gt;0,N103/N27*N24/N22*1000000,"")</f>
        <v/>
      </c>
      <c r="O104" s="195" t="str">
        <f t="shared" si="58"/>
        <v/>
      </c>
      <c r="P104" s="195" t="str">
        <f t="shared" si="58"/>
        <v/>
      </c>
      <c r="Q104" s="195" t="str">
        <f t="shared" si="58"/>
        <v/>
      </c>
      <c r="R104" s="195" t="str">
        <f>IF(R27&lt;&gt;0,R103/R27*R24/R22*1000000,"")</f>
        <v/>
      </c>
      <c r="S104" s="195" t="str">
        <f>IF(S27&lt;&gt;0,S103/S27*S24/S22*1000000,"")</f>
        <v/>
      </c>
      <c r="T104" s="195" t="str">
        <f t="shared" si="58"/>
        <v/>
      </c>
      <c r="U104" s="195" t="str">
        <f t="shared" si="58"/>
        <v/>
      </c>
      <c r="V104" s="195" t="str">
        <f t="shared" si="58"/>
        <v/>
      </c>
      <c r="W104" s="195" t="str">
        <f t="shared" ref="W104:Z104" si="59">IF(W27&lt;&gt;0,W103/W27*W24/W22*1000000,"")</f>
        <v/>
      </c>
      <c r="X104" s="195" t="str">
        <f t="shared" si="59"/>
        <v/>
      </c>
      <c r="Y104" s="195" t="str">
        <f t="shared" si="59"/>
        <v/>
      </c>
      <c r="Z104" s="195" t="str">
        <f t="shared" si="59"/>
        <v/>
      </c>
      <c r="AA104" s="195" t="str">
        <f t="shared" si="58"/>
        <v/>
      </c>
      <c r="AB104" s="195" t="str">
        <f t="shared" si="58"/>
        <v/>
      </c>
      <c r="AC104" s="195" t="str">
        <f t="shared" si="58"/>
        <v/>
      </c>
      <c r="AD104" s="195" t="str">
        <f t="shared" si="58"/>
        <v/>
      </c>
      <c r="AE104" s="195" t="str">
        <f t="shared" si="58"/>
        <v/>
      </c>
      <c r="AF104" s="195" t="str">
        <f t="shared" si="58"/>
        <v/>
      </c>
      <c r="AG104" s="195" t="str">
        <f t="shared" si="58"/>
        <v/>
      </c>
      <c r="AH104" s="195" t="str">
        <f t="shared" si="58"/>
        <v/>
      </c>
      <c r="AI104" s="195" t="str">
        <f t="shared" si="58"/>
        <v/>
      </c>
      <c r="AJ104" s="195" t="str">
        <f t="shared" si="58"/>
        <v/>
      </c>
      <c r="AK104" s="195" t="str">
        <f t="shared" si="58"/>
        <v/>
      </c>
      <c r="AL104" s="195" t="str">
        <f t="shared" si="58"/>
        <v/>
      </c>
      <c r="AM104" s="195" t="str">
        <f t="shared" si="58"/>
        <v/>
      </c>
      <c r="AN104" s="195" t="str">
        <f t="shared" si="58"/>
        <v/>
      </c>
      <c r="AO104" s="195" t="str">
        <f t="shared" si="58"/>
        <v/>
      </c>
      <c r="AP104" s="195" t="str">
        <f t="shared" si="58"/>
        <v/>
      </c>
      <c r="AQ104" s="195" t="str">
        <f t="shared" si="58"/>
        <v/>
      </c>
      <c r="AR104" s="195" t="str">
        <f t="shared" si="58"/>
        <v/>
      </c>
      <c r="AS104" s="160" t="e">
        <f>AS103/AS27*TD_VA_D/AS7*1000000</f>
        <v>#DIV/0!</v>
      </c>
    </row>
    <row r="105" spans="1:45" ht="13.5" thickBot="1">
      <c r="A105" s="363"/>
      <c r="B105" s="130">
        <f t="shared" si="21"/>
        <v>1030</v>
      </c>
      <c r="C105" s="94" t="str">
        <f>VLOOKUP(B105,'Tipos de Defeitos'!B$4:E$106,Menu!$B$28+1,)</f>
        <v>Taxa Defeituosa Total (ppm)</v>
      </c>
      <c r="D105" s="199" t="str">
        <f t="shared" ref="D105:I105" si="60">IF(D24&gt;0,D24/D7*1000000,"")</f>
        <v/>
      </c>
      <c r="E105" s="199" t="str">
        <f t="shared" si="60"/>
        <v/>
      </c>
      <c r="F105" s="199" t="str">
        <f t="shared" si="60"/>
        <v/>
      </c>
      <c r="G105" s="199" t="str">
        <f t="shared" si="60"/>
        <v/>
      </c>
      <c r="H105" s="199" t="str">
        <f t="shared" si="60"/>
        <v/>
      </c>
      <c r="I105" s="199" t="str">
        <f t="shared" si="60"/>
        <v/>
      </c>
      <c r="J105" s="199" t="str">
        <f t="shared" ref="J105:M105" si="61">IF(J24&gt;0,J24/J7*1000000,"")</f>
        <v/>
      </c>
      <c r="K105" s="199" t="str">
        <f t="shared" si="61"/>
        <v/>
      </c>
      <c r="L105" s="199" t="str">
        <f t="shared" si="61"/>
        <v/>
      </c>
      <c r="M105" s="199" t="str">
        <f t="shared" si="61"/>
        <v/>
      </c>
      <c r="N105" s="199" t="str">
        <f t="shared" ref="N105:R105" si="62">IF(N24&gt;0,N24/N7*1000000,"")</f>
        <v/>
      </c>
      <c r="O105" s="199" t="str">
        <f t="shared" si="62"/>
        <v/>
      </c>
      <c r="P105" s="199" t="str">
        <f t="shared" si="62"/>
        <v/>
      </c>
      <c r="Q105" s="199" t="str">
        <f t="shared" si="62"/>
        <v/>
      </c>
      <c r="R105" s="199" t="str">
        <f t="shared" si="62"/>
        <v/>
      </c>
      <c r="S105" s="199" t="str">
        <f t="shared" ref="S105:AR105" si="63">IF(S24&gt;0,S24/S7*1000000,"")</f>
        <v/>
      </c>
      <c r="T105" s="199" t="str">
        <f t="shared" si="63"/>
        <v/>
      </c>
      <c r="U105" s="199" t="str">
        <f t="shared" si="63"/>
        <v/>
      </c>
      <c r="V105" s="199" t="str">
        <f t="shared" si="63"/>
        <v/>
      </c>
      <c r="W105" s="199" t="str">
        <f t="shared" ref="W105:Z105" si="64">IF(W24&gt;0,W24/W7*1000000,"")</f>
        <v/>
      </c>
      <c r="X105" s="199" t="str">
        <f t="shared" si="64"/>
        <v/>
      </c>
      <c r="Y105" s="199" t="str">
        <f t="shared" si="64"/>
        <v/>
      </c>
      <c r="Z105" s="199" t="str">
        <f t="shared" si="64"/>
        <v/>
      </c>
      <c r="AA105" s="199" t="str">
        <f t="shared" si="63"/>
        <v/>
      </c>
      <c r="AB105" s="199" t="str">
        <f t="shared" si="63"/>
        <v/>
      </c>
      <c r="AC105" s="199" t="str">
        <f t="shared" si="63"/>
        <v/>
      </c>
      <c r="AD105" s="199" t="str">
        <f t="shared" si="63"/>
        <v/>
      </c>
      <c r="AE105" s="199" t="str">
        <f t="shared" si="63"/>
        <v/>
      </c>
      <c r="AF105" s="199" t="str">
        <f t="shared" si="63"/>
        <v/>
      </c>
      <c r="AG105" s="199" t="str">
        <f t="shared" si="63"/>
        <v/>
      </c>
      <c r="AH105" s="199" t="str">
        <f t="shared" si="63"/>
        <v/>
      </c>
      <c r="AI105" s="199" t="str">
        <f t="shared" si="63"/>
        <v/>
      </c>
      <c r="AJ105" s="199" t="str">
        <f t="shared" si="63"/>
        <v/>
      </c>
      <c r="AK105" s="199" t="str">
        <f t="shared" si="63"/>
        <v/>
      </c>
      <c r="AL105" s="199" t="str">
        <f t="shared" si="63"/>
        <v/>
      </c>
      <c r="AM105" s="199" t="str">
        <f t="shared" si="63"/>
        <v/>
      </c>
      <c r="AN105" s="199" t="str">
        <f t="shared" si="63"/>
        <v/>
      </c>
      <c r="AO105" s="199" t="str">
        <f t="shared" si="63"/>
        <v/>
      </c>
      <c r="AP105" s="199" t="str">
        <f t="shared" si="63"/>
        <v/>
      </c>
      <c r="AQ105" s="199" t="str">
        <f t="shared" si="63"/>
        <v/>
      </c>
      <c r="AR105" s="199" t="str">
        <f t="shared" si="63"/>
        <v/>
      </c>
      <c r="AS105" s="175" t="str">
        <f>IF(AS24&gt;0,AS24/AS7*1000000,"")</f>
        <v/>
      </c>
    </row>
    <row r="106" spans="1:45">
      <c r="A106" s="237"/>
      <c r="B106" s="238"/>
      <c r="D106" s="239"/>
      <c r="E106" s="239"/>
      <c r="F106" s="239"/>
      <c r="G106" s="239"/>
      <c r="H106" s="239"/>
      <c r="I106" s="239"/>
      <c r="J106" s="239"/>
      <c r="K106" s="239"/>
      <c r="L106" s="239"/>
      <c r="M106" s="239"/>
      <c r="N106" s="239"/>
      <c r="O106" s="239"/>
      <c r="P106" s="239"/>
      <c r="Q106" s="239"/>
      <c r="R106" s="239"/>
      <c r="S106" s="239"/>
      <c r="T106" s="239"/>
      <c r="U106" s="239"/>
      <c r="V106" s="239"/>
      <c r="W106" s="239"/>
      <c r="X106" s="239"/>
      <c r="Y106" s="239"/>
      <c r="Z106" s="239"/>
      <c r="AA106" s="239"/>
      <c r="AB106" s="239"/>
      <c r="AC106" s="239"/>
      <c r="AD106" s="239"/>
      <c r="AE106" s="239"/>
      <c r="AF106" s="239"/>
      <c r="AG106" s="239"/>
      <c r="AH106" s="239"/>
      <c r="AI106" s="239"/>
      <c r="AJ106" s="239"/>
      <c r="AK106" s="239"/>
      <c r="AL106" s="239"/>
      <c r="AM106" s="239"/>
      <c r="AN106" s="239"/>
      <c r="AO106" s="239"/>
      <c r="AP106" s="239"/>
      <c r="AQ106" s="239"/>
      <c r="AR106" s="239"/>
      <c r="AS106" s="239"/>
    </row>
    <row r="107" spans="1:45">
      <c r="A107" s="237"/>
      <c r="B107" s="238"/>
      <c r="C107" s="240"/>
      <c r="D107" s="239" t="e">
        <f>(D74+D73)/D23*D20/D18*1000000</f>
        <v>#DIV/0!</v>
      </c>
      <c r="E107" s="239" t="e">
        <f t="shared" ref="E107:AR107" si="65">(E74+E73)/E23*E20/E18*1000000</f>
        <v>#DIV/0!</v>
      </c>
      <c r="F107" s="239" t="e">
        <f t="shared" si="65"/>
        <v>#DIV/0!</v>
      </c>
      <c r="G107" s="239" t="e">
        <f t="shared" ref="G107" si="66">(G74+G73)/G23*G20/G18*1000000</f>
        <v>#DIV/0!</v>
      </c>
      <c r="H107" s="239" t="e">
        <f t="shared" si="65"/>
        <v>#DIV/0!</v>
      </c>
      <c r="I107" s="239" t="e">
        <f t="shared" si="65"/>
        <v>#DIV/0!</v>
      </c>
      <c r="J107" s="239" t="e">
        <f>(J74+J73)/J23*J20/J18*1000000</f>
        <v>#DIV/0!</v>
      </c>
      <c r="K107" s="239" t="e">
        <f>(K74+K73)/K23*K20/K18*1000000</f>
        <v>#DIV/0!</v>
      </c>
      <c r="L107" s="239" t="e">
        <f t="shared" si="65"/>
        <v>#DIV/0!</v>
      </c>
      <c r="M107" s="239" t="e">
        <f t="shared" si="65"/>
        <v>#DIV/0!</v>
      </c>
      <c r="N107" s="239" t="e">
        <f t="shared" si="65"/>
        <v>#DIV/0!</v>
      </c>
      <c r="O107" s="239"/>
      <c r="P107" s="239"/>
      <c r="Q107" s="239"/>
      <c r="R107" s="239"/>
      <c r="S107" s="239"/>
      <c r="T107" s="239"/>
      <c r="U107" s="239"/>
      <c r="V107" s="239"/>
      <c r="W107" s="239"/>
      <c r="X107" s="239"/>
      <c r="Y107" s="239"/>
      <c r="Z107" s="239"/>
      <c r="AA107" s="239"/>
      <c r="AB107" s="239"/>
      <c r="AC107" s="239"/>
      <c r="AD107" s="239"/>
      <c r="AE107" s="239"/>
      <c r="AF107" s="239"/>
      <c r="AG107" s="239"/>
      <c r="AH107" s="239"/>
      <c r="AI107" s="239"/>
      <c r="AJ107" s="239"/>
      <c r="AK107" s="239"/>
      <c r="AL107" s="239"/>
      <c r="AM107" s="239"/>
      <c r="AN107" s="239"/>
      <c r="AO107" s="239"/>
      <c r="AP107" s="239"/>
      <c r="AQ107" s="239"/>
      <c r="AR107" s="239" t="e">
        <f t="shared" si="65"/>
        <v>#DIV/0!</v>
      </c>
      <c r="AS107" s="239"/>
    </row>
    <row r="108" spans="1:45">
      <c r="A108" s="237"/>
      <c r="B108" s="238">
        <v>10</v>
      </c>
      <c r="D108" s="239"/>
      <c r="E108" s="239"/>
      <c r="F108" s="239"/>
      <c r="G108" s="239"/>
      <c r="H108" s="239"/>
      <c r="I108" s="239"/>
      <c r="J108" s="239"/>
      <c r="K108" s="239"/>
      <c r="L108" s="239"/>
      <c r="M108" s="239"/>
      <c r="N108" s="239"/>
      <c r="O108" s="239"/>
      <c r="P108" s="239"/>
      <c r="Q108" s="239"/>
      <c r="R108" s="239"/>
      <c r="S108" s="239"/>
      <c r="T108" s="239"/>
      <c r="U108" s="239"/>
      <c r="V108" s="239"/>
      <c r="W108" s="239"/>
      <c r="X108" s="239"/>
      <c r="Y108" s="239"/>
      <c r="Z108" s="239"/>
      <c r="AA108" s="239"/>
      <c r="AB108" s="239"/>
      <c r="AC108" s="239"/>
      <c r="AD108" s="239"/>
      <c r="AE108" s="239"/>
      <c r="AF108" s="239"/>
      <c r="AG108" s="239"/>
      <c r="AH108" s="239"/>
      <c r="AI108" s="239"/>
      <c r="AJ108" s="239"/>
      <c r="AK108" s="239"/>
      <c r="AL108" s="239"/>
      <c r="AM108" s="239"/>
      <c r="AN108" s="239"/>
      <c r="AO108" s="239"/>
      <c r="AP108" s="239"/>
      <c r="AQ108" s="239"/>
      <c r="AR108" s="239"/>
      <c r="AS108" s="239"/>
    </row>
    <row r="109" spans="1:45">
      <c r="A109" s="237"/>
      <c r="B109" s="238"/>
      <c r="D109" s="239"/>
      <c r="E109" s="239"/>
      <c r="F109" s="239"/>
      <c r="G109" s="239"/>
      <c r="H109" s="239"/>
      <c r="I109" s="239"/>
      <c r="J109" s="239"/>
      <c r="K109" s="239"/>
      <c r="L109" s="239"/>
      <c r="M109" s="239"/>
      <c r="N109" s="239"/>
      <c r="O109" s="239"/>
      <c r="P109" s="239"/>
      <c r="Q109" s="239"/>
      <c r="R109" s="239"/>
      <c r="S109" s="239"/>
      <c r="T109" s="239"/>
      <c r="U109" s="239"/>
      <c r="V109" s="239"/>
      <c r="W109" s="239"/>
      <c r="X109" s="239"/>
      <c r="Y109" s="239"/>
      <c r="Z109" s="239"/>
      <c r="AA109" s="239"/>
      <c r="AB109" s="239"/>
      <c r="AC109" s="239"/>
      <c r="AD109" s="239"/>
      <c r="AE109" s="239"/>
      <c r="AF109" s="239"/>
      <c r="AG109" s="239"/>
      <c r="AH109" s="239"/>
      <c r="AI109" s="239"/>
      <c r="AJ109" s="239"/>
      <c r="AK109" s="239"/>
      <c r="AL109" s="239"/>
      <c r="AM109" s="239"/>
      <c r="AN109" s="239"/>
      <c r="AO109" s="239"/>
      <c r="AP109" s="239"/>
      <c r="AQ109" s="239"/>
      <c r="AR109" s="239"/>
      <c r="AS109" s="239"/>
    </row>
    <row r="110" spans="1:45">
      <c r="D110" s="232"/>
      <c r="E110" s="232"/>
      <c r="H110" s="232"/>
      <c r="I110" s="232"/>
      <c r="K110" s="232"/>
      <c r="L110" s="232"/>
      <c r="M110" s="232"/>
      <c r="N110" s="232"/>
      <c r="O110" s="232"/>
      <c r="P110" s="232"/>
      <c r="Q110" s="232"/>
      <c r="R110" s="232"/>
      <c r="S110" s="232"/>
      <c r="T110" s="232"/>
      <c r="U110" s="232"/>
      <c r="V110" s="232"/>
      <c r="W110" s="232"/>
      <c r="X110" s="232"/>
      <c r="Y110" s="232"/>
      <c r="Z110" s="232"/>
      <c r="AA110" s="232"/>
      <c r="AB110" s="232"/>
      <c r="AC110" s="232"/>
      <c r="AD110" s="232"/>
      <c r="AE110" s="232"/>
      <c r="AF110" s="232"/>
      <c r="AG110" s="232"/>
      <c r="AH110" s="232"/>
      <c r="AI110" s="232"/>
      <c r="AJ110" s="232"/>
      <c r="AK110" s="232"/>
      <c r="AL110" s="232"/>
      <c r="AM110" s="232"/>
      <c r="AN110" s="232"/>
      <c r="AO110" s="232"/>
      <c r="AP110" s="232"/>
      <c r="AQ110" s="232"/>
    </row>
    <row r="111" spans="1:45">
      <c r="D111" s="232"/>
      <c r="E111" s="232"/>
      <c r="H111" s="232"/>
      <c r="I111" s="232"/>
      <c r="K111" s="232"/>
      <c r="L111" s="232"/>
      <c r="M111" s="232"/>
      <c r="N111" s="232"/>
      <c r="O111" s="232"/>
      <c r="P111" s="232"/>
      <c r="Q111" s="232"/>
      <c r="R111" s="232"/>
      <c r="S111" s="232"/>
      <c r="T111" s="232"/>
      <c r="U111" s="232"/>
      <c r="V111" s="232"/>
      <c r="W111" s="232"/>
      <c r="X111" s="232"/>
      <c r="Y111" s="232"/>
      <c r="Z111" s="232"/>
      <c r="AA111" s="232"/>
      <c r="AB111" s="232"/>
      <c r="AC111" s="232"/>
      <c r="AD111" s="232"/>
      <c r="AE111" s="232"/>
      <c r="AF111" s="232"/>
      <c r="AG111" s="232"/>
      <c r="AH111" s="232"/>
      <c r="AI111" s="232"/>
      <c r="AJ111" s="232"/>
      <c r="AK111" s="232"/>
      <c r="AL111" s="232"/>
      <c r="AM111" s="232"/>
      <c r="AN111" s="232"/>
      <c r="AO111" s="232"/>
      <c r="AP111" s="232"/>
      <c r="AQ111" s="232"/>
    </row>
    <row r="112" spans="1:45">
      <c r="C112" s="229">
        <v>1</v>
      </c>
    </row>
    <row r="131" spans="4:44" s="232" customFormat="1">
      <c r="D131" s="241" t="str">
        <f t="shared" ref="D131:I131" ca="1" si="67">D2</f>
        <v>03 / 2022</v>
      </c>
      <c r="E131" s="241">
        <f t="shared" si="67"/>
        <v>0</v>
      </c>
      <c r="F131" s="241">
        <f t="shared" si="67"/>
        <v>0</v>
      </c>
      <c r="G131" s="241">
        <f t="shared" si="67"/>
        <v>0</v>
      </c>
      <c r="H131" s="241">
        <f t="shared" si="67"/>
        <v>0</v>
      </c>
      <c r="I131" s="241">
        <f t="shared" si="67"/>
        <v>0</v>
      </c>
      <c r="J131" s="241"/>
      <c r="K131" s="241">
        <f>K2</f>
        <v>0</v>
      </c>
      <c r="L131" s="241">
        <f>L2</f>
        <v>0</v>
      </c>
      <c r="M131" s="241"/>
      <c r="N131" s="241">
        <f>N2</f>
        <v>0</v>
      </c>
      <c r="O131" s="241"/>
      <c r="P131" s="241"/>
      <c r="Q131" s="241"/>
      <c r="R131" s="241"/>
      <c r="S131" s="241"/>
      <c r="T131" s="241"/>
      <c r="U131" s="241"/>
      <c r="V131" s="241"/>
      <c r="W131" s="241"/>
      <c r="X131" s="241"/>
      <c r="Y131" s="241"/>
      <c r="Z131" s="241"/>
      <c r="AA131" s="241"/>
      <c r="AB131" s="241"/>
      <c r="AC131" s="241"/>
      <c r="AD131" s="241"/>
      <c r="AE131" s="241"/>
      <c r="AF131" s="241"/>
      <c r="AG131" s="241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>
        <f>AR2</f>
        <v>0</v>
      </c>
    </row>
  </sheetData>
  <sheetProtection algorithmName="SHA-512" hashValue="hJpElZgPVdo475TdAeP5GF0ABwBC6Cd2+LzWzCSj4nSR/fSQoQNp19xcUcQJC3iTE6COGk6we1sQxx8xwc+/8A==" saltValue="P5oEUErx3+EhTbOBRH0zOg==" spinCount="100000" sheet="1" objects="1" scenarios="1" selectLockedCells="1"/>
  <mergeCells count="8">
    <mergeCell ref="A83:A85"/>
    <mergeCell ref="A86:A102"/>
    <mergeCell ref="A103:A105"/>
    <mergeCell ref="D2:AR2"/>
    <mergeCell ref="A3:A22"/>
    <mergeCell ref="A23:A27"/>
    <mergeCell ref="A28:A77"/>
    <mergeCell ref="A78:A82"/>
  </mergeCells>
  <phoneticPr fontId="3"/>
  <conditionalFormatting sqref="AD27:AG27">
    <cfRule type="expression" dxfId="17" priority="408">
      <formula>AD$27&lt;&gt;(AD$78+AD$103)</formula>
    </cfRule>
  </conditionalFormatting>
  <conditionalFormatting sqref="B23:AS105 B8:C22 B7:S7 U7:V7 X7:AS7 Y8:AS22 B3:AS6">
    <cfRule type="expression" dxfId="16" priority="427">
      <formula>MOD(ROW(),2)=0</formula>
    </cfRule>
  </conditionalFormatting>
  <conditionalFormatting sqref="D8:S22">
    <cfRule type="expression" dxfId="15" priority="7">
      <formula>MOD(ROW(),2)=0</formula>
    </cfRule>
  </conditionalFormatting>
  <conditionalFormatting sqref="T7">
    <cfRule type="expression" dxfId="14" priority="6">
      <formula>MOD(ROW(),2)=0</formula>
    </cfRule>
  </conditionalFormatting>
  <conditionalFormatting sqref="T8:T22">
    <cfRule type="expression" dxfId="13" priority="5">
      <formula>MOD(ROW(),2)=0</formula>
    </cfRule>
  </conditionalFormatting>
  <conditionalFormatting sqref="U8:U22">
    <cfRule type="expression" dxfId="12" priority="4">
      <formula>MOD(ROW(),2)=0</formula>
    </cfRule>
  </conditionalFormatting>
  <conditionalFormatting sqref="V8:V22">
    <cfRule type="expression" dxfId="11" priority="3">
      <formula>MOD(ROW(),2)=0</formula>
    </cfRule>
  </conditionalFormatting>
  <conditionalFormatting sqref="W7">
    <cfRule type="expression" dxfId="10" priority="2">
      <formula>MOD(ROW(),2)=0</formula>
    </cfRule>
  </conditionalFormatting>
  <conditionalFormatting sqref="W8:X22">
    <cfRule type="expression" dxfId="9" priority="1">
      <formula>MOD(ROW(),2)=0</formula>
    </cfRule>
  </conditionalFormatting>
  <dataValidations count="1">
    <dataValidation type="list" allowBlank="1" showInputMessage="1" showErrorMessage="1" sqref="S6:AA6 N6:Q6 D6:I6" xr:uid="{00000000-0002-0000-0300-000000000000}">
      <formula1>PRODUTOS</formula1>
    </dataValidation>
  </dataValidations>
  <pageMargins left="0.19685039370078741" right="0.19685039370078741" top="1.1811023622047245" bottom="0.55118110236220474" header="0.70866141732283472" footer="0.31496062992125984"/>
  <pageSetup paperSize="12" scale="44" orientation="portrait" r:id="rId1"/>
  <headerFooter alignWithMargins="0">
    <oddHeader xml:space="preserve">&amp;L&amp;"SwitzerlandBlack,Negrito"&amp;16Panasonic&amp;"SwitzerlandBlack,Regular"
&amp;"Arial,Normal"&amp;9PILHAS / BATERIAS
&amp;C&amp;14CONTROLE DE FALHAS DE V e A&amp;16
&amp;12 1-SH &amp;RMÊS /  ANO&amp;12
Setembro/2003&amp;"ＭＳ ゴシック,Regular"&amp;11  </oddHeader>
    <oddFooter>&amp;LF-7.115 Rev 01 (PGQ-7.03)&amp;R&amp;A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BtnMenu">
                <anchor moveWithCells="1" sizeWithCells="1">
                  <from>
                    <xdr:col>5</xdr:col>
                    <xdr:colOff>762000</xdr:colOff>
                    <xdr:row>0</xdr:row>
                    <xdr:rowOff>0</xdr:rowOff>
                  </from>
                  <to>
                    <xdr:col>6</xdr:col>
                    <xdr:colOff>628650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AT131"/>
  <sheetViews>
    <sheetView zoomScaleNormal="100" workbookViewId="0">
      <pane xSplit="3" topLeftCell="D1" activePane="topRight" state="frozen"/>
      <selection activeCell="C89" sqref="C89"/>
      <selection pane="topRight" activeCell="D10" sqref="D10"/>
    </sheetView>
  </sheetViews>
  <sheetFormatPr defaultColWidth="10.28515625" defaultRowHeight="12.75"/>
  <cols>
    <col min="1" max="1" width="3.28515625" style="229" bestFit="1" customWidth="1"/>
    <col min="2" max="2" width="5" style="229" bestFit="1" customWidth="1"/>
    <col min="3" max="3" width="35.7109375" style="229" bestFit="1" customWidth="1"/>
    <col min="4" max="6" width="11.7109375" style="229" customWidth="1"/>
    <col min="7" max="7" width="11.7109375" style="232" customWidth="1"/>
    <col min="8" max="9" width="11.7109375" style="229" customWidth="1"/>
    <col min="10" max="10" width="11.7109375" style="232" customWidth="1"/>
    <col min="11" max="43" width="11.7109375" style="229" customWidth="1"/>
    <col min="44" max="44" width="11.7109375" style="232" customWidth="1"/>
    <col min="45" max="45" width="12" style="232" bestFit="1" customWidth="1"/>
    <col min="46" max="16384" width="10.28515625" style="229"/>
  </cols>
  <sheetData>
    <row r="1" spans="1:46" ht="13.5" thickBot="1">
      <c r="C1" s="230" t="str">
        <f>AS2</f>
        <v>Noite</v>
      </c>
      <c r="D1" s="231"/>
      <c r="E1" s="231"/>
      <c r="AS1" s="59"/>
    </row>
    <row r="2" spans="1:46" ht="13.5" thickBot="1">
      <c r="B2" s="126" t="s">
        <v>202</v>
      </c>
      <c r="C2" s="135" t="s">
        <v>229</v>
      </c>
      <c r="D2" s="364" t="str">
        <f ca="1">'UM-4 - Dia'!D2:AR2</f>
        <v>03 / 2022</v>
      </c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179" t="s">
        <v>237</v>
      </c>
      <c r="AT2" s="240" t="s">
        <v>239</v>
      </c>
    </row>
    <row r="3" spans="1:46">
      <c r="A3" s="366" t="s">
        <v>198</v>
      </c>
      <c r="B3" s="129">
        <v>10</v>
      </c>
      <c r="C3" s="136" t="str">
        <f>VLOOKUP(B3,'Tipos de Defeitos'!B$4:E$106,Menu!$B$28+1,)</f>
        <v>Data da Montagem</v>
      </c>
      <c r="D3" s="190"/>
      <c r="E3" s="190"/>
      <c r="F3" s="189"/>
      <c r="G3" s="189"/>
      <c r="H3" s="190"/>
      <c r="I3" s="190"/>
      <c r="J3" s="190"/>
      <c r="K3" s="190"/>
      <c r="L3" s="190"/>
      <c r="M3" s="190"/>
      <c r="N3" s="190"/>
      <c r="O3" s="190"/>
      <c r="P3" s="190"/>
      <c r="Q3" s="189"/>
      <c r="R3" s="189"/>
      <c r="S3" s="189"/>
      <c r="T3" s="189"/>
      <c r="U3" s="189"/>
      <c r="V3" s="189"/>
      <c r="W3" s="190"/>
      <c r="X3" s="190"/>
      <c r="Y3" s="190"/>
      <c r="Z3" s="190"/>
      <c r="AA3" s="190"/>
      <c r="AB3" s="190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200"/>
    </row>
    <row r="4" spans="1:46">
      <c r="A4" s="367"/>
      <c r="B4" s="127">
        <f>(B3/10+1)*10</f>
        <v>20</v>
      </c>
      <c r="C4" s="137" t="str">
        <f>VLOOKUP(B4,'Tipos de Defeitos'!B$4:E$106,Menu!$B$28+1,)</f>
        <v>Data do Acabamento</v>
      </c>
      <c r="D4" s="191"/>
      <c r="E4" s="191"/>
      <c r="F4" s="191"/>
      <c r="G4" s="191"/>
      <c r="H4" s="312"/>
      <c r="I4" s="191"/>
      <c r="J4" s="191"/>
      <c r="K4" s="191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201"/>
    </row>
    <row r="5" spans="1:46">
      <c r="A5" s="367"/>
      <c r="B5" s="127">
        <f t="shared" ref="B5:B68" si="0">(B4/10+1)*10</f>
        <v>30</v>
      </c>
      <c r="C5" s="137" t="str">
        <f>VLOOKUP(B5,'Tipos de Defeitos'!B$4:E$106,Menu!$B$28+1,)</f>
        <v>Descanso:</v>
      </c>
      <c r="D5" s="141" t="str">
        <f t="shared" ref="D5:O5" si="1">IF(D4="","",D4-D3)</f>
        <v/>
      </c>
      <c r="E5" s="141" t="str">
        <f t="shared" si="1"/>
        <v/>
      </c>
      <c r="F5" s="141" t="str">
        <f t="shared" si="1"/>
        <v/>
      </c>
      <c r="G5" s="141" t="str">
        <f t="shared" si="1"/>
        <v/>
      </c>
      <c r="H5" s="141" t="str">
        <f t="shared" si="1"/>
        <v/>
      </c>
      <c r="I5" s="141" t="str">
        <f t="shared" si="1"/>
        <v/>
      </c>
      <c r="J5" s="141" t="str">
        <f t="shared" si="1"/>
        <v/>
      </c>
      <c r="K5" s="141" t="str">
        <f t="shared" si="1"/>
        <v/>
      </c>
      <c r="L5" s="141" t="str">
        <f t="shared" si="1"/>
        <v/>
      </c>
      <c r="M5" s="141" t="str">
        <f t="shared" si="1"/>
        <v/>
      </c>
      <c r="N5" s="141" t="str">
        <f t="shared" si="1"/>
        <v/>
      </c>
      <c r="O5" s="141" t="str">
        <f t="shared" si="1"/>
        <v/>
      </c>
      <c r="P5" s="141" t="str">
        <f>IF(P4="","",P4-P3)</f>
        <v/>
      </c>
      <c r="Q5" s="141" t="str">
        <f t="shared" ref="Q5:AR5" si="2">IF(Q4="","",Q4-Q3)</f>
        <v/>
      </c>
      <c r="R5" s="141" t="str">
        <f t="shared" si="2"/>
        <v/>
      </c>
      <c r="S5" s="141" t="str">
        <f t="shared" si="2"/>
        <v/>
      </c>
      <c r="T5" s="141" t="str">
        <f t="shared" si="2"/>
        <v/>
      </c>
      <c r="U5" s="141" t="str">
        <f t="shared" si="2"/>
        <v/>
      </c>
      <c r="V5" s="141" t="str">
        <f t="shared" si="2"/>
        <v/>
      </c>
      <c r="W5" s="141" t="str">
        <f t="shared" si="2"/>
        <v/>
      </c>
      <c r="X5" s="141" t="str">
        <f t="shared" si="2"/>
        <v/>
      </c>
      <c r="Y5" s="141" t="str">
        <f t="shared" si="2"/>
        <v/>
      </c>
      <c r="Z5" s="141" t="str">
        <f t="shared" si="2"/>
        <v/>
      </c>
      <c r="AA5" s="141" t="str">
        <f t="shared" si="2"/>
        <v/>
      </c>
      <c r="AB5" s="141" t="str">
        <f t="shared" si="2"/>
        <v/>
      </c>
      <c r="AC5" s="141" t="str">
        <f t="shared" si="2"/>
        <v/>
      </c>
      <c r="AD5" s="141" t="str">
        <f t="shared" si="2"/>
        <v/>
      </c>
      <c r="AE5" s="141" t="str">
        <f t="shared" si="2"/>
        <v/>
      </c>
      <c r="AF5" s="141" t="str">
        <f t="shared" si="2"/>
        <v/>
      </c>
      <c r="AG5" s="141" t="str">
        <f t="shared" si="2"/>
        <v/>
      </c>
      <c r="AH5" s="141" t="str">
        <f t="shared" si="2"/>
        <v/>
      </c>
      <c r="AI5" s="141" t="str">
        <f t="shared" si="2"/>
        <v/>
      </c>
      <c r="AJ5" s="141" t="str">
        <f t="shared" si="2"/>
        <v/>
      </c>
      <c r="AK5" s="141" t="str">
        <f t="shared" si="2"/>
        <v/>
      </c>
      <c r="AL5" s="141" t="str">
        <f t="shared" si="2"/>
        <v/>
      </c>
      <c r="AM5" s="141" t="str">
        <f t="shared" si="2"/>
        <v/>
      </c>
      <c r="AN5" s="141" t="str">
        <f t="shared" si="2"/>
        <v/>
      </c>
      <c r="AO5" s="141" t="str">
        <f t="shared" si="2"/>
        <v/>
      </c>
      <c r="AP5" s="141" t="str">
        <f t="shared" si="2"/>
        <v/>
      </c>
      <c r="AQ5" s="141" t="str">
        <f t="shared" si="2"/>
        <v/>
      </c>
      <c r="AR5" s="141" t="str">
        <f t="shared" si="2"/>
        <v/>
      </c>
      <c r="AS5" s="167"/>
    </row>
    <row r="6" spans="1:46">
      <c r="A6" s="367"/>
      <c r="B6" s="127">
        <f t="shared" si="0"/>
        <v>40</v>
      </c>
      <c r="C6" s="137" t="str">
        <f>VLOOKUP(B6,'Tipos de Defeitos'!B$4:E$106,Menu!$B$28+1,)</f>
        <v>Modelo</v>
      </c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AQ6" s="142"/>
      <c r="AR6" s="142"/>
      <c r="AS6" s="141"/>
    </row>
    <row r="7" spans="1:46">
      <c r="A7" s="367"/>
      <c r="B7" s="127">
        <f t="shared" si="0"/>
        <v>50</v>
      </c>
      <c r="C7" s="137" t="str">
        <f>VLOOKUP(B7,'Tipos de Defeitos'!B$4:E$106,Menu!$B$28+1,)</f>
        <v>Qtd de Produção (pçs)</v>
      </c>
      <c r="D7" s="226"/>
      <c r="E7" s="226"/>
      <c r="F7" s="182"/>
      <c r="G7" s="182"/>
      <c r="H7" s="226"/>
      <c r="I7" s="226"/>
      <c r="J7" s="226"/>
      <c r="K7" s="226"/>
      <c r="L7" s="226"/>
      <c r="M7" s="226"/>
      <c r="N7" s="226"/>
      <c r="O7" s="226"/>
      <c r="P7" s="226"/>
      <c r="Q7" s="182"/>
      <c r="R7" s="182"/>
      <c r="S7" s="182"/>
      <c r="T7" s="182"/>
      <c r="U7" s="182"/>
      <c r="V7" s="182"/>
      <c r="W7" s="226"/>
      <c r="X7" s="226"/>
      <c r="Y7" s="226"/>
      <c r="Z7" s="226"/>
      <c r="AA7" s="226"/>
      <c r="AB7" s="226"/>
      <c r="AC7" s="226"/>
      <c r="AD7" s="226"/>
      <c r="AE7" s="226"/>
      <c r="AF7" s="226"/>
      <c r="AG7" s="226"/>
      <c r="AH7" s="142"/>
      <c r="AI7" s="142"/>
      <c r="AJ7" s="142"/>
      <c r="AK7" s="142"/>
      <c r="AL7" s="142"/>
      <c r="AM7" s="142"/>
      <c r="AN7" s="142"/>
      <c r="AO7" s="142"/>
      <c r="AP7" s="142"/>
      <c r="AQ7" s="142"/>
      <c r="AR7" s="142"/>
      <c r="AS7" s="141">
        <f>SUM(D7:AR7)</f>
        <v>0</v>
      </c>
      <c r="AT7" s="242">
        <f>AS7+'UM-4 - Dia'!AS7</f>
        <v>0</v>
      </c>
    </row>
    <row r="8" spans="1:46">
      <c r="A8" s="367"/>
      <c r="B8" s="127">
        <f t="shared" si="0"/>
        <v>60</v>
      </c>
      <c r="C8" s="137" t="str">
        <f>VLOOKUP(B8,'Tipos de Defeitos'!B$4:E$106,Menu!$B$28+1,)</f>
        <v>GME - Fornecedor</v>
      </c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1"/>
    </row>
    <row r="9" spans="1:46">
      <c r="A9" s="367"/>
      <c r="B9" s="127">
        <f t="shared" si="0"/>
        <v>70</v>
      </c>
      <c r="C9" s="137" t="str">
        <f>VLOOKUP(B9,'Tipos de Defeitos'!B$4:E$106,Menu!$B$28+1,)</f>
        <v>Nº Lote</v>
      </c>
      <c r="D9" s="288"/>
      <c r="E9" s="288"/>
      <c r="F9" s="288"/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288"/>
      <c r="U9" s="288"/>
      <c r="V9" s="288"/>
      <c r="W9" s="288"/>
      <c r="X9" s="288"/>
      <c r="Y9" s="288"/>
      <c r="Z9" s="288"/>
      <c r="AA9" s="288"/>
      <c r="AB9" s="288"/>
      <c r="AC9" s="288"/>
      <c r="AD9" s="288"/>
      <c r="AE9" s="288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41"/>
    </row>
    <row r="10" spans="1:46">
      <c r="A10" s="367"/>
      <c r="B10" s="127">
        <f t="shared" si="0"/>
        <v>80</v>
      </c>
      <c r="C10" s="137" t="str">
        <f>VLOOKUP(B10,'Tipos de Defeitos'!B$4:E$106,Menu!$B$28+1,)</f>
        <v>Qtd</v>
      </c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1"/>
    </row>
    <row r="11" spans="1:46">
      <c r="A11" s="367"/>
      <c r="B11" s="127">
        <f t="shared" si="0"/>
        <v>90</v>
      </c>
      <c r="C11" s="137" t="str">
        <f>VLOOKUP(B11,'Tipos de Defeitos'!B$4:E$106,Menu!$B$28+1,)</f>
        <v>GMT - Fornecedor</v>
      </c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141"/>
    </row>
    <row r="12" spans="1:46">
      <c r="A12" s="367"/>
      <c r="B12" s="127">
        <f t="shared" si="0"/>
        <v>100</v>
      </c>
      <c r="C12" s="137" t="str">
        <f>VLOOKUP(B12,'Tipos de Defeitos'!B$4:E$106,Menu!$B$28+1,)</f>
        <v>Nº Lote</v>
      </c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2"/>
      <c r="AP12" s="142"/>
      <c r="AQ12" s="142"/>
      <c r="AR12" s="142"/>
      <c r="AS12" s="141"/>
    </row>
    <row r="13" spans="1:46">
      <c r="A13" s="367"/>
      <c r="B13" s="127">
        <f t="shared" si="0"/>
        <v>110</v>
      </c>
      <c r="C13" s="137" t="str">
        <f>VLOOKUP(B13,'Tipos de Defeitos'!B$4:E$106,Menu!$B$28+1,)</f>
        <v>Qtd</v>
      </c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1"/>
    </row>
    <row r="14" spans="1:46">
      <c r="A14" s="367"/>
      <c r="B14" s="127">
        <f t="shared" si="0"/>
        <v>120</v>
      </c>
      <c r="C14" s="137" t="str">
        <f>VLOOKUP(B14,'Tipos de Defeitos'!B$4:E$106,Menu!$B$28+1,)</f>
        <v>GCA - Fornecedor</v>
      </c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311"/>
      <c r="AA14" s="311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1"/>
    </row>
    <row r="15" spans="1:46">
      <c r="A15" s="367"/>
      <c r="B15" s="127">
        <f t="shared" si="0"/>
        <v>130</v>
      </c>
      <c r="C15" s="137" t="str">
        <f>VLOOKUP(B15,'Tipos de Defeitos'!B$4:E$106,Menu!$B$28+1,)</f>
        <v>Lot.</v>
      </c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1"/>
    </row>
    <row r="16" spans="1:46">
      <c r="A16" s="367"/>
      <c r="B16" s="127">
        <f t="shared" si="0"/>
        <v>140</v>
      </c>
      <c r="C16" s="137" t="str">
        <f>VLOOKUP(B16,'Tipos de Defeitos'!B$4:E$106,Menu!$B$28+1,)</f>
        <v>Qtd</v>
      </c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1"/>
    </row>
    <row r="17" spans="1:46">
      <c r="A17" s="367"/>
      <c r="B17" s="127">
        <f t="shared" si="0"/>
        <v>150</v>
      </c>
      <c r="C17" s="137" t="str">
        <f>VLOOKUP(B17,'Tipos de Defeitos'!B$4:E$106,Menu!$B$28+1,)</f>
        <v>GZO - Fornecedor</v>
      </c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1"/>
    </row>
    <row r="18" spans="1:46">
      <c r="A18" s="367"/>
      <c r="B18" s="127">
        <f t="shared" si="0"/>
        <v>160</v>
      </c>
      <c r="C18" s="137" t="str">
        <f>VLOOKUP(B18,'Tipos de Defeitos'!B$4:E$106,Menu!$B$28+1,)</f>
        <v>Nº Lote</v>
      </c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97"/>
    </row>
    <row r="19" spans="1:46">
      <c r="A19" s="367"/>
      <c r="B19" s="127">
        <f t="shared" si="0"/>
        <v>170</v>
      </c>
      <c r="C19" s="137" t="str">
        <f>VLOOKUP(B19,'Tipos de Defeitos'!B$4:E$106,Menu!$B$28+1,)</f>
        <v>Qtd</v>
      </c>
      <c r="D19" s="144"/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97">
        <f>SUM(D19:AR19)</f>
        <v>0</v>
      </c>
    </row>
    <row r="20" spans="1:46">
      <c r="A20" s="367"/>
      <c r="B20" s="127">
        <f t="shared" si="0"/>
        <v>180</v>
      </c>
      <c r="C20" s="137" t="str">
        <f>VLOOKUP(B20,'Tipos de Defeitos'!B$4:E$106,Menu!$B$28+1,)</f>
        <v>Solução nº 125 Qtd</v>
      </c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286"/>
      <c r="AG20" s="287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1">
        <f>SUM(D20:AR20)</f>
        <v>0</v>
      </c>
    </row>
    <row r="21" spans="1:46" ht="12.75" customHeight="1">
      <c r="A21" s="367"/>
      <c r="B21" s="127">
        <f t="shared" si="0"/>
        <v>190</v>
      </c>
      <c r="C21" s="137" t="str">
        <f>VLOOKUP(B21,'Tipos de Defeitos'!B$4:E$106,Menu!$B$28+1,)</f>
        <v>Carvão - Fornecedor</v>
      </c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1" t="e">
        <f>AVERAGE(D21:AR21)</f>
        <v>#DIV/0!</v>
      </c>
    </row>
    <row r="22" spans="1:46" ht="13.5" thickBot="1">
      <c r="A22" s="368"/>
      <c r="B22" s="130">
        <f t="shared" si="0"/>
        <v>200</v>
      </c>
      <c r="C22" s="138" t="str">
        <f>VLOOKUP(B22,'Tipos de Defeitos'!B$4:E$106,Menu!$B$28+1,)</f>
        <v>Nº Lote</v>
      </c>
      <c r="D22" s="180"/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  <c r="AM22" s="180"/>
      <c r="AN22" s="180"/>
      <c r="AO22" s="180"/>
      <c r="AP22" s="180"/>
      <c r="AQ22" s="180"/>
      <c r="AR22" s="180"/>
      <c r="AS22" s="145" t="e">
        <f>AVERAGE(D22:AR22)</f>
        <v>#DIV/0!</v>
      </c>
    </row>
    <row r="23" spans="1:46">
      <c r="A23" s="369" t="s">
        <v>199</v>
      </c>
      <c r="B23" s="129">
        <f t="shared" si="0"/>
        <v>210</v>
      </c>
      <c r="C23" s="132" t="str">
        <f>VLOOKUP(B23,'Tipos de Defeitos'!B$4:E$106,Menu!$B$28+1,)</f>
        <v>Qtd. Retestada (pçs)</v>
      </c>
      <c r="D23" s="147"/>
      <c r="E23" s="147"/>
      <c r="F23" s="147"/>
      <c r="G23" s="147"/>
      <c r="H23" s="147"/>
      <c r="I23" s="146"/>
      <c r="J23" s="147"/>
      <c r="K23" s="147"/>
      <c r="L23" s="147"/>
      <c r="M23" s="147"/>
      <c r="N23" s="147"/>
      <c r="O23" s="147"/>
      <c r="P23" s="146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51">
        <f t="shared" ref="AS23:AS54" si="3">SUM(D23:AR23)</f>
        <v>0</v>
      </c>
      <c r="AT23" s="242">
        <f>AS23+'UM-4 - Dia'!AS23</f>
        <v>0</v>
      </c>
    </row>
    <row r="24" spans="1:46" ht="13.5" customHeight="1">
      <c r="A24" s="360"/>
      <c r="B24" s="127">
        <f t="shared" si="0"/>
        <v>220</v>
      </c>
      <c r="C24" s="133" t="str">
        <f>VLOOKUP(B24,'Tipos de Defeitos'!B$4:E$106,Menu!$B$28+1,)</f>
        <v>Defeitos (Qty)</v>
      </c>
      <c r="D24" s="148"/>
      <c r="E24" s="148"/>
      <c r="F24" s="148"/>
      <c r="G24" s="148"/>
      <c r="H24" s="148"/>
      <c r="I24" s="147"/>
      <c r="J24" s="148"/>
      <c r="K24" s="148"/>
      <c r="L24" s="148"/>
      <c r="M24" s="148"/>
      <c r="N24" s="148"/>
      <c r="O24" s="148"/>
      <c r="P24" s="147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1">
        <f t="shared" si="3"/>
        <v>0</v>
      </c>
      <c r="AT24" s="242">
        <f>AS24+'UM-4 - Dia'!AS24</f>
        <v>0</v>
      </c>
    </row>
    <row r="25" spans="1:46">
      <c r="A25" s="360"/>
      <c r="B25" s="127">
        <f t="shared" si="0"/>
        <v>230</v>
      </c>
      <c r="C25" s="133" t="str">
        <f>VLOOKUP(B25,'Tipos de Defeitos'!B$4:E$106,Menu!$B$28+1,)</f>
        <v>Voltagem (Moda)</v>
      </c>
      <c r="D25" s="192"/>
      <c r="E25" s="192"/>
      <c r="F25" s="192"/>
      <c r="G25" s="147"/>
      <c r="H25" s="147"/>
      <c r="I25" s="222"/>
      <c r="J25" s="147"/>
      <c r="K25" s="147"/>
      <c r="L25" s="147"/>
      <c r="M25" s="147"/>
      <c r="N25" s="147"/>
      <c r="O25" s="147"/>
      <c r="P25" s="192"/>
      <c r="Q25" s="147"/>
      <c r="R25" s="192"/>
      <c r="S25" s="147"/>
      <c r="T25" s="192"/>
      <c r="U25" s="331"/>
      <c r="V25" s="192"/>
      <c r="W25" s="147"/>
      <c r="X25" s="192"/>
      <c r="Y25" s="192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52">
        <f t="shared" si="3"/>
        <v>0</v>
      </c>
    </row>
    <row r="26" spans="1:46">
      <c r="A26" s="360"/>
      <c r="B26" s="127">
        <f t="shared" si="0"/>
        <v>240</v>
      </c>
      <c r="C26" s="133" t="str">
        <f>VLOOKUP(B26,'Tipos de Defeitos'!B$4:E$106,Menu!$B$28+1,)</f>
        <v>Voltagem (ajustada)</v>
      </c>
      <c r="D26" s="223" t="str">
        <f t="shared" ref="D26:P26" si="4">IF(D25&gt;0,D25-0.005," ")</f>
        <v xml:space="preserve"> </v>
      </c>
      <c r="E26" s="223" t="str">
        <f t="shared" si="4"/>
        <v xml:space="preserve"> </v>
      </c>
      <c r="F26" s="223" t="str">
        <f t="shared" si="4"/>
        <v xml:space="preserve"> </v>
      </c>
      <c r="G26" s="223" t="str">
        <f t="shared" si="4"/>
        <v xml:space="preserve"> </v>
      </c>
      <c r="H26" s="223" t="str">
        <f t="shared" si="4"/>
        <v xml:space="preserve"> </v>
      </c>
      <c r="I26" s="223" t="str">
        <f t="shared" si="4"/>
        <v xml:space="preserve"> </v>
      </c>
      <c r="J26" s="223" t="str">
        <f t="shared" si="4"/>
        <v xml:space="preserve"> </v>
      </c>
      <c r="K26" s="223" t="str">
        <f t="shared" si="4"/>
        <v xml:space="preserve"> </v>
      </c>
      <c r="L26" s="223" t="str">
        <f t="shared" si="4"/>
        <v xml:space="preserve"> </v>
      </c>
      <c r="M26" s="223" t="str">
        <f t="shared" si="4"/>
        <v xml:space="preserve"> </v>
      </c>
      <c r="N26" s="223" t="str">
        <f t="shared" si="4"/>
        <v xml:space="preserve"> </v>
      </c>
      <c r="O26" s="223" t="str">
        <f t="shared" si="4"/>
        <v xml:space="preserve"> </v>
      </c>
      <c r="P26" s="223" t="str">
        <f t="shared" si="4"/>
        <v xml:space="preserve"> </v>
      </c>
      <c r="Q26" s="223" t="str">
        <f t="shared" ref="Q26:T26" si="5">IF(Q25&gt;0,Q25-0.005," ")</f>
        <v xml:space="preserve"> </v>
      </c>
      <c r="R26" s="223" t="str">
        <f t="shared" si="5"/>
        <v xml:space="preserve"> </v>
      </c>
      <c r="S26" s="223" t="str">
        <f t="shared" si="5"/>
        <v xml:space="preserve"> </v>
      </c>
      <c r="T26" s="223" t="str">
        <f t="shared" si="5"/>
        <v xml:space="preserve"> </v>
      </c>
      <c r="U26" s="223" t="str">
        <f t="shared" ref="U26:V26" si="6">IF(U25&gt;0,U25-0.005," ")</f>
        <v xml:space="preserve"> </v>
      </c>
      <c r="V26" s="223" t="str">
        <f t="shared" si="6"/>
        <v xml:space="preserve"> </v>
      </c>
      <c r="W26" s="193" t="str">
        <f>IF(W25&gt;0,W25-0.005," ")</f>
        <v xml:space="preserve"> </v>
      </c>
      <c r="X26" s="193" t="str">
        <f>IF(X25&gt;0,X25-0.005," ")</f>
        <v xml:space="preserve"> </v>
      </c>
      <c r="Y26" s="193" t="str">
        <f>IF(Y25&gt;0,Y25-0.005," ")</f>
        <v xml:space="preserve"> </v>
      </c>
      <c r="Z26" s="223" t="str">
        <f t="shared" ref="Z26:AC26" si="7">IF(Z25&gt;0,Z25-0.005," ")</f>
        <v xml:space="preserve"> </v>
      </c>
      <c r="AA26" s="193" t="str">
        <f t="shared" si="7"/>
        <v xml:space="preserve"> </v>
      </c>
      <c r="AB26" s="193" t="str">
        <f t="shared" si="7"/>
        <v xml:space="preserve"> </v>
      </c>
      <c r="AC26" s="193" t="str">
        <f t="shared" si="7"/>
        <v xml:space="preserve"> </v>
      </c>
      <c r="AD26" s="193" t="str">
        <f t="shared" ref="AD26:AR26" si="8">IF(AD25&gt;0,AD25-0.005," ")</f>
        <v xml:space="preserve"> </v>
      </c>
      <c r="AE26" s="193" t="str">
        <f t="shared" si="8"/>
        <v xml:space="preserve"> </v>
      </c>
      <c r="AF26" s="193" t="str">
        <f t="shared" si="8"/>
        <v xml:space="preserve"> </v>
      </c>
      <c r="AG26" s="193" t="str">
        <f t="shared" si="8"/>
        <v xml:space="preserve"> </v>
      </c>
      <c r="AH26" s="193" t="str">
        <f t="shared" si="8"/>
        <v xml:space="preserve"> </v>
      </c>
      <c r="AI26" s="193" t="str">
        <f t="shared" si="8"/>
        <v xml:space="preserve"> </v>
      </c>
      <c r="AJ26" s="193" t="str">
        <f t="shared" si="8"/>
        <v xml:space="preserve"> </v>
      </c>
      <c r="AK26" s="193" t="str">
        <f t="shared" si="8"/>
        <v xml:space="preserve"> </v>
      </c>
      <c r="AL26" s="193" t="str">
        <f t="shared" si="8"/>
        <v xml:space="preserve"> </v>
      </c>
      <c r="AM26" s="193" t="str">
        <f t="shared" si="8"/>
        <v xml:space="preserve"> </v>
      </c>
      <c r="AN26" s="193" t="str">
        <f t="shared" si="8"/>
        <v xml:space="preserve"> </v>
      </c>
      <c r="AO26" s="193" t="str">
        <f t="shared" si="8"/>
        <v xml:space="preserve"> </v>
      </c>
      <c r="AP26" s="193" t="str">
        <f t="shared" si="8"/>
        <v xml:space="preserve"> </v>
      </c>
      <c r="AQ26" s="193" t="str">
        <f t="shared" si="8"/>
        <v xml:space="preserve"> </v>
      </c>
      <c r="AR26" s="193" t="str">
        <f t="shared" si="8"/>
        <v xml:space="preserve"> </v>
      </c>
      <c r="AS26" s="141">
        <f t="shared" si="3"/>
        <v>0</v>
      </c>
    </row>
    <row r="27" spans="1:46" ht="13.5" thickBot="1">
      <c r="A27" s="370"/>
      <c r="B27" s="130">
        <f t="shared" si="0"/>
        <v>250</v>
      </c>
      <c r="C27" s="134" t="str">
        <f>VLOOKUP(B27,'Tipos de Defeitos'!B$4:E$106,Menu!$B$28+1,)</f>
        <v>Qtd. Analisada (pçs)</v>
      </c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49"/>
      <c r="Q27" s="149"/>
      <c r="R27" s="149"/>
      <c r="S27" s="149"/>
      <c r="T27" s="149"/>
      <c r="U27" s="149"/>
      <c r="V27" s="149"/>
      <c r="W27" s="149"/>
      <c r="X27" s="149"/>
      <c r="Y27" s="149"/>
      <c r="Z27" s="149"/>
      <c r="AA27" s="149"/>
      <c r="AB27" s="149"/>
      <c r="AC27" s="149"/>
      <c r="AD27" s="149"/>
      <c r="AE27" s="149"/>
      <c r="AF27" s="149"/>
      <c r="AG27" s="149"/>
      <c r="AH27" s="149"/>
      <c r="AI27" s="149"/>
      <c r="AJ27" s="149"/>
      <c r="AK27" s="149"/>
      <c r="AL27" s="149"/>
      <c r="AM27" s="149"/>
      <c r="AN27" s="149"/>
      <c r="AO27" s="149"/>
      <c r="AP27" s="149"/>
      <c r="AQ27" s="149"/>
      <c r="AR27" s="149"/>
      <c r="AS27" s="145">
        <f t="shared" si="3"/>
        <v>0</v>
      </c>
      <c r="AT27" s="242">
        <f>AS27+'UM-4 - Dia'!AS27</f>
        <v>0</v>
      </c>
    </row>
    <row r="28" spans="1:46">
      <c r="A28" s="369" t="s">
        <v>200</v>
      </c>
      <c r="B28" s="129">
        <f t="shared" si="0"/>
        <v>260</v>
      </c>
      <c r="C28" s="132" t="str">
        <f>VLOOKUP(B28,'Tipos de Defeitos'!B$4:E$106,Menu!$B$28+1,)</f>
        <v>Sem Papel Separador</v>
      </c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  <c r="X28" s="150"/>
      <c r="Y28" s="150"/>
      <c r="Z28" s="150"/>
      <c r="AA28" s="150"/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  <c r="AN28" s="150"/>
      <c r="AO28" s="150"/>
      <c r="AP28" s="150"/>
      <c r="AQ28" s="150"/>
      <c r="AR28" s="150"/>
      <c r="AS28" s="151">
        <f t="shared" si="3"/>
        <v>0</v>
      </c>
      <c r="AT28" s="235" t="e">
        <f>(AS28/$AS$78)*100</f>
        <v>#DIV/0!</v>
      </c>
    </row>
    <row r="29" spans="1:46">
      <c r="A29" s="360"/>
      <c r="B29" s="127">
        <f t="shared" si="0"/>
        <v>270</v>
      </c>
      <c r="C29" s="133" t="str">
        <f>VLOOKUP(B29,'Tipos de Defeitos'!B$4:E$106,Menu!$B$28+1,)</f>
        <v>Papel Separador Cortado</v>
      </c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1">
        <f t="shared" si="3"/>
        <v>0</v>
      </c>
      <c r="AT29" s="235" t="e">
        <f t="shared" ref="AT29:AT77" si="9">(AS29/$AS$78)*100</f>
        <v>#DIV/0!</v>
      </c>
    </row>
    <row r="30" spans="1:46">
      <c r="A30" s="360"/>
      <c r="B30" s="127">
        <f t="shared" si="0"/>
        <v>280</v>
      </c>
      <c r="C30" s="133" t="str">
        <f>VLOOKUP(B30,'Tipos de Defeitos'!B$4:E$106,Menu!$B$28+1,)</f>
        <v>Papel Separador Rasgado</v>
      </c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1">
        <f t="shared" si="3"/>
        <v>0</v>
      </c>
      <c r="AT30" s="235" t="e">
        <f t="shared" si="9"/>
        <v>#DIV/0!</v>
      </c>
    </row>
    <row r="31" spans="1:46">
      <c r="A31" s="360"/>
      <c r="B31" s="127">
        <f t="shared" si="0"/>
        <v>290</v>
      </c>
      <c r="C31" s="133" t="str">
        <f>VLOOKUP(B31,'Tipos de Defeitos'!B$4:E$106,Menu!$B$28+1,)</f>
        <v>Papel Dobrado Sup.</v>
      </c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1">
        <f t="shared" si="3"/>
        <v>0</v>
      </c>
      <c r="AT31" s="235" t="e">
        <f t="shared" si="9"/>
        <v>#DIV/0!</v>
      </c>
    </row>
    <row r="32" spans="1:46">
      <c r="A32" s="360"/>
      <c r="B32" s="127">
        <f t="shared" si="0"/>
        <v>300</v>
      </c>
      <c r="C32" s="133" t="str">
        <f>VLOOKUP(B32,'Tipos de Defeitos'!B$4:E$106,Menu!$B$28+1,)</f>
        <v>Papel Dobrado Meio</v>
      </c>
      <c r="D32" s="148"/>
      <c r="E32" s="148"/>
      <c r="F32" s="148"/>
      <c r="G32" s="148"/>
      <c r="H32" s="148"/>
      <c r="I32" s="148"/>
      <c r="J32" s="148"/>
      <c r="K32" s="313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1">
        <f t="shared" si="3"/>
        <v>0</v>
      </c>
      <c r="AT32" s="235" t="e">
        <f t="shared" si="9"/>
        <v>#DIV/0!</v>
      </c>
    </row>
    <row r="33" spans="1:46">
      <c r="A33" s="360"/>
      <c r="B33" s="127">
        <f t="shared" si="0"/>
        <v>310</v>
      </c>
      <c r="C33" s="133" t="str">
        <f>VLOOKUP(B33,'Tipos de Defeitos'!B$4:E$106,Menu!$B$28+1,)</f>
        <v>Papel Dobrado Inf.</v>
      </c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1">
        <f t="shared" si="3"/>
        <v>0</v>
      </c>
      <c r="AT33" s="235" t="e">
        <f t="shared" si="9"/>
        <v>#DIV/0!</v>
      </c>
    </row>
    <row r="34" spans="1:46">
      <c r="A34" s="360"/>
      <c r="B34" s="127">
        <f t="shared" si="0"/>
        <v>320</v>
      </c>
      <c r="C34" s="133" t="str">
        <f>VLOOKUP(B34,'Tipos de Defeitos'!B$4:E$106,Menu!$B$28+1,)</f>
        <v>Papel Afundado</v>
      </c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1">
        <f t="shared" si="3"/>
        <v>0</v>
      </c>
      <c r="AT34" s="235" t="e">
        <f t="shared" si="9"/>
        <v>#DIV/0!</v>
      </c>
    </row>
    <row r="35" spans="1:46">
      <c r="A35" s="360"/>
      <c r="B35" s="127">
        <f t="shared" si="0"/>
        <v>330</v>
      </c>
      <c r="C35" s="133" t="str">
        <f>VLOOKUP(B35,'Tipos de Defeitos'!B$4:E$106,Menu!$B$28+1,)</f>
        <v>Papel Deslocado</v>
      </c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1">
        <f t="shared" si="3"/>
        <v>0</v>
      </c>
      <c r="AT35" s="235" t="e">
        <f t="shared" si="9"/>
        <v>#DIV/0!</v>
      </c>
    </row>
    <row r="36" spans="1:46" ht="12.75" customHeight="1">
      <c r="A36" s="360"/>
      <c r="B36" s="127">
        <f t="shared" si="0"/>
        <v>340</v>
      </c>
      <c r="C36" s="133" t="str">
        <f>VLOOKUP(B36,'Tipos de Defeitos'!B$4:E$106,Menu!$B$28+1,)</f>
        <v>Papel menor</v>
      </c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1">
        <f t="shared" si="3"/>
        <v>0</v>
      </c>
      <c r="AT36" s="235" t="e">
        <f t="shared" si="9"/>
        <v>#DIV/0!</v>
      </c>
    </row>
    <row r="37" spans="1:46">
      <c r="A37" s="360"/>
      <c r="B37" s="127">
        <f t="shared" si="0"/>
        <v>350</v>
      </c>
      <c r="C37" s="133" t="str">
        <f>VLOOKUP(B37,'Tipos de Defeitos'!B$4:E$106,Menu!$B$28+1,)</f>
        <v>Sem Disco</v>
      </c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1">
        <f t="shared" si="3"/>
        <v>0</v>
      </c>
      <c r="AT37" s="235" t="e">
        <f t="shared" si="9"/>
        <v>#DIV/0!</v>
      </c>
    </row>
    <row r="38" spans="1:46">
      <c r="A38" s="360"/>
      <c r="B38" s="127">
        <f t="shared" si="0"/>
        <v>360</v>
      </c>
      <c r="C38" s="133" t="str">
        <f>VLOOKUP(B38,'Tipos de Defeitos'!B$4:E$106,Menu!$B$28+1,)</f>
        <v>Disco Cortado</v>
      </c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1">
        <f t="shared" si="3"/>
        <v>0</v>
      </c>
      <c r="AT38" s="235" t="e">
        <f t="shared" si="9"/>
        <v>#DIV/0!</v>
      </c>
    </row>
    <row r="39" spans="1:46">
      <c r="A39" s="360"/>
      <c r="B39" s="127">
        <f t="shared" si="0"/>
        <v>370</v>
      </c>
      <c r="C39" s="133" t="str">
        <f>VLOOKUP(B39,'Tipos de Defeitos'!B$4:E$106,Menu!$B$28+1,)</f>
        <v>Disco Rasgado</v>
      </c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1">
        <f t="shared" si="3"/>
        <v>0</v>
      </c>
      <c r="AT39" s="235" t="e">
        <f t="shared" si="9"/>
        <v>#DIV/0!</v>
      </c>
    </row>
    <row r="40" spans="1:46">
      <c r="A40" s="360"/>
      <c r="B40" s="127">
        <f t="shared" si="0"/>
        <v>380</v>
      </c>
      <c r="C40" s="133" t="str">
        <f>VLOOKUP(B40,'Tipos de Defeitos'!B$4:E$106,Menu!$B$28+1,)</f>
        <v>Disco Furado</v>
      </c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1">
        <f t="shared" si="3"/>
        <v>0</v>
      </c>
      <c r="AT40" s="235" t="e">
        <f t="shared" si="9"/>
        <v>#DIV/0!</v>
      </c>
    </row>
    <row r="41" spans="1:46">
      <c r="A41" s="360"/>
      <c r="B41" s="127">
        <f t="shared" si="0"/>
        <v>390</v>
      </c>
      <c r="C41" s="133" t="str">
        <f>VLOOKUP(B41,'Tipos de Defeitos'!B$4:E$106,Menu!$B$28+1,)</f>
        <v>Disco Dobrado</v>
      </c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1">
        <f t="shared" si="3"/>
        <v>0</v>
      </c>
      <c r="AT41" s="235" t="e">
        <f t="shared" si="9"/>
        <v>#DIV/0!</v>
      </c>
    </row>
    <row r="42" spans="1:46">
      <c r="A42" s="360"/>
      <c r="B42" s="127">
        <f t="shared" si="0"/>
        <v>400</v>
      </c>
      <c r="C42" s="133" t="str">
        <f>VLOOKUP(B42,'Tipos de Defeitos'!B$4:E$106,Menu!$B$28+1,)</f>
        <v>Disco fora de centro / deslocado</v>
      </c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1">
        <f t="shared" si="3"/>
        <v>0</v>
      </c>
      <c r="AT42" s="235" t="e">
        <f t="shared" si="9"/>
        <v>#DIV/0!</v>
      </c>
    </row>
    <row r="43" spans="1:46">
      <c r="A43" s="360"/>
      <c r="B43" s="127">
        <f t="shared" si="0"/>
        <v>410</v>
      </c>
      <c r="C43" s="133" t="str">
        <f>VLOOKUP(B43,'Tipos de Defeitos'!B$4:E$106,Menu!$B$28+1,)</f>
        <v>Isolador fora de centro</v>
      </c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1">
        <f t="shared" si="3"/>
        <v>0</v>
      </c>
      <c r="AT43" s="235" t="e">
        <f t="shared" si="9"/>
        <v>#DIV/0!</v>
      </c>
    </row>
    <row r="44" spans="1:46">
      <c r="A44" s="360"/>
      <c r="B44" s="127">
        <f t="shared" si="0"/>
        <v>420</v>
      </c>
      <c r="C44" s="133" t="str">
        <f>VLOOKUP(B44,'Tipos de Defeitos'!B$4:E$106,Menu!$B$28+1,)</f>
        <v>Isolador afundado</v>
      </c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1">
        <f t="shared" si="3"/>
        <v>0</v>
      </c>
      <c r="AT44" s="235" t="e">
        <f t="shared" si="9"/>
        <v>#DIV/0!</v>
      </c>
    </row>
    <row r="45" spans="1:46">
      <c r="A45" s="360"/>
      <c r="B45" s="127">
        <f t="shared" si="0"/>
        <v>430</v>
      </c>
      <c r="C45" s="133" t="str">
        <f>VLOOKUP(B45,'Tipos de Defeitos'!B$4:E$106,Menu!$B$28+1,)</f>
        <v>Isolador Inclinado</v>
      </c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1">
        <f t="shared" si="3"/>
        <v>0</v>
      </c>
      <c r="AT45" s="235" t="e">
        <f t="shared" si="9"/>
        <v>#DIV/0!</v>
      </c>
    </row>
    <row r="46" spans="1:46">
      <c r="A46" s="360"/>
      <c r="B46" s="127">
        <f t="shared" si="0"/>
        <v>440</v>
      </c>
      <c r="C46" s="133" t="str">
        <f>VLOOKUP(B46,'Tipos de Defeitos'!B$4:E$106,Menu!$B$28+1,)</f>
        <v>Papel sujo</v>
      </c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1">
        <f t="shared" si="3"/>
        <v>0</v>
      </c>
      <c r="AT46" s="235" t="e">
        <f t="shared" si="9"/>
        <v>#DIV/0!</v>
      </c>
    </row>
    <row r="47" spans="1:46">
      <c r="A47" s="360"/>
      <c r="B47" s="127">
        <f t="shared" si="0"/>
        <v>450</v>
      </c>
      <c r="C47" s="133" t="str">
        <f>VLOOKUP(B47,'Tipos de Defeitos'!B$4:E$106,Menu!$B$28+1,)</f>
        <v>Manchado</v>
      </c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1">
        <f t="shared" si="3"/>
        <v>0</v>
      </c>
      <c r="AT47" s="235" t="e">
        <f t="shared" si="9"/>
        <v>#DIV/0!</v>
      </c>
    </row>
    <row r="48" spans="1:46">
      <c r="A48" s="360"/>
      <c r="B48" s="127">
        <f t="shared" si="0"/>
        <v>460</v>
      </c>
      <c r="C48" s="133" t="str">
        <f>VLOOKUP(B48,'Tipos de Defeitos'!B$4:E$106,Menu!$B$28+1,)</f>
        <v>Manchado Superior</v>
      </c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1">
        <f t="shared" si="3"/>
        <v>0</v>
      </c>
      <c r="AT48" s="235" t="e">
        <f t="shared" si="9"/>
        <v>#DIV/0!</v>
      </c>
    </row>
    <row r="49" spans="1:46">
      <c r="A49" s="360"/>
      <c r="B49" s="127">
        <f t="shared" si="0"/>
        <v>470</v>
      </c>
      <c r="C49" s="133" t="str">
        <f>VLOOKUP(B49,'Tipos de Defeitos'!B$4:E$106,Menu!$B$28+1,)</f>
        <v>Ferro</v>
      </c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1">
        <f t="shared" si="3"/>
        <v>0</v>
      </c>
      <c r="AT49" s="235" t="e">
        <f t="shared" si="9"/>
        <v>#DIV/0!</v>
      </c>
    </row>
    <row r="50" spans="1:46">
      <c r="A50" s="360"/>
      <c r="B50" s="127">
        <f t="shared" si="0"/>
        <v>480</v>
      </c>
      <c r="C50" s="133" t="str">
        <f>VLOOKUP(B50,'Tipos de Defeitos'!B$4:E$106,Menu!$B$28+1,)</f>
        <v>Cobre</v>
      </c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1">
        <f t="shared" si="3"/>
        <v>0</v>
      </c>
      <c r="AT50" s="235" t="e">
        <f t="shared" si="9"/>
        <v>#DIV/0!</v>
      </c>
    </row>
    <row r="51" spans="1:46">
      <c r="A51" s="360"/>
      <c r="B51" s="127">
        <f t="shared" si="0"/>
        <v>490</v>
      </c>
      <c r="C51" s="133" t="str">
        <f>VLOOKUP(B51,'Tipos de Defeitos'!B$4:E$106,Menu!$B$28+1,)</f>
        <v>Mistura no Tubo</v>
      </c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1">
        <f t="shared" si="3"/>
        <v>0</v>
      </c>
      <c r="AT51" s="235" t="e">
        <f t="shared" si="9"/>
        <v>#DIV/0!</v>
      </c>
    </row>
    <row r="52" spans="1:46">
      <c r="A52" s="360"/>
      <c r="B52" s="127">
        <f t="shared" si="0"/>
        <v>500</v>
      </c>
      <c r="C52" s="133" t="str">
        <f>VLOOKUP(B52,'Tipos de Defeitos'!B$4:E$106,Menu!$B$28+1,)</f>
        <v>Pó de Mistura</v>
      </c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1">
        <f t="shared" si="3"/>
        <v>0</v>
      </c>
      <c r="AT52" s="235" t="e">
        <f t="shared" si="9"/>
        <v>#DIV/0!</v>
      </c>
    </row>
    <row r="53" spans="1:46">
      <c r="A53" s="360"/>
      <c r="B53" s="127">
        <f t="shared" si="0"/>
        <v>510</v>
      </c>
      <c r="C53" s="133" t="str">
        <f>VLOOKUP(B53,'Tipos de Defeitos'!B$4:E$106,Menu!$B$28+1,)</f>
        <v>Bobina Baixa</v>
      </c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1">
        <f t="shared" si="3"/>
        <v>0</v>
      </c>
      <c r="AT53" s="235" t="e">
        <f t="shared" si="9"/>
        <v>#DIV/0!</v>
      </c>
    </row>
    <row r="54" spans="1:46">
      <c r="A54" s="360"/>
      <c r="B54" s="127">
        <f t="shared" si="0"/>
        <v>520</v>
      </c>
      <c r="C54" s="133" t="str">
        <f>VLOOKUP(B54,'Tipos de Defeitos'!B$4:E$106,Menu!$B$28+1,)</f>
        <v>Bobina Alta</v>
      </c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1">
        <f t="shared" si="3"/>
        <v>0</v>
      </c>
      <c r="AT54" s="235" t="e">
        <f t="shared" si="9"/>
        <v>#DIV/0!</v>
      </c>
    </row>
    <row r="55" spans="1:46">
      <c r="A55" s="360"/>
      <c r="B55" s="127">
        <f t="shared" si="0"/>
        <v>530</v>
      </c>
      <c r="C55" s="133" t="str">
        <f>VLOOKUP(B55,'Tipos de Defeitos'!B$4:E$106,Menu!$B$28+1,)</f>
        <v>Bobina Molhada</v>
      </c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32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1">
        <f t="shared" ref="AS55:AS77" si="10">SUM(D55:AR55)</f>
        <v>0</v>
      </c>
      <c r="AT55" s="235" t="e">
        <f t="shared" si="9"/>
        <v>#DIV/0!</v>
      </c>
    </row>
    <row r="56" spans="1:46">
      <c r="A56" s="360"/>
      <c r="B56" s="127">
        <f t="shared" si="0"/>
        <v>540</v>
      </c>
      <c r="C56" s="133" t="str">
        <f>VLOOKUP(B56,'Tipos de Defeitos'!B$4:E$106,Menu!$B$28+1,)</f>
        <v>Mistura seca</v>
      </c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1">
        <f t="shared" si="10"/>
        <v>0</v>
      </c>
      <c r="AT56" s="235" t="e">
        <f t="shared" si="9"/>
        <v>#DIV/0!</v>
      </c>
    </row>
    <row r="57" spans="1:46">
      <c r="A57" s="360"/>
      <c r="B57" s="127">
        <f t="shared" si="0"/>
        <v>550</v>
      </c>
      <c r="C57" s="133" t="str">
        <f>VLOOKUP(B57,'Tipos de Defeitos'!B$4:E$106,Menu!$B$28+1,)</f>
        <v>Contem estranho</v>
      </c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1">
        <f t="shared" si="10"/>
        <v>0</v>
      </c>
      <c r="AT57" s="235" t="e">
        <f t="shared" si="9"/>
        <v>#DIV/0!</v>
      </c>
    </row>
    <row r="58" spans="1:46">
      <c r="A58" s="360"/>
      <c r="B58" s="127">
        <f t="shared" si="0"/>
        <v>560</v>
      </c>
      <c r="C58" s="133" t="str">
        <f>VLOOKUP(B58,'Tipos de Defeitos'!B$4:E$106,Menu!$B$28+1,)</f>
        <v>Pedra de Óxido</v>
      </c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1">
        <f t="shared" si="10"/>
        <v>0</v>
      </c>
      <c r="AT58" s="235" t="e">
        <f t="shared" si="9"/>
        <v>#DIV/0!</v>
      </c>
    </row>
    <row r="59" spans="1:46">
      <c r="A59" s="360"/>
      <c r="B59" s="127">
        <f t="shared" si="0"/>
        <v>570</v>
      </c>
      <c r="C59" s="133" t="str">
        <f>VLOOKUP(B59,'Tipos de Defeitos'!B$4:E$106,Menu!$B$28+1,)</f>
        <v>Carvão Quebrado</v>
      </c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1">
        <f t="shared" si="10"/>
        <v>0</v>
      </c>
      <c r="AT59" s="235" t="e">
        <f t="shared" si="9"/>
        <v>#DIV/0!</v>
      </c>
    </row>
    <row r="60" spans="1:46">
      <c r="A60" s="360"/>
      <c r="B60" s="127">
        <f t="shared" si="0"/>
        <v>580</v>
      </c>
      <c r="C60" s="133" t="str">
        <f>VLOOKUP(B60,'Tipos de Defeitos'!B$4:E$106,Menu!$B$28+1,)</f>
        <v>Sem Selante</v>
      </c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1">
        <f t="shared" si="10"/>
        <v>0</v>
      </c>
      <c r="AT60" s="235" t="e">
        <f t="shared" si="9"/>
        <v>#DIV/0!</v>
      </c>
    </row>
    <row r="61" spans="1:46">
      <c r="A61" s="360"/>
      <c r="B61" s="127">
        <f t="shared" si="0"/>
        <v>590</v>
      </c>
      <c r="C61" s="133" t="str">
        <f>VLOOKUP(B61,'Tipos de Defeitos'!B$4:E$106,Menu!$B$28+1,)</f>
        <v>PY c/ Falha de Injeção</v>
      </c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1">
        <f t="shared" si="10"/>
        <v>0</v>
      </c>
      <c r="AT61" s="235" t="e">
        <f t="shared" si="9"/>
        <v>#DIV/0!</v>
      </c>
    </row>
    <row r="62" spans="1:46">
      <c r="A62" s="360"/>
      <c r="B62" s="127">
        <f t="shared" si="0"/>
        <v>600</v>
      </c>
      <c r="C62" s="133" t="str">
        <f>VLOOKUP(B62,'Tipos de Defeitos'!B$4:E$106,Menu!$B$28+1,)</f>
        <v>Sem PY</v>
      </c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1">
        <f t="shared" si="10"/>
        <v>0</v>
      </c>
      <c r="AT62" s="235" t="e">
        <f t="shared" si="9"/>
        <v>#DIV/0!</v>
      </c>
    </row>
    <row r="63" spans="1:46">
      <c r="A63" s="360"/>
      <c r="B63" s="127">
        <f t="shared" si="0"/>
        <v>610</v>
      </c>
      <c r="C63" s="133" t="str">
        <f>VLOOKUP(B63,'Tipos de Defeitos'!B$4:E$106,Menu!$B$28+1,)</f>
        <v>PY Fora de Centro</v>
      </c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1">
        <f t="shared" si="10"/>
        <v>0</v>
      </c>
      <c r="AT63" s="235" t="e">
        <f t="shared" si="9"/>
        <v>#DIV/0!</v>
      </c>
    </row>
    <row r="64" spans="1:46">
      <c r="A64" s="360"/>
      <c r="B64" s="127">
        <f t="shared" si="0"/>
        <v>620</v>
      </c>
      <c r="C64" s="133" t="str">
        <f>VLOOKUP(B64,'Tipos de Defeitos'!B$4:E$106,Menu!$B$28+1,)</f>
        <v>PY Queimado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1">
        <f t="shared" si="10"/>
        <v>0</v>
      </c>
      <c r="AT64" s="235" t="e">
        <f t="shared" si="9"/>
        <v>#DIV/0!</v>
      </c>
    </row>
    <row r="65" spans="1:46">
      <c r="A65" s="360"/>
      <c r="B65" s="127">
        <f t="shared" si="0"/>
        <v>630</v>
      </c>
      <c r="C65" s="133" t="str">
        <f>VLOOKUP(B65,'Tipos de Defeitos'!B$4:E$106,Menu!$B$28+1,)</f>
        <v>Tb c/ Boca Amassada - Operador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1">
        <f t="shared" si="10"/>
        <v>0</v>
      </c>
      <c r="AT65" s="235" t="e">
        <f t="shared" si="9"/>
        <v>#DIV/0!</v>
      </c>
    </row>
    <row r="66" spans="1:46">
      <c r="A66" s="360"/>
      <c r="B66" s="127">
        <f t="shared" si="0"/>
        <v>640</v>
      </c>
      <c r="C66" s="133" t="str">
        <f>VLOOKUP(B66,'Tipos de Defeitos'!B$4:E$106,Menu!$B$28+1,)</f>
        <v>Tb c/ Boca Amassada - Câmera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1">
        <f t="shared" si="10"/>
        <v>0</v>
      </c>
      <c r="AT66" s="235" t="e">
        <f t="shared" si="9"/>
        <v>#DIV/0!</v>
      </c>
    </row>
    <row r="67" spans="1:46">
      <c r="A67" s="360"/>
      <c r="B67" s="127">
        <f t="shared" si="0"/>
        <v>650</v>
      </c>
      <c r="C67" s="133" t="str">
        <f>VLOOKUP(B67,'Tipos de Defeitos'!B$4:E$106,Menu!$B$28+1,)</f>
        <v>Tb c/ Boca Amassada - recuperada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1">
        <f t="shared" si="10"/>
        <v>0</v>
      </c>
      <c r="AT67" s="235" t="e">
        <f t="shared" si="9"/>
        <v>#DIV/0!</v>
      </c>
    </row>
    <row r="68" spans="1:46">
      <c r="A68" s="360"/>
      <c r="B68" s="127">
        <f t="shared" si="0"/>
        <v>660</v>
      </c>
      <c r="C68" s="183" t="str">
        <f>VLOOKUP(B68,'Tipos de Defeitos'!B$4:E$106,Menu!$B$28+1,)</f>
        <v>Tubo descascado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1">
        <f t="shared" si="10"/>
        <v>0</v>
      </c>
      <c r="AT68" s="235" t="e">
        <f t="shared" si="9"/>
        <v>#DIV/0!</v>
      </c>
    </row>
    <row r="69" spans="1:46">
      <c r="A69" s="360"/>
      <c r="B69" s="127">
        <f t="shared" ref="B69:B105" si="11">(B68/10+1)*10</f>
        <v>670</v>
      </c>
      <c r="C69" s="183" t="str">
        <f>VLOOKUP(B69,'Tipos de Defeitos'!B$4:E$106,Menu!$B$28+1,)</f>
        <v>Tubo Rachado - Câmera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1">
        <f t="shared" si="10"/>
        <v>0</v>
      </c>
      <c r="AT69" s="235" t="e">
        <f t="shared" si="9"/>
        <v>#DIV/0!</v>
      </c>
    </row>
    <row r="70" spans="1:46">
      <c r="A70" s="360"/>
      <c r="B70" s="127">
        <f t="shared" si="11"/>
        <v>680</v>
      </c>
      <c r="C70" s="133" t="str">
        <f>VLOOKUP(B70,'Tipos de Defeitos'!B$4:E$106,Menu!$B$28+1,)</f>
        <v>Tubo de Zinco Amassado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1">
        <f t="shared" si="10"/>
        <v>0</v>
      </c>
      <c r="AT70" s="235" t="e">
        <f t="shared" si="9"/>
        <v>#DIV/0!</v>
      </c>
    </row>
    <row r="71" spans="1:46">
      <c r="A71" s="360"/>
      <c r="B71" s="127">
        <f t="shared" si="11"/>
        <v>690</v>
      </c>
      <c r="C71" s="133" t="str">
        <f>VLOOKUP(B71,'Tipos de Defeitos'!B$4:E$106,Menu!$B$28+1,)</f>
        <v>Tubo com Rebarba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1">
        <f t="shared" si="10"/>
        <v>0</v>
      </c>
      <c r="AT71" s="235" t="e">
        <f t="shared" si="9"/>
        <v>#DIV/0!</v>
      </c>
    </row>
    <row r="72" spans="1:46">
      <c r="A72" s="360"/>
      <c r="B72" s="127">
        <f t="shared" si="11"/>
        <v>700</v>
      </c>
      <c r="C72" s="133" t="str">
        <f>VLOOKUP(B72,'Tipos de Defeitos'!B$4:E$106,Menu!$B$28+1,)</f>
        <v>Curto Circuito Externo</v>
      </c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1">
        <f t="shared" si="10"/>
        <v>0</v>
      </c>
      <c r="AT72" s="235" t="e">
        <f t="shared" si="9"/>
        <v>#DIV/0!</v>
      </c>
    </row>
    <row r="73" spans="1:46">
      <c r="A73" s="360"/>
      <c r="B73" s="127">
        <f t="shared" si="11"/>
        <v>710</v>
      </c>
      <c r="C73" s="133" t="str">
        <f>VLOOKUP(B73,'Tipos de Defeitos'!B$4:E$106,Menu!$B$28+1,)</f>
        <v>Curto Circ. Externo -  Cap sujo</v>
      </c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1">
        <f t="shared" si="10"/>
        <v>0</v>
      </c>
      <c r="AT73" s="235" t="e">
        <f t="shared" si="9"/>
        <v>#DIV/0!</v>
      </c>
    </row>
    <row r="74" spans="1:46">
      <c r="A74" s="360"/>
      <c r="B74" s="127">
        <f t="shared" si="11"/>
        <v>720</v>
      </c>
      <c r="C74" s="133" t="str">
        <f>VLOOKUP(B74,'Tipos de Defeitos'!B$4:E$106,Menu!$B$28+1,)</f>
        <v>Pilha recuperada do Acabamento</v>
      </c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1">
        <f t="shared" si="10"/>
        <v>0</v>
      </c>
      <c r="AT74" s="235" t="e">
        <f t="shared" si="9"/>
        <v>#DIV/0!</v>
      </c>
    </row>
    <row r="75" spans="1:46">
      <c r="A75" s="360"/>
      <c r="B75" s="127">
        <f t="shared" si="11"/>
        <v>730</v>
      </c>
      <c r="C75" s="133" t="str">
        <f>VLOOKUP(B75,'Tipos de Defeitos'!B$4:E$106,Menu!$B$28+1,)</f>
        <v>Causa Desconhecida - Voltagem</v>
      </c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1">
        <f t="shared" si="10"/>
        <v>0</v>
      </c>
      <c r="AT75" s="235" t="e">
        <f t="shared" si="9"/>
        <v>#DIV/0!</v>
      </c>
    </row>
    <row r="76" spans="1:46">
      <c r="A76" s="360"/>
      <c r="B76" s="127">
        <f t="shared" si="11"/>
        <v>740</v>
      </c>
      <c r="C76" s="133" t="str">
        <f>VLOOKUP(B76,'Tipos de Defeitos'!B$4:E$106,Menu!$B$28+1,)</f>
        <v>Pilha Boa</v>
      </c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1">
        <f t="shared" si="10"/>
        <v>0</v>
      </c>
      <c r="AT76" s="235" t="e">
        <f t="shared" si="9"/>
        <v>#DIV/0!</v>
      </c>
    </row>
    <row r="77" spans="1:46" ht="13.5" thickBot="1">
      <c r="A77" s="370"/>
      <c r="B77" s="130">
        <f t="shared" si="11"/>
        <v>750</v>
      </c>
      <c r="C77" s="134" t="str">
        <f>VLOOKUP(B77,'Tipos de Defeitos'!B$4:E$106,Menu!$B$28+1,)</f>
        <v>Outros - Voltagem</v>
      </c>
      <c r="D77" s="149"/>
      <c r="E77" s="149"/>
      <c r="F77" s="149"/>
      <c r="G77" s="149"/>
      <c r="H77" s="149"/>
      <c r="I77" s="149"/>
      <c r="J77" s="149"/>
      <c r="K77" s="149"/>
      <c r="L77" s="149"/>
      <c r="M77" s="149"/>
      <c r="N77" s="149"/>
      <c r="O77" s="149"/>
      <c r="P77" s="149"/>
      <c r="Q77" s="149"/>
      <c r="R77" s="149"/>
      <c r="S77" s="149"/>
      <c r="T77" s="149"/>
      <c r="U77" s="149"/>
      <c r="V77" s="149"/>
      <c r="W77" s="149"/>
      <c r="X77" s="149"/>
      <c r="Y77" s="149"/>
      <c r="Z77" s="149"/>
      <c r="AA77" s="149"/>
      <c r="AB77" s="149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5">
        <f t="shared" si="10"/>
        <v>0</v>
      </c>
      <c r="AT77" s="235" t="e">
        <f t="shared" si="9"/>
        <v>#DIV/0!</v>
      </c>
    </row>
    <row r="78" spans="1:46">
      <c r="A78" s="369" t="s">
        <v>201</v>
      </c>
      <c r="B78" s="129">
        <f t="shared" si="11"/>
        <v>760</v>
      </c>
      <c r="C78" s="132" t="str">
        <f>VLOOKUP(B78,'Tipos de Defeitos'!B$4:E$106,Menu!$B$28+1,)</f>
        <v>Total (pçs)</v>
      </c>
      <c r="D78" s="151">
        <f t="shared" ref="D78:O78" si="12">SUM(D28:D77)</f>
        <v>0</v>
      </c>
      <c r="E78" s="151">
        <f t="shared" si="12"/>
        <v>0</v>
      </c>
      <c r="F78" s="151">
        <f t="shared" si="12"/>
        <v>0</v>
      </c>
      <c r="G78" s="151">
        <f t="shared" si="12"/>
        <v>0</v>
      </c>
      <c r="H78" s="151">
        <f t="shared" si="12"/>
        <v>0</v>
      </c>
      <c r="I78" s="151">
        <f t="shared" si="12"/>
        <v>0</v>
      </c>
      <c r="J78" s="151">
        <f t="shared" si="12"/>
        <v>0</v>
      </c>
      <c r="K78" s="151">
        <f t="shared" si="12"/>
        <v>0</v>
      </c>
      <c r="L78" s="151">
        <f t="shared" si="12"/>
        <v>0</v>
      </c>
      <c r="M78" s="151">
        <f t="shared" si="12"/>
        <v>0</v>
      </c>
      <c r="N78" s="151">
        <f t="shared" si="12"/>
        <v>0</v>
      </c>
      <c r="O78" s="151">
        <f t="shared" si="12"/>
        <v>0</v>
      </c>
      <c r="P78" s="151">
        <f t="shared" ref="P78:Q78" si="13">SUM(P28:P77)</f>
        <v>0</v>
      </c>
      <c r="Q78" s="151">
        <f t="shared" si="13"/>
        <v>0</v>
      </c>
      <c r="R78" s="151">
        <f t="shared" ref="R78:S78" si="14">SUM(R28:R77)</f>
        <v>0</v>
      </c>
      <c r="S78" s="151">
        <f t="shared" si="14"/>
        <v>0</v>
      </c>
      <c r="T78" s="151">
        <f t="shared" ref="T78:U78" si="15">SUM(T28:T77)</f>
        <v>0</v>
      </c>
      <c r="U78" s="151">
        <f t="shared" si="15"/>
        <v>0</v>
      </c>
      <c r="V78" s="151">
        <f t="shared" ref="V78:W78" si="16">SUM(V28:V77)</f>
        <v>0</v>
      </c>
      <c r="W78" s="151">
        <f t="shared" si="16"/>
        <v>0</v>
      </c>
      <c r="X78" s="151">
        <f>SUM(X28:X77)</f>
        <v>0</v>
      </c>
      <c r="Y78" s="151">
        <f t="shared" ref="Y78:Z78" si="17">SUM(Y28:Y77)</f>
        <v>0</v>
      </c>
      <c r="Z78" s="151">
        <f t="shared" si="17"/>
        <v>0</v>
      </c>
      <c r="AA78" s="151">
        <f t="shared" ref="AA78:AB78" si="18">SUM(AA28:AA77)</f>
        <v>0</v>
      </c>
      <c r="AB78" s="151">
        <f t="shared" si="18"/>
        <v>0</v>
      </c>
      <c r="AC78" s="151">
        <f t="shared" ref="AC78:AR78" si="19">SUM(AC28:AC77)</f>
        <v>0</v>
      </c>
      <c r="AD78" s="151">
        <f t="shared" si="19"/>
        <v>0</v>
      </c>
      <c r="AE78" s="151">
        <f t="shared" si="19"/>
        <v>0</v>
      </c>
      <c r="AF78" s="151">
        <f t="shared" si="19"/>
        <v>0</v>
      </c>
      <c r="AG78" s="151">
        <f t="shared" si="19"/>
        <v>0</v>
      </c>
      <c r="AH78" s="151">
        <f t="shared" si="19"/>
        <v>0</v>
      </c>
      <c r="AI78" s="151">
        <f t="shared" si="19"/>
        <v>0</v>
      </c>
      <c r="AJ78" s="151">
        <f t="shared" si="19"/>
        <v>0</v>
      </c>
      <c r="AK78" s="151">
        <f t="shared" si="19"/>
        <v>0</v>
      </c>
      <c r="AL78" s="151">
        <f t="shared" si="19"/>
        <v>0</v>
      </c>
      <c r="AM78" s="151">
        <f t="shared" si="19"/>
        <v>0</v>
      </c>
      <c r="AN78" s="151">
        <f t="shared" si="19"/>
        <v>0</v>
      </c>
      <c r="AO78" s="151">
        <f t="shared" si="19"/>
        <v>0</v>
      </c>
      <c r="AP78" s="151">
        <f t="shared" si="19"/>
        <v>0</v>
      </c>
      <c r="AQ78" s="151">
        <f t="shared" si="19"/>
        <v>0</v>
      </c>
      <c r="AR78" s="151">
        <f t="shared" si="19"/>
        <v>0</v>
      </c>
      <c r="AS78" s="151">
        <f t="shared" ref="AS78" si="20">SUM(AS28:AS77)</f>
        <v>0</v>
      </c>
      <c r="AT78" s="242">
        <f>AS78+'UM-4 - Dia'!AS78</f>
        <v>0</v>
      </c>
    </row>
    <row r="79" spans="1:46">
      <c r="A79" s="360"/>
      <c r="B79" s="127">
        <f t="shared" si="11"/>
        <v>770</v>
      </c>
      <c r="C79" s="133" t="str">
        <f>VLOOKUP(B79,'Tipos de Defeitos'!B$4:E$106,Menu!$B$28+1,)</f>
        <v>Taxa Defeituosa 1º Teste</v>
      </c>
      <c r="D79" s="160" t="str">
        <f t="shared" ref="D79:O79" si="21">IF(D23&gt;0,D23/D7*1000000,"")</f>
        <v/>
      </c>
      <c r="E79" s="160" t="str">
        <f t="shared" si="21"/>
        <v/>
      </c>
      <c r="F79" s="160" t="str">
        <f t="shared" si="21"/>
        <v/>
      </c>
      <c r="G79" s="160" t="str">
        <f t="shared" si="21"/>
        <v/>
      </c>
      <c r="H79" s="160" t="str">
        <f t="shared" si="21"/>
        <v/>
      </c>
      <c r="I79" s="160" t="str">
        <f t="shared" si="21"/>
        <v/>
      </c>
      <c r="J79" s="160" t="str">
        <f t="shared" si="21"/>
        <v/>
      </c>
      <c r="K79" s="160" t="str">
        <f t="shared" si="21"/>
        <v/>
      </c>
      <c r="L79" s="160" t="str">
        <f t="shared" si="21"/>
        <v/>
      </c>
      <c r="M79" s="160" t="str">
        <f t="shared" si="21"/>
        <v/>
      </c>
      <c r="N79" s="160" t="str">
        <f t="shared" si="21"/>
        <v/>
      </c>
      <c r="O79" s="160" t="str">
        <f t="shared" si="21"/>
        <v/>
      </c>
      <c r="P79" s="160" t="str">
        <f t="shared" ref="P79:Q79" si="22">IF(P23&gt;0,P23/P7*1000000,"")</f>
        <v/>
      </c>
      <c r="Q79" s="160" t="str">
        <f t="shared" si="22"/>
        <v/>
      </c>
      <c r="R79" s="160" t="str">
        <f t="shared" ref="R79:S79" si="23">IF(R23&gt;0,R23/R7*1000000,"")</f>
        <v/>
      </c>
      <c r="S79" s="160" t="str">
        <f t="shared" si="23"/>
        <v/>
      </c>
      <c r="T79" s="160" t="str">
        <f t="shared" ref="T79:U79" si="24">IF(T23&gt;0,T23/T7*1000000,"")</f>
        <v/>
      </c>
      <c r="U79" s="160" t="str">
        <f t="shared" si="24"/>
        <v/>
      </c>
      <c r="V79" s="160" t="str">
        <f t="shared" ref="V79:W79" si="25">IF(V23&gt;0,V23/V7*1000000,"")</f>
        <v/>
      </c>
      <c r="W79" s="160" t="str">
        <f t="shared" si="25"/>
        <v/>
      </c>
      <c r="X79" s="160" t="str">
        <f t="shared" ref="X79" si="26">IF(X23&gt;0,X23/X7*1000000,"")</f>
        <v/>
      </c>
      <c r="Y79" s="160" t="str">
        <f t="shared" ref="Y79:Z79" si="27">IF(Y23&gt;0,Y23/Y7*1000000,"")</f>
        <v/>
      </c>
      <c r="Z79" s="160" t="str">
        <f t="shared" si="27"/>
        <v/>
      </c>
      <c r="AA79" s="160" t="str">
        <f t="shared" ref="AA79:AB79" si="28">IF(AA23&gt;0,AA23/AA7*1000000,"")</f>
        <v/>
      </c>
      <c r="AB79" s="160" t="str">
        <f t="shared" si="28"/>
        <v/>
      </c>
      <c r="AC79" s="160" t="str">
        <f t="shared" ref="AC79:AR79" si="29">IF(AC23&gt;0,AC23/AC7*1000000,"")</f>
        <v/>
      </c>
      <c r="AD79" s="160" t="str">
        <f t="shared" si="29"/>
        <v/>
      </c>
      <c r="AE79" s="160" t="str">
        <f t="shared" si="29"/>
        <v/>
      </c>
      <c r="AF79" s="160" t="str">
        <f t="shared" si="29"/>
        <v/>
      </c>
      <c r="AG79" s="160" t="str">
        <f t="shared" si="29"/>
        <v/>
      </c>
      <c r="AH79" s="160" t="str">
        <f t="shared" si="29"/>
        <v/>
      </c>
      <c r="AI79" s="160" t="str">
        <f t="shared" si="29"/>
        <v/>
      </c>
      <c r="AJ79" s="160" t="str">
        <f t="shared" si="29"/>
        <v/>
      </c>
      <c r="AK79" s="160" t="str">
        <f t="shared" si="29"/>
        <v/>
      </c>
      <c r="AL79" s="160" t="str">
        <f t="shared" si="29"/>
        <v/>
      </c>
      <c r="AM79" s="160" t="str">
        <f t="shared" si="29"/>
        <v/>
      </c>
      <c r="AN79" s="160" t="str">
        <f t="shared" si="29"/>
        <v/>
      </c>
      <c r="AO79" s="160" t="str">
        <f t="shared" si="29"/>
        <v/>
      </c>
      <c r="AP79" s="160" t="str">
        <f t="shared" si="29"/>
        <v/>
      </c>
      <c r="AQ79" s="160" t="str">
        <f t="shared" si="29"/>
        <v/>
      </c>
      <c r="AR79" s="160" t="str">
        <f t="shared" si="29"/>
        <v/>
      </c>
      <c r="AS79" s="160" t="str">
        <f>IF(AS7&gt;0,AS23/AS7*1000000,"")</f>
        <v/>
      </c>
    </row>
    <row r="80" spans="1:46">
      <c r="A80" s="360"/>
      <c r="B80" s="127">
        <f t="shared" si="11"/>
        <v>780</v>
      </c>
      <c r="C80" s="133" t="str">
        <f>VLOOKUP(B80,'Tipos de Defeitos'!B$4:E$106,Menu!$B$28+1,)</f>
        <v>Taxa defeituosa (ppm)</v>
      </c>
      <c r="D80" s="161" t="str">
        <f t="shared" ref="D80:O80" si="30">IF(D27&lt;&gt;0,D78/D27*D24/D7*1000000,"")</f>
        <v/>
      </c>
      <c r="E80" s="161" t="str">
        <f t="shared" si="30"/>
        <v/>
      </c>
      <c r="F80" s="161" t="str">
        <f t="shared" si="30"/>
        <v/>
      </c>
      <c r="G80" s="161" t="str">
        <f t="shared" si="30"/>
        <v/>
      </c>
      <c r="H80" s="161" t="str">
        <f t="shared" si="30"/>
        <v/>
      </c>
      <c r="I80" s="161" t="str">
        <f t="shared" si="30"/>
        <v/>
      </c>
      <c r="J80" s="161" t="str">
        <f t="shared" si="30"/>
        <v/>
      </c>
      <c r="K80" s="161" t="str">
        <f t="shared" si="30"/>
        <v/>
      </c>
      <c r="L80" s="161" t="str">
        <f t="shared" si="30"/>
        <v/>
      </c>
      <c r="M80" s="161" t="str">
        <f t="shared" si="30"/>
        <v/>
      </c>
      <c r="N80" s="161" t="str">
        <f t="shared" si="30"/>
        <v/>
      </c>
      <c r="O80" s="161" t="str">
        <f t="shared" si="30"/>
        <v/>
      </c>
      <c r="P80" s="161" t="str">
        <f t="shared" ref="P80:Q80" si="31">IF(P27&lt;&gt;0,P78/P27*P24/P7*1000000,"")</f>
        <v/>
      </c>
      <c r="Q80" s="161" t="str">
        <f t="shared" si="31"/>
        <v/>
      </c>
      <c r="R80" s="161" t="str">
        <f t="shared" ref="R80:S80" si="32">IF(R27&lt;&gt;0,R78/R27*R24/R7*1000000,"")</f>
        <v/>
      </c>
      <c r="S80" s="161" t="str">
        <f t="shared" si="32"/>
        <v/>
      </c>
      <c r="T80" s="161" t="str">
        <f t="shared" ref="T80:U80" si="33">IF(T27&lt;&gt;0,T78/T27*T24/T7*1000000,"")</f>
        <v/>
      </c>
      <c r="U80" s="161" t="str">
        <f t="shared" si="33"/>
        <v/>
      </c>
      <c r="V80" s="161" t="str">
        <f t="shared" ref="V80:W80" si="34">IF(V27&lt;&gt;0,V78/V27*V24/V7*1000000,"")</f>
        <v/>
      </c>
      <c r="W80" s="161" t="str">
        <f t="shared" si="34"/>
        <v/>
      </c>
      <c r="X80" s="161" t="str">
        <f t="shared" ref="X80" si="35">IF(X27&lt;&gt;0,X78/X27*X24/X7*1000000,"")</f>
        <v/>
      </c>
      <c r="Y80" s="161" t="str">
        <f t="shared" ref="Y80:Z80" si="36">IF(Y27&lt;&gt;0,Y78/Y27*Y24/Y7*1000000,"")</f>
        <v/>
      </c>
      <c r="Z80" s="161" t="str">
        <f t="shared" si="36"/>
        <v/>
      </c>
      <c r="AA80" s="161" t="str">
        <f t="shared" ref="AA80:AB80" si="37">IF(AA27&lt;&gt;0,AA78/AA27*AA24/AA7*1000000,"")</f>
        <v/>
      </c>
      <c r="AB80" s="161" t="str">
        <f t="shared" si="37"/>
        <v/>
      </c>
      <c r="AC80" s="161" t="str">
        <f t="shared" ref="AC80:AR80" si="38">IF(AC27&lt;&gt;0,AC78/AC27*AC24/AC7*1000000,"")</f>
        <v/>
      </c>
      <c r="AD80" s="161" t="str">
        <f t="shared" si="38"/>
        <v/>
      </c>
      <c r="AE80" s="161" t="str">
        <f t="shared" si="38"/>
        <v/>
      </c>
      <c r="AF80" s="161" t="str">
        <f t="shared" si="38"/>
        <v/>
      </c>
      <c r="AG80" s="161" t="str">
        <f t="shared" si="38"/>
        <v/>
      </c>
      <c r="AH80" s="161" t="str">
        <f t="shared" si="38"/>
        <v/>
      </c>
      <c r="AI80" s="161" t="str">
        <f t="shared" si="38"/>
        <v/>
      </c>
      <c r="AJ80" s="161" t="str">
        <f t="shared" si="38"/>
        <v/>
      </c>
      <c r="AK80" s="161" t="str">
        <f t="shared" si="38"/>
        <v/>
      </c>
      <c r="AL80" s="161" t="str">
        <f t="shared" si="38"/>
        <v/>
      </c>
      <c r="AM80" s="161" t="str">
        <f t="shared" si="38"/>
        <v/>
      </c>
      <c r="AN80" s="161" t="str">
        <f t="shared" si="38"/>
        <v/>
      </c>
      <c r="AO80" s="161" t="str">
        <f t="shared" si="38"/>
        <v/>
      </c>
      <c r="AP80" s="161" t="str">
        <f t="shared" si="38"/>
        <v/>
      </c>
      <c r="AQ80" s="161" t="str">
        <f t="shared" si="38"/>
        <v/>
      </c>
      <c r="AR80" s="161" t="str">
        <f t="shared" si="38"/>
        <v/>
      </c>
      <c r="AS80" s="161" t="str">
        <f>IF((AS27*AS7)&gt;0,AS78/AS27*AS24/AS7*1000000,"")</f>
        <v/>
      </c>
      <c r="AT80" s="234" t="e">
        <f>AT78/AT27*AT24/AT7*1000000</f>
        <v>#DIV/0!</v>
      </c>
    </row>
    <row r="81" spans="1:46">
      <c r="A81" s="360"/>
      <c r="B81" s="127">
        <f t="shared" si="11"/>
        <v>790</v>
      </c>
      <c r="C81" s="133" t="str">
        <f>VLOOKUP(B81,'Tipos de Defeitos'!B$4:E$106,Menu!$B$28+1,)</f>
        <v>Qtd. Defeitos internos (pçs)</v>
      </c>
      <c r="D81" s="141">
        <f t="shared" ref="D81:O81" si="39">SUM(D28:D71,D86:D98)</f>
        <v>0</v>
      </c>
      <c r="E81" s="141">
        <f t="shared" si="39"/>
        <v>0</v>
      </c>
      <c r="F81" s="141">
        <f t="shared" si="39"/>
        <v>0</v>
      </c>
      <c r="G81" s="141">
        <f t="shared" si="39"/>
        <v>0</v>
      </c>
      <c r="H81" s="141">
        <f t="shared" si="39"/>
        <v>0</v>
      </c>
      <c r="I81" s="141">
        <f t="shared" si="39"/>
        <v>0</v>
      </c>
      <c r="J81" s="141">
        <f t="shared" si="39"/>
        <v>0</v>
      </c>
      <c r="K81" s="141">
        <f t="shared" si="39"/>
        <v>0</v>
      </c>
      <c r="L81" s="141">
        <f t="shared" si="39"/>
        <v>0</v>
      </c>
      <c r="M81" s="141">
        <f t="shared" si="39"/>
        <v>0</v>
      </c>
      <c r="N81" s="141">
        <f t="shared" si="39"/>
        <v>0</v>
      </c>
      <c r="O81" s="141">
        <f t="shared" si="39"/>
        <v>0</v>
      </c>
      <c r="P81" s="141">
        <f t="shared" ref="P81:AR81" si="40">SUM(P28:P71,P86:P98)</f>
        <v>0</v>
      </c>
      <c r="Q81" s="141">
        <f t="shared" si="40"/>
        <v>0</v>
      </c>
      <c r="R81" s="141">
        <f t="shared" si="40"/>
        <v>0</v>
      </c>
      <c r="S81" s="141">
        <f t="shared" si="40"/>
        <v>0</v>
      </c>
      <c r="T81" s="141">
        <f t="shared" si="40"/>
        <v>0</v>
      </c>
      <c r="U81" s="141">
        <f t="shared" si="40"/>
        <v>0</v>
      </c>
      <c r="V81" s="141">
        <f t="shared" si="40"/>
        <v>0</v>
      </c>
      <c r="W81" s="141">
        <f t="shared" si="40"/>
        <v>0</v>
      </c>
      <c r="X81" s="141">
        <f t="shared" si="40"/>
        <v>0</v>
      </c>
      <c r="Y81" s="141">
        <f t="shared" si="40"/>
        <v>0</v>
      </c>
      <c r="Z81" s="141">
        <f t="shared" si="40"/>
        <v>0</v>
      </c>
      <c r="AA81" s="141">
        <f t="shared" si="40"/>
        <v>0</v>
      </c>
      <c r="AB81" s="141">
        <f t="shared" si="40"/>
        <v>0</v>
      </c>
      <c r="AC81" s="141">
        <f t="shared" si="40"/>
        <v>0</v>
      </c>
      <c r="AD81" s="141">
        <f t="shared" si="40"/>
        <v>0</v>
      </c>
      <c r="AE81" s="141">
        <f t="shared" si="40"/>
        <v>0</v>
      </c>
      <c r="AF81" s="141">
        <f t="shared" si="40"/>
        <v>0</v>
      </c>
      <c r="AG81" s="141">
        <f t="shared" si="40"/>
        <v>0</v>
      </c>
      <c r="AH81" s="141">
        <f t="shared" si="40"/>
        <v>0</v>
      </c>
      <c r="AI81" s="141">
        <f t="shared" si="40"/>
        <v>0</v>
      </c>
      <c r="AJ81" s="141">
        <f t="shared" si="40"/>
        <v>0</v>
      </c>
      <c r="AK81" s="141">
        <f t="shared" si="40"/>
        <v>0</v>
      </c>
      <c r="AL81" s="141">
        <f t="shared" si="40"/>
        <v>0</v>
      </c>
      <c r="AM81" s="141">
        <f t="shared" si="40"/>
        <v>0</v>
      </c>
      <c r="AN81" s="141">
        <f t="shared" si="40"/>
        <v>0</v>
      </c>
      <c r="AO81" s="141">
        <f t="shared" si="40"/>
        <v>0</v>
      </c>
      <c r="AP81" s="141">
        <f t="shared" si="40"/>
        <v>0</v>
      </c>
      <c r="AQ81" s="141">
        <f t="shared" si="40"/>
        <v>0</v>
      </c>
      <c r="AR81" s="141">
        <f t="shared" si="40"/>
        <v>0</v>
      </c>
      <c r="AS81" s="174">
        <f>SUM(AS28:AS67,AS69:AS71)</f>
        <v>0</v>
      </c>
      <c r="AT81" s="242">
        <f>AS81+'UM-4 - Dia'!AS81</f>
        <v>0</v>
      </c>
    </row>
    <row r="82" spans="1:46" ht="13.5" thickBot="1">
      <c r="A82" s="370"/>
      <c r="B82" s="130">
        <f t="shared" si="11"/>
        <v>800</v>
      </c>
      <c r="C82" s="134" t="str">
        <f>VLOOKUP(B82,'Tipos de Defeitos'!B$4:E$106,Menu!$B$28+1,)</f>
        <v>Defeitos Internos - Taxa defeituosa (ppm)</v>
      </c>
      <c r="D82" s="162" t="str">
        <f t="shared" ref="D82:O82" si="41">IF(D24&gt;0,D81/D27*D24/D7*1000000,"")</f>
        <v/>
      </c>
      <c r="E82" s="162" t="str">
        <f t="shared" si="41"/>
        <v/>
      </c>
      <c r="F82" s="162" t="str">
        <f t="shared" si="41"/>
        <v/>
      </c>
      <c r="G82" s="162" t="str">
        <f t="shared" si="41"/>
        <v/>
      </c>
      <c r="H82" s="162" t="str">
        <f t="shared" si="41"/>
        <v/>
      </c>
      <c r="I82" s="162" t="str">
        <f t="shared" si="41"/>
        <v/>
      </c>
      <c r="J82" s="162" t="str">
        <f t="shared" si="41"/>
        <v/>
      </c>
      <c r="K82" s="162" t="str">
        <f t="shared" si="41"/>
        <v/>
      </c>
      <c r="L82" s="162" t="str">
        <f t="shared" si="41"/>
        <v/>
      </c>
      <c r="M82" s="162" t="str">
        <f t="shared" si="41"/>
        <v/>
      </c>
      <c r="N82" s="162" t="str">
        <f t="shared" si="41"/>
        <v/>
      </c>
      <c r="O82" s="162" t="str">
        <f t="shared" si="41"/>
        <v/>
      </c>
      <c r="P82" s="162" t="str">
        <f t="shared" ref="P82:Q82" si="42">IF(P24&gt;0,P81/P27*P24/P7*1000000,"")</f>
        <v/>
      </c>
      <c r="Q82" s="162" t="str">
        <f t="shared" si="42"/>
        <v/>
      </c>
      <c r="R82" s="162" t="str">
        <f t="shared" ref="R82:S82" si="43">IF(R24&gt;0,R81/R27*R24/R7*1000000,"")</f>
        <v/>
      </c>
      <c r="S82" s="162" t="str">
        <f t="shared" si="43"/>
        <v/>
      </c>
      <c r="T82" s="162" t="str">
        <f t="shared" ref="T82:U82" si="44">IF(T24&gt;0,T81/T27*T24/T7*1000000,"")</f>
        <v/>
      </c>
      <c r="U82" s="162" t="str">
        <f t="shared" si="44"/>
        <v/>
      </c>
      <c r="V82" s="162" t="str">
        <f t="shared" ref="V82:W82" si="45">IF(V24&gt;0,V81/V27*V24/V7*1000000,"")</f>
        <v/>
      </c>
      <c r="W82" s="162" t="str">
        <f t="shared" si="45"/>
        <v/>
      </c>
      <c r="X82" s="162" t="str">
        <f t="shared" ref="X82" si="46">IF(X24&gt;0,X81/X27*X24/X7*1000000,"")</f>
        <v/>
      </c>
      <c r="Y82" s="162" t="str">
        <f t="shared" ref="Y82:Z82" si="47">IF(Y24&gt;0,Y81/Y27*Y24/Y7*1000000,"")</f>
        <v/>
      </c>
      <c r="Z82" s="162" t="str">
        <f t="shared" si="47"/>
        <v/>
      </c>
      <c r="AA82" s="162" t="str">
        <f t="shared" ref="AA82:AB82" si="48">IF(AA24&gt;0,AA81/AA27*AA24/AA7*1000000,"")</f>
        <v/>
      </c>
      <c r="AB82" s="162" t="str">
        <f t="shared" si="48"/>
        <v/>
      </c>
      <c r="AC82" s="162" t="str">
        <f t="shared" ref="AC82:AR82" si="49">IF(AC24&gt;0,AC81/AC27*AC24/AC7*1000000,"")</f>
        <v/>
      </c>
      <c r="AD82" s="162" t="str">
        <f t="shared" si="49"/>
        <v/>
      </c>
      <c r="AE82" s="162" t="str">
        <f t="shared" si="49"/>
        <v/>
      </c>
      <c r="AF82" s="162" t="str">
        <f t="shared" si="49"/>
        <v/>
      </c>
      <c r="AG82" s="162" t="str">
        <f t="shared" si="49"/>
        <v/>
      </c>
      <c r="AH82" s="162" t="str">
        <f t="shared" si="49"/>
        <v/>
      </c>
      <c r="AI82" s="162" t="str">
        <f t="shared" si="49"/>
        <v/>
      </c>
      <c r="AJ82" s="162" t="str">
        <f t="shared" si="49"/>
        <v/>
      </c>
      <c r="AK82" s="162" t="str">
        <f t="shared" si="49"/>
        <v/>
      </c>
      <c r="AL82" s="162" t="str">
        <f t="shared" si="49"/>
        <v/>
      </c>
      <c r="AM82" s="162" t="str">
        <f t="shared" si="49"/>
        <v/>
      </c>
      <c r="AN82" s="162" t="str">
        <f t="shared" si="49"/>
        <v/>
      </c>
      <c r="AO82" s="162" t="str">
        <f t="shared" si="49"/>
        <v/>
      </c>
      <c r="AP82" s="162" t="str">
        <f t="shared" si="49"/>
        <v/>
      </c>
      <c r="AQ82" s="162" t="str">
        <f t="shared" si="49"/>
        <v/>
      </c>
      <c r="AR82" s="162" t="str">
        <f t="shared" si="49"/>
        <v/>
      </c>
      <c r="AS82" s="162" t="str">
        <f>IF((AS27*AS7)&gt;0,AS81/AS27*AS24/AS7*1000000,"")</f>
        <v/>
      </c>
    </row>
    <row r="83" spans="1:46" ht="14.25" customHeight="1">
      <c r="A83" s="357" t="s">
        <v>199</v>
      </c>
      <c r="B83" s="129">
        <f t="shared" si="11"/>
        <v>810</v>
      </c>
      <c r="C83" s="132" t="str">
        <f>VLOOKUP(B83,'Tipos de Defeitos'!B$4:E$106,Menu!$B$28+1,)</f>
        <v>Amperagem (Moda)</v>
      </c>
      <c r="D83" s="184"/>
      <c r="E83" s="184"/>
      <c r="F83" s="184"/>
      <c r="G83" s="184"/>
      <c r="H83" s="184"/>
      <c r="I83" s="184"/>
      <c r="J83" s="184"/>
      <c r="K83" s="184"/>
      <c r="L83" s="184"/>
      <c r="M83" s="184"/>
      <c r="N83" s="184"/>
      <c r="O83" s="184"/>
      <c r="P83" s="184"/>
      <c r="Q83" s="184"/>
      <c r="R83" s="184"/>
      <c r="S83" s="184"/>
      <c r="T83" s="184"/>
      <c r="U83" s="184"/>
      <c r="V83" s="184"/>
      <c r="W83" s="184"/>
      <c r="X83" s="184"/>
      <c r="Y83" s="150"/>
      <c r="Z83" s="150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50"/>
      <c r="AL83" s="150"/>
      <c r="AM83" s="150"/>
      <c r="AN83" s="150"/>
      <c r="AO83" s="150"/>
      <c r="AP83" s="150"/>
      <c r="AQ83" s="150"/>
      <c r="AR83" s="150"/>
      <c r="AS83" s="202" t="e">
        <f>AVERAGE(D83:AR83)</f>
        <v>#DIV/0!</v>
      </c>
    </row>
    <row r="84" spans="1:46">
      <c r="A84" s="358"/>
      <c r="B84" s="127">
        <f t="shared" si="11"/>
        <v>820</v>
      </c>
      <c r="C84" s="133" t="str">
        <f>VLOOKUP(B84,'Tipos de Defeitos'!B$4:E$106,Menu!$B$28+1,)</f>
        <v>Amperagem Ajustada</v>
      </c>
      <c r="D84" s="185" t="str">
        <f t="shared" ref="D84:O84" si="50">IF(D83&gt;0,D83-1," ")</f>
        <v xml:space="preserve"> </v>
      </c>
      <c r="E84" s="185" t="str">
        <f t="shared" si="50"/>
        <v xml:space="preserve"> </v>
      </c>
      <c r="F84" s="185" t="str">
        <f t="shared" si="50"/>
        <v xml:space="preserve"> </v>
      </c>
      <c r="G84" s="185" t="str">
        <f t="shared" si="50"/>
        <v xml:space="preserve"> </v>
      </c>
      <c r="H84" s="185" t="str">
        <f t="shared" si="50"/>
        <v xml:space="preserve"> </v>
      </c>
      <c r="I84" s="185" t="str">
        <f t="shared" si="50"/>
        <v xml:space="preserve"> </v>
      </c>
      <c r="J84" s="185" t="str">
        <f t="shared" si="50"/>
        <v xml:space="preserve"> </v>
      </c>
      <c r="K84" s="185" t="str">
        <f t="shared" si="50"/>
        <v xml:space="preserve"> </v>
      </c>
      <c r="L84" s="185" t="str">
        <f t="shared" si="50"/>
        <v xml:space="preserve"> </v>
      </c>
      <c r="M84" s="185" t="str">
        <f t="shared" si="50"/>
        <v xml:space="preserve"> </v>
      </c>
      <c r="N84" s="185" t="str">
        <f t="shared" si="50"/>
        <v xml:space="preserve"> </v>
      </c>
      <c r="O84" s="185" t="str">
        <f t="shared" si="50"/>
        <v xml:space="preserve"> </v>
      </c>
      <c r="P84" s="185" t="str">
        <f t="shared" ref="P84:S84" si="51">IF(P83&gt;0,P83-1," ")</f>
        <v xml:space="preserve"> </v>
      </c>
      <c r="Q84" s="185" t="str">
        <f>IF(Q83&gt;0,Q83-1," ")</f>
        <v xml:space="preserve"> </v>
      </c>
      <c r="R84" s="185" t="str">
        <f t="shared" si="51"/>
        <v xml:space="preserve"> </v>
      </c>
      <c r="S84" s="185" t="str">
        <f t="shared" si="51"/>
        <v xml:space="preserve"> </v>
      </c>
      <c r="T84" s="185" t="str">
        <f t="shared" ref="T84" si="52">IF(T83&gt;0,T83-1," ")</f>
        <v xml:space="preserve"> </v>
      </c>
      <c r="U84" s="185" t="str">
        <f t="shared" ref="U84:V84" si="53">IF(U83&gt;0,U83-1," ")</f>
        <v xml:space="preserve"> </v>
      </c>
      <c r="V84" s="185" t="str">
        <f t="shared" si="53"/>
        <v xml:space="preserve"> </v>
      </c>
      <c r="W84" s="185" t="str">
        <f t="shared" ref="W84:X84" si="54">IF(W83&gt;0,W83-1," ")</f>
        <v xml:space="preserve"> </v>
      </c>
      <c r="X84" s="185" t="str">
        <f t="shared" si="54"/>
        <v xml:space="preserve"> </v>
      </c>
      <c r="Y84" s="140" t="str">
        <f t="shared" ref="Y84:AB84" si="55">IF(Y83&gt;0,Y83-1," ")</f>
        <v xml:space="preserve"> </v>
      </c>
      <c r="Z84" s="140" t="str">
        <f t="shared" si="55"/>
        <v xml:space="preserve"> </v>
      </c>
      <c r="AA84" s="185" t="str">
        <f t="shared" si="55"/>
        <v xml:space="preserve"> </v>
      </c>
      <c r="AB84" s="185" t="str">
        <f t="shared" si="55"/>
        <v xml:space="preserve"> </v>
      </c>
      <c r="AC84" s="185" t="str">
        <f t="shared" ref="AC84:AJ84" si="56">IF(AC83&gt;0,AC83-1," ")</f>
        <v xml:space="preserve"> </v>
      </c>
      <c r="AD84" s="185" t="str">
        <f t="shared" si="56"/>
        <v xml:space="preserve"> </v>
      </c>
      <c r="AE84" s="185" t="str">
        <f t="shared" si="56"/>
        <v xml:space="preserve"> </v>
      </c>
      <c r="AF84" s="185" t="str">
        <f t="shared" si="56"/>
        <v xml:space="preserve"> </v>
      </c>
      <c r="AG84" s="185" t="str">
        <f t="shared" si="56"/>
        <v xml:space="preserve"> </v>
      </c>
      <c r="AH84" s="185" t="str">
        <f t="shared" si="56"/>
        <v xml:space="preserve"> </v>
      </c>
      <c r="AI84" s="185" t="str">
        <f t="shared" si="56"/>
        <v xml:space="preserve"> </v>
      </c>
      <c r="AJ84" s="185" t="str">
        <f t="shared" si="56"/>
        <v xml:space="preserve"> </v>
      </c>
      <c r="AK84" s="140"/>
      <c r="AL84" s="140"/>
      <c r="AM84" s="140"/>
      <c r="AN84" s="140"/>
      <c r="AO84" s="140"/>
      <c r="AP84" s="140"/>
      <c r="AQ84" s="140"/>
      <c r="AR84" s="140"/>
      <c r="AS84" s="186" t="e">
        <f>AVERAGE(D84:AR84)</f>
        <v>#DIV/0!</v>
      </c>
    </row>
    <row r="85" spans="1:46" ht="13.5" thickBot="1">
      <c r="A85" s="359"/>
      <c r="B85" s="130">
        <f t="shared" si="11"/>
        <v>830</v>
      </c>
      <c r="C85" s="134" t="str">
        <f>VLOOKUP(B85,'Tipos de Defeitos'!B$4:E$106,Menu!$B$28+1,)</f>
        <v>Qtd Baterias analisadas (pçs)</v>
      </c>
      <c r="D85" s="236">
        <f t="shared" ref="D85:O85" si="57">D103</f>
        <v>0</v>
      </c>
      <c r="E85" s="236">
        <f t="shared" si="57"/>
        <v>0</v>
      </c>
      <c r="F85" s="236">
        <f t="shared" si="57"/>
        <v>0</v>
      </c>
      <c r="G85" s="236">
        <f t="shared" si="57"/>
        <v>0</v>
      </c>
      <c r="H85" s="236">
        <f t="shared" si="57"/>
        <v>0</v>
      </c>
      <c r="I85" s="236">
        <f t="shared" si="57"/>
        <v>0</v>
      </c>
      <c r="J85" s="236">
        <f t="shared" si="57"/>
        <v>0</v>
      </c>
      <c r="K85" s="236">
        <f t="shared" si="57"/>
        <v>0</v>
      </c>
      <c r="L85" s="236">
        <f t="shared" si="57"/>
        <v>0</v>
      </c>
      <c r="M85" s="236">
        <f t="shared" si="57"/>
        <v>0</v>
      </c>
      <c r="N85" s="236">
        <f t="shared" si="57"/>
        <v>0</v>
      </c>
      <c r="O85" s="236">
        <f t="shared" si="57"/>
        <v>0</v>
      </c>
      <c r="P85" s="236">
        <f t="shared" ref="P85:AC85" si="58">P103</f>
        <v>0</v>
      </c>
      <c r="Q85" s="236">
        <f t="shared" si="58"/>
        <v>0</v>
      </c>
      <c r="R85" s="236">
        <f t="shared" si="58"/>
        <v>0</v>
      </c>
      <c r="S85" s="236">
        <f t="shared" si="58"/>
        <v>0</v>
      </c>
      <c r="T85" s="236">
        <f t="shared" si="58"/>
        <v>0</v>
      </c>
      <c r="U85" s="236">
        <f t="shared" si="58"/>
        <v>0</v>
      </c>
      <c r="V85" s="236">
        <f t="shared" si="58"/>
        <v>0</v>
      </c>
      <c r="W85" s="236">
        <f t="shared" si="58"/>
        <v>0</v>
      </c>
      <c r="X85" s="236">
        <f t="shared" si="58"/>
        <v>0</v>
      </c>
      <c r="Y85" s="236">
        <f t="shared" si="58"/>
        <v>0</v>
      </c>
      <c r="Z85" s="236">
        <f t="shared" si="58"/>
        <v>0</v>
      </c>
      <c r="AA85" s="236">
        <f t="shared" si="58"/>
        <v>0</v>
      </c>
      <c r="AB85" s="236">
        <f t="shared" si="58"/>
        <v>0</v>
      </c>
      <c r="AC85" s="236">
        <f t="shared" si="58"/>
        <v>0</v>
      </c>
      <c r="AD85" s="236">
        <f t="shared" ref="AD85:AR85" si="59">AD103</f>
        <v>0</v>
      </c>
      <c r="AE85" s="236">
        <f t="shared" si="59"/>
        <v>0</v>
      </c>
      <c r="AF85" s="236">
        <f t="shared" si="59"/>
        <v>0</v>
      </c>
      <c r="AG85" s="236">
        <f t="shared" si="59"/>
        <v>0</v>
      </c>
      <c r="AH85" s="236">
        <f t="shared" si="59"/>
        <v>0</v>
      </c>
      <c r="AI85" s="236">
        <f t="shared" si="59"/>
        <v>0</v>
      </c>
      <c r="AJ85" s="236">
        <f t="shared" si="59"/>
        <v>0</v>
      </c>
      <c r="AK85" s="236">
        <f t="shared" si="59"/>
        <v>0</v>
      </c>
      <c r="AL85" s="236">
        <f t="shared" si="59"/>
        <v>0</v>
      </c>
      <c r="AM85" s="236">
        <f t="shared" si="59"/>
        <v>0</v>
      </c>
      <c r="AN85" s="236">
        <f t="shared" si="59"/>
        <v>0</v>
      </c>
      <c r="AO85" s="236">
        <f t="shared" si="59"/>
        <v>0</v>
      </c>
      <c r="AP85" s="236">
        <f t="shared" si="59"/>
        <v>0</v>
      </c>
      <c r="AQ85" s="236">
        <f t="shared" si="59"/>
        <v>0</v>
      </c>
      <c r="AR85" s="236">
        <f t="shared" si="59"/>
        <v>0</v>
      </c>
      <c r="AS85" s="153">
        <f>SUM(AS86:AS102)</f>
        <v>0</v>
      </c>
      <c r="AT85" s="242">
        <f>AS85+'UM-4 - Dia'!AS85</f>
        <v>0</v>
      </c>
    </row>
    <row r="86" spans="1:46" ht="13.5" customHeight="1">
      <c r="A86" s="360" t="s">
        <v>28</v>
      </c>
      <c r="B86" s="128">
        <f t="shared" si="11"/>
        <v>840</v>
      </c>
      <c r="C86" s="139" t="str">
        <f>VLOOKUP(B86,'Tipos de Defeitos'!B$4:E$106,Menu!$B$28+1,)</f>
        <v>Papel Separdor Duplo</v>
      </c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52">
        <f t="shared" ref="AS86:AS103" si="60">SUM(D86:AR86)</f>
        <v>0</v>
      </c>
      <c r="AT86" s="242">
        <f>AS86+'UM-4 - Dia'!AS86</f>
        <v>0</v>
      </c>
    </row>
    <row r="87" spans="1:46">
      <c r="A87" s="360"/>
      <c r="B87" s="127">
        <f t="shared" si="11"/>
        <v>850</v>
      </c>
      <c r="C87" s="133" t="str">
        <f>VLOOKUP(B87,'Tipos de Defeitos'!B$4:E$106,Menu!$B$28+1,)</f>
        <v>Pedra de Negro</v>
      </c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52">
        <f t="shared" si="60"/>
        <v>0</v>
      </c>
      <c r="AT87" s="242">
        <f>AS87+'UM-4 - Dia'!AS87</f>
        <v>0</v>
      </c>
    </row>
    <row r="88" spans="1:46">
      <c r="A88" s="360"/>
      <c r="B88" s="127">
        <f t="shared" si="11"/>
        <v>860</v>
      </c>
      <c r="C88" s="133" t="str">
        <f>VLOOKUP(B88,'Tipos de Defeitos'!B$4:E$106,Menu!$B$28+1,)</f>
        <v>Pedra de Cl de Amônia</v>
      </c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52">
        <f t="shared" si="60"/>
        <v>0</v>
      </c>
      <c r="AT88" s="242">
        <f>AS88+'UM-4 - Dia'!AS88</f>
        <v>0</v>
      </c>
    </row>
    <row r="89" spans="1:46">
      <c r="A89" s="360"/>
      <c r="B89" s="127">
        <f t="shared" si="11"/>
        <v>870</v>
      </c>
      <c r="C89" s="133" t="str">
        <f>VLOOKUP(B89,'Tipos de Defeitos'!B$4:E$106,Menu!$B$28+1,)</f>
        <v>Pelota de Manganês</v>
      </c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52">
        <f t="shared" si="60"/>
        <v>0</v>
      </c>
      <c r="AT89" s="242">
        <f>AS89+'UM-4 - Dia'!AS89</f>
        <v>0</v>
      </c>
    </row>
    <row r="90" spans="1:46">
      <c r="A90" s="360"/>
      <c r="B90" s="127">
        <f t="shared" si="11"/>
        <v>880</v>
      </c>
      <c r="C90" s="133" t="str">
        <f>VLOOKUP(B90,'Tipos de Defeitos'!B$4:E$106,Menu!$B$28+1,)</f>
        <v>Bobina Baixa</v>
      </c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52">
        <f t="shared" si="60"/>
        <v>0</v>
      </c>
      <c r="AT90" s="242">
        <f>AS90+'UM-4 - Dia'!AS90</f>
        <v>0</v>
      </c>
    </row>
    <row r="91" spans="1:46">
      <c r="A91" s="360"/>
      <c r="B91" s="127">
        <f t="shared" si="11"/>
        <v>890</v>
      </c>
      <c r="C91" s="133" t="str">
        <f>VLOOKUP(B91,'Tipos de Defeitos'!B$4:E$106,Menu!$B$28+1,)</f>
        <v>Bobina Rachada</v>
      </c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52">
        <f t="shared" si="60"/>
        <v>0</v>
      </c>
      <c r="AT91" s="242">
        <f>AS91+'UM-4 - Dia'!AS91</f>
        <v>0</v>
      </c>
    </row>
    <row r="92" spans="1:46">
      <c r="A92" s="360"/>
      <c r="B92" s="127">
        <f t="shared" si="11"/>
        <v>900</v>
      </c>
      <c r="C92" s="133" t="str">
        <f>VLOOKUP(B92,'Tipos de Defeitos'!B$4:E$106,Menu!$B$28+1,)</f>
        <v>Emenda de Papel</v>
      </c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52">
        <f t="shared" si="60"/>
        <v>0</v>
      </c>
      <c r="AT92" s="242">
        <f>AS92+'UM-4 - Dia'!AS92</f>
        <v>0</v>
      </c>
    </row>
    <row r="93" spans="1:46">
      <c r="A93" s="360"/>
      <c r="B93" s="127">
        <f t="shared" si="11"/>
        <v>910</v>
      </c>
      <c r="C93" s="133" t="str">
        <f>VLOOKUP(B93,'Tipos de Defeitos'!B$4:E$106,Menu!$B$28+1,)</f>
        <v>Carvão Quebrado</v>
      </c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52">
        <f t="shared" si="60"/>
        <v>0</v>
      </c>
      <c r="AT93" s="242">
        <f>AS93+'UM-4 - Dia'!AS93</f>
        <v>0</v>
      </c>
    </row>
    <row r="94" spans="1:46">
      <c r="A94" s="360"/>
      <c r="B94" s="127">
        <f t="shared" si="11"/>
        <v>920</v>
      </c>
      <c r="C94" s="133" t="str">
        <f>VLOOKUP(B94,'Tipos de Defeitos'!B$4:E$106,Menu!$B$28+1,)</f>
        <v>Metade do Carvão</v>
      </c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52">
        <f t="shared" si="60"/>
        <v>0</v>
      </c>
      <c r="AT94" s="242">
        <f>AS94+'UM-4 - Dia'!AS94</f>
        <v>0</v>
      </c>
    </row>
    <row r="95" spans="1:46">
      <c r="A95" s="360"/>
      <c r="B95" s="127">
        <f t="shared" si="11"/>
        <v>930</v>
      </c>
      <c r="C95" s="133" t="str">
        <f>VLOOKUP(B95,'Tipos de Defeitos'!B$4:E$106,Menu!$B$28+1,)</f>
        <v>Carvão Frouxo</v>
      </c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52">
        <f t="shared" si="60"/>
        <v>0</v>
      </c>
      <c r="AT95" s="242">
        <f>AS95+'UM-4 - Dia'!AS95</f>
        <v>0</v>
      </c>
    </row>
    <row r="96" spans="1:46">
      <c r="A96" s="360"/>
      <c r="B96" s="127">
        <f t="shared" si="11"/>
        <v>940</v>
      </c>
      <c r="C96" s="133" t="str">
        <f>VLOOKUP(B96,'Tipos de Defeitos'!B$4:E$106,Menu!$B$28+1,)</f>
        <v>Tubo de Zinco Sujo</v>
      </c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52">
        <f t="shared" si="60"/>
        <v>0</v>
      </c>
      <c r="AT96" s="242">
        <f>AS96+'UM-4 - Dia'!AS96</f>
        <v>0</v>
      </c>
    </row>
    <row r="97" spans="1:46">
      <c r="A97" s="360"/>
      <c r="B97" s="127">
        <f t="shared" si="11"/>
        <v>950</v>
      </c>
      <c r="C97" s="133" t="str">
        <f>VLOOKUP(B97,'Tipos de Defeitos'!B$4:E$106,Menu!$B$28+1,)</f>
        <v>Contem estranho</v>
      </c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52">
        <f t="shared" si="60"/>
        <v>0</v>
      </c>
      <c r="AT97" s="242">
        <f>AS97+'UM-4 - Dia'!AS97</f>
        <v>0</v>
      </c>
    </row>
    <row r="98" spans="1:46">
      <c r="A98" s="360"/>
      <c r="B98" s="127">
        <f t="shared" si="11"/>
        <v>960</v>
      </c>
      <c r="C98" s="133" t="str">
        <f>VLOOKUP(B98,'Tipos de Defeitos'!B$4:E$106,Menu!$B$28+1,)</f>
        <v>Mistura seca</v>
      </c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52">
        <f t="shared" si="60"/>
        <v>0</v>
      </c>
      <c r="AT98" s="242">
        <f>AS98+'UM-4 - Dia'!AS98</f>
        <v>0</v>
      </c>
    </row>
    <row r="99" spans="1:46">
      <c r="A99" s="360"/>
      <c r="B99" s="127">
        <f t="shared" si="11"/>
        <v>970</v>
      </c>
      <c r="C99" s="133" t="str">
        <f>VLOOKUP(B99,'Tipos de Defeitos'!B$4:E$106,Menu!$B$28+1,)</f>
        <v>Bottom Plate Amassado</v>
      </c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52">
        <f t="shared" si="60"/>
        <v>0</v>
      </c>
      <c r="AT99" s="242">
        <f>AS99+'UM-4 - Dia'!AS99</f>
        <v>0</v>
      </c>
    </row>
    <row r="100" spans="1:46">
      <c r="A100" s="360"/>
      <c r="B100" s="127">
        <f t="shared" si="11"/>
        <v>980</v>
      </c>
      <c r="C100" s="133" t="str">
        <f>VLOOKUP(B100,'Tipos de Defeitos'!B$4:E$106,Menu!$B$28+1,)</f>
        <v>PVC Comprido</v>
      </c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52">
        <f t="shared" si="60"/>
        <v>0</v>
      </c>
      <c r="AT100" s="242">
        <f>AS100+'UM-4 - Dia'!AS100</f>
        <v>0</v>
      </c>
    </row>
    <row r="101" spans="1:46">
      <c r="A101" s="360"/>
      <c r="B101" s="127">
        <f t="shared" si="11"/>
        <v>990</v>
      </c>
      <c r="C101" s="133" t="str">
        <f>VLOOKUP(B101,'Tipos de Defeitos'!B$4:E$106,Menu!$B$28+1,)</f>
        <v>Causa Desconhecida - Amperagem</v>
      </c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52">
        <f t="shared" si="60"/>
        <v>0</v>
      </c>
      <c r="AT101" s="242">
        <f>AS101+'UM-4 - Dia'!AS101</f>
        <v>0</v>
      </c>
    </row>
    <row r="102" spans="1:46" ht="13.5" thickBot="1">
      <c r="A102" s="360"/>
      <c r="B102" s="154">
        <f t="shared" si="11"/>
        <v>1000</v>
      </c>
      <c r="C102" s="155" t="str">
        <f>VLOOKUP(B102,'Tipos de Defeitos'!B$4:E$106,Menu!$B$28+1,)</f>
        <v>Outros - Amperagem</v>
      </c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  <c r="AA102" s="156"/>
      <c r="AB102" s="156"/>
      <c r="AC102" s="156"/>
      <c r="AD102" s="156"/>
      <c r="AE102" s="156"/>
      <c r="AF102" s="156"/>
      <c r="AG102" s="156"/>
      <c r="AH102" s="156"/>
      <c r="AI102" s="156"/>
      <c r="AJ102" s="156"/>
      <c r="AK102" s="156"/>
      <c r="AL102" s="156"/>
      <c r="AM102" s="156"/>
      <c r="AN102" s="156"/>
      <c r="AO102" s="156"/>
      <c r="AP102" s="156"/>
      <c r="AQ102" s="156"/>
      <c r="AR102" s="156"/>
      <c r="AS102" s="203">
        <f t="shared" si="60"/>
        <v>0</v>
      </c>
      <c r="AT102" s="242">
        <f>AS102+'UM-4 - Dia'!AS102</f>
        <v>0</v>
      </c>
    </row>
    <row r="103" spans="1:46">
      <c r="A103" s="361" t="s">
        <v>201</v>
      </c>
      <c r="B103" s="129">
        <f t="shared" si="11"/>
        <v>1010</v>
      </c>
      <c r="C103" s="102" t="str">
        <f>VLOOKUP(B103,'Tipos de Defeitos'!B$4:E$106,Menu!$B$28+1,)</f>
        <v>Total</v>
      </c>
      <c r="D103" s="194">
        <f t="shared" ref="D103:N103" si="61">SUM(D86:D102)</f>
        <v>0</v>
      </c>
      <c r="E103" s="194">
        <f t="shared" si="61"/>
        <v>0</v>
      </c>
      <c r="F103" s="194">
        <f t="shared" si="61"/>
        <v>0</v>
      </c>
      <c r="G103" s="194">
        <f t="shared" si="61"/>
        <v>0</v>
      </c>
      <c r="H103" s="194">
        <f t="shared" si="61"/>
        <v>0</v>
      </c>
      <c r="I103" s="194">
        <f t="shared" si="61"/>
        <v>0</v>
      </c>
      <c r="J103" s="194">
        <f t="shared" si="61"/>
        <v>0</v>
      </c>
      <c r="K103" s="194">
        <f t="shared" si="61"/>
        <v>0</v>
      </c>
      <c r="L103" s="194">
        <f t="shared" si="61"/>
        <v>0</v>
      </c>
      <c r="M103" s="194">
        <f t="shared" si="61"/>
        <v>0</v>
      </c>
      <c r="N103" s="194">
        <f t="shared" si="61"/>
        <v>0</v>
      </c>
      <c r="O103" s="194">
        <f t="shared" ref="O103" si="62">SUM(O86:O102)</f>
        <v>0</v>
      </c>
      <c r="P103" s="194">
        <f t="shared" ref="P103:AR103" si="63">SUM(P86:P102)</f>
        <v>0</v>
      </c>
      <c r="Q103" s="194">
        <f t="shared" si="63"/>
        <v>0</v>
      </c>
      <c r="R103" s="194">
        <f t="shared" si="63"/>
        <v>0</v>
      </c>
      <c r="S103" s="194">
        <f t="shared" si="63"/>
        <v>0</v>
      </c>
      <c r="T103" s="194">
        <f t="shared" si="63"/>
        <v>0</v>
      </c>
      <c r="U103" s="194">
        <f t="shared" si="63"/>
        <v>0</v>
      </c>
      <c r="V103" s="194">
        <f t="shared" si="63"/>
        <v>0</v>
      </c>
      <c r="W103" s="194">
        <f t="shared" si="63"/>
        <v>0</v>
      </c>
      <c r="X103" s="194">
        <f t="shared" si="63"/>
        <v>0</v>
      </c>
      <c r="Y103" s="194">
        <f t="shared" si="63"/>
        <v>0</v>
      </c>
      <c r="Z103" s="194">
        <f t="shared" si="63"/>
        <v>0</v>
      </c>
      <c r="AA103" s="194">
        <f t="shared" si="63"/>
        <v>0</v>
      </c>
      <c r="AB103" s="194">
        <f t="shared" si="63"/>
        <v>0</v>
      </c>
      <c r="AC103" s="194">
        <f t="shared" si="63"/>
        <v>0</v>
      </c>
      <c r="AD103" s="194">
        <f t="shared" si="63"/>
        <v>0</v>
      </c>
      <c r="AE103" s="194">
        <f t="shared" si="63"/>
        <v>0</v>
      </c>
      <c r="AF103" s="194">
        <f t="shared" si="63"/>
        <v>0</v>
      </c>
      <c r="AG103" s="194">
        <f t="shared" si="63"/>
        <v>0</v>
      </c>
      <c r="AH103" s="194">
        <f t="shared" si="63"/>
        <v>0</v>
      </c>
      <c r="AI103" s="194">
        <f t="shared" si="63"/>
        <v>0</v>
      </c>
      <c r="AJ103" s="194">
        <f t="shared" si="63"/>
        <v>0</v>
      </c>
      <c r="AK103" s="194">
        <f t="shared" si="63"/>
        <v>0</v>
      </c>
      <c r="AL103" s="194">
        <f t="shared" si="63"/>
        <v>0</v>
      </c>
      <c r="AM103" s="194">
        <f t="shared" si="63"/>
        <v>0</v>
      </c>
      <c r="AN103" s="194">
        <f t="shared" si="63"/>
        <v>0</v>
      </c>
      <c r="AO103" s="194">
        <f t="shared" si="63"/>
        <v>0</v>
      </c>
      <c r="AP103" s="194">
        <f t="shared" si="63"/>
        <v>0</v>
      </c>
      <c r="AQ103" s="194">
        <f t="shared" si="63"/>
        <v>0</v>
      </c>
      <c r="AR103" s="194">
        <f t="shared" si="63"/>
        <v>0</v>
      </c>
      <c r="AS103" s="151">
        <f t="shared" si="60"/>
        <v>0</v>
      </c>
      <c r="AT103" s="242">
        <f>AS103+'UM-4 - Dia'!AS103</f>
        <v>0</v>
      </c>
    </row>
    <row r="104" spans="1:46">
      <c r="A104" s="362"/>
      <c r="B104" s="127">
        <f t="shared" si="11"/>
        <v>1020</v>
      </c>
      <c r="C104" s="92" t="str">
        <f>VLOOKUP(B104,'Tipos de Defeitos'!B$4:E$106,Menu!$B$28+1,)</f>
        <v>Taxa defeituosa (ppm)</v>
      </c>
      <c r="D104" s="195" t="str">
        <f t="shared" ref="D104:N104" si="64">IF(D27&lt;&gt;0,D103/D27*D24/D22*1000000,"")</f>
        <v/>
      </c>
      <c r="E104" s="195" t="str">
        <f t="shared" si="64"/>
        <v/>
      </c>
      <c r="F104" s="195" t="str">
        <f t="shared" si="64"/>
        <v/>
      </c>
      <c r="G104" s="195" t="str">
        <f t="shared" si="64"/>
        <v/>
      </c>
      <c r="H104" s="195" t="str">
        <f t="shared" si="64"/>
        <v/>
      </c>
      <c r="I104" s="195" t="str">
        <f t="shared" si="64"/>
        <v/>
      </c>
      <c r="J104" s="195" t="str">
        <f t="shared" si="64"/>
        <v/>
      </c>
      <c r="K104" s="195" t="str">
        <f t="shared" si="64"/>
        <v/>
      </c>
      <c r="L104" s="195" t="str">
        <f t="shared" si="64"/>
        <v/>
      </c>
      <c r="M104" s="195" t="str">
        <f t="shared" si="64"/>
        <v/>
      </c>
      <c r="N104" s="195" t="str">
        <f t="shared" si="64"/>
        <v/>
      </c>
      <c r="O104" s="195" t="str">
        <f t="shared" ref="O104" si="65">IF(O27&lt;&gt;0,O103/O27*O24/O22*1000000,"")</f>
        <v/>
      </c>
      <c r="P104" s="195" t="str">
        <f t="shared" ref="P104:AR104" si="66">IF(P27&lt;&gt;0,P103/P27*P24/P22*1000000,"")</f>
        <v/>
      </c>
      <c r="Q104" s="195" t="str">
        <f t="shared" si="66"/>
        <v/>
      </c>
      <c r="R104" s="195" t="str">
        <f t="shared" si="66"/>
        <v/>
      </c>
      <c r="S104" s="195" t="str">
        <f t="shared" si="66"/>
        <v/>
      </c>
      <c r="T104" s="195" t="str">
        <f t="shared" si="66"/>
        <v/>
      </c>
      <c r="U104" s="195" t="str">
        <f t="shared" si="66"/>
        <v/>
      </c>
      <c r="V104" s="195" t="str">
        <f t="shared" si="66"/>
        <v/>
      </c>
      <c r="W104" s="195" t="str">
        <f t="shared" si="66"/>
        <v/>
      </c>
      <c r="X104" s="195" t="str">
        <f t="shared" si="66"/>
        <v/>
      </c>
      <c r="Y104" s="195" t="str">
        <f t="shared" si="66"/>
        <v/>
      </c>
      <c r="Z104" s="195" t="str">
        <f t="shared" si="66"/>
        <v/>
      </c>
      <c r="AA104" s="195" t="str">
        <f t="shared" si="66"/>
        <v/>
      </c>
      <c r="AB104" s="195" t="str">
        <f t="shared" si="66"/>
        <v/>
      </c>
      <c r="AC104" s="195" t="str">
        <f t="shared" si="66"/>
        <v/>
      </c>
      <c r="AD104" s="195" t="str">
        <f t="shared" si="66"/>
        <v/>
      </c>
      <c r="AE104" s="195" t="str">
        <f t="shared" si="66"/>
        <v/>
      </c>
      <c r="AF104" s="195" t="str">
        <f t="shared" si="66"/>
        <v/>
      </c>
      <c r="AG104" s="195" t="str">
        <f t="shared" si="66"/>
        <v/>
      </c>
      <c r="AH104" s="195" t="str">
        <f t="shared" si="66"/>
        <v/>
      </c>
      <c r="AI104" s="195" t="str">
        <f t="shared" si="66"/>
        <v/>
      </c>
      <c r="AJ104" s="195" t="str">
        <f t="shared" si="66"/>
        <v/>
      </c>
      <c r="AK104" s="195" t="str">
        <f t="shared" si="66"/>
        <v/>
      </c>
      <c r="AL104" s="195" t="str">
        <f t="shared" si="66"/>
        <v/>
      </c>
      <c r="AM104" s="195" t="str">
        <f t="shared" si="66"/>
        <v/>
      </c>
      <c r="AN104" s="195" t="str">
        <f t="shared" si="66"/>
        <v/>
      </c>
      <c r="AO104" s="195" t="str">
        <f t="shared" si="66"/>
        <v/>
      </c>
      <c r="AP104" s="195" t="str">
        <f t="shared" si="66"/>
        <v/>
      </c>
      <c r="AQ104" s="195" t="str">
        <f t="shared" si="66"/>
        <v/>
      </c>
      <c r="AR104" s="195" t="str">
        <f t="shared" si="66"/>
        <v/>
      </c>
      <c r="AS104" s="160" t="e">
        <f>AS103/AS27*TT_VA_2T/AS7*1000000</f>
        <v>#DIV/0!</v>
      </c>
      <c r="AT104" s="234" t="e">
        <f>AT103/AT27*AT24/AT7*1000000</f>
        <v>#DIV/0!</v>
      </c>
    </row>
    <row r="105" spans="1:46" ht="13.5" thickBot="1">
      <c r="A105" s="363"/>
      <c r="B105" s="130">
        <f t="shared" si="11"/>
        <v>1030</v>
      </c>
      <c r="C105" s="94" t="str">
        <f>VLOOKUP(B105,'Tipos de Defeitos'!B$4:E$106,Menu!$B$28+1,)</f>
        <v>Taxa Defeituosa Total (ppm)</v>
      </c>
      <c r="D105" s="199" t="str">
        <f t="shared" ref="D105:O105" si="67">IF(D24&gt;0,D24/D7*1000000,"")</f>
        <v/>
      </c>
      <c r="E105" s="199" t="str">
        <f t="shared" si="67"/>
        <v/>
      </c>
      <c r="F105" s="199" t="str">
        <f t="shared" si="67"/>
        <v/>
      </c>
      <c r="G105" s="199" t="str">
        <f t="shared" si="67"/>
        <v/>
      </c>
      <c r="H105" s="199" t="str">
        <f t="shared" si="67"/>
        <v/>
      </c>
      <c r="I105" s="199" t="str">
        <f t="shared" si="67"/>
        <v/>
      </c>
      <c r="J105" s="199" t="str">
        <f t="shared" si="67"/>
        <v/>
      </c>
      <c r="K105" s="199" t="str">
        <f t="shared" si="67"/>
        <v/>
      </c>
      <c r="L105" s="199" t="str">
        <f t="shared" si="67"/>
        <v/>
      </c>
      <c r="M105" s="199" t="str">
        <f t="shared" si="67"/>
        <v/>
      </c>
      <c r="N105" s="199" t="str">
        <f t="shared" si="67"/>
        <v/>
      </c>
      <c r="O105" s="199" t="str">
        <f t="shared" si="67"/>
        <v/>
      </c>
      <c r="P105" s="199" t="str">
        <f t="shared" ref="P105:AR105" si="68">IF(P24&gt;0,P24/P7*1000000,"")</f>
        <v/>
      </c>
      <c r="Q105" s="199" t="str">
        <f t="shared" si="68"/>
        <v/>
      </c>
      <c r="R105" s="199" t="str">
        <f t="shared" si="68"/>
        <v/>
      </c>
      <c r="S105" s="199" t="str">
        <f t="shared" si="68"/>
        <v/>
      </c>
      <c r="T105" s="199" t="str">
        <f t="shared" si="68"/>
        <v/>
      </c>
      <c r="U105" s="199" t="str">
        <f t="shared" si="68"/>
        <v/>
      </c>
      <c r="V105" s="199" t="str">
        <f t="shared" si="68"/>
        <v/>
      </c>
      <c r="W105" s="199" t="str">
        <f t="shared" si="68"/>
        <v/>
      </c>
      <c r="X105" s="199" t="str">
        <f t="shared" si="68"/>
        <v/>
      </c>
      <c r="Y105" s="199" t="str">
        <f t="shared" si="68"/>
        <v/>
      </c>
      <c r="Z105" s="199" t="str">
        <f t="shared" si="68"/>
        <v/>
      </c>
      <c r="AA105" s="199" t="str">
        <f t="shared" si="68"/>
        <v/>
      </c>
      <c r="AB105" s="199" t="str">
        <f t="shared" si="68"/>
        <v/>
      </c>
      <c r="AC105" s="199" t="str">
        <f t="shared" si="68"/>
        <v/>
      </c>
      <c r="AD105" s="199" t="str">
        <f t="shared" si="68"/>
        <v/>
      </c>
      <c r="AE105" s="199" t="str">
        <f t="shared" si="68"/>
        <v/>
      </c>
      <c r="AF105" s="199" t="str">
        <f t="shared" si="68"/>
        <v/>
      </c>
      <c r="AG105" s="199" t="str">
        <f t="shared" si="68"/>
        <v/>
      </c>
      <c r="AH105" s="199" t="str">
        <f t="shared" si="68"/>
        <v/>
      </c>
      <c r="AI105" s="199" t="str">
        <f t="shared" si="68"/>
        <v/>
      </c>
      <c r="AJ105" s="199" t="str">
        <f t="shared" si="68"/>
        <v/>
      </c>
      <c r="AK105" s="199" t="str">
        <f t="shared" si="68"/>
        <v/>
      </c>
      <c r="AL105" s="199" t="str">
        <f t="shared" si="68"/>
        <v/>
      </c>
      <c r="AM105" s="199" t="str">
        <f t="shared" si="68"/>
        <v/>
      </c>
      <c r="AN105" s="199" t="str">
        <f t="shared" si="68"/>
        <v/>
      </c>
      <c r="AO105" s="199" t="str">
        <f t="shared" si="68"/>
        <v/>
      </c>
      <c r="AP105" s="199" t="str">
        <f t="shared" si="68"/>
        <v/>
      </c>
      <c r="AQ105" s="199" t="str">
        <f t="shared" si="68"/>
        <v/>
      </c>
      <c r="AR105" s="199" t="str">
        <f t="shared" si="68"/>
        <v/>
      </c>
      <c r="AS105" s="204" t="str">
        <f>IF(AS24&gt;0,AS24/AS7*1000000,"")</f>
        <v/>
      </c>
    </row>
    <row r="106" spans="1:46">
      <c r="A106" s="237"/>
      <c r="B106" s="238"/>
      <c r="D106" s="239"/>
      <c r="E106" s="239"/>
      <c r="F106" s="239"/>
      <c r="G106" s="239"/>
      <c r="H106" s="239"/>
      <c r="I106" s="239"/>
      <c r="J106" s="239"/>
      <c r="K106" s="239"/>
      <c r="L106" s="239"/>
      <c r="M106" s="239"/>
      <c r="N106" s="239"/>
      <c r="O106" s="239"/>
      <c r="P106" s="239"/>
      <c r="Q106" s="239"/>
      <c r="R106" s="239"/>
      <c r="S106" s="239"/>
      <c r="T106" s="239"/>
      <c r="U106" s="239"/>
      <c r="V106" s="239"/>
      <c r="W106" s="239"/>
      <c r="X106" s="239"/>
      <c r="Y106" s="239"/>
      <c r="Z106" s="239"/>
      <c r="AA106" s="239"/>
      <c r="AB106" s="239"/>
      <c r="AC106" s="239"/>
      <c r="AD106" s="239"/>
      <c r="AE106" s="239"/>
      <c r="AF106" s="239"/>
      <c r="AG106" s="239"/>
      <c r="AH106" s="239"/>
      <c r="AI106" s="239"/>
      <c r="AJ106" s="239"/>
      <c r="AK106" s="239"/>
      <c r="AL106" s="239"/>
      <c r="AM106" s="239"/>
      <c r="AN106" s="239"/>
      <c r="AO106" s="239"/>
      <c r="AP106" s="239"/>
      <c r="AQ106" s="239"/>
      <c r="AR106" s="239"/>
      <c r="AS106" s="239"/>
    </row>
    <row r="107" spans="1:46">
      <c r="A107" s="237"/>
      <c r="B107" s="238"/>
      <c r="C107" s="240"/>
      <c r="D107" s="239" t="e">
        <f>(#REF!+#REF!)/#REF!*#REF!/#REF!*1000000</f>
        <v>#REF!</v>
      </c>
      <c r="E107" s="239"/>
      <c r="F107" s="239" t="e">
        <f>(F74+F73)/F23*F20/F18*1000000</f>
        <v>#DIV/0!</v>
      </c>
      <c r="G107" s="239" t="e">
        <f>(G74+G73)/G23*G20/G18*1000000</f>
        <v>#DIV/0!</v>
      </c>
      <c r="H107" s="239" t="e">
        <f t="shared" ref="H107:AR107" si="69">(H74+H73)/H23*H20/H18*1000000</f>
        <v>#DIV/0!</v>
      </c>
      <c r="I107" s="239" t="e">
        <f t="shared" si="69"/>
        <v>#DIV/0!</v>
      </c>
      <c r="J107" s="239" t="e">
        <f t="shared" si="69"/>
        <v>#DIV/0!</v>
      </c>
      <c r="K107" s="239" t="e">
        <f t="shared" si="69"/>
        <v>#DIV/0!</v>
      </c>
      <c r="L107" s="239"/>
      <c r="M107" s="239"/>
      <c r="N107" s="239"/>
      <c r="O107" s="239"/>
      <c r="P107" s="239"/>
      <c r="Q107" s="239"/>
      <c r="R107" s="239"/>
      <c r="S107" s="239"/>
      <c r="T107" s="239"/>
      <c r="U107" s="239"/>
      <c r="V107" s="239"/>
      <c r="W107" s="239"/>
      <c r="X107" s="239"/>
      <c r="Y107" s="239"/>
      <c r="Z107" s="239"/>
      <c r="AA107" s="239"/>
      <c r="AB107" s="239"/>
      <c r="AC107" s="239"/>
      <c r="AD107" s="239"/>
      <c r="AE107" s="239"/>
      <c r="AF107" s="239" t="e">
        <f t="shared" si="69"/>
        <v>#DIV/0!</v>
      </c>
      <c r="AG107" s="239"/>
      <c r="AH107" s="239"/>
      <c r="AI107" s="239"/>
      <c r="AJ107" s="239"/>
      <c r="AK107" s="239"/>
      <c r="AL107" s="239"/>
      <c r="AM107" s="239"/>
      <c r="AN107" s="239"/>
      <c r="AO107" s="239"/>
      <c r="AP107" s="239"/>
      <c r="AQ107" s="239" t="e">
        <f t="shared" si="69"/>
        <v>#DIV/0!</v>
      </c>
      <c r="AR107" s="239" t="e">
        <f t="shared" si="69"/>
        <v>#DIV/0!</v>
      </c>
      <c r="AS107" s="239"/>
    </row>
    <row r="108" spans="1:46">
      <c r="A108" s="237"/>
      <c r="B108" s="238">
        <v>10</v>
      </c>
      <c r="D108" s="239"/>
      <c r="E108" s="239"/>
      <c r="F108" s="239"/>
      <c r="G108" s="239"/>
      <c r="H108" s="239"/>
      <c r="I108" s="239"/>
      <c r="J108" s="239"/>
      <c r="K108" s="239"/>
      <c r="L108" s="239"/>
      <c r="M108" s="239"/>
      <c r="N108" s="239"/>
      <c r="O108" s="239"/>
      <c r="P108" s="239"/>
      <c r="Q108" s="239"/>
      <c r="R108" s="239"/>
      <c r="S108" s="239"/>
      <c r="T108" s="239"/>
      <c r="U108" s="239"/>
      <c r="V108" s="239"/>
      <c r="W108" s="239"/>
      <c r="X108" s="239"/>
      <c r="Y108" s="239"/>
      <c r="Z108" s="239"/>
      <c r="AA108" s="239"/>
      <c r="AB108" s="239"/>
      <c r="AC108" s="239"/>
      <c r="AD108" s="239"/>
      <c r="AE108" s="239"/>
      <c r="AF108" s="239"/>
      <c r="AG108" s="239"/>
      <c r="AH108" s="239"/>
      <c r="AI108" s="239"/>
      <c r="AJ108" s="239"/>
      <c r="AK108" s="239"/>
      <c r="AL108" s="239"/>
      <c r="AM108" s="239"/>
      <c r="AN108" s="239"/>
      <c r="AO108" s="239"/>
      <c r="AP108" s="239"/>
      <c r="AQ108" s="239"/>
      <c r="AR108" s="239"/>
      <c r="AS108" s="239"/>
    </row>
    <row r="109" spans="1:46">
      <c r="A109" s="237"/>
      <c r="B109" s="238"/>
      <c r="D109" s="239"/>
      <c r="E109" s="239"/>
      <c r="F109" s="239"/>
      <c r="G109" s="239"/>
      <c r="H109" s="239"/>
      <c r="I109" s="239"/>
      <c r="J109" s="239"/>
      <c r="K109" s="239"/>
      <c r="L109" s="239"/>
      <c r="M109" s="239"/>
      <c r="N109" s="239"/>
      <c r="O109" s="239"/>
      <c r="P109" s="239"/>
      <c r="Q109" s="239"/>
      <c r="R109" s="239"/>
      <c r="S109" s="239"/>
      <c r="T109" s="239"/>
      <c r="U109" s="239"/>
      <c r="V109" s="239"/>
      <c r="W109" s="239"/>
      <c r="X109" s="239"/>
      <c r="Y109" s="239"/>
      <c r="Z109" s="239"/>
      <c r="AA109" s="239"/>
      <c r="AB109" s="239"/>
      <c r="AC109" s="239"/>
      <c r="AD109" s="239"/>
      <c r="AE109" s="239"/>
      <c r="AF109" s="239"/>
      <c r="AG109" s="239"/>
      <c r="AH109" s="239"/>
      <c r="AI109" s="239"/>
      <c r="AJ109" s="239"/>
      <c r="AK109" s="239"/>
      <c r="AL109" s="239"/>
      <c r="AM109" s="239"/>
      <c r="AN109" s="239"/>
      <c r="AO109" s="239"/>
      <c r="AP109" s="239"/>
      <c r="AQ109" s="239"/>
      <c r="AR109" s="239"/>
      <c r="AS109" s="239"/>
    </row>
    <row r="110" spans="1:46">
      <c r="D110" s="232"/>
      <c r="E110" s="232"/>
      <c r="F110" s="232"/>
      <c r="H110" s="232"/>
      <c r="I110" s="232"/>
      <c r="K110" s="232"/>
      <c r="L110" s="232"/>
      <c r="M110" s="232"/>
      <c r="N110" s="232"/>
      <c r="O110" s="232"/>
      <c r="P110" s="232"/>
      <c r="Q110" s="232"/>
      <c r="R110" s="232"/>
      <c r="S110" s="232"/>
      <c r="T110" s="232"/>
      <c r="U110" s="232"/>
      <c r="V110" s="232"/>
      <c r="W110" s="232"/>
      <c r="X110" s="232"/>
      <c r="Y110" s="232"/>
      <c r="Z110" s="232"/>
      <c r="AA110" s="232"/>
      <c r="AB110" s="232"/>
      <c r="AC110" s="232"/>
      <c r="AD110" s="232"/>
      <c r="AE110" s="232"/>
      <c r="AF110" s="232"/>
      <c r="AG110" s="232"/>
      <c r="AH110" s="232"/>
      <c r="AI110" s="232"/>
      <c r="AJ110" s="232"/>
      <c r="AK110" s="232"/>
      <c r="AL110" s="232"/>
      <c r="AM110" s="232"/>
      <c r="AN110" s="232"/>
      <c r="AO110" s="232"/>
      <c r="AP110" s="232"/>
      <c r="AQ110" s="232"/>
    </row>
    <row r="111" spans="1:46">
      <c r="D111" s="232"/>
      <c r="E111" s="232"/>
      <c r="F111" s="232"/>
      <c r="H111" s="232"/>
      <c r="I111" s="232"/>
      <c r="K111" s="232"/>
      <c r="L111" s="232"/>
      <c r="M111" s="232"/>
      <c r="N111" s="232"/>
      <c r="O111" s="232"/>
      <c r="P111" s="232"/>
      <c r="Q111" s="232"/>
      <c r="R111" s="232"/>
      <c r="S111" s="232"/>
      <c r="T111" s="232"/>
      <c r="U111" s="232"/>
      <c r="V111" s="232"/>
      <c r="W111" s="232"/>
      <c r="X111" s="232"/>
      <c r="Y111" s="232"/>
      <c r="Z111" s="232"/>
      <c r="AA111" s="232"/>
      <c r="AB111" s="232"/>
      <c r="AC111" s="232"/>
      <c r="AD111" s="232"/>
      <c r="AE111" s="232"/>
      <c r="AF111" s="232"/>
      <c r="AG111" s="232"/>
      <c r="AH111" s="232"/>
      <c r="AI111" s="232"/>
      <c r="AJ111" s="232"/>
      <c r="AK111" s="232"/>
      <c r="AL111" s="232"/>
      <c r="AM111" s="232"/>
      <c r="AN111" s="232"/>
      <c r="AO111" s="232"/>
      <c r="AP111" s="232"/>
      <c r="AQ111" s="232"/>
    </row>
    <row r="112" spans="1:46">
      <c r="C112" s="229">
        <v>1</v>
      </c>
    </row>
    <row r="131" spans="4:44" s="232" customFormat="1">
      <c r="D131" s="241" t="str">
        <f ca="1">D2</f>
        <v>03 / 2022</v>
      </c>
      <c r="E131" s="241"/>
      <c r="F131" s="241">
        <f>F2</f>
        <v>0</v>
      </c>
      <c r="G131" s="241">
        <f>G2</f>
        <v>0</v>
      </c>
      <c r="H131" s="241">
        <f>H2</f>
        <v>0</v>
      </c>
      <c r="I131" s="241">
        <f>I2</f>
        <v>0</v>
      </c>
      <c r="J131" s="241"/>
      <c r="K131" s="241">
        <f>K2</f>
        <v>0</v>
      </c>
      <c r="L131" s="241"/>
      <c r="M131" s="241"/>
      <c r="N131" s="241"/>
      <c r="O131" s="241"/>
      <c r="P131" s="241"/>
      <c r="Q131" s="241"/>
      <c r="R131" s="241"/>
      <c r="S131" s="241"/>
      <c r="T131" s="241"/>
      <c r="U131" s="241"/>
      <c r="V131" s="241"/>
      <c r="W131" s="241"/>
      <c r="X131" s="241"/>
      <c r="Y131" s="241"/>
      <c r="Z131" s="241"/>
      <c r="AA131" s="241"/>
      <c r="AB131" s="241"/>
      <c r="AC131" s="241"/>
      <c r="AD131" s="241"/>
      <c r="AE131" s="241"/>
      <c r="AF131" s="241">
        <f>AF2</f>
        <v>0</v>
      </c>
      <c r="AG131" s="241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>
        <f>AR2</f>
        <v>0</v>
      </c>
    </row>
  </sheetData>
  <sheetProtection algorithmName="SHA-512" hashValue="8Su7FUfiul9eJwqOA+zofzOi3VAyM7pObYtwzQU7qwbx22kADn0QKG7xnjHYk+TKHw471zWAw285phQUOcg3zg==" saltValue="Ad6bt0ZKEhh47iNi3BM7Xg==" spinCount="100000" sheet="1" objects="1" scenarios="1" selectLockedCells="1"/>
  <mergeCells count="8">
    <mergeCell ref="A86:A102"/>
    <mergeCell ref="A103:A105"/>
    <mergeCell ref="D2:AR2"/>
    <mergeCell ref="A3:A22"/>
    <mergeCell ref="A23:A27"/>
    <mergeCell ref="A28:A77"/>
    <mergeCell ref="A78:A82"/>
    <mergeCell ref="A83:A85"/>
  </mergeCells>
  <phoneticPr fontId="20"/>
  <conditionalFormatting sqref="B3:AS105">
    <cfRule type="expression" dxfId="8" priority="316">
      <formula>MOD(ROW(),2)=0</formula>
    </cfRule>
  </conditionalFormatting>
  <conditionalFormatting sqref="D27:Y27">
    <cfRule type="expression" dxfId="7" priority="190">
      <formula>D$27&lt;&gt;(D$78+D$103)</formula>
    </cfRule>
  </conditionalFormatting>
  <dataValidations count="1">
    <dataValidation type="list" allowBlank="1" showInputMessage="1" showErrorMessage="1" sqref="D6:AS6" xr:uid="{00000000-0002-0000-0400-000000000000}">
      <formula1>PRODUTOS</formula1>
    </dataValidation>
  </dataValidations>
  <pageMargins left="0.19685039370078741" right="0.19685039370078741" top="1.1811023622047245" bottom="0.55118110236220474" header="0.70866141732283472" footer="0.31496062992125984"/>
  <pageSetup paperSize="12" scale="47" orientation="landscape" horizontalDpi="300" verticalDpi="300" r:id="rId1"/>
  <headerFooter alignWithMargins="0">
    <oddHeader xml:space="preserve">&amp;L&amp;"SwitzerlandBlack,Negrito"&amp;16Panasonic&amp;"SwitzerlandBlack,Regular"
&amp;"Arial,Normal"&amp;9PILHAS / BATERIAS
&amp;C&amp;14CONTROLE DE FALHAS DE V e A&amp;16
&amp;12 1-SH &amp;RMÊS /  ANO&amp;12
Setembro/2003&amp;"ＭＳ ゴシック,Regular"&amp;11  </oddHeader>
    <oddFooter>&amp;LF-7.115 Rev 01 (PGQ-7.03)&amp;R&amp;A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81" r:id="rId4" name="Button 1">
              <controlPr defaultSize="0" print="0" autoFill="0" autoPict="0" macro="[0]!BtnMenu">
                <anchor moveWithCells="1" sizeWithCells="1">
                  <from>
                    <xdr:col>5</xdr:col>
                    <xdr:colOff>762000</xdr:colOff>
                    <xdr:row>0</xdr:row>
                    <xdr:rowOff>0</xdr:rowOff>
                  </from>
                  <to>
                    <xdr:col>6</xdr:col>
                    <xdr:colOff>628650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8"/>
  <dimension ref="A1:AT131"/>
  <sheetViews>
    <sheetView zoomScaleNormal="100" workbookViewId="0">
      <pane xSplit="3" topLeftCell="D1" activePane="topRight" state="frozen"/>
      <selection activeCell="C89" sqref="C89"/>
      <selection pane="topRight" activeCell="D10" sqref="D10"/>
    </sheetView>
  </sheetViews>
  <sheetFormatPr defaultColWidth="10.28515625" defaultRowHeight="12.75"/>
  <cols>
    <col min="1" max="1" width="3.28515625" style="229" bestFit="1" customWidth="1"/>
    <col min="2" max="2" width="5" style="229" bestFit="1" customWidth="1"/>
    <col min="3" max="3" width="35.7109375" style="229" bestFit="1" customWidth="1"/>
    <col min="4" max="6" width="11.7109375" style="229" customWidth="1"/>
    <col min="7" max="7" width="11.7109375" style="232" customWidth="1"/>
    <col min="8" max="9" width="11.7109375" style="229" customWidth="1"/>
    <col min="10" max="10" width="11.7109375" style="232" customWidth="1"/>
    <col min="11" max="43" width="11.7109375" style="229" customWidth="1"/>
    <col min="44" max="44" width="11.7109375" style="232" customWidth="1"/>
    <col min="45" max="45" width="12" style="232" bestFit="1" customWidth="1"/>
    <col min="46" max="16384" width="10.28515625" style="229"/>
  </cols>
  <sheetData>
    <row r="1" spans="1:46" ht="13.5" thickBot="1">
      <c r="C1" s="230" t="str">
        <f>AS2</f>
        <v>Noite</v>
      </c>
      <c r="D1" s="231"/>
      <c r="E1" s="231"/>
      <c r="AS1" s="59"/>
    </row>
    <row r="2" spans="1:46" ht="13.5" thickBot="1">
      <c r="B2" s="126" t="s">
        <v>202</v>
      </c>
      <c r="C2" s="135" t="s">
        <v>229</v>
      </c>
      <c r="D2" s="364" t="str">
        <f ca="1">'UM-4 - Dia'!D2:AR2</f>
        <v>03 / 2022</v>
      </c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179" t="s">
        <v>237</v>
      </c>
      <c r="AT2" s="240" t="s">
        <v>239</v>
      </c>
    </row>
    <row r="3" spans="1:46">
      <c r="A3" s="366" t="s">
        <v>198</v>
      </c>
      <c r="B3" s="129">
        <v>10</v>
      </c>
      <c r="C3" s="136" t="str">
        <f>VLOOKUP(B3,'Tipos de Defeitos'!B$4:E$106,Menu!$B$28+1,)</f>
        <v>Data da Montagem</v>
      </c>
      <c r="D3" s="190"/>
      <c r="E3" s="190"/>
      <c r="F3" s="189"/>
      <c r="G3" s="189"/>
      <c r="H3" s="190"/>
      <c r="I3" s="190"/>
      <c r="J3" s="190"/>
      <c r="K3" s="190"/>
      <c r="L3" s="190"/>
      <c r="M3" s="190"/>
      <c r="N3" s="190"/>
      <c r="O3" s="190"/>
      <c r="P3" s="190"/>
      <c r="Q3" s="189"/>
      <c r="R3" s="189"/>
      <c r="S3" s="189"/>
      <c r="T3" s="189"/>
      <c r="U3" s="189"/>
      <c r="V3" s="189"/>
      <c r="W3" s="190"/>
      <c r="X3" s="190"/>
      <c r="Y3" s="190"/>
      <c r="Z3" s="190"/>
      <c r="AA3" s="190"/>
      <c r="AB3" s="190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200"/>
    </row>
    <row r="4" spans="1:46">
      <c r="A4" s="367"/>
      <c r="B4" s="127">
        <f>(B3/10+1)*10</f>
        <v>20</v>
      </c>
      <c r="C4" s="137" t="str">
        <f>VLOOKUP(B4,'Tipos de Defeitos'!B$4:E$106,Menu!$B$28+1,)</f>
        <v>Data do Acabamento</v>
      </c>
      <c r="D4" s="191"/>
      <c r="E4" s="191"/>
      <c r="F4" s="191"/>
      <c r="G4" s="191"/>
      <c r="H4" s="312"/>
      <c r="I4" s="191"/>
      <c r="J4" s="191"/>
      <c r="K4" s="191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201"/>
    </row>
    <row r="5" spans="1:46">
      <c r="A5" s="367"/>
      <c r="B5" s="127">
        <f t="shared" ref="B5:B68" si="0">(B4/10+1)*10</f>
        <v>30</v>
      </c>
      <c r="C5" s="137" t="str">
        <f>VLOOKUP(B5,'Tipos de Defeitos'!B$4:E$106,Menu!$B$28+1,)</f>
        <v>Descanso:</v>
      </c>
      <c r="D5" s="141" t="str">
        <f t="shared" ref="D5:O5" si="1">IF(D4="","",D4-D3)</f>
        <v/>
      </c>
      <c r="E5" s="141" t="str">
        <f t="shared" si="1"/>
        <v/>
      </c>
      <c r="F5" s="141" t="str">
        <f t="shared" si="1"/>
        <v/>
      </c>
      <c r="G5" s="141" t="str">
        <f t="shared" si="1"/>
        <v/>
      </c>
      <c r="H5" s="141" t="str">
        <f t="shared" si="1"/>
        <v/>
      </c>
      <c r="I5" s="141" t="str">
        <f t="shared" si="1"/>
        <v/>
      </c>
      <c r="J5" s="141" t="str">
        <f t="shared" si="1"/>
        <v/>
      </c>
      <c r="K5" s="141" t="str">
        <f t="shared" si="1"/>
        <v/>
      </c>
      <c r="L5" s="141" t="str">
        <f t="shared" si="1"/>
        <v/>
      </c>
      <c r="M5" s="141" t="str">
        <f t="shared" si="1"/>
        <v/>
      </c>
      <c r="N5" s="141" t="str">
        <f t="shared" si="1"/>
        <v/>
      </c>
      <c r="O5" s="141" t="str">
        <f t="shared" si="1"/>
        <v/>
      </c>
      <c r="P5" s="141" t="str">
        <f>IF(P4="","",P4-P3)</f>
        <v/>
      </c>
      <c r="Q5" s="141" t="str">
        <f t="shared" ref="Q5:AR5" si="2">IF(Q4="","",Q4-Q3)</f>
        <v/>
      </c>
      <c r="R5" s="141" t="str">
        <f t="shared" si="2"/>
        <v/>
      </c>
      <c r="S5" s="141" t="str">
        <f t="shared" si="2"/>
        <v/>
      </c>
      <c r="T5" s="141" t="str">
        <f t="shared" si="2"/>
        <v/>
      </c>
      <c r="U5" s="141" t="str">
        <f t="shared" si="2"/>
        <v/>
      </c>
      <c r="V5" s="141" t="str">
        <f t="shared" si="2"/>
        <v/>
      </c>
      <c r="W5" s="141" t="str">
        <f t="shared" si="2"/>
        <v/>
      </c>
      <c r="X5" s="141" t="str">
        <f t="shared" si="2"/>
        <v/>
      </c>
      <c r="Y5" s="141" t="str">
        <f t="shared" si="2"/>
        <v/>
      </c>
      <c r="Z5" s="141" t="str">
        <f t="shared" si="2"/>
        <v/>
      </c>
      <c r="AA5" s="141" t="str">
        <f t="shared" si="2"/>
        <v/>
      </c>
      <c r="AB5" s="141" t="str">
        <f t="shared" si="2"/>
        <v/>
      </c>
      <c r="AC5" s="141" t="str">
        <f t="shared" si="2"/>
        <v/>
      </c>
      <c r="AD5" s="141" t="str">
        <f t="shared" si="2"/>
        <v/>
      </c>
      <c r="AE5" s="141" t="str">
        <f t="shared" si="2"/>
        <v/>
      </c>
      <c r="AF5" s="141" t="str">
        <f t="shared" si="2"/>
        <v/>
      </c>
      <c r="AG5" s="141" t="str">
        <f t="shared" si="2"/>
        <v/>
      </c>
      <c r="AH5" s="141" t="str">
        <f t="shared" si="2"/>
        <v/>
      </c>
      <c r="AI5" s="141" t="str">
        <f t="shared" si="2"/>
        <v/>
      </c>
      <c r="AJ5" s="141" t="str">
        <f t="shared" si="2"/>
        <v/>
      </c>
      <c r="AK5" s="141" t="str">
        <f t="shared" si="2"/>
        <v/>
      </c>
      <c r="AL5" s="141" t="str">
        <f t="shared" si="2"/>
        <v/>
      </c>
      <c r="AM5" s="141" t="str">
        <f t="shared" si="2"/>
        <v/>
      </c>
      <c r="AN5" s="141" t="str">
        <f t="shared" si="2"/>
        <v/>
      </c>
      <c r="AO5" s="141" t="str">
        <f t="shared" si="2"/>
        <v/>
      </c>
      <c r="AP5" s="141" t="str">
        <f t="shared" si="2"/>
        <v/>
      </c>
      <c r="AQ5" s="141" t="str">
        <f t="shared" si="2"/>
        <v/>
      </c>
      <c r="AR5" s="141" t="str">
        <f t="shared" si="2"/>
        <v/>
      </c>
      <c r="AS5" s="167"/>
    </row>
    <row r="6" spans="1:46">
      <c r="A6" s="367"/>
      <c r="B6" s="127">
        <f t="shared" si="0"/>
        <v>40</v>
      </c>
      <c r="C6" s="137" t="str">
        <f>VLOOKUP(B6,'Tipos de Defeitos'!B$4:E$106,Menu!$B$28+1,)</f>
        <v>Modelo</v>
      </c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AQ6" s="142"/>
      <c r="AR6" s="142"/>
      <c r="AS6" s="141"/>
    </row>
    <row r="7" spans="1:46">
      <c r="A7" s="367"/>
      <c r="B7" s="127">
        <f t="shared" si="0"/>
        <v>50</v>
      </c>
      <c r="C7" s="137" t="str">
        <f>VLOOKUP(B7,'Tipos de Defeitos'!B$4:E$106,Menu!$B$28+1,)</f>
        <v>Qtd de Produção (pçs)</v>
      </c>
      <c r="D7" s="226"/>
      <c r="E7" s="226"/>
      <c r="F7" s="182"/>
      <c r="G7" s="182"/>
      <c r="H7" s="226"/>
      <c r="I7" s="226"/>
      <c r="J7" s="226"/>
      <c r="K7" s="226"/>
      <c r="L7" s="226"/>
      <c r="M7" s="226"/>
      <c r="N7" s="226"/>
      <c r="O7" s="226"/>
      <c r="P7" s="226"/>
      <c r="Q7" s="182"/>
      <c r="R7" s="182"/>
      <c r="S7" s="182"/>
      <c r="T7" s="182"/>
      <c r="U7" s="182"/>
      <c r="V7" s="182"/>
      <c r="W7" s="226"/>
      <c r="X7" s="226"/>
      <c r="Y7" s="226"/>
      <c r="Z7" s="226"/>
      <c r="AA7" s="226"/>
      <c r="AB7" s="226"/>
      <c r="AC7" s="226"/>
      <c r="AD7" s="226"/>
      <c r="AE7" s="226"/>
      <c r="AF7" s="226"/>
      <c r="AG7" s="226"/>
      <c r="AH7" s="142"/>
      <c r="AI7" s="142"/>
      <c r="AJ7" s="142"/>
      <c r="AK7" s="142"/>
      <c r="AL7" s="142"/>
      <c r="AM7" s="142"/>
      <c r="AN7" s="142"/>
      <c r="AO7" s="142"/>
      <c r="AP7" s="142"/>
      <c r="AQ7" s="142"/>
      <c r="AR7" s="142"/>
      <c r="AS7" s="141">
        <f>SUM(D7:AR7)</f>
        <v>0</v>
      </c>
      <c r="AT7" s="242">
        <f>AS7+'UM-4 - Dia'!AS7</f>
        <v>0</v>
      </c>
    </row>
    <row r="8" spans="1:46">
      <c r="A8" s="367"/>
      <c r="B8" s="127">
        <f t="shared" si="0"/>
        <v>60</v>
      </c>
      <c r="C8" s="137" t="str">
        <f>VLOOKUP(B8,'Tipos de Defeitos'!B$4:E$106,Menu!$B$28+1,)</f>
        <v>GME - Fornecedor</v>
      </c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1"/>
    </row>
    <row r="9" spans="1:46">
      <c r="A9" s="367"/>
      <c r="B9" s="127">
        <f t="shared" si="0"/>
        <v>70</v>
      </c>
      <c r="C9" s="137" t="str">
        <f>VLOOKUP(B9,'Tipos de Defeitos'!B$4:E$106,Menu!$B$28+1,)</f>
        <v>Nº Lote</v>
      </c>
      <c r="D9" s="288"/>
      <c r="E9" s="288"/>
      <c r="F9" s="288"/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288"/>
      <c r="U9" s="288"/>
      <c r="V9" s="288"/>
      <c r="W9" s="288"/>
      <c r="X9" s="288"/>
      <c r="Y9" s="288"/>
      <c r="Z9" s="288"/>
      <c r="AA9" s="288"/>
      <c r="AB9" s="288"/>
      <c r="AC9" s="288"/>
      <c r="AD9" s="288"/>
      <c r="AE9" s="288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41"/>
    </row>
    <row r="10" spans="1:46">
      <c r="A10" s="367"/>
      <c r="B10" s="127">
        <f t="shared" si="0"/>
        <v>80</v>
      </c>
      <c r="C10" s="137" t="str">
        <f>VLOOKUP(B10,'Tipos de Defeitos'!B$4:E$106,Menu!$B$28+1,)</f>
        <v>Qtd</v>
      </c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1"/>
    </row>
    <row r="11" spans="1:46">
      <c r="A11" s="367"/>
      <c r="B11" s="127">
        <f t="shared" si="0"/>
        <v>90</v>
      </c>
      <c r="C11" s="137" t="str">
        <f>VLOOKUP(B11,'Tipos de Defeitos'!B$4:E$106,Menu!$B$28+1,)</f>
        <v>GMT - Fornecedor</v>
      </c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141"/>
    </row>
    <row r="12" spans="1:46">
      <c r="A12" s="367"/>
      <c r="B12" s="127">
        <f t="shared" si="0"/>
        <v>100</v>
      </c>
      <c r="C12" s="137" t="str">
        <f>VLOOKUP(B12,'Tipos de Defeitos'!B$4:E$106,Menu!$B$28+1,)</f>
        <v>Nº Lote</v>
      </c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2"/>
      <c r="AP12" s="142"/>
      <c r="AQ12" s="142"/>
      <c r="AR12" s="142"/>
      <c r="AS12" s="141"/>
    </row>
    <row r="13" spans="1:46">
      <c r="A13" s="367"/>
      <c r="B13" s="127">
        <f t="shared" si="0"/>
        <v>110</v>
      </c>
      <c r="C13" s="137" t="str">
        <f>VLOOKUP(B13,'Tipos de Defeitos'!B$4:E$106,Menu!$B$28+1,)</f>
        <v>Qtd</v>
      </c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1"/>
    </row>
    <row r="14" spans="1:46">
      <c r="A14" s="367"/>
      <c r="B14" s="127">
        <f t="shared" si="0"/>
        <v>120</v>
      </c>
      <c r="C14" s="137" t="str">
        <f>VLOOKUP(B14,'Tipos de Defeitos'!B$4:E$106,Menu!$B$28+1,)</f>
        <v>GCA - Fornecedor</v>
      </c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311"/>
      <c r="AA14" s="311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1"/>
    </row>
    <row r="15" spans="1:46">
      <c r="A15" s="367"/>
      <c r="B15" s="127">
        <f t="shared" si="0"/>
        <v>130</v>
      </c>
      <c r="C15" s="137" t="str">
        <f>VLOOKUP(B15,'Tipos de Defeitos'!B$4:E$106,Menu!$B$28+1,)</f>
        <v>Lot.</v>
      </c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1"/>
    </row>
    <row r="16" spans="1:46">
      <c r="A16" s="367"/>
      <c r="B16" s="127">
        <f t="shared" si="0"/>
        <v>140</v>
      </c>
      <c r="C16" s="137" t="str">
        <f>VLOOKUP(B16,'Tipos de Defeitos'!B$4:E$106,Menu!$B$28+1,)</f>
        <v>Qtd</v>
      </c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1"/>
    </row>
    <row r="17" spans="1:46">
      <c r="A17" s="367"/>
      <c r="B17" s="127">
        <f t="shared" si="0"/>
        <v>150</v>
      </c>
      <c r="C17" s="137" t="str">
        <f>VLOOKUP(B17,'Tipos de Defeitos'!B$4:E$106,Menu!$B$28+1,)</f>
        <v>GZO - Fornecedor</v>
      </c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1"/>
    </row>
    <row r="18" spans="1:46">
      <c r="A18" s="367"/>
      <c r="B18" s="127">
        <f t="shared" si="0"/>
        <v>160</v>
      </c>
      <c r="C18" s="137" t="str">
        <f>VLOOKUP(B18,'Tipos de Defeitos'!B$4:E$106,Menu!$B$28+1,)</f>
        <v>Nº Lote</v>
      </c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97"/>
    </row>
    <row r="19" spans="1:46">
      <c r="A19" s="367"/>
      <c r="B19" s="127">
        <f t="shared" si="0"/>
        <v>170</v>
      </c>
      <c r="C19" s="137" t="str">
        <f>VLOOKUP(B19,'Tipos de Defeitos'!B$4:E$106,Menu!$B$28+1,)</f>
        <v>Qtd</v>
      </c>
      <c r="D19" s="144"/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97">
        <f>SUM(D19:AR19)</f>
        <v>0</v>
      </c>
    </row>
    <row r="20" spans="1:46">
      <c r="A20" s="367"/>
      <c r="B20" s="127">
        <f t="shared" si="0"/>
        <v>180</v>
      </c>
      <c r="C20" s="137" t="str">
        <f>VLOOKUP(B20,'Tipos de Defeitos'!B$4:E$106,Menu!$B$28+1,)</f>
        <v>Solução nº 125 Qtd</v>
      </c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286"/>
      <c r="AG20" s="287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1">
        <f>SUM(D20:AR20)</f>
        <v>0</v>
      </c>
    </row>
    <row r="21" spans="1:46" ht="12.75" customHeight="1">
      <c r="A21" s="367"/>
      <c r="B21" s="127">
        <f t="shared" si="0"/>
        <v>190</v>
      </c>
      <c r="C21" s="137" t="str">
        <f>VLOOKUP(B21,'Tipos de Defeitos'!B$4:E$106,Menu!$B$28+1,)</f>
        <v>Carvão - Fornecedor</v>
      </c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1" t="e">
        <f>AVERAGE(D21:AR21)</f>
        <v>#DIV/0!</v>
      </c>
    </row>
    <row r="22" spans="1:46" ht="13.5" thickBot="1">
      <c r="A22" s="368"/>
      <c r="B22" s="130">
        <f t="shared" si="0"/>
        <v>200</v>
      </c>
      <c r="C22" s="138" t="str">
        <f>VLOOKUP(B22,'Tipos de Defeitos'!B$4:E$106,Menu!$B$28+1,)</f>
        <v>Nº Lote</v>
      </c>
      <c r="D22" s="180"/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  <c r="AM22" s="180"/>
      <c r="AN22" s="180"/>
      <c r="AO22" s="180"/>
      <c r="AP22" s="180"/>
      <c r="AQ22" s="180"/>
      <c r="AR22" s="180"/>
      <c r="AS22" s="145" t="e">
        <f>AVERAGE(D22:AR22)</f>
        <v>#DIV/0!</v>
      </c>
    </row>
    <row r="23" spans="1:46">
      <c r="A23" s="369" t="s">
        <v>199</v>
      </c>
      <c r="B23" s="129">
        <f t="shared" si="0"/>
        <v>210</v>
      </c>
      <c r="C23" s="132" t="str">
        <f>VLOOKUP(B23,'Tipos de Defeitos'!B$4:E$106,Menu!$B$28+1,)</f>
        <v>Qtd. Retestada (pçs)</v>
      </c>
      <c r="D23" s="147"/>
      <c r="E23" s="147"/>
      <c r="F23" s="147"/>
      <c r="G23" s="147"/>
      <c r="H23" s="147"/>
      <c r="I23" s="146"/>
      <c r="J23" s="147"/>
      <c r="K23" s="147"/>
      <c r="L23" s="147"/>
      <c r="M23" s="147"/>
      <c r="N23" s="147"/>
      <c r="O23" s="147"/>
      <c r="P23" s="146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51">
        <f t="shared" ref="AS23:AS77" si="3">SUM(D23:AR23)</f>
        <v>0</v>
      </c>
      <c r="AT23" s="242">
        <f>AS23+'UM-4 - Dia'!AS23</f>
        <v>0</v>
      </c>
    </row>
    <row r="24" spans="1:46" ht="13.5" customHeight="1">
      <c r="A24" s="360"/>
      <c r="B24" s="127">
        <f t="shared" si="0"/>
        <v>220</v>
      </c>
      <c r="C24" s="133" t="str">
        <f>VLOOKUP(B24,'Tipos de Defeitos'!B$4:E$106,Menu!$B$28+1,)</f>
        <v>Defeitos (Qty)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7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1">
        <f t="shared" si="3"/>
        <v>0</v>
      </c>
      <c r="AT24" s="242">
        <f>AS24+'UM-4 - Dia'!AS24</f>
        <v>0</v>
      </c>
    </row>
    <row r="25" spans="1:46">
      <c r="A25" s="360"/>
      <c r="B25" s="127">
        <f t="shared" si="0"/>
        <v>230</v>
      </c>
      <c r="C25" s="133" t="str">
        <f>VLOOKUP(B25,'Tipos de Defeitos'!B$4:E$106,Menu!$B$28+1,)</f>
        <v>Voltagem (Moda)</v>
      </c>
      <c r="D25" s="192"/>
      <c r="E25" s="192"/>
      <c r="F25" s="192"/>
      <c r="G25" s="147"/>
      <c r="H25" s="147"/>
      <c r="I25" s="222"/>
      <c r="J25" s="147"/>
      <c r="K25" s="147"/>
      <c r="L25" s="147"/>
      <c r="M25" s="147"/>
      <c r="N25" s="147"/>
      <c r="O25" s="147"/>
      <c r="P25" s="192"/>
      <c r="Q25" s="147"/>
      <c r="R25" s="192"/>
      <c r="S25" s="147"/>
      <c r="T25" s="192"/>
      <c r="U25" s="147"/>
      <c r="V25" s="192"/>
      <c r="W25" s="147"/>
      <c r="X25" s="192"/>
      <c r="Y25" s="192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52">
        <f t="shared" si="3"/>
        <v>0</v>
      </c>
    </row>
    <row r="26" spans="1:46">
      <c r="A26" s="360"/>
      <c r="B26" s="127">
        <f t="shared" si="0"/>
        <v>240</v>
      </c>
      <c r="C26" s="133" t="str">
        <f>VLOOKUP(B26,'Tipos de Defeitos'!B$4:E$106,Menu!$B$28+1,)</f>
        <v>Voltagem (ajustada)</v>
      </c>
      <c r="D26" s="193" t="str">
        <f t="shared" ref="D26:J26" si="4">IF(D25&gt;0,D25-0.005," ")</f>
        <v xml:space="preserve"> </v>
      </c>
      <c r="E26" s="193" t="str">
        <f t="shared" si="4"/>
        <v xml:space="preserve"> </v>
      </c>
      <c r="F26" s="193" t="str">
        <f t="shared" si="4"/>
        <v xml:space="preserve"> </v>
      </c>
      <c r="G26" s="193" t="str">
        <f t="shared" si="4"/>
        <v xml:space="preserve"> </v>
      </c>
      <c r="H26" s="193" t="str">
        <f t="shared" si="4"/>
        <v xml:space="preserve"> </v>
      </c>
      <c r="I26" s="193" t="str">
        <f t="shared" si="4"/>
        <v xml:space="preserve"> </v>
      </c>
      <c r="J26" s="193" t="str">
        <f t="shared" si="4"/>
        <v xml:space="preserve"> </v>
      </c>
      <c r="K26" s="193" t="str">
        <f t="shared" ref="K26:V26" si="5">IF(K25&gt;0,K25-0.005," ")</f>
        <v xml:space="preserve"> </v>
      </c>
      <c r="L26" s="193" t="str">
        <f t="shared" si="5"/>
        <v xml:space="preserve"> </v>
      </c>
      <c r="M26" s="193" t="str">
        <f t="shared" si="5"/>
        <v xml:space="preserve"> </v>
      </c>
      <c r="N26" s="193" t="str">
        <f t="shared" si="5"/>
        <v xml:space="preserve"> </v>
      </c>
      <c r="O26" s="223" t="str">
        <f t="shared" si="5"/>
        <v xml:space="preserve"> </v>
      </c>
      <c r="P26" s="223" t="str">
        <f t="shared" si="5"/>
        <v xml:space="preserve"> </v>
      </c>
      <c r="Q26" s="223" t="str">
        <f t="shared" si="5"/>
        <v xml:space="preserve"> </v>
      </c>
      <c r="R26" s="223" t="str">
        <f t="shared" si="5"/>
        <v xml:space="preserve"> </v>
      </c>
      <c r="S26" s="223" t="str">
        <f t="shared" si="5"/>
        <v xml:space="preserve"> </v>
      </c>
      <c r="T26" s="223" t="str">
        <f t="shared" si="5"/>
        <v xml:space="preserve"> </v>
      </c>
      <c r="U26" s="223" t="str">
        <f t="shared" si="5"/>
        <v xml:space="preserve"> </v>
      </c>
      <c r="V26" s="223" t="str">
        <f t="shared" si="5"/>
        <v xml:space="preserve"> </v>
      </c>
      <c r="W26" s="193" t="str">
        <f>IF(W25&gt;0,W25-0.005," ")</f>
        <v xml:space="preserve"> </v>
      </c>
      <c r="X26" s="193" t="str">
        <f>IF(X25&gt;0,X25-0.005," ")</f>
        <v xml:space="preserve"> </v>
      </c>
      <c r="Y26" s="193" t="str">
        <f>IF(Y25&gt;0,Y25-0.005," ")</f>
        <v xml:space="preserve"> </v>
      </c>
      <c r="Z26" s="223" t="str">
        <f t="shared" ref="Z26:AR26" si="6">IF(Z25&gt;0,Z25-0.005," ")</f>
        <v xml:space="preserve"> </v>
      </c>
      <c r="AA26" s="193" t="str">
        <f t="shared" si="6"/>
        <v xml:space="preserve"> </v>
      </c>
      <c r="AB26" s="193" t="str">
        <f t="shared" si="6"/>
        <v xml:space="preserve"> </v>
      </c>
      <c r="AC26" s="193" t="str">
        <f t="shared" si="6"/>
        <v xml:space="preserve"> </v>
      </c>
      <c r="AD26" s="193" t="str">
        <f t="shared" si="6"/>
        <v xml:space="preserve"> </v>
      </c>
      <c r="AE26" s="193" t="str">
        <f t="shared" si="6"/>
        <v xml:space="preserve"> </v>
      </c>
      <c r="AF26" s="193" t="str">
        <f t="shared" si="6"/>
        <v xml:space="preserve"> </v>
      </c>
      <c r="AG26" s="193" t="str">
        <f t="shared" si="6"/>
        <v xml:space="preserve"> </v>
      </c>
      <c r="AH26" s="193" t="str">
        <f t="shared" si="6"/>
        <v xml:space="preserve"> </v>
      </c>
      <c r="AI26" s="193" t="str">
        <f t="shared" si="6"/>
        <v xml:space="preserve"> </v>
      </c>
      <c r="AJ26" s="193" t="str">
        <f t="shared" si="6"/>
        <v xml:space="preserve"> </v>
      </c>
      <c r="AK26" s="193" t="str">
        <f t="shared" si="6"/>
        <v xml:space="preserve"> </v>
      </c>
      <c r="AL26" s="193" t="str">
        <f t="shared" si="6"/>
        <v xml:space="preserve"> </v>
      </c>
      <c r="AM26" s="193" t="str">
        <f t="shared" si="6"/>
        <v xml:space="preserve"> </v>
      </c>
      <c r="AN26" s="193" t="str">
        <f t="shared" si="6"/>
        <v xml:space="preserve"> </v>
      </c>
      <c r="AO26" s="193" t="str">
        <f t="shared" si="6"/>
        <v xml:space="preserve"> </v>
      </c>
      <c r="AP26" s="193" t="str">
        <f t="shared" si="6"/>
        <v xml:space="preserve"> </v>
      </c>
      <c r="AQ26" s="193" t="str">
        <f t="shared" si="6"/>
        <v xml:space="preserve"> </v>
      </c>
      <c r="AR26" s="193" t="str">
        <f t="shared" si="6"/>
        <v xml:space="preserve"> </v>
      </c>
      <c r="AS26" s="141">
        <f t="shared" si="3"/>
        <v>0</v>
      </c>
    </row>
    <row r="27" spans="1:46" ht="13.5" thickBot="1">
      <c r="A27" s="370"/>
      <c r="B27" s="130">
        <f t="shared" si="0"/>
        <v>250</v>
      </c>
      <c r="C27" s="134" t="str">
        <f>VLOOKUP(B27,'Tipos de Defeitos'!B$4:E$106,Menu!$B$28+1,)</f>
        <v>Qtd. Analisada (pçs)</v>
      </c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49"/>
      <c r="Q27" s="149"/>
      <c r="R27" s="149"/>
      <c r="S27" s="149"/>
      <c r="T27" s="149"/>
      <c r="U27" s="149"/>
      <c r="V27" s="149"/>
      <c r="W27" s="149"/>
      <c r="X27" s="149"/>
      <c r="Y27" s="149"/>
      <c r="Z27" s="149"/>
      <c r="AA27" s="149"/>
      <c r="AB27" s="149"/>
      <c r="AC27" s="149"/>
      <c r="AD27" s="149"/>
      <c r="AE27" s="149"/>
      <c r="AF27" s="149"/>
      <c r="AG27" s="149"/>
      <c r="AH27" s="149"/>
      <c r="AI27" s="149"/>
      <c r="AJ27" s="149"/>
      <c r="AK27" s="149"/>
      <c r="AL27" s="149"/>
      <c r="AM27" s="149"/>
      <c r="AN27" s="149"/>
      <c r="AO27" s="149"/>
      <c r="AP27" s="149"/>
      <c r="AQ27" s="149"/>
      <c r="AR27" s="149"/>
      <c r="AS27" s="145">
        <f t="shared" si="3"/>
        <v>0</v>
      </c>
      <c r="AT27" s="242">
        <f>AS27+'UM-4 - Dia'!AS27</f>
        <v>0</v>
      </c>
    </row>
    <row r="28" spans="1:46">
      <c r="A28" s="369" t="s">
        <v>200</v>
      </c>
      <c r="B28" s="129">
        <f t="shared" si="0"/>
        <v>260</v>
      </c>
      <c r="C28" s="132" t="str">
        <f>VLOOKUP(B28,'Tipos de Defeitos'!B$4:E$106,Menu!$B$28+1,)</f>
        <v>Sem Papel Separador</v>
      </c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  <c r="X28" s="150"/>
      <c r="Y28" s="150"/>
      <c r="Z28" s="150"/>
      <c r="AA28" s="150"/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  <c r="AN28" s="150"/>
      <c r="AO28" s="150"/>
      <c r="AP28" s="150"/>
      <c r="AQ28" s="150"/>
      <c r="AR28" s="150"/>
      <c r="AS28" s="151">
        <f t="shared" si="3"/>
        <v>0</v>
      </c>
      <c r="AT28" s="235" t="e">
        <f>(AS28/$AS$78)*100</f>
        <v>#DIV/0!</v>
      </c>
    </row>
    <row r="29" spans="1:46">
      <c r="A29" s="360"/>
      <c r="B29" s="127">
        <f t="shared" si="0"/>
        <v>270</v>
      </c>
      <c r="C29" s="133" t="str">
        <f>VLOOKUP(B29,'Tipos de Defeitos'!B$4:E$106,Menu!$B$28+1,)</f>
        <v>Papel Separador Cortado</v>
      </c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1">
        <f t="shared" si="3"/>
        <v>0</v>
      </c>
      <c r="AT29" s="235" t="e">
        <f t="shared" ref="AT29:AT77" si="7">(AS29/$AS$78)*100</f>
        <v>#DIV/0!</v>
      </c>
    </row>
    <row r="30" spans="1:46">
      <c r="A30" s="360"/>
      <c r="B30" s="127">
        <f t="shared" si="0"/>
        <v>280</v>
      </c>
      <c r="C30" s="133" t="str">
        <f>VLOOKUP(B30,'Tipos de Defeitos'!B$4:E$106,Menu!$B$28+1,)</f>
        <v>Papel Separador Rasgado</v>
      </c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1">
        <f t="shared" si="3"/>
        <v>0</v>
      </c>
      <c r="AT30" s="235" t="e">
        <f t="shared" si="7"/>
        <v>#DIV/0!</v>
      </c>
    </row>
    <row r="31" spans="1:46">
      <c r="A31" s="360"/>
      <c r="B31" s="127">
        <f t="shared" si="0"/>
        <v>290</v>
      </c>
      <c r="C31" s="133" t="str">
        <f>VLOOKUP(B31,'Tipos de Defeitos'!B$4:E$106,Menu!$B$28+1,)</f>
        <v>Papel Dobrado Sup.</v>
      </c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1">
        <f t="shared" si="3"/>
        <v>0</v>
      </c>
      <c r="AT31" s="235" t="e">
        <f t="shared" si="7"/>
        <v>#DIV/0!</v>
      </c>
    </row>
    <row r="32" spans="1:46">
      <c r="A32" s="360"/>
      <c r="B32" s="127">
        <f t="shared" si="0"/>
        <v>300</v>
      </c>
      <c r="C32" s="133" t="str">
        <f>VLOOKUP(B32,'Tipos de Defeitos'!B$4:E$106,Menu!$B$28+1,)</f>
        <v>Papel Dobrado Meio</v>
      </c>
      <c r="D32" s="148"/>
      <c r="E32" s="148"/>
      <c r="F32" s="148"/>
      <c r="G32" s="148"/>
      <c r="H32" s="148"/>
      <c r="I32" s="148"/>
      <c r="J32" s="148"/>
      <c r="K32" s="313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1">
        <f t="shared" si="3"/>
        <v>0</v>
      </c>
      <c r="AT32" s="235" t="e">
        <f t="shared" si="7"/>
        <v>#DIV/0!</v>
      </c>
    </row>
    <row r="33" spans="1:46">
      <c r="A33" s="360"/>
      <c r="B33" s="127">
        <f t="shared" si="0"/>
        <v>310</v>
      </c>
      <c r="C33" s="133" t="str">
        <f>VLOOKUP(B33,'Tipos de Defeitos'!B$4:E$106,Menu!$B$28+1,)</f>
        <v>Papel Dobrado Inf.</v>
      </c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1">
        <f t="shared" si="3"/>
        <v>0</v>
      </c>
      <c r="AT33" s="235" t="e">
        <f t="shared" si="7"/>
        <v>#DIV/0!</v>
      </c>
    </row>
    <row r="34" spans="1:46">
      <c r="A34" s="360"/>
      <c r="B34" s="127">
        <f t="shared" si="0"/>
        <v>320</v>
      </c>
      <c r="C34" s="133" t="str">
        <f>VLOOKUP(B34,'Tipos de Defeitos'!B$4:E$106,Menu!$B$28+1,)</f>
        <v>Papel Afundado</v>
      </c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1">
        <f t="shared" si="3"/>
        <v>0</v>
      </c>
      <c r="AT34" s="235" t="e">
        <f t="shared" si="7"/>
        <v>#DIV/0!</v>
      </c>
    </row>
    <row r="35" spans="1:46">
      <c r="A35" s="360"/>
      <c r="B35" s="127">
        <f t="shared" si="0"/>
        <v>330</v>
      </c>
      <c r="C35" s="133" t="str">
        <f>VLOOKUP(B35,'Tipos de Defeitos'!B$4:E$106,Menu!$B$28+1,)</f>
        <v>Papel Deslocado</v>
      </c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1">
        <f t="shared" si="3"/>
        <v>0</v>
      </c>
      <c r="AT35" s="235" t="e">
        <f t="shared" si="7"/>
        <v>#DIV/0!</v>
      </c>
    </row>
    <row r="36" spans="1:46" ht="12.75" customHeight="1">
      <c r="A36" s="360"/>
      <c r="B36" s="127">
        <f t="shared" si="0"/>
        <v>340</v>
      </c>
      <c r="C36" s="133" t="str">
        <f>VLOOKUP(B36,'Tipos de Defeitos'!B$4:E$106,Menu!$B$28+1,)</f>
        <v>Papel menor</v>
      </c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1">
        <f t="shared" si="3"/>
        <v>0</v>
      </c>
      <c r="AT36" s="235" t="e">
        <f t="shared" si="7"/>
        <v>#DIV/0!</v>
      </c>
    </row>
    <row r="37" spans="1:46">
      <c r="A37" s="360"/>
      <c r="B37" s="127">
        <f t="shared" si="0"/>
        <v>350</v>
      </c>
      <c r="C37" s="133" t="str">
        <f>VLOOKUP(B37,'Tipos de Defeitos'!B$4:E$106,Menu!$B$28+1,)</f>
        <v>Sem Disco</v>
      </c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1">
        <f t="shared" si="3"/>
        <v>0</v>
      </c>
      <c r="AT37" s="235" t="e">
        <f t="shared" si="7"/>
        <v>#DIV/0!</v>
      </c>
    </row>
    <row r="38" spans="1:46">
      <c r="A38" s="360"/>
      <c r="B38" s="127">
        <f t="shared" si="0"/>
        <v>360</v>
      </c>
      <c r="C38" s="133" t="str">
        <f>VLOOKUP(B38,'Tipos de Defeitos'!B$4:E$106,Menu!$B$28+1,)</f>
        <v>Disco Cortado</v>
      </c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1">
        <f t="shared" si="3"/>
        <v>0</v>
      </c>
      <c r="AT38" s="235" t="e">
        <f t="shared" si="7"/>
        <v>#DIV/0!</v>
      </c>
    </row>
    <row r="39" spans="1:46">
      <c r="A39" s="360"/>
      <c r="B39" s="127">
        <f t="shared" si="0"/>
        <v>370</v>
      </c>
      <c r="C39" s="133" t="str">
        <f>VLOOKUP(B39,'Tipos de Defeitos'!B$4:E$106,Menu!$B$28+1,)</f>
        <v>Disco Rasgado</v>
      </c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1">
        <f t="shared" si="3"/>
        <v>0</v>
      </c>
      <c r="AT39" s="235" t="e">
        <f t="shared" si="7"/>
        <v>#DIV/0!</v>
      </c>
    </row>
    <row r="40" spans="1:46">
      <c r="A40" s="360"/>
      <c r="B40" s="127">
        <f t="shared" si="0"/>
        <v>380</v>
      </c>
      <c r="C40" s="133" t="str">
        <f>VLOOKUP(B40,'Tipos de Defeitos'!B$4:E$106,Menu!$B$28+1,)</f>
        <v>Disco Furado</v>
      </c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1">
        <f t="shared" si="3"/>
        <v>0</v>
      </c>
      <c r="AT40" s="235" t="e">
        <f t="shared" si="7"/>
        <v>#DIV/0!</v>
      </c>
    </row>
    <row r="41" spans="1:46">
      <c r="A41" s="360"/>
      <c r="B41" s="127">
        <f t="shared" si="0"/>
        <v>390</v>
      </c>
      <c r="C41" s="133" t="str">
        <f>VLOOKUP(B41,'Tipos de Defeitos'!B$4:E$106,Menu!$B$28+1,)</f>
        <v>Disco Dobrado</v>
      </c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1">
        <f t="shared" si="3"/>
        <v>0</v>
      </c>
      <c r="AT41" s="235" t="e">
        <f t="shared" si="7"/>
        <v>#DIV/0!</v>
      </c>
    </row>
    <row r="42" spans="1:46">
      <c r="A42" s="360"/>
      <c r="B42" s="127">
        <f t="shared" si="0"/>
        <v>400</v>
      </c>
      <c r="C42" s="133" t="str">
        <f>VLOOKUP(B42,'Tipos de Defeitos'!B$4:E$106,Menu!$B$28+1,)</f>
        <v>Disco fora de centro / deslocado</v>
      </c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1">
        <f t="shared" si="3"/>
        <v>0</v>
      </c>
      <c r="AT42" s="235" t="e">
        <f t="shared" si="7"/>
        <v>#DIV/0!</v>
      </c>
    </row>
    <row r="43" spans="1:46">
      <c r="A43" s="360"/>
      <c r="B43" s="127">
        <f t="shared" si="0"/>
        <v>410</v>
      </c>
      <c r="C43" s="133" t="str">
        <f>VLOOKUP(B43,'Tipos de Defeitos'!B$4:E$106,Menu!$B$28+1,)</f>
        <v>Isolador fora de centro</v>
      </c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1">
        <f t="shared" si="3"/>
        <v>0</v>
      </c>
      <c r="AT43" s="235" t="e">
        <f t="shared" si="7"/>
        <v>#DIV/0!</v>
      </c>
    </row>
    <row r="44" spans="1:46">
      <c r="A44" s="360"/>
      <c r="B44" s="127">
        <f t="shared" si="0"/>
        <v>420</v>
      </c>
      <c r="C44" s="133" t="str">
        <f>VLOOKUP(B44,'Tipos de Defeitos'!B$4:E$106,Menu!$B$28+1,)</f>
        <v>Isolador afundado</v>
      </c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1">
        <f t="shared" si="3"/>
        <v>0</v>
      </c>
      <c r="AT44" s="235" t="e">
        <f t="shared" si="7"/>
        <v>#DIV/0!</v>
      </c>
    </row>
    <row r="45" spans="1:46">
      <c r="A45" s="360"/>
      <c r="B45" s="127">
        <f t="shared" si="0"/>
        <v>430</v>
      </c>
      <c r="C45" s="133" t="str">
        <f>VLOOKUP(B45,'Tipos de Defeitos'!B$4:E$106,Menu!$B$28+1,)</f>
        <v>Isolador Inclinado</v>
      </c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1">
        <f t="shared" si="3"/>
        <v>0</v>
      </c>
      <c r="AT45" s="235" t="e">
        <f t="shared" si="7"/>
        <v>#DIV/0!</v>
      </c>
    </row>
    <row r="46" spans="1:46">
      <c r="A46" s="360"/>
      <c r="B46" s="127">
        <f t="shared" si="0"/>
        <v>440</v>
      </c>
      <c r="C46" s="133" t="str">
        <f>VLOOKUP(B46,'Tipos de Defeitos'!B$4:E$106,Menu!$B$28+1,)</f>
        <v>Papel sujo</v>
      </c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1">
        <f t="shared" si="3"/>
        <v>0</v>
      </c>
      <c r="AT46" s="235" t="e">
        <f t="shared" si="7"/>
        <v>#DIV/0!</v>
      </c>
    </row>
    <row r="47" spans="1:46">
      <c r="A47" s="360"/>
      <c r="B47" s="127">
        <f t="shared" si="0"/>
        <v>450</v>
      </c>
      <c r="C47" s="133" t="str">
        <f>VLOOKUP(B47,'Tipos de Defeitos'!B$4:E$106,Menu!$B$28+1,)</f>
        <v>Manchado</v>
      </c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1">
        <f t="shared" si="3"/>
        <v>0</v>
      </c>
      <c r="AT47" s="235" t="e">
        <f t="shared" si="7"/>
        <v>#DIV/0!</v>
      </c>
    </row>
    <row r="48" spans="1:46">
      <c r="A48" s="360"/>
      <c r="B48" s="127">
        <f t="shared" si="0"/>
        <v>460</v>
      </c>
      <c r="C48" s="133" t="str">
        <f>VLOOKUP(B48,'Tipos de Defeitos'!B$4:E$106,Menu!$B$28+1,)</f>
        <v>Manchado Superior</v>
      </c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1">
        <f t="shared" si="3"/>
        <v>0</v>
      </c>
      <c r="AT48" s="235" t="e">
        <f t="shared" si="7"/>
        <v>#DIV/0!</v>
      </c>
    </row>
    <row r="49" spans="1:46">
      <c r="A49" s="360"/>
      <c r="B49" s="127">
        <f t="shared" si="0"/>
        <v>470</v>
      </c>
      <c r="C49" s="133" t="str">
        <f>VLOOKUP(B49,'Tipos de Defeitos'!B$4:E$106,Menu!$B$28+1,)</f>
        <v>Ferro</v>
      </c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1">
        <f t="shared" si="3"/>
        <v>0</v>
      </c>
      <c r="AT49" s="235" t="e">
        <f t="shared" si="7"/>
        <v>#DIV/0!</v>
      </c>
    </row>
    <row r="50" spans="1:46">
      <c r="A50" s="360"/>
      <c r="B50" s="127">
        <f t="shared" si="0"/>
        <v>480</v>
      </c>
      <c r="C50" s="133" t="str">
        <f>VLOOKUP(B50,'Tipos de Defeitos'!B$4:E$106,Menu!$B$28+1,)</f>
        <v>Cobre</v>
      </c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1">
        <f t="shared" si="3"/>
        <v>0</v>
      </c>
      <c r="AT50" s="235" t="e">
        <f t="shared" si="7"/>
        <v>#DIV/0!</v>
      </c>
    </row>
    <row r="51" spans="1:46">
      <c r="A51" s="360"/>
      <c r="B51" s="127">
        <f t="shared" si="0"/>
        <v>490</v>
      </c>
      <c r="C51" s="133" t="str">
        <f>VLOOKUP(B51,'Tipos de Defeitos'!B$4:E$106,Menu!$B$28+1,)</f>
        <v>Mistura no Tubo</v>
      </c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1">
        <f t="shared" si="3"/>
        <v>0</v>
      </c>
      <c r="AT51" s="235" t="e">
        <f t="shared" si="7"/>
        <v>#DIV/0!</v>
      </c>
    </row>
    <row r="52" spans="1:46">
      <c r="A52" s="360"/>
      <c r="B52" s="127">
        <f t="shared" si="0"/>
        <v>500</v>
      </c>
      <c r="C52" s="133" t="str">
        <f>VLOOKUP(B52,'Tipos de Defeitos'!B$4:E$106,Menu!$B$28+1,)</f>
        <v>Pó de Mistura</v>
      </c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1">
        <f t="shared" si="3"/>
        <v>0</v>
      </c>
      <c r="AT52" s="235" t="e">
        <f t="shared" si="7"/>
        <v>#DIV/0!</v>
      </c>
    </row>
    <row r="53" spans="1:46">
      <c r="A53" s="360"/>
      <c r="B53" s="127">
        <f t="shared" si="0"/>
        <v>510</v>
      </c>
      <c r="C53" s="133" t="str">
        <f>VLOOKUP(B53,'Tipos de Defeitos'!B$4:E$106,Menu!$B$28+1,)</f>
        <v>Bobina Baixa</v>
      </c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1">
        <f t="shared" si="3"/>
        <v>0</v>
      </c>
      <c r="AT53" s="235" t="e">
        <f t="shared" si="7"/>
        <v>#DIV/0!</v>
      </c>
    </row>
    <row r="54" spans="1:46">
      <c r="A54" s="360"/>
      <c r="B54" s="127">
        <f t="shared" si="0"/>
        <v>520</v>
      </c>
      <c r="C54" s="133" t="str">
        <f>VLOOKUP(B54,'Tipos de Defeitos'!B$4:E$106,Menu!$B$28+1,)</f>
        <v>Bobina Alta</v>
      </c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1">
        <f t="shared" si="3"/>
        <v>0</v>
      </c>
      <c r="AT54" s="235" t="e">
        <f t="shared" si="7"/>
        <v>#DIV/0!</v>
      </c>
    </row>
    <row r="55" spans="1:46">
      <c r="A55" s="360"/>
      <c r="B55" s="127">
        <f t="shared" si="0"/>
        <v>530</v>
      </c>
      <c r="C55" s="133" t="str">
        <f>VLOOKUP(B55,'Tipos de Defeitos'!B$4:E$106,Menu!$B$28+1,)</f>
        <v>Bobina Molhada</v>
      </c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1">
        <f t="shared" si="3"/>
        <v>0</v>
      </c>
      <c r="AT55" s="235" t="e">
        <f t="shared" si="7"/>
        <v>#DIV/0!</v>
      </c>
    </row>
    <row r="56" spans="1:46">
      <c r="A56" s="360"/>
      <c r="B56" s="127">
        <f t="shared" si="0"/>
        <v>540</v>
      </c>
      <c r="C56" s="133" t="str">
        <f>VLOOKUP(B56,'Tipos de Defeitos'!B$4:E$106,Menu!$B$28+1,)</f>
        <v>Mistura seca</v>
      </c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1">
        <f t="shared" si="3"/>
        <v>0</v>
      </c>
      <c r="AT56" s="235" t="e">
        <f t="shared" si="7"/>
        <v>#DIV/0!</v>
      </c>
    </row>
    <row r="57" spans="1:46">
      <c r="A57" s="360"/>
      <c r="B57" s="127">
        <f t="shared" si="0"/>
        <v>550</v>
      </c>
      <c r="C57" s="133" t="str">
        <f>VLOOKUP(B57,'Tipos de Defeitos'!B$4:E$106,Menu!$B$28+1,)</f>
        <v>Contem estranho</v>
      </c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1">
        <f t="shared" si="3"/>
        <v>0</v>
      </c>
      <c r="AT57" s="235" t="e">
        <f t="shared" si="7"/>
        <v>#DIV/0!</v>
      </c>
    </row>
    <row r="58" spans="1:46">
      <c r="A58" s="360"/>
      <c r="B58" s="127">
        <f t="shared" si="0"/>
        <v>560</v>
      </c>
      <c r="C58" s="133" t="str">
        <f>VLOOKUP(B58,'Tipos de Defeitos'!B$4:E$106,Menu!$B$28+1,)</f>
        <v>Pedra de Óxido</v>
      </c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1">
        <f t="shared" si="3"/>
        <v>0</v>
      </c>
      <c r="AT58" s="235" t="e">
        <f t="shared" si="7"/>
        <v>#DIV/0!</v>
      </c>
    </row>
    <row r="59" spans="1:46">
      <c r="A59" s="360"/>
      <c r="B59" s="127">
        <f t="shared" si="0"/>
        <v>570</v>
      </c>
      <c r="C59" s="133" t="str">
        <f>VLOOKUP(B59,'Tipos de Defeitos'!B$4:E$106,Menu!$B$28+1,)</f>
        <v>Carvão Quebrado</v>
      </c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1">
        <f t="shared" si="3"/>
        <v>0</v>
      </c>
      <c r="AT59" s="235" t="e">
        <f t="shared" si="7"/>
        <v>#DIV/0!</v>
      </c>
    </row>
    <row r="60" spans="1:46">
      <c r="A60" s="360"/>
      <c r="B60" s="127">
        <f t="shared" si="0"/>
        <v>580</v>
      </c>
      <c r="C60" s="133" t="str">
        <f>VLOOKUP(B60,'Tipos de Defeitos'!B$4:E$106,Menu!$B$28+1,)</f>
        <v>Sem Selante</v>
      </c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1">
        <f t="shared" si="3"/>
        <v>0</v>
      </c>
      <c r="AT60" s="235" t="e">
        <f t="shared" si="7"/>
        <v>#DIV/0!</v>
      </c>
    </row>
    <row r="61" spans="1:46">
      <c r="A61" s="360"/>
      <c r="B61" s="127">
        <f t="shared" si="0"/>
        <v>590</v>
      </c>
      <c r="C61" s="133" t="str">
        <f>VLOOKUP(B61,'Tipos de Defeitos'!B$4:E$106,Menu!$B$28+1,)</f>
        <v>PY c/ Falha de Injeção</v>
      </c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1">
        <f t="shared" si="3"/>
        <v>0</v>
      </c>
      <c r="AT61" s="235" t="e">
        <f t="shared" si="7"/>
        <v>#DIV/0!</v>
      </c>
    </row>
    <row r="62" spans="1:46">
      <c r="A62" s="360"/>
      <c r="B62" s="127">
        <f t="shared" si="0"/>
        <v>600</v>
      </c>
      <c r="C62" s="133" t="str">
        <f>VLOOKUP(B62,'Tipos de Defeitos'!B$4:E$106,Menu!$B$28+1,)</f>
        <v>Sem PY</v>
      </c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1">
        <f t="shared" si="3"/>
        <v>0</v>
      </c>
      <c r="AT62" s="235" t="e">
        <f t="shared" si="7"/>
        <v>#DIV/0!</v>
      </c>
    </row>
    <row r="63" spans="1:46">
      <c r="A63" s="360"/>
      <c r="B63" s="127">
        <f t="shared" si="0"/>
        <v>610</v>
      </c>
      <c r="C63" s="133" t="str">
        <f>VLOOKUP(B63,'Tipos de Defeitos'!B$4:E$106,Menu!$B$28+1,)</f>
        <v>PY Fora de Centro</v>
      </c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1">
        <f t="shared" si="3"/>
        <v>0</v>
      </c>
      <c r="AT63" s="235" t="e">
        <f t="shared" si="7"/>
        <v>#DIV/0!</v>
      </c>
    </row>
    <row r="64" spans="1:46">
      <c r="A64" s="360"/>
      <c r="B64" s="127">
        <f t="shared" si="0"/>
        <v>620</v>
      </c>
      <c r="C64" s="133" t="str">
        <f>VLOOKUP(B64,'Tipos de Defeitos'!B$4:E$106,Menu!$B$28+1,)</f>
        <v>PY Queimado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1">
        <f t="shared" si="3"/>
        <v>0</v>
      </c>
      <c r="AT64" s="235" t="e">
        <f t="shared" si="7"/>
        <v>#DIV/0!</v>
      </c>
    </row>
    <row r="65" spans="1:46">
      <c r="A65" s="360"/>
      <c r="B65" s="127">
        <f t="shared" si="0"/>
        <v>630</v>
      </c>
      <c r="C65" s="133" t="str">
        <f>VLOOKUP(B65,'Tipos de Defeitos'!B$4:E$106,Menu!$B$28+1,)</f>
        <v>Tb c/ Boca Amassada - Operador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1">
        <f t="shared" si="3"/>
        <v>0</v>
      </c>
      <c r="AT65" s="235" t="e">
        <f t="shared" si="7"/>
        <v>#DIV/0!</v>
      </c>
    </row>
    <row r="66" spans="1:46">
      <c r="A66" s="360"/>
      <c r="B66" s="127">
        <f t="shared" si="0"/>
        <v>640</v>
      </c>
      <c r="C66" s="133" t="str">
        <f>VLOOKUP(B66,'Tipos de Defeitos'!B$4:E$106,Menu!$B$28+1,)</f>
        <v>Tb c/ Boca Amassada - Câmera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1">
        <f t="shared" si="3"/>
        <v>0</v>
      </c>
      <c r="AT66" s="235" t="e">
        <f t="shared" si="7"/>
        <v>#DIV/0!</v>
      </c>
    </row>
    <row r="67" spans="1:46">
      <c r="A67" s="360"/>
      <c r="B67" s="127">
        <f t="shared" si="0"/>
        <v>650</v>
      </c>
      <c r="C67" s="133" t="str">
        <f>VLOOKUP(B67,'Tipos de Defeitos'!B$4:E$106,Menu!$B$28+1,)</f>
        <v>Tb c/ Boca Amassada - recuperada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1">
        <f t="shared" si="3"/>
        <v>0</v>
      </c>
      <c r="AT67" s="235" t="e">
        <f t="shared" si="7"/>
        <v>#DIV/0!</v>
      </c>
    </row>
    <row r="68" spans="1:46">
      <c r="A68" s="360"/>
      <c r="B68" s="127">
        <f t="shared" si="0"/>
        <v>660</v>
      </c>
      <c r="C68" s="183" t="str">
        <f>VLOOKUP(B68,'Tipos de Defeitos'!B$4:E$106,Menu!$B$28+1,)</f>
        <v>Tubo descascado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1">
        <f t="shared" si="3"/>
        <v>0</v>
      </c>
      <c r="AT68" s="235" t="e">
        <f t="shared" si="7"/>
        <v>#DIV/0!</v>
      </c>
    </row>
    <row r="69" spans="1:46">
      <c r="A69" s="360"/>
      <c r="B69" s="127">
        <f t="shared" ref="B69:B105" si="8">(B68/10+1)*10</f>
        <v>670</v>
      </c>
      <c r="C69" s="183" t="str">
        <f>VLOOKUP(B69,'Tipos de Defeitos'!B$4:E$106,Menu!$B$28+1,)</f>
        <v>Tubo Rachado - Câmera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1">
        <f t="shared" si="3"/>
        <v>0</v>
      </c>
      <c r="AT69" s="235" t="e">
        <f t="shared" si="7"/>
        <v>#DIV/0!</v>
      </c>
    </row>
    <row r="70" spans="1:46">
      <c r="A70" s="360"/>
      <c r="B70" s="127">
        <f t="shared" si="8"/>
        <v>680</v>
      </c>
      <c r="C70" s="133" t="str">
        <f>VLOOKUP(B70,'Tipos de Defeitos'!B$4:E$106,Menu!$B$28+1,)</f>
        <v>Tubo de Zinco Amassado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1">
        <f t="shared" si="3"/>
        <v>0</v>
      </c>
      <c r="AT70" s="235" t="e">
        <f t="shared" si="7"/>
        <v>#DIV/0!</v>
      </c>
    </row>
    <row r="71" spans="1:46">
      <c r="A71" s="360"/>
      <c r="B71" s="127">
        <f t="shared" si="8"/>
        <v>690</v>
      </c>
      <c r="C71" s="133" t="str">
        <f>VLOOKUP(B71,'Tipos de Defeitos'!B$4:E$106,Menu!$B$28+1,)</f>
        <v>Tubo com Rebarba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1">
        <f t="shared" si="3"/>
        <v>0</v>
      </c>
      <c r="AT71" s="235" t="e">
        <f t="shared" si="7"/>
        <v>#DIV/0!</v>
      </c>
    </row>
    <row r="72" spans="1:46">
      <c r="A72" s="360"/>
      <c r="B72" s="127">
        <f t="shared" si="8"/>
        <v>700</v>
      </c>
      <c r="C72" s="133" t="str">
        <f>VLOOKUP(B72,'Tipos de Defeitos'!B$4:E$106,Menu!$B$28+1,)</f>
        <v>Curto Circuito Externo</v>
      </c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1">
        <f t="shared" si="3"/>
        <v>0</v>
      </c>
      <c r="AT72" s="235" t="e">
        <f t="shared" si="7"/>
        <v>#DIV/0!</v>
      </c>
    </row>
    <row r="73" spans="1:46">
      <c r="A73" s="360"/>
      <c r="B73" s="127">
        <f t="shared" si="8"/>
        <v>710</v>
      </c>
      <c r="C73" s="133" t="str">
        <f>VLOOKUP(B73,'Tipos de Defeitos'!B$4:E$106,Menu!$B$28+1,)</f>
        <v>Curto Circ. Externo -  Cap sujo</v>
      </c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1">
        <f t="shared" si="3"/>
        <v>0</v>
      </c>
      <c r="AT73" s="235" t="e">
        <f t="shared" si="7"/>
        <v>#DIV/0!</v>
      </c>
    </row>
    <row r="74" spans="1:46">
      <c r="A74" s="360"/>
      <c r="B74" s="127">
        <f t="shared" si="8"/>
        <v>720</v>
      </c>
      <c r="C74" s="133" t="str">
        <f>VLOOKUP(B74,'Tipos de Defeitos'!B$4:E$106,Menu!$B$28+1,)</f>
        <v>Pilha recuperada do Acabamento</v>
      </c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1">
        <f t="shared" si="3"/>
        <v>0</v>
      </c>
      <c r="AT74" s="235" t="e">
        <f t="shared" si="7"/>
        <v>#DIV/0!</v>
      </c>
    </row>
    <row r="75" spans="1:46">
      <c r="A75" s="360"/>
      <c r="B75" s="127">
        <f t="shared" si="8"/>
        <v>730</v>
      </c>
      <c r="C75" s="133" t="str">
        <f>VLOOKUP(B75,'Tipos de Defeitos'!B$4:E$106,Menu!$B$28+1,)</f>
        <v>Causa Desconhecida - Voltagem</v>
      </c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1">
        <f t="shared" si="3"/>
        <v>0</v>
      </c>
      <c r="AT75" s="235" t="e">
        <f t="shared" si="7"/>
        <v>#DIV/0!</v>
      </c>
    </row>
    <row r="76" spans="1:46">
      <c r="A76" s="360"/>
      <c r="B76" s="127">
        <f t="shared" si="8"/>
        <v>740</v>
      </c>
      <c r="C76" s="133" t="str">
        <f>VLOOKUP(B76,'Tipos de Defeitos'!B$4:E$106,Menu!$B$28+1,)</f>
        <v>Pilha Boa</v>
      </c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1">
        <f t="shared" si="3"/>
        <v>0</v>
      </c>
      <c r="AT76" s="235" t="e">
        <f t="shared" si="7"/>
        <v>#DIV/0!</v>
      </c>
    </row>
    <row r="77" spans="1:46" ht="13.5" thickBot="1">
      <c r="A77" s="370"/>
      <c r="B77" s="130">
        <f t="shared" si="8"/>
        <v>750</v>
      </c>
      <c r="C77" s="134" t="str">
        <f>VLOOKUP(B77,'Tipos de Defeitos'!B$4:E$106,Menu!$B$28+1,)</f>
        <v>Outros - Voltagem</v>
      </c>
      <c r="D77" s="149"/>
      <c r="E77" s="149"/>
      <c r="F77" s="149"/>
      <c r="G77" s="149"/>
      <c r="H77" s="149"/>
      <c r="I77" s="149"/>
      <c r="J77" s="149"/>
      <c r="K77" s="149"/>
      <c r="L77" s="149"/>
      <c r="M77" s="149"/>
      <c r="N77" s="149"/>
      <c r="O77" s="149"/>
      <c r="P77" s="149"/>
      <c r="Q77" s="149"/>
      <c r="R77" s="149"/>
      <c r="S77" s="149"/>
      <c r="T77" s="149"/>
      <c r="U77" s="149"/>
      <c r="V77" s="149"/>
      <c r="W77" s="149"/>
      <c r="X77" s="149"/>
      <c r="Y77" s="149"/>
      <c r="Z77" s="149"/>
      <c r="AA77" s="149"/>
      <c r="AB77" s="149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5">
        <f t="shared" si="3"/>
        <v>0</v>
      </c>
      <c r="AT77" s="235" t="e">
        <f t="shared" si="7"/>
        <v>#DIV/0!</v>
      </c>
    </row>
    <row r="78" spans="1:46">
      <c r="A78" s="369" t="s">
        <v>201</v>
      </c>
      <c r="B78" s="129">
        <f t="shared" si="8"/>
        <v>760</v>
      </c>
      <c r="C78" s="132" t="str">
        <f>VLOOKUP(B78,'Tipos de Defeitos'!B$4:E$106,Menu!$B$28+1,)</f>
        <v>Total (pçs)</v>
      </c>
      <c r="D78" s="151">
        <f t="shared" ref="D78:W78" si="9">SUM(D28:D77)</f>
        <v>0</v>
      </c>
      <c r="E78" s="151">
        <f t="shared" si="9"/>
        <v>0</v>
      </c>
      <c r="F78" s="151">
        <f t="shared" si="9"/>
        <v>0</v>
      </c>
      <c r="G78" s="151">
        <f t="shared" si="9"/>
        <v>0</v>
      </c>
      <c r="H78" s="151">
        <f t="shared" si="9"/>
        <v>0</v>
      </c>
      <c r="I78" s="151">
        <f t="shared" si="9"/>
        <v>0</v>
      </c>
      <c r="J78" s="151">
        <f t="shared" si="9"/>
        <v>0</v>
      </c>
      <c r="K78" s="151">
        <f t="shared" si="9"/>
        <v>0</v>
      </c>
      <c r="L78" s="151">
        <f t="shared" si="9"/>
        <v>0</v>
      </c>
      <c r="M78" s="151">
        <f t="shared" si="9"/>
        <v>0</v>
      </c>
      <c r="N78" s="151">
        <f t="shared" si="9"/>
        <v>0</v>
      </c>
      <c r="O78" s="151">
        <f t="shared" si="9"/>
        <v>0</v>
      </c>
      <c r="P78" s="151">
        <f t="shared" si="9"/>
        <v>0</v>
      </c>
      <c r="Q78" s="151">
        <f t="shared" si="9"/>
        <v>0</v>
      </c>
      <c r="R78" s="151">
        <f t="shared" si="9"/>
        <v>0</v>
      </c>
      <c r="S78" s="151">
        <f t="shared" si="9"/>
        <v>0</v>
      </c>
      <c r="T78" s="151">
        <f t="shared" si="9"/>
        <v>0</v>
      </c>
      <c r="U78" s="151">
        <f t="shared" si="9"/>
        <v>0</v>
      </c>
      <c r="V78" s="151">
        <f t="shared" si="9"/>
        <v>0</v>
      </c>
      <c r="W78" s="151">
        <f t="shared" si="9"/>
        <v>0</v>
      </c>
      <c r="X78" s="151">
        <f>SUM(X28:X77)</f>
        <v>0</v>
      </c>
      <c r="Y78" s="151">
        <f t="shared" ref="Y78:AS78" si="10">SUM(Y28:Y77)</f>
        <v>0</v>
      </c>
      <c r="Z78" s="151">
        <f t="shared" si="10"/>
        <v>0</v>
      </c>
      <c r="AA78" s="151">
        <f t="shared" si="10"/>
        <v>0</v>
      </c>
      <c r="AB78" s="151">
        <f t="shared" si="10"/>
        <v>0</v>
      </c>
      <c r="AC78" s="151">
        <f t="shared" si="10"/>
        <v>0</v>
      </c>
      <c r="AD78" s="151">
        <f t="shared" si="10"/>
        <v>0</v>
      </c>
      <c r="AE78" s="151">
        <f t="shared" si="10"/>
        <v>0</v>
      </c>
      <c r="AF78" s="151">
        <f t="shared" si="10"/>
        <v>0</v>
      </c>
      <c r="AG78" s="151">
        <f t="shared" si="10"/>
        <v>0</v>
      </c>
      <c r="AH78" s="151">
        <f t="shared" si="10"/>
        <v>0</v>
      </c>
      <c r="AI78" s="151">
        <f t="shared" si="10"/>
        <v>0</v>
      </c>
      <c r="AJ78" s="151">
        <f t="shared" si="10"/>
        <v>0</v>
      </c>
      <c r="AK78" s="151">
        <f t="shared" si="10"/>
        <v>0</v>
      </c>
      <c r="AL78" s="151">
        <f t="shared" si="10"/>
        <v>0</v>
      </c>
      <c r="AM78" s="151">
        <f t="shared" si="10"/>
        <v>0</v>
      </c>
      <c r="AN78" s="151">
        <f t="shared" si="10"/>
        <v>0</v>
      </c>
      <c r="AO78" s="151">
        <f t="shared" si="10"/>
        <v>0</v>
      </c>
      <c r="AP78" s="151">
        <f t="shared" si="10"/>
        <v>0</v>
      </c>
      <c r="AQ78" s="151">
        <f t="shared" si="10"/>
        <v>0</v>
      </c>
      <c r="AR78" s="151">
        <f t="shared" si="10"/>
        <v>0</v>
      </c>
      <c r="AS78" s="151">
        <f t="shared" si="10"/>
        <v>0</v>
      </c>
      <c r="AT78" s="242">
        <f>AS78+'UM-4 - Dia'!AS78</f>
        <v>0</v>
      </c>
    </row>
    <row r="79" spans="1:46">
      <c r="A79" s="360"/>
      <c r="B79" s="127">
        <f t="shared" si="8"/>
        <v>770</v>
      </c>
      <c r="C79" s="133" t="str">
        <f>VLOOKUP(B79,'Tipos de Defeitos'!B$4:E$106,Menu!$B$28+1,)</f>
        <v>Taxa Defeituosa 1º Teste</v>
      </c>
      <c r="D79" s="160" t="str">
        <f t="shared" ref="D79:AR79" si="11">IF(D23&gt;0,D23/D7*1000000,"")</f>
        <v/>
      </c>
      <c r="E79" s="160" t="str">
        <f t="shared" si="11"/>
        <v/>
      </c>
      <c r="F79" s="160" t="str">
        <f t="shared" si="11"/>
        <v/>
      </c>
      <c r="G79" s="160" t="str">
        <f t="shared" si="11"/>
        <v/>
      </c>
      <c r="H79" s="160" t="str">
        <f t="shared" si="11"/>
        <v/>
      </c>
      <c r="I79" s="160" t="str">
        <f t="shared" si="11"/>
        <v/>
      </c>
      <c r="J79" s="160" t="str">
        <f t="shared" si="11"/>
        <v/>
      </c>
      <c r="K79" s="160" t="str">
        <f t="shared" si="11"/>
        <v/>
      </c>
      <c r="L79" s="160" t="str">
        <f t="shared" si="11"/>
        <v/>
      </c>
      <c r="M79" s="160" t="str">
        <f t="shared" si="11"/>
        <v/>
      </c>
      <c r="N79" s="160" t="str">
        <f t="shared" si="11"/>
        <v/>
      </c>
      <c r="O79" s="160" t="str">
        <f t="shared" si="11"/>
        <v/>
      </c>
      <c r="P79" s="160" t="str">
        <f t="shared" si="11"/>
        <v/>
      </c>
      <c r="Q79" s="160" t="str">
        <f t="shared" si="11"/>
        <v/>
      </c>
      <c r="R79" s="160" t="str">
        <f t="shared" si="11"/>
        <v/>
      </c>
      <c r="S79" s="160" t="str">
        <f t="shared" si="11"/>
        <v/>
      </c>
      <c r="T79" s="160" t="str">
        <f t="shared" si="11"/>
        <v/>
      </c>
      <c r="U79" s="160" t="str">
        <f t="shared" si="11"/>
        <v/>
      </c>
      <c r="V79" s="160" t="str">
        <f t="shared" si="11"/>
        <v/>
      </c>
      <c r="W79" s="160" t="str">
        <f t="shared" si="11"/>
        <v/>
      </c>
      <c r="X79" s="160" t="str">
        <f t="shared" si="11"/>
        <v/>
      </c>
      <c r="Y79" s="160" t="str">
        <f t="shared" si="11"/>
        <v/>
      </c>
      <c r="Z79" s="160" t="str">
        <f t="shared" si="11"/>
        <v/>
      </c>
      <c r="AA79" s="160" t="str">
        <f t="shared" si="11"/>
        <v/>
      </c>
      <c r="AB79" s="160" t="str">
        <f t="shared" si="11"/>
        <v/>
      </c>
      <c r="AC79" s="160" t="str">
        <f t="shared" si="11"/>
        <v/>
      </c>
      <c r="AD79" s="160" t="str">
        <f t="shared" si="11"/>
        <v/>
      </c>
      <c r="AE79" s="160" t="str">
        <f t="shared" si="11"/>
        <v/>
      </c>
      <c r="AF79" s="160" t="str">
        <f t="shared" si="11"/>
        <v/>
      </c>
      <c r="AG79" s="160" t="str">
        <f t="shared" si="11"/>
        <v/>
      </c>
      <c r="AH79" s="160" t="str">
        <f t="shared" si="11"/>
        <v/>
      </c>
      <c r="AI79" s="160" t="str">
        <f t="shared" si="11"/>
        <v/>
      </c>
      <c r="AJ79" s="160" t="str">
        <f t="shared" si="11"/>
        <v/>
      </c>
      <c r="AK79" s="160" t="str">
        <f t="shared" si="11"/>
        <v/>
      </c>
      <c r="AL79" s="160" t="str">
        <f t="shared" si="11"/>
        <v/>
      </c>
      <c r="AM79" s="160" t="str">
        <f t="shared" si="11"/>
        <v/>
      </c>
      <c r="AN79" s="160" t="str">
        <f t="shared" si="11"/>
        <v/>
      </c>
      <c r="AO79" s="160" t="str">
        <f t="shared" si="11"/>
        <v/>
      </c>
      <c r="AP79" s="160" t="str">
        <f t="shared" si="11"/>
        <v/>
      </c>
      <c r="AQ79" s="160" t="str">
        <f t="shared" si="11"/>
        <v/>
      </c>
      <c r="AR79" s="160" t="str">
        <f t="shared" si="11"/>
        <v/>
      </c>
      <c r="AS79" s="160" t="str">
        <f>IF(AS7&gt;0,AS23/AS7*1000000,"")</f>
        <v/>
      </c>
    </row>
    <row r="80" spans="1:46">
      <c r="A80" s="360"/>
      <c r="B80" s="127">
        <f t="shared" si="8"/>
        <v>780</v>
      </c>
      <c r="C80" s="133" t="str">
        <f>VLOOKUP(B80,'Tipos de Defeitos'!B$4:E$106,Menu!$B$28+1,)</f>
        <v>Taxa defeituosa (ppm)</v>
      </c>
      <c r="D80" s="161" t="str">
        <f t="shared" ref="D80:AR80" si="12">IF(D27&lt;&gt;0,D78/D27*D24/D7*1000000,"")</f>
        <v/>
      </c>
      <c r="E80" s="161" t="str">
        <f t="shared" si="12"/>
        <v/>
      </c>
      <c r="F80" s="161" t="str">
        <f t="shared" si="12"/>
        <v/>
      </c>
      <c r="G80" s="161" t="str">
        <f t="shared" si="12"/>
        <v/>
      </c>
      <c r="H80" s="161" t="str">
        <f t="shared" si="12"/>
        <v/>
      </c>
      <c r="I80" s="161" t="str">
        <f t="shared" si="12"/>
        <v/>
      </c>
      <c r="J80" s="161" t="str">
        <f t="shared" si="12"/>
        <v/>
      </c>
      <c r="K80" s="161" t="str">
        <f t="shared" si="12"/>
        <v/>
      </c>
      <c r="L80" s="161" t="str">
        <f t="shared" si="12"/>
        <v/>
      </c>
      <c r="M80" s="161" t="str">
        <f t="shared" si="12"/>
        <v/>
      </c>
      <c r="N80" s="161" t="str">
        <f t="shared" si="12"/>
        <v/>
      </c>
      <c r="O80" s="161" t="str">
        <f t="shared" si="12"/>
        <v/>
      </c>
      <c r="P80" s="161" t="str">
        <f t="shared" si="12"/>
        <v/>
      </c>
      <c r="Q80" s="161" t="str">
        <f t="shared" si="12"/>
        <v/>
      </c>
      <c r="R80" s="161" t="str">
        <f t="shared" si="12"/>
        <v/>
      </c>
      <c r="S80" s="161" t="str">
        <f t="shared" si="12"/>
        <v/>
      </c>
      <c r="T80" s="161" t="str">
        <f t="shared" si="12"/>
        <v/>
      </c>
      <c r="U80" s="161" t="str">
        <f t="shared" si="12"/>
        <v/>
      </c>
      <c r="V80" s="161" t="str">
        <f t="shared" si="12"/>
        <v/>
      </c>
      <c r="W80" s="161" t="str">
        <f t="shared" si="12"/>
        <v/>
      </c>
      <c r="X80" s="161" t="str">
        <f t="shared" si="12"/>
        <v/>
      </c>
      <c r="Y80" s="161" t="str">
        <f t="shared" si="12"/>
        <v/>
      </c>
      <c r="Z80" s="161" t="str">
        <f t="shared" si="12"/>
        <v/>
      </c>
      <c r="AA80" s="161" t="str">
        <f t="shared" si="12"/>
        <v/>
      </c>
      <c r="AB80" s="161" t="str">
        <f t="shared" si="12"/>
        <v/>
      </c>
      <c r="AC80" s="161" t="str">
        <f t="shared" si="12"/>
        <v/>
      </c>
      <c r="AD80" s="161" t="str">
        <f t="shared" si="12"/>
        <v/>
      </c>
      <c r="AE80" s="161" t="str">
        <f t="shared" si="12"/>
        <v/>
      </c>
      <c r="AF80" s="161" t="str">
        <f t="shared" si="12"/>
        <v/>
      </c>
      <c r="AG80" s="161" t="str">
        <f t="shared" si="12"/>
        <v/>
      </c>
      <c r="AH80" s="161" t="str">
        <f t="shared" si="12"/>
        <v/>
      </c>
      <c r="AI80" s="161" t="str">
        <f t="shared" si="12"/>
        <v/>
      </c>
      <c r="AJ80" s="161" t="str">
        <f t="shared" si="12"/>
        <v/>
      </c>
      <c r="AK80" s="161" t="str">
        <f t="shared" si="12"/>
        <v/>
      </c>
      <c r="AL80" s="161" t="str">
        <f t="shared" si="12"/>
        <v/>
      </c>
      <c r="AM80" s="161" t="str">
        <f t="shared" si="12"/>
        <v/>
      </c>
      <c r="AN80" s="161" t="str">
        <f t="shared" si="12"/>
        <v/>
      </c>
      <c r="AO80" s="161" t="str">
        <f t="shared" si="12"/>
        <v/>
      </c>
      <c r="AP80" s="161" t="str">
        <f t="shared" si="12"/>
        <v/>
      </c>
      <c r="AQ80" s="161" t="str">
        <f t="shared" si="12"/>
        <v/>
      </c>
      <c r="AR80" s="161" t="str">
        <f t="shared" si="12"/>
        <v/>
      </c>
      <c r="AS80" s="161" t="str">
        <f>IF((AS27*AS7)&gt;0,AS78/AS27*AS24/AS7*1000000,"")</f>
        <v/>
      </c>
      <c r="AT80" s="234" t="e">
        <f>AT78/AT27*AT24/AT7*1000000</f>
        <v>#DIV/0!</v>
      </c>
    </row>
    <row r="81" spans="1:46">
      <c r="A81" s="360"/>
      <c r="B81" s="127">
        <f t="shared" si="8"/>
        <v>790</v>
      </c>
      <c r="C81" s="133" t="str">
        <f>VLOOKUP(B81,'Tipos de Defeitos'!B$4:E$106,Menu!$B$28+1,)</f>
        <v>Qtd. Defeitos internos (pçs)</v>
      </c>
      <c r="D81" s="141">
        <f t="shared" ref="D81:AR81" si="13">SUM(D28:D71,D86:D98)</f>
        <v>0</v>
      </c>
      <c r="E81" s="141">
        <f t="shared" si="13"/>
        <v>0</v>
      </c>
      <c r="F81" s="141">
        <f t="shared" si="13"/>
        <v>0</v>
      </c>
      <c r="G81" s="141">
        <f t="shared" si="13"/>
        <v>0</v>
      </c>
      <c r="H81" s="141">
        <f t="shared" si="13"/>
        <v>0</v>
      </c>
      <c r="I81" s="141">
        <f t="shared" si="13"/>
        <v>0</v>
      </c>
      <c r="J81" s="141">
        <f t="shared" si="13"/>
        <v>0</v>
      </c>
      <c r="K81" s="141">
        <f t="shared" si="13"/>
        <v>0</v>
      </c>
      <c r="L81" s="141">
        <f t="shared" si="13"/>
        <v>0</v>
      </c>
      <c r="M81" s="141">
        <f t="shared" si="13"/>
        <v>0</v>
      </c>
      <c r="N81" s="141">
        <f t="shared" si="13"/>
        <v>0</v>
      </c>
      <c r="O81" s="141">
        <f t="shared" si="13"/>
        <v>0</v>
      </c>
      <c r="P81" s="141">
        <f t="shared" si="13"/>
        <v>0</v>
      </c>
      <c r="Q81" s="141">
        <f t="shared" si="13"/>
        <v>0</v>
      </c>
      <c r="R81" s="141">
        <f t="shared" si="13"/>
        <v>0</v>
      </c>
      <c r="S81" s="141">
        <f t="shared" si="13"/>
        <v>0</v>
      </c>
      <c r="T81" s="141">
        <f t="shared" si="13"/>
        <v>0</v>
      </c>
      <c r="U81" s="141">
        <f t="shared" si="13"/>
        <v>0</v>
      </c>
      <c r="V81" s="141">
        <f t="shared" si="13"/>
        <v>0</v>
      </c>
      <c r="W81" s="141">
        <f t="shared" si="13"/>
        <v>0</v>
      </c>
      <c r="X81" s="141">
        <f t="shared" si="13"/>
        <v>0</v>
      </c>
      <c r="Y81" s="141">
        <f t="shared" si="13"/>
        <v>0</v>
      </c>
      <c r="Z81" s="141">
        <f t="shared" si="13"/>
        <v>0</v>
      </c>
      <c r="AA81" s="141">
        <f t="shared" si="13"/>
        <v>0</v>
      </c>
      <c r="AB81" s="141">
        <f t="shared" si="13"/>
        <v>0</v>
      </c>
      <c r="AC81" s="141">
        <f t="shared" si="13"/>
        <v>0</v>
      </c>
      <c r="AD81" s="141">
        <f t="shared" si="13"/>
        <v>0</v>
      </c>
      <c r="AE81" s="141">
        <f t="shared" si="13"/>
        <v>0</v>
      </c>
      <c r="AF81" s="141">
        <f t="shared" si="13"/>
        <v>0</v>
      </c>
      <c r="AG81" s="141">
        <f t="shared" si="13"/>
        <v>0</v>
      </c>
      <c r="AH81" s="141">
        <f t="shared" si="13"/>
        <v>0</v>
      </c>
      <c r="AI81" s="141">
        <f t="shared" si="13"/>
        <v>0</v>
      </c>
      <c r="AJ81" s="141">
        <f t="shared" si="13"/>
        <v>0</v>
      </c>
      <c r="AK81" s="141">
        <f t="shared" si="13"/>
        <v>0</v>
      </c>
      <c r="AL81" s="141">
        <f t="shared" si="13"/>
        <v>0</v>
      </c>
      <c r="AM81" s="141">
        <f t="shared" si="13"/>
        <v>0</v>
      </c>
      <c r="AN81" s="141">
        <f t="shared" si="13"/>
        <v>0</v>
      </c>
      <c r="AO81" s="141">
        <f t="shared" si="13"/>
        <v>0</v>
      </c>
      <c r="AP81" s="141">
        <f t="shared" si="13"/>
        <v>0</v>
      </c>
      <c r="AQ81" s="141">
        <f t="shared" si="13"/>
        <v>0</v>
      </c>
      <c r="AR81" s="141">
        <f t="shared" si="13"/>
        <v>0</v>
      </c>
      <c r="AS81" s="174">
        <f>SUM(AS28:AS67,AS69:AS71)</f>
        <v>0</v>
      </c>
      <c r="AT81" s="242">
        <f>AS81+'UM-4 - Dia'!AS81</f>
        <v>0</v>
      </c>
    </row>
    <row r="82" spans="1:46" ht="13.5" thickBot="1">
      <c r="A82" s="370"/>
      <c r="B82" s="130">
        <f t="shared" si="8"/>
        <v>800</v>
      </c>
      <c r="C82" s="134" t="str">
        <f>VLOOKUP(B82,'Tipos de Defeitos'!B$4:E$106,Menu!$B$28+1,)</f>
        <v>Defeitos Internos - Taxa defeituosa (ppm)</v>
      </c>
      <c r="D82" s="162" t="str">
        <f t="shared" ref="D82:AR82" si="14">IF(D24&gt;0,D81/D27*D24/D7*1000000,"")</f>
        <v/>
      </c>
      <c r="E82" s="162" t="str">
        <f t="shared" si="14"/>
        <v/>
      </c>
      <c r="F82" s="162" t="str">
        <f t="shared" si="14"/>
        <v/>
      </c>
      <c r="G82" s="162" t="str">
        <f t="shared" si="14"/>
        <v/>
      </c>
      <c r="H82" s="162" t="str">
        <f t="shared" si="14"/>
        <v/>
      </c>
      <c r="I82" s="162" t="str">
        <f t="shared" si="14"/>
        <v/>
      </c>
      <c r="J82" s="162" t="str">
        <f t="shared" si="14"/>
        <v/>
      </c>
      <c r="K82" s="162" t="str">
        <f t="shared" si="14"/>
        <v/>
      </c>
      <c r="L82" s="162" t="str">
        <f t="shared" si="14"/>
        <v/>
      </c>
      <c r="M82" s="162" t="str">
        <f t="shared" si="14"/>
        <v/>
      </c>
      <c r="N82" s="162" t="str">
        <f t="shared" si="14"/>
        <v/>
      </c>
      <c r="O82" s="162" t="str">
        <f t="shared" si="14"/>
        <v/>
      </c>
      <c r="P82" s="162" t="str">
        <f t="shared" si="14"/>
        <v/>
      </c>
      <c r="Q82" s="162" t="str">
        <f t="shared" si="14"/>
        <v/>
      </c>
      <c r="R82" s="162" t="str">
        <f t="shared" si="14"/>
        <v/>
      </c>
      <c r="S82" s="162" t="str">
        <f t="shared" si="14"/>
        <v/>
      </c>
      <c r="T82" s="162" t="str">
        <f t="shared" si="14"/>
        <v/>
      </c>
      <c r="U82" s="162" t="str">
        <f t="shared" si="14"/>
        <v/>
      </c>
      <c r="V82" s="162" t="str">
        <f t="shared" si="14"/>
        <v/>
      </c>
      <c r="W82" s="162" t="str">
        <f t="shared" si="14"/>
        <v/>
      </c>
      <c r="X82" s="162" t="str">
        <f t="shared" si="14"/>
        <v/>
      </c>
      <c r="Y82" s="162" t="str">
        <f t="shared" si="14"/>
        <v/>
      </c>
      <c r="Z82" s="162" t="str">
        <f t="shared" si="14"/>
        <v/>
      </c>
      <c r="AA82" s="162" t="str">
        <f t="shared" si="14"/>
        <v/>
      </c>
      <c r="AB82" s="162" t="str">
        <f t="shared" si="14"/>
        <v/>
      </c>
      <c r="AC82" s="162" t="str">
        <f t="shared" si="14"/>
        <v/>
      </c>
      <c r="AD82" s="162" t="str">
        <f t="shared" si="14"/>
        <v/>
      </c>
      <c r="AE82" s="162" t="str">
        <f t="shared" si="14"/>
        <v/>
      </c>
      <c r="AF82" s="162" t="str">
        <f t="shared" si="14"/>
        <v/>
      </c>
      <c r="AG82" s="162" t="str">
        <f t="shared" si="14"/>
        <v/>
      </c>
      <c r="AH82" s="162" t="str">
        <f t="shared" si="14"/>
        <v/>
      </c>
      <c r="AI82" s="162" t="str">
        <f t="shared" si="14"/>
        <v/>
      </c>
      <c r="AJ82" s="162" t="str">
        <f t="shared" si="14"/>
        <v/>
      </c>
      <c r="AK82" s="162" t="str">
        <f t="shared" si="14"/>
        <v/>
      </c>
      <c r="AL82" s="162" t="str">
        <f t="shared" si="14"/>
        <v/>
      </c>
      <c r="AM82" s="162" t="str">
        <f t="shared" si="14"/>
        <v/>
      </c>
      <c r="AN82" s="162" t="str">
        <f t="shared" si="14"/>
        <v/>
      </c>
      <c r="AO82" s="162" t="str">
        <f t="shared" si="14"/>
        <v/>
      </c>
      <c r="AP82" s="162" t="str">
        <f t="shared" si="14"/>
        <v/>
      </c>
      <c r="AQ82" s="162" t="str">
        <f t="shared" si="14"/>
        <v/>
      </c>
      <c r="AR82" s="162" t="str">
        <f t="shared" si="14"/>
        <v/>
      </c>
      <c r="AS82" s="162" t="str">
        <f>IF((AS27*AS7)&gt;0,AS81/AS27*AS24/AS7*1000000,"")</f>
        <v/>
      </c>
    </row>
    <row r="83" spans="1:46" ht="14.25" customHeight="1">
      <c r="A83" s="357" t="s">
        <v>199</v>
      </c>
      <c r="B83" s="129">
        <f t="shared" si="8"/>
        <v>810</v>
      </c>
      <c r="C83" s="132" t="str">
        <f>VLOOKUP(B83,'Tipos de Defeitos'!B$4:E$106,Menu!$B$28+1,)</f>
        <v>Amperagem (Moda)</v>
      </c>
      <c r="D83" s="184"/>
      <c r="E83" s="184"/>
      <c r="F83" s="184"/>
      <c r="G83" s="184"/>
      <c r="H83" s="184"/>
      <c r="I83" s="184"/>
      <c r="J83" s="184"/>
      <c r="K83" s="184"/>
      <c r="L83" s="184"/>
      <c r="M83" s="184"/>
      <c r="N83" s="184"/>
      <c r="O83" s="184"/>
      <c r="P83" s="184"/>
      <c r="Q83" s="184"/>
      <c r="R83" s="184"/>
      <c r="S83" s="184"/>
      <c r="T83" s="184"/>
      <c r="U83" s="184"/>
      <c r="V83" s="184"/>
      <c r="W83" s="184"/>
      <c r="X83" s="184"/>
      <c r="Y83" s="150"/>
      <c r="Z83" s="150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50"/>
      <c r="AL83" s="150"/>
      <c r="AM83" s="150"/>
      <c r="AN83" s="150"/>
      <c r="AO83" s="150"/>
      <c r="AP83" s="150"/>
      <c r="AQ83" s="150"/>
      <c r="AR83" s="150"/>
      <c r="AS83" s="202" t="e">
        <f>AVERAGE(D83:AR83)</f>
        <v>#DIV/0!</v>
      </c>
    </row>
    <row r="84" spans="1:46">
      <c r="A84" s="358"/>
      <c r="B84" s="127">
        <f t="shared" si="8"/>
        <v>820</v>
      </c>
      <c r="C84" s="133" t="str">
        <f>VLOOKUP(B84,'Tipos de Defeitos'!B$4:E$106,Menu!$B$28+1,)</f>
        <v>Amperagem Ajustada</v>
      </c>
      <c r="D84" s="185" t="str">
        <f t="shared" ref="D84:AJ84" si="15">IF(D83&gt;0,D83-1," ")</f>
        <v xml:space="preserve"> </v>
      </c>
      <c r="E84" s="185" t="str">
        <f t="shared" si="15"/>
        <v xml:space="preserve"> </v>
      </c>
      <c r="F84" s="185" t="str">
        <f t="shared" si="15"/>
        <v xml:space="preserve"> </v>
      </c>
      <c r="G84" s="185" t="str">
        <f t="shared" si="15"/>
        <v xml:space="preserve"> </v>
      </c>
      <c r="H84" s="185" t="str">
        <f t="shared" si="15"/>
        <v xml:space="preserve"> </v>
      </c>
      <c r="I84" s="185" t="str">
        <f t="shared" si="15"/>
        <v xml:space="preserve"> </v>
      </c>
      <c r="J84" s="185" t="str">
        <f t="shared" si="15"/>
        <v xml:space="preserve"> </v>
      </c>
      <c r="K84" s="185" t="str">
        <f t="shared" si="15"/>
        <v xml:space="preserve"> </v>
      </c>
      <c r="L84" s="185" t="str">
        <f t="shared" si="15"/>
        <v xml:space="preserve"> </v>
      </c>
      <c r="M84" s="185" t="str">
        <f t="shared" si="15"/>
        <v xml:space="preserve"> </v>
      </c>
      <c r="N84" s="185" t="str">
        <f t="shared" si="15"/>
        <v xml:space="preserve"> </v>
      </c>
      <c r="O84" s="185" t="str">
        <f t="shared" si="15"/>
        <v xml:space="preserve"> </v>
      </c>
      <c r="P84" s="185" t="str">
        <f t="shared" si="15"/>
        <v xml:space="preserve"> </v>
      </c>
      <c r="Q84" s="185" t="str">
        <f>IF(Q83&gt;0,Q83-1," ")</f>
        <v xml:space="preserve"> </v>
      </c>
      <c r="R84" s="185" t="str">
        <f t="shared" si="15"/>
        <v xml:space="preserve"> </v>
      </c>
      <c r="S84" s="185" t="str">
        <f t="shared" si="15"/>
        <v xml:space="preserve"> </v>
      </c>
      <c r="T84" s="185" t="str">
        <f t="shared" si="15"/>
        <v xml:space="preserve"> </v>
      </c>
      <c r="U84" s="185" t="str">
        <f t="shared" si="15"/>
        <v xml:space="preserve"> </v>
      </c>
      <c r="V84" s="185" t="str">
        <f t="shared" si="15"/>
        <v xml:space="preserve"> </v>
      </c>
      <c r="W84" s="185" t="str">
        <f t="shared" si="15"/>
        <v xml:space="preserve"> </v>
      </c>
      <c r="X84" s="185" t="str">
        <f t="shared" si="15"/>
        <v xml:space="preserve"> </v>
      </c>
      <c r="Y84" s="140" t="str">
        <f t="shared" si="15"/>
        <v xml:space="preserve"> </v>
      </c>
      <c r="Z84" s="140" t="str">
        <f t="shared" si="15"/>
        <v xml:space="preserve"> </v>
      </c>
      <c r="AA84" s="185" t="str">
        <f t="shared" si="15"/>
        <v xml:space="preserve"> </v>
      </c>
      <c r="AB84" s="185" t="str">
        <f t="shared" si="15"/>
        <v xml:space="preserve"> </v>
      </c>
      <c r="AC84" s="185" t="str">
        <f t="shared" si="15"/>
        <v xml:space="preserve"> </v>
      </c>
      <c r="AD84" s="185" t="str">
        <f t="shared" si="15"/>
        <v xml:space="preserve"> </v>
      </c>
      <c r="AE84" s="185" t="str">
        <f t="shared" si="15"/>
        <v xml:space="preserve"> </v>
      </c>
      <c r="AF84" s="185" t="str">
        <f t="shared" si="15"/>
        <v xml:space="preserve"> </v>
      </c>
      <c r="AG84" s="185" t="str">
        <f t="shared" si="15"/>
        <v xml:space="preserve"> </v>
      </c>
      <c r="AH84" s="185" t="str">
        <f t="shared" si="15"/>
        <v xml:space="preserve"> </v>
      </c>
      <c r="AI84" s="185" t="str">
        <f t="shared" si="15"/>
        <v xml:space="preserve"> </v>
      </c>
      <c r="AJ84" s="185" t="str">
        <f t="shared" si="15"/>
        <v xml:space="preserve"> </v>
      </c>
      <c r="AK84" s="140"/>
      <c r="AL84" s="140"/>
      <c r="AM84" s="140"/>
      <c r="AN84" s="140"/>
      <c r="AO84" s="140"/>
      <c r="AP84" s="140"/>
      <c r="AQ84" s="140"/>
      <c r="AR84" s="140"/>
      <c r="AS84" s="186" t="e">
        <f>AVERAGE(D84:AR84)</f>
        <v>#DIV/0!</v>
      </c>
    </row>
    <row r="85" spans="1:46" ht="13.5" thickBot="1">
      <c r="A85" s="359"/>
      <c r="B85" s="130">
        <f t="shared" si="8"/>
        <v>830</v>
      </c>
      <c r="C85" s="134" t="str">
        <f>VLOOKUP(B85,'Tipos de Defeitos'!B$4:E$106,Menu!$B$28+1,)</f>
        <v>Qtd Baterias analisadas (pçs)</v>
      </c>
      <c r="D85" s="236">
        <f t="shared" ref="D85:AR85" si="16">D103</f>
        <v>0</v>
      </c>
      <c r="E85" s="236">
        <f t="shared" si="16"/>
        <v>0</v>
      </c>
      <c r="F85" s="236">
        <f t="shared" si="16"/>
        <v>0</v>
      </c>
      <c r="G85" s="236">
        <f t="shared" si="16"/>
        <v>0</v>
      </c>
      <c r="H85" s="236">
        <f t="shared" si="16"/>
        <v>0</v>
      </c>
      <c r="I85" s="236">
        <f t="shared" si="16"/>
        <v>0</v>
      </c>
      <c r="J85" s="236">
        <f t="shared" si="16"/>
        <v>0</v>
      </c>
      <c r="K85" s="236">
        <f t="shared" si="16"/>
        <v>0</v>
      </c>
      <c r="L85" s="236">
        <f t="shared" si="16"/>
        <v>0</v>
      </c>
      <c r="M85" s="236">
        <f t="shared" si="16"/>
        <v>0</v>
      </c>
      <c r="N85" s="236">
        <f t="shared" si="16"/>
        <v>0</v>
      </c>
      <c r="O85" s="236">
        <f t="shared" si="16"/>
        <v>0</v>
      </c>
      <c r="P85" s="236">
        <f t="shared" si="16"/>
        <v>0</v>
      </c>
      <c r="Q85" s="236">
        <f t="shared" si="16"/>
        <v>0</v>
      </c>
      <c r="R85" s="236">
        <f t="shared" si="16"/>
        <v>0</v>
      </c>
      <c r="S85" s="236">
        <f t="shared" si="16"/>
        <v>0</v>
      </c>
      <c r="T85" s="236">
        <f t="shared" si="16"/>
        <v>0</v>
      </c>
      <c r="U85" s="236">
        <f t="shared" si="16"/>
        <v>0</v>
      </c>
      <c r="V85" s="236">
        <f t="shared" si="16"/>
        <v>0</v>
      </c>
      <c r="W85" s="236">
        <f t="shared" si="16"/>
        <v>0</v>
      </c>
      <c r="X85" s="236">
        <f t="shared" si="16"/>
        <v>0</v>
      </c>
      <c r="Y85" s="236">
        <f t="shared" si="16"/>
        <v>0</v>
      </c>
      <c r="Z85" s="236">
        <f t="shared" si="16"/>
        <v>0</v>
      </c>
      <c r="AA85" s="236">
        <f t="shared" si="16"/>
        <v>0</v>
      </c>
      <c r="AB85" s="236">
        <f t="shared" si="16"/>
        <v>0</v>
      </c>
      <c r="AC85" s="236">
        <f t="shared" si="16"/>
        <v>0</v>
      </c>
      <c r="AD85" s="236">
        <f t="shared" si="16"/>
        <v>0</v>
      </c>
      <c r="AE85" s="236">
        <f t="shared" si="16"/>
        <v>0</v>
      </c>
      <c r="AF85" s="236">
        <f t="shared" si="16"/>
        <v>0</v>
      </c>
      <c r="AG85" s="236">
        <f t="shared" si="16"/>
        <v>0</v>
      </c>
      <c r="AH85" s="236">
        <f t="shared" si="16"/>
        <v>0</v>
      </c>
      <c r="AI85" s="236">
        <f t="shared" si="16"/>
        <v>0</v>
      </c>
      <c r="AJ85" s="236">
        <f t="shared" si="16"/>
        <v>0</v>
      </c>
      <c r="AK85" s="236">
        <f t="shared" si="16"/>
        <v>0</v>
      </c>
      <c r="AL85" s="236">
        <f t="shared" si="16"/>
        <v>0</v>
      </c>
      <c r="AM85" s="236">
        <f t="shared" si="16"/>
        <v>0</v>
      </c>
      <c r="AN85" s="236">
        <f t="shared" si="16"/>
        <v>0</v>
      </c>
      <c r="AO85" s="236">
        <f t="shared" si="16"/>
        <v>0</v>
      </c>
      <c r="AP85" s="236">
        <f t="shared" si="16"/>
        <v>0</v>
      </c>
      <c r="AQ85" s="236">
        <f t="shared" si="16"/>
        <v>0</v>
      </c>
      <c r="AR85" s="236">
        <f t="shared" si="16"/>
        <v>0</v>
      </c>
      <c r="AS85" s="153">
        <f>SUM(AS86:AS102)</f>
        <v>0</v>
      </c>
      <c r="AT85" s="242">
        <f>AS85+'UM-4 - Dia'!AS85</f>
        <v>0</v>
      </c>
    </row>
    <row r="86" spans="1:46" ht="13.5" customHeight="1">
      <c r="A86" s="360" t="s">
        <v>28</v>
      </c>
      <c r="B86" s="128">
        <f t="shared" si="8"/>
        <v>840</v>
      </c>
      <c r="C86" s="139" t="str">
        <f>VLOOKUP(B86,'Tipos de Defeitos'!B$4:E$106,Menu!$B$28+1,)</f>
        <v>Papel Separdor Duplo</v>
      </c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52">
        <f t="shared" ref="AS86:AS103" si="17">SUM(D86:AR86)</f>
        <v>0</v>
      </c>
      <c r="AT86" s="242">
        <f>AS86+'UM-4 - Dia'!AS86</f>
        <v>0</v>
      </c>
    </row>
    <row r="87" spans="1:46">
      <c r="A87" s="360"/>
      <c r="B87" s="127">
        <f t="shared" si="8"/>
        <v>850</v>
      </c>
      <c r="C87" s="133" t="str">
        <f>VLOOKUP(B87,'Tipos de Defeitos'!B$4:E$106,Menu!$B$28+1,)</f>
        <v>Pedra de Negro</v>
      </c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52">
        <f t="shared" si="17"/>
        <v>0</v>
      </c>
      <c r="AT87" s="242">
        <f>AS87+'UM-4 - Dia'!AS87</f>
        <v>0</v>
      </c>
    </row>
    <row r="88" spans="1:46">
      <c r="A88" s="360"/>
      <c r="B88" s="127">
        <f t="shared" si="8"/>
        <v>860</v>
      </c>
      <c r="C88" s="133" t="str">
        <f>VLOOKUP(B88,'Tipos de Defeitos'!B$4:E$106,Menu!$B$28+1,)</f>
        <v>Pedra de Cl de Amônia</v>
      </c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52">
        <f t="shared" si="17"/>
        <v>0</v>
      </c>
      <c r="AT88" s="242">
        <f>AS88+'UM-4 - Dia'!AS88</f>
        <v>0</v>
      </c>
    </row>
    <row r="89" spans="1:46">
      <c r="A89" s="360"/>
      <c r="B89" s="127">
        <f t="shared" si="8"/>
        <v>870</v>
      </c>
      <c r="C89" s="133" t="str">
        <f>VLOOKUP(B89,'Tipos de Defeitos'!B$4:E$106,Menu!$B$28+1,)</f>
        <v>Pelota de Manganês</v>
      </c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52">
        <f t="shared" si="17"/>
        <v>0</v>
      </c>
      <c r="AT89" s="242">
        <f>AS89+'UM-4 - Dia'!AS89</f>
        <v>0</v>
      </c>
    </row>
    <row r="90" spans="1:46">
      <c r="A90" s="360"/>
      <c r="B90" s="127">
        <f t="shared" si="8"/>
        <v>880</v>
      </c>
      <c r="C90" s="133" t="str">
        <f>VLOOKUP(B90,'Tipos de Defeitos'!B$4:E$106,Menu!$B$28+1,)</f>
        <v>Bobina Baixa</v>
      </c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52">
        <f t="shared" si="17"/>
        <v>0</v>
      </c>
      <c r="AT90" s="242">
        <f>AS90+'UM-4 - Dia'!AS90</f>
        <v>0</v>
      </c>
    </row>
    <row r="91" spans="1:46">
      <c r="A91" s="360"/>
      <c r="B91" s="127">
        <f t="shared" si="8"/>
        <v>890</v>
      </c>
      <c r="C91" s="133" t="str">
        <f>VLOOKUP(B91,'Tipos de Defeitos'!B$4:E$106,Menu!$B$28+1,)</f>
        <v>Bobina Rachada</v>
      </c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52">
        <f t="shared" si="17"/>
        <v>0</v>
      </c>
      <c r="AT91" s="242">
        <f>AS91+'UM-4 - Dia'!AS91</f>
        <v>0</v>
      </c>
    </row>
    <row r="92" spans="1:46">
      <c r="A92" s="360"/>
      <c r="B92" s="127">
        <f t="shared" si="8"/>
        <v>900</v>
      </c>
      <c r="C92" s="133" t="str">
        <f>VLOOKUP(B92,'Tipos de Defeitos'!B$4:E$106,Menu!$B$28+1,)</f>
        <v>Emenda de Papel</v>
      </c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52">
        <f t="shared" si="17"/>
        <v>0</v>
      </c>
      <c r="AT92" s="242">
        <f>AS92+'UM-4 - Dia'!AS92</f>
        <v>0</v>
      </c>
    </row>
    <row r="93" spans="1:46">
      <c r="A93" s="360"/>
      <c r="B93" s="127">
        <f t="shared" si="8"/>
        <v>910</v>
      </c>
      <c r="C93" s="133" t="str">
        <f>VLOOKUP(B93,'Tipos de Defeitos'!B$4:E$106,Menu!$B$28+1,)</f>
        <v>Carvão Quebrado</v>
      </c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52">
        <f t="shared" si="17"/>
        <v>0</v>
      </c>
      <c r="AT93" s="242">
        <f>AS93+'UM-4 - Dia'!AS93</f>
        <v>0</v>
      </c>
    </row>
    <row r="94" spans="1:46">
      <c r="A94" s="360"/>
      <c r="B94" s="127">
        <f t="shared" si="8"/>
        <v>920</v>
      </c>
      <c r="C94" s="133" t="str">
        <f>VLOOKUP(B94,'Tipos de Defeitos'!B$4:E$106,Menu!$B$28+1,)</f>
        <v>Metade do Carvão</v>
      </c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52">
        <f t="shared" si="17"/>
        <v>0</v>
      </c>
      <c r="AT94" s="242">
        <f>AS94+'UM-4 - Dia'!AS94</f>
        <v>0</v>
      </c>
    </row>
    <row r="95" spans="1:46">
      <c r="A95" s="360"/>
      <c r="B95" s="127">
        <f t="shared" si="8"/>
        <v>930</v>
      </c>
      <c r="C95" s="133" t="str">
        <f>VLOOKUP(B95,'Tipos de Defeitos'!B$4:E$106,Menu!$B$28+1,)</f>
        <v>Carvão Frouxo</v>
      </c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52">
        <f t="shared" si="17"/>
        <v>0</v>
      </c>
      <c r="AT95" s="242">
        <f>AS95+'UM-4 - Dia'!AS95</f>
        <v>0</v>
      </c>
    </row>
    <row r="96" spans="1:46">
      <c r="A96" s="360"/>
      <c r="B96" s="127">
        <f t="shared" si="8"/>
        <v>940</v>
      </c>
      <c r="C96" s="133" t="str">
        <f>VLOOKUP(B96,'Tipos de Defeitos'!B$4:E$106,Menu!$B$28+1,)</f>
        <v>Tubo de Zinco Sujo</v>
      </c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52">
        <f t="shared" si="17"/>
        <v>0</v>
      </c>
      <c r="AT96" s="242">
        <f>AS96+'UM-4 - Dia'!AS96</f>
        <v>0</v>
      </c>
    </row>
    <row r="97" spans="1:46">
      <c r="A97" s="360"/>
      <c r="B97" s="127">
        <f t="shared" si="8"/>
        <v>950</v>
      </c>
      <c r="C97" s="133" t="str">
        <f>VLOOKUP(B97,'Tipos de Defeitos'!B$4:E$106,Menu!$B$28+1,)</f>
        <v>Contem estranho</v>
      </c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52">
        <f t="shared" si="17"/>
        <v>0</v>
      </c>
      <c r="AT97" s="242">
        <f>AS97+'UM-4 - Dia'!AS97</f>
        <v>0</v>
      </c>
    </row>
    <row r="98" spans="1:46">
      <c r="A98" s="360"/>
      <c r="B98" s="127">
        <f t="shared" si="8"/>
        <v>960</v>
      </c>
      <c r="C98" s="133" t="str">
        <f>VLOOKUP(B98,'Tipos de Defeitos'!B$4:E$106,Menu!$B$28+1,)</f>
        <v>Mistura seca</v>
      </c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52">
        <f t="shared" si="17"/>
        <v>0</v>
      </c>
      <c r="AT98" s="242">
        <f>AS98+'UM-4 - Dia'!AS98</f>
        <v>0</v>
      </c>
    </row>
    <row r="99" spans="1:46">
      <c r="A99" s="360"/>
      <c r="B99" s="127">
        <f t="shared" si="8"/>
        <v>970</v>
      </c>
      <c r="C99" s="133" t="str">
        <f>VLOOKUP(B99,'Tipos de Defeitos'!B$4:E$106,Menu!$B$28+1,)</f>
        <v>Bottom Plate Amassado</v>
      </c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52">
        <f t="shared" si="17"/>
        <v>0</v>
      </c>
      <c r="AT99" s="242">
        <f>AS99+'UM-4 - Dia'!AS99</f>
        <v>0</v>
      </c>
    </row>
    <row r="100" spans="1:46">
      <c r="A100" s="360"/>
      <c r="B100" s="127">
        <f t="shared" si="8"/>
        <v>980</v>
      </c>
      <c r="C100" s="133" t="str">
        <f>VLOOKUP(B100,'Tipos de Defeitos'!B$4:E$106,Menu!$B$28+1,)</f>
        <v>PVC Comprido</v>
      </c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52">
        <f t="shared" si="17"/>
        <v>0</v>
      </c>
      <c r="AT100" s="242">
        <f>AS100+'UM-4 - Dia'!AS100</f>
        <v>0</v>
      </c>
    </row>
    <row r="101" spans="1:46">
      <c r="A101" s="360"/>
      <c r="B101" s="127">
        <f t="shared" si="8"/>
        <v>990</v>
      </c>
      <c r="C101" s="133" t="str">
        <f>VLOOKUP(B101,'Tipos de Defeitos'!B$4:E$106,Menu!$B$28+1,)</f>
        <v>Causa Desconhecida - Amperagem</v>
      </c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52">
        <f t="shared" si="17"/>
        <v>0</v>
      </c>
      <c r="AT101" s="242">
        <f>AS101+'UM-4 - Dia'!AS101</f>
        <v>0</v>
      </c>
    </row>
    <row r="102" spans="1:46" ht="13.5" thickBot="1">
      <c r="A102" s="360"/>
      <c r="B102" s="154">
        <f t="shared" si="8"/>
        <v>1000</v>
      </c>
      <c r="C102" s="155" t="str">
        <f>VLOOKUP(B102,'Tipos de Defeitos'!B$4:E$106,Menu!$B$28+1,)</f>
        <v>Outros - Amperagem</v>
      </c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  <c r="AA102" s="156"/>
      <c r="AB102" s="156"/>
      <c r="AC102" s="156"/>
      <c r="AD102" s="156"/>
      <c r="AE102" s="156"/>
      <c r="AF102" s="156"/>
      <c r="AG102" s="156"/>
      <c r="AH102" s="156"/>
      <c r="AI102" s="156"/>
      <c r="AJ102" s="156"/>
      <c r="AK102" s="156"/>
      <c r="AL102" s="156"/>
      <c r="AM102" s="156"/>
      <c r="AN102" s="156"/>
      <c r="AO102" s="156"/>
      <c r="AP102" s="156"/>
      <c r="AQ102" s="156"/>
      <c r="AR102" s="156"/>
      <c r="AS102" s="203">
        <f t="shared" si="17"/>
        <v>0</v>
      </c>
      <c r="AT102" s="242">
        <f>AS102+'UM-4 - Dia'!AS102</f>
        <v>0</v>
      </c>
    </row>
    <row r="103" spans="1:46">
      <c r="A103" s="361" t="s">
        <v>201</v>
      </c>
      <c r="B103" s="129">
        <f t="shared" si="8"/>
        <v>1010</v>
      </c>
      <c r="C103" s="102" t="str">
        <f>VLOOKUP(B103,'Tipos de Defeitos'!B$4:E$106,Menu!$B$28+1,)</f>
        <v>Total</v>
      </c>
      <c r="D103" s="194">
        <f t="shared" ref="D103:AR103" si="18">SUM(D86:D102)</f>
        <v>0</v>
      </c>
      <c r="E103" s="194">
        <f t="shared" si="18"/>
        <v>0</v>
      </c>
      <c r="F103" s="194">
        <f t="shared" si="18"/>
        <v>0</v>
      </c>
      <c r="G103" s="194">
        <f t="shared" si="18"/>
        <v>0</v>
      </c>
      <c r="H103" s="194">
        <f t="shared" si="18"/>
        <v>0</v>
      </c>
      <c r="I103" s="194">
        <f t="shared" si="18"/>
        <v>0</v>
      </c>
      <c r="J103" s="194">
        <f t="shared" si="18"/>
        <v>0</v>
      </c>
      <c r="K103" s="194">
        <f t="shared" si="18"/>
        <v>0</v>
      </c>
      <c r="L103" s="194">
        <f t="shared" si="18"/>
        <v>0</v>
      </c>
      <c r="M103" s="194">
        <f t="shared" si="18"/>
        <v>0</v>
      </c>
      <c r="N103" s="194">
        <f t="shared" si="18"/>
        <v>0</v>
      </c>
      <c r="O103" s="194">
        <f t="shared" si="18"/>
        <v>0</v>
      </c>
      <c r="P103" s="194">
        <f t="shared" si="18"/>
        <v>0</v>
      </c>
      <c r="Q103" s="194">
        <f t="shared" si="18"/>
        <v>0</v>
      </c>
      <c r="R103" s="194">
        <f t="shared" si="18"/>
        <v>0</v>
      </c>
      <c r="S103" s="194">
        <f t="shared" si="18"/>
        <v>0</v>
      </c>
      <c r="T103" s="194">
        <f t="shared" si="18"/>
        <v>0</v>
      </c>
      <c r="U103" s="194">
        <f t="shared" si="18"/>
        <v>0</v>
      </c>
      <c r="V103" s="194">
        <f t="shared" si="18"/>
        <v>0</v>
      </c>
      <c r="W103" s="194">
        <f t="shared" si="18"/>
        <v>0</v>
      </c>
      <c r="X103" s="194">
        <f t="shared" si="18"/>
        <v>0</v>
      </c>
      <c r="Y103" s="194">
        <f t="shared" si="18"/>
        <v>0</v>
      </c>
      <c r="Z103" s="194">
        <f t="shared" si="18"/>
        <v>0</v>
      </c>
      <c r="AA103" s="194">
        <f t="shared" si="18"/>
        <v>0</v>
      </c>
      <c r="AB103" s="194">
        <f t="shared" si="18"/>
        <v>0</v>
      </c>
      <c r="AC103" s="194">
        <f t="shared" si="18"/>
        <v>0</v>
      </c>
      <c r="AD103" s="194">
        <f t="shared" si="18"/>
        <v>0</v>
      </c>
      <c r="AE103" s="194">
        <f t="shared" si="18"/>
        <v>0</v>
      </c>
      <c r="AF103" s="194">
        <f t="shared" si="18"/>
        <v>0</v>
      </c>
      <c r="AG103" s="194">
        <f t="shared" si="18"/>
        <v>0</v>
      </c>
      <c r="AH103" s="194">
        <f t="shared" si="18"/>
        <v>0</v>
      </c>
      <c r="AI103" s="194">
        <f t="shared" si="18"/>
        <v>0</v>
      </c>
      <c r="AJ103" s="194">
        <f t="shared" si="18"/>
        <v>0</v>
      </c>
      <c r="AK103" s="194">
        <f t="shared" si="18"/>
        <v>0</v>
      </c>
      <c r="AL103" s="194">
        <f t="shared" si="18"/>
        <v>0</v>
      </c>
      <c r="AM103" s="194">
        <f t="shared" si="18"/>
        <v>0</v>
      </c>
      <c r="AN103" s="194">
        <f t="shared" si="18"/>
        <v>0</v>
      </c>
      <c r="AO103" s="194">
        <f t="shared" si="18"/>
        <v>0</v>
      </c>
      <c r="AP103" s="194">
        <f t="shared" si="18"/>
        <v>0</v>
      </c>
      <c r="AQ103" s="194">
        <f t="shared" si="18"/>
        <v>0</v>
      </c>
      <c r="AR103" s="194">
        <f t="shared" si="18"/>
        <v>0</v>
      </c>
      <c r="AS103" s="151">
        <f t="shared" si="17"/>
        <v>0</v>
      </c>
      <c r="AT103" s="242">
        <f>AS103+'UM-4 - Dia'!AS103</f>
        <v>0</v>
      </c>
    </row>
    <row r="104" spans="1:46">
      <c r="A104" s="362"/>
      <c r="B104" s="127">
        <f t="shared" si="8"/>
        <v>1020</v>
      </c>
      <c r="C104" s="92" t="str">
        <f>VLOOKUP(B104,'Tipos de Defeitos'!B$4:E$106,Menu!$B$28+1,)</f>
        <v>Taxa defeituosa (ppm)</v>
      </c>
      <c r="D104" s="195" t="str">
        <f t="shared" ref="D104:AI104" si="19">IF(D27&lt;&gt;0,D103/D27*D24/D22*1000000,"")</f>
        <v/>
      </c>
      <c r="E104" s="195" t="str">
        <f t="shared" si="19"/>
        <v/>
      </c>
      <c r="F104" s="195" t="str">
        <f t="shared" si="19"/>
        <v/>
      </c>
      <c r="G104" s="195" t="str">
        <f t="shared" si="19"/>
        <v/>
      </c>
      <c r="H104" s="195" t="str">
        <f t="shared" si="19"/>
        <v/>
      </c>
      <c r="I104" s="195" t="str">
        <f t="shared" si="19"/>
        <v/>
      </c>
      <c r="J104" s="198" t="str">
        <f t="shared" si="19"/>
        <v/>
      </c>
      <c r="K104" s="195" t="str">
        <f t="shared" si="19"/>
        <v/>
      </c>
      <c r="L104" s="195" t="str">
        <f t="shared" si="19"/>
        <v/>
      </c>
      <c r="M104" s="195" t="str">
        <f t="shared" si="19"/>
        <v/>
      </c>
      <c r="N104" s="195" t="str">
        <f t="shared" si="19"/>
        <v/>
      </c>
      <c r="O104" s="195" t="str">
        <f t="shared" si="19"/>
        <v/>
      </c>
      <c r="P104" s="195" t="str">
        <f t="shared" si="19"/>
        <v/>
      </c>
      <c r="Q104" s="195" t="str">
        <f t="shared" si="19"/>
        <v/>
      </c>
      <c r="R104" s="195" t="str">
        <f t="shared" si="19"/>
        <v/>
      </c>
      <c r="S104" s="195" t="str">
        <f t="shared" si="19"/>
        <v/>
      </c>
      <c r="T104" s="195" t="str">
        <f t="shared" si="19"/>
        <v/>
      </c>
      <c r="U104" s="195" t="str">
        <f t="shared" si="19"/>
        <v/>
      </c>
      <c r="V104" s="195" t="str">
        <f t="shared" si="19"/>
        <v/>
      </c>
      <c r="W104" s="195" t="str">
        <f t="shared" si="19"/>
        <v/>
      </c>
      <c r="X104" s="195" t="str">
        <f t="shared" si="19"/>
        <v/>
      </c>
      <c r="Y104" s="198" t="str">
        <f t="shared" si="19"/>
        <v/>
      </c>
      <c r="Z104" s="198" t="str">
        <f t="shared" si="19"/>
        <v/>
      </c>
      <c r="AA104" s="198" t="str">
        <f t="shared" si="19"/>
        <v/>
      </c>
      <c r="AB104" s="198" t="str">
        <f t="shared" si="19"/>
        <v/>
      </c>
      <c r="AC104" s="198" t="str">
        <f t="shared" si="19"/>
        <v/>
      </c>
      <c r="AD104" s="195" t="str">
        <f t="shared" si="19"/>
        <v/>
      </c>
      <c r="AE104" s="198" t="str">
        <f t="shared" si="19"/>
        <v/>
      </c>
      <c r="AF104" s="195" t="str">
        <f t="shared" si="19"/>
        <v/>
      </c>
      <c r="AG104" s="195" t="str">
        <f t="shared" si="19"/>
        <v/>
      </c>
      <c r="AH104" s="198" t="str">
        <f t="shared" si="19"/>
        <v/>
      </c>
      <c r="AI104" s="198" t="str">
        <f t="shared" si="19"/>
        <v/>
      </c>
      <c r="AJ104" s="198"/>
      <c r="AK104" s="198"/>
      <c r="AL104" s="198"/>
      <c r="AM104" s="198"/>
      <c r="AN104" s="198"/>
      <c r="AO104" s="198"/>
      <c r="AP104" s="198"/>
      <c r="AQ104" s="198"/>
      <c r="AR104" s="198"/>
      <c r="AS104" s="160" t="e">
        <f>AS103/AS27*TD_VA_N/AS7*1000000</f>
        <v>#DIV/0!</v>
      </c>
      <c r="AT104" s="234" t="e">
        <f>AT103/AT27*AT24/AT7*1000000</f>
        <v>#DIV/0!</v>
      </c>
    </row>
    <row r="105" spans="1:46" ht="13.5" thickBot="1">
      <c r="A105" s="363"/>
      <c r="B105" s="130">
        <f t="shared" si="8"/>
        <v>1030</v>
      </c>
      <c r="C105" s="94" t="str">
        <f>VLOOKUP(B105,'Tipos de Defeitos'!B$4:E$106,Menu!$B$28+1,)</f>
        <v>Taxa Defeituosa Total (ppm)</v>
      </c>
      <c r="D105" s="199" t="str">
        <f t="shared" ref="D105:AI105" si="20">IF(D24&gt;0,D24/D7*1000000,"")</f>
        <v/>
      </c>
      <c r="E105" s="199" t="str">
        <f t="shared" si="20"/>
        <v/>
      </c>
      <c r="F105" s="199" t="str">
        <f t="shared" si="20"/>
        <v/>
      </c>
      <c r="G105" s="199" t="str">
        <f t="shared" si="20"/>
        <v/>
      </c>
      <c r="H105" s="199" t="str">
        <f t="shared" si="20"/>
        <v/>
      </c>
      <c r="I105" s="199" t="str">
        <f t="shared" si="20"/>
        <v/>
      </c>
      <c r="J105" s="199" t="str">
        <f t="shared" si="20"/>
        <v/>
      </c>
      <c r="K105" s="199" t="str">
        <f t="shared" si="20"/>
        <v/>
      </c>
      <c r="L105" s="199" t="str">
        <f t="shared" si="20"/>
        <v/>
      </c>
      <c r="M105" s="199" t="str">
        <f t="shared" si="20"/>
        <v/>
      </c>
      <c r="N105" s="199" t="str">
        <f t="shared" si="20"/>
        <v/>
      </c>
      <c r="O105" s="199" t="str">
        <f t="shared" si="20"/>
        <v/>
      </c>
      <c r="P105" s="199" t="str">
        <f t="shared" si="20"/>
        <v/>
      </c>
      <c r="Q105" s="199" t="str">
        <f t="shared" si="20"/>
        <v/>
      </c>
      <c r="R105" s="199" t="str">
        <f t="shared" si="20"/>
        <v/>
      </c>
      <c r="S105" s="199" t="str">
        <f t="shared" si="20"/>
        <v/>
      </c>
      <c r="T105" s="199" t="str">
        <f t="shared" si="20"/>
        <v/>
      </c>
      <c r="U105" s="199" t="str">
        <f t="shared" si="20"/>
        <v/>
      </c>
      <c r="V105" s="199" t="str">
        <f t="shared" si="20"/>
        <v/>
      </c>
      <c r="W105" s="199" t="str">
        <f t="shared" si="20"/>
        <v/>
      </c>
      <c r="X105" s="199" t="str">
        <f t="shared" si="20"/>
        <v/>
      </c>
      <c r="Y105" s="199" t="str">
        <f t="shared" si="20"/>
        <v/>
      </c>
      <c r="Z105" s="199" t="str">
        <f t="shared" si="20"/>
        <v/>
      </c>
      <c r="AA105" s="199" t="str">
        <f t="shared" si="20"/>
        <v/>
      </c>
      <c r="AB105" s="199" t="str">
        <f t="shared" si="20"/>
        <v/>
      </c>
      <c r="AC105" s="199" t="str">
        <f t="shared" si="20"/>
        <v/>
      </c>
      <c r="AD105" s="199" t="str">
        <f t="shared" si="20"/>
        <v/>
      </c>
      <c r="AE105" s="199" t="str">
        <f t="shared" si="20"/>
        <v/>
      </c>
      <c r="AF105" s="199" t="str">
        <f t="shared" si="20"/>
        <v/>
      </c>
      <c r="AG105" s="199" t="str">
        <f t="shared" si="20"/>
        <v/>
      </c>
      <c r="AH105" s="199" t="str">
        <f t="shared" si="20"/>
        <v/>
      </c>
      <c r="AI105" s="199" t="str">
        <f t="shared" si="20"/>
        <v/>
      </c>
      <c r="AJ105" s="196"/>
      <c r="AK105" s="196"/>
      <c r="AL105" s="196"/>
      <c r="AM105" s="196"/>
      <c r="AN105" s="196"/>
      <c r="AO105" s="196"/>
      <c r="AP105" s="196"/>
      <c r="AQ105" s="196"/>
      <c r="AR105" s="196"/>
      <c r="AS105" s="204" t="str">
        <f>IF(AS24&gt;0,AS24/AS7*1000000,"")</f>
        <v/>
      </c>
    </row>
    <row r="106" spans="1:46">
      <c r="A106" s="237"/>
      <c r="B106" s="238"/>
      <c r="D106" s="239"/>
      <c r="E106" s="239"/>
      <c r="F106" s="239"/>
      <c r="G106" s="239"/>
      <c r="H106" s="239"/>
      <c r="I106" s="239"/>
      <c r="J106" s="239"/>
      <c r="K106" s="239"/>
      <c r="L106" s="239"/>
      <c r="M106" s="239"/>
      <c r="N106" s="239"/>
      <c r="O106" s="239"/>
      <c r="P106" s="239"/>
      <c r="Q106" s="239"/>
      <c r="R106" s="239"/>
      <c r="S106" s="239"/>
      <c r="T106" s="239"/>
      <c r="U106" s="239"/>
      <c r="V106" s="239"/>
      <c r="W106" s="239"/>
      <c r="X106" s="239"/>
      <c r="Y106" s="239"/>
      <c r="Z106" s="239"/>
      <c r="AA106" s="239"/>
      <c r="AB106" s="239"/>
      <c r="AC106" s="239"/>
      <c r="AD106" s="239"/>
      <c r="AE106" s="239"/>
      <c r="AF106" s="239"/>
      <c r="AG106" s="239"/>
      <c r="AH106" s="239"/>
      <c r="AI106" s="239"/>
      <c r="AJ106" s="239"/>
      <c r="AK106" s="239"/>
      <c r="AL106" s="239"/>
      <c r="AM106" s="239"/>
      <c r="AN106" s="239"/>
      <c r="AO106" s="239"/>
      <c r="AP106" s="239"/>
      <c r="AQ106" s="239"/>
      <c r="AR106" s="239"/>
      <c r="AS106" s="239"/>
    </row>
    <row r="107" spans="1:46">
      <c r="A107" s="237"/>
      <c r="B107" s="238"/>
      <c r="C107" s="240"/>
      <c r="D107" s="239" t="e">
        <f>(#REF!+#REF!)/#REF!*#REF!/#REF!*1000000</f>
        <v>#REF!</v>
      </c>
      <c r="E107" s="239"/>
      <c r="F107" s="239" t="e">
        <f>(F74+F73)/F23*F20/F18*1000000</f>
        <v>#DIV/0!</v>
      </c>
      <c r="G107" s="239" t="e">
        <f>(G74+G73)/G23*G20/G18*1000000</f>
        <v>#DIV/0!</v>
      </c>
      <c r="H107" s="239" t="e">
        <f t="shared" ref="H107:AR107" si="21">(H74+H73)/H23*H20/H18*1000000</f>
        <v>#DIV/0!</v>
      </c>
      <c r="I107" s="239" t="e">
        <f t="shared" si="21"/>
        <v>#DIV/0!</v>
      </c>
      <c r="J107" s="239" t="e">
        <f t="shared" si="21"/>
        <v>#DIV/0!</v>
      </c>
      <c r="K107" s="239" t="e">
        <f t="shared" si="21"/>
        <v>#DIV/0!</v>
      </c>
      <c r="L107" s="239"/>
      <c r="M107" s="239"/>
      <c r="N107" s="239"/>
      <c r="O107" s="239"/>
      <c r="P107" s="239"/>
      <c r="Q107" s="239"/>
      <c r="R107" s="239"/>
      <c r="S107" s="239"/>
      <c r="T107" s="239"/>
      <c r="U107" s="239"/>
      <c r="V107" s="239"/>
      <c r="W107" s="239"/>
      <c r="X107" s="239"/>
      <c r="Y107" s="239"/>
      <c r="Z107" s="239"/>
      <c r="AA107" s="239"/>
      <c r="AB107" s="239"/>
      <c r="AC107" s="239"/>
      <c r="AD107" s="239"/>
      <c r="AE107" s="239"/>
      <c r="AF107" s="239" t="e">
        <f t="shared" si="21"/>
        <v>#DIV/0!</v>
      </c>
      <c r="AG107" s="239"/>
      <c r="AH107" s="239"/>
      <c r="AI107" s="239"/>
      <c r="AJ107" s="239"/>
      <c r="AK107" s="239"/>
      <c r="AL107" s="239"/>
      <c r="AM107" s="239"/>
      <c r="AN107" s="239"/>
      <c r="AO107" s="239"/>
      <c r="AP107" s="239"/>
      <c r="AQ107" s="239" t="e">
        <f t="shared" si="21"/>
        <v>#DIV/0!</v>
      </c>
      <c r="AR107" s="239" t="e">
        <f t="shared" si="21"/>
        <v>#DIV/0!</v>
      </c>
      <c r="AS107" s="239"/>
    </row>
    <row r="108" spans="1:46">
      <c r="A108" s="237"/>
      <c r="B108" s="238">
        <v>10</v>
      </c>
      <c r="D108" s="239"/>
      <c r="E108" s="239"/>
      <c r="F108" s="239"/>
      <c r="G108" s="239"/>
      <c r="H108" s="239"/>
      <c r="I108" s="239"/>
      <c r="J108" s="239"/>
      <c r="K108" s="239"/>
      <c r="L108" s="239"/>
      <c r="M108" s="239"/>
      <c r="N108" s="239"/>
      <c r="O108" s="239"/>
      <c r="P108" s="239"/>
      <c r="Q108" s="239"/>
      <c r="R108" s="239"/>
      <c r="S108" s="239"/>
      <c r="T108" s="239"/>
      <c r="U108" s="239"/>
      <c r="V108" s="239"/>
      <c r="W108" s="239"/>
      <c r="X108" s="239"/>
      <c r="Y108" s="239"/>
      <c r="Z108" s="239"/>
      <c r="AA108" s="239"/>
      <c r="AB108" s="239"/>
      <c r="AC108" s="239"/>
      <c r="AD108" s="239"/>
      <c r="AE108" s="239"/>
      <c r="AF108" s="239"/>
      <c r="AG108" s="239"/>
      <c r="AH108" s="239"/>
      <c r="AI108" s="239"/>
      <c r="AJ108" s="239"/>
      <c r="AK108" s="239"/>
      <c r="AL108" s="239"/>
      <c r="AM108" s="239"/>
      <c r="AN108" s="239"/>
      <c r="AO108" s="239"/>
      <c r="AP108" s="239"/>
      <c r="AQ108" s="239"/>
      <c r="AR108" s="239"/>
      <c r="AS108" s="239"/>
    </row>
    <row r="109" spans="1:46">
      <c r="A109" s="237"/>
      <c r="B109" s="238"/>
      <c r="D109" s="239"/>
      <c r="E109" s="239"/>
      <c r="F109" s="239"/>
      <c r="G109" s="239"/>
      <c r="H109" s="239"/>
      <c r="I109" s="239"/>
      <c r="J109" s="239"/>
      <c r="K109" s="239"/>
      <c r="L109" s="239"/>
      <c r="M109" s="239"/>
      <c r="N109" s="239"/>
      <c r="O109" s="239"/>
      <c r="P109" s="239"/>
      <c r="Q109" s="239"/>
      <c r="R109" s="239"/>
      <c r="S109" s="239"/>
      <c r="T109" s="239"/>
      <c r="U109" s="239"/>
      <c r="V109" s="239"/>
      <c r="W109" s="239"/>
      <c r="X109" s="239"/>
      <c r="Y109" s="239"/>
      <c r="Z109" s="239"/>
      <c r="AA109" s="239"/>
      <c r="AB109" s="239"/>
      <c r="AC109" s="239"/>
      <c r="AD109" s="239"/>
      <c r="AE109" s="239"/>
      <c r="AF109" s="239"/>
      <c r="AG109" s="239"/>
      <c r="AH109" s="239"/>
      <c r="AI109" s="239"/>
      <c r="AJ109" s="239"/>
      <c r="AK109" s="239"/>
      <c r="AL109" s="239"/>
      <c r="AM109" s="239"/>
      <c r="AN109" s="239"/>
      <c r="AO109" s="239"/>
      <c r="AP109" s="239"/>
      <c r="AQ109" s="239"/>
      <c r="AR109" s="239"/>
      <c r="AS109" s="239"/>
    </row>
    <row r="110" spans="1:46">
      <c r="D110" s="232"/>
      <c r="E110" s="232"/>
      <c r="F110" s="232"/>
      <c r="H110" s="232"/>
      <c r="I110" s="232"/>
      <c r="K110" s="232"/>
      <c r="L110" s="232"/>
      <c r="M110" s="232"/>
      <c r="N110" s="232"/>
      <c r="O110" s="232"/>
      <c r="P110" s="232"/>
      <c r="Q110" s="232"/>
      <c r="R110" s="232"/>
      <c r="S110" s="232"/>
      <c r="T110" s="232"/>
      <c r="U110" s="232"/>
      <c r="V110" s="232"/>
      <c r="W110" s="232"/>
      <c r="X110" s="232"/>
      <c r="Y110" s="232"/>
      <c r="Z110" s="232"/>
      <c r="AA110" s="232"/>
      <c r="AB110" s="232"/>
      <c r="AC110" s="232"/>
      <c r="AD110" s="232"/>
      <c r="AE110" s="232"/>
      <c r="AF110" s="232"/>
      <c r="AG110" s="232"/>
      <c r="AH110" s="232"/>
      <c r="AI110" s="232"/>
      <c r="AJ110" s="232"/>
      <c r="AK110" s="232"/>
      <c r="AL110" s="232"/>
      <c r="AM110" s="232"/>
      <c r="AN110" s="232"/>
      <c r="AO110" s="232"/>
      <c r="AP110" s="232"/>
      <c r="AQ110" s="232"/>
    </row>
    <row r="111" spans="1:46">
      <c r="D111" s="232"/>
      <c r="E111" s="232"/>
      <c r="F111" s="232"/>
      <c r="H111" s="232"/>
      <c r="I111" s="232"/>
      <c r="K111" s="232"/>
      <c r="L111" s="232"/>
      <c r="M111" s="232"/>
      <c r="N111" s="232"/>
      <c r="O111" s="232"/>
      <c r="P111" s="232"/>
      <c r="Q111" s="232"/>
      <c r="R111" s="232"/>
      <c r="S111" s="232"/>
      <c r="T111" s="232"/>
      <c r="U111" s="232"/>
      <c r="V111" s="232"/>
      <c r="W111" s="232"/>
      <c r="X111" s="232"/>
      <c r="Y111" s="232"/>
      <c r="Z111" s="232"/>
      <c r="AA111" s="232"/>
      <c r="AB111" s="232"/>
      <c r="AC111" s="232"/>
      <c r="AD111" s="232"/>
      <c r="AE111" s="232"/>
      <c r="AF111" s="232"/>
      <c r="AG111" s="232"/>
      <c r="AH111" s="232"/>
      <c r="AI111" s="232"/>
      <c r="AJ111" s="232"/>
      <c r="AK111" s="232"/>
      <c r="AL111" s="232"/>
      <c r="AM111" s="232"/>
      <c r="AN111" s="232"/>
      <c r="AO111" s="232"/>
      <c r="AP111" s="232"/>
      <c r="AQ111" s="232"/>
    </row>
    <row r="112" spans="1:46">
      <c r="C112" s="229">
        <v>1</v>
      </c>
    </row>
    <row r="131" spans="4:44" s="232" customFormat="1">
      <c r="D131" s="241" t="str">
        <f ca="1">D2</f>
        <v>03 / 2022</v>
      </c>
      <c r="E131" s="241"/>
      <c r="F131" s="241">
        <f>F2</f>
        <v>0</v>
      </c>
      <c r="G131" s="241">
        <f>G2</f>
        <v>0</v>
      </c>
      <c r="H131" s="241">
        <f>H2</f>
        <v>0</v>
      </c>
      <c r="I131" s="241">
        <f>I2</f>
        <v>0</v>
      </c>
      <c r="J131" s="241"/>
      <c r="K131" s="241">
        <f>K2</f>
        <v>0</v>
      </c>
      <c r="L131" s="241"/>
      <c r="M131" s="241"/>
      <c r="N131" s="241"/>
      <c r="O131" s="241"/>
      <c r="P131" s="241"/>
      <c r="Q131" s="241"/>
      <c r="R131" s="241"/>
      <c r="S131" s="241"/>
      <c r="T131" s="241"/>
      <c r="U131" s="241"/>
      <c r="V131" s="241"/>
      <c r="W131" s="241"/>
      <c r="X131" s="241"/>
      <c r="Y131" s="241"/>
      <c r="Z131" s="241"/>
      <c r="AA131" s="241"/>
      <c r="AB131" s="241"/>
      <c r="AC131" s="241"/>
      <c r="AD131" s="241"/>
      <c r="AE131" s="241"/>
      <c r="AF131" s="241">
        <f>AF2</f>
        <v>0</v>
      </c>
      <c r="AG131" s="241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>
        <f>AR2</f>
        <v>0</v>
      </c>
    </row>
  </sheetData>
  <sheetProtection algorithmName="SHA-512" hashValue="tCTbxa50k8wXOaHKmE+YpJT20Juk9RnLqsqk43u5c6hZ9d4BWgOmGyVWXgvrZwNYQS/lMF27BohnqUgjRtbn6g==" saltValue="wFCclrip3/HG94lTJOswRw==" spinCount="100000" sheet="1" objects="1" scenarios="1" selectLockedCells="1"/>
  <mergeCells count="8">
    <mergeCell ref="A86:A102"/>
    <mergeCell ref="A103:A105"/>
    <mergeCell ref="D2:AR2"/>
    <mergeCell ref="A3:A22"/>
    <mergeCell ref="A23:A27"/>
    <mergeCell ref="A28:A77"/>
    <mergeCell ref="A78:A82"/>
    <mergeCell ref="A83:A85"/>
  </mergeCells>
  <phoneticPr fontId="1" type="noConversion"/>
  <conditionalFormatting sqref="B3:AS105">
    <cfRule type="expression" dxfId="6" priority="45">
      <formula>MOD(ROW(),2)=0</formula>
    </cfRule>
  </conditionalFormatting>
  <conditionalFormatting sqref="D27:AS27">
    <cfRule type="expression" dxfId="5" priority="33">
      <formula>D$27&lt;&gt;(D$78+D$103)</formula>
    </cfRule>
  </conditionalFormatting>
  <dataValidations count="1">
    <dataValidation type="list" allowBlank="1" showInputMessage="1" showErrorMessage="1" sqref="D6:AS6" xr:uid="{00000000-0002-0000-0500-000000000000}">
      <formula1>PRODUTOS</formula1>
    </dataValidation>
  </dataValidations>
  <pageMargins left="0.19685039370078741" right="0.19685039370078741" top="1.1811023622047245" bottom="0.55118110236220474" header="0.70866141732283472" footer="0.31496062992125984"/>
  <pageSetup paperSize="12" scale="47" orientation="landscape" horizontalDpi="300" verticalDpi="300" r:id="rId1"/>
  <headerFooter alignWithMargins="0">
    <oddHeader xml:space="preserve">&amp;L&amp;"SwitzerlandBlack,Negrito"&amp;16Panasonic&amp;"SwitzerlandBlack,Regular"
&amp;"Arial,Normal"&amp;9PILHAS / BATERIAS
&amp;C&amp;14CONTROLE DE FALHAS DE V e A&amp;16
&amp;12 1-SH &amp;RMÊS /  ANO&amp;12
Setembro/2003&amp;"ＭＳ ゴシック,Regular"&amp;11  </oddHeader>
    <oddFooter>&amp;LF-7.115 Rev 01 (PGQ-7.03)&amp;R&amp;A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2801" r:id="rId4" name="Button 1">
              <controlPr defaultSize="0" print="0" autoFill="0" autoPict="0" macro="[0]!BtnMenu">
                <anchor moveWithCells="1" sizeWithCells="1">
                  <from>
                    <xdr:col>5</xdr:col>
                    <xdr:colOff>762000</xdr:colOff>
                    <xdr:row>0</xdr:row>
                    <xdr:rowOff>0</xdr:rowOff>
                  </from>
                  <to>
                    <xdr:col>6</xdr:col>
                    <xdr:colOff>628650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AF131"/>
  <sheetViews>
    <sheetView zoomScaleNormal="100" workbookViewId="0">
      <pane xSplit="3" ySplit="2" topLeftCell="D75" activePane="bottomRight" state="frozen"/>
      <selection pane="topRight" activeCell="D1" sqref="D1"/>
      <selection pane="bottomLeft" activeCell="A3" sqref="A3"/>
      <selection pane="bottomRight" activeCell="D3" sqref="D3:F111"/>
    </sheetView>
  </sheetViews>
  <sheetFormatPr defaultColWidth="10.28515625" defaultRowHeight="12.75"/>
  <cols>
    <col min="1" max="1" width="3.28515625" style="58" bestFit="1" customWidth="1"/>
    <col min="2" max="2" width="5" style="58" bestFit="1" customWidth="1"/>
    <col min="3" max="3" width="35.7109375" style="58" bestFit="1" customWidth="1"/>
    <col min="4" max="4" width="11.7109375" style="58" customWidth="1"/>
    <col min="5" max="5" width="12.140625" style="59" bestFit="1" customWidth="1"/>
    <col min="6" max="6" width="12.140625" style="59" customWidth="1"/>
    <col min="7" max="7" width="11.5703125" style="59" bestFit="1" customWidth="1"/>
    <col min="8" max="8" width="11.7109375" style="59" customWidth="1"/>
    <col min="9" max="9" width="12" style="59" bestFit="1" customWidth="1"/>
    <col min="10" max="11" width="12" style="59" customWidth="1"/>
    <col min="12" max="13" width="11.140625" style="59" bestFit="1" customWidth="1"/>
    <col min="14" max="14" width="11.140625" style="59" customWidth="1"/>
    <col min="15" max="15" width="12.42578125" style="58" bestFit="1" customWidth="1"/>
    <col min="16" max="16" width="5.140625" style="58" bestFit="1" customWidth="1"/>
    <col min="17" max="17" width="15.42578125" style="58" bestFit="1" customWidth="1"/>
    <col min="18" max="18" width="10.28515625" style="58"/>
    <col min="19" max="19" width="32.28515625" style="58" bestFit="1" customWidth="1"/>
    <col min="20" max="20" width="4.7109375" style="58" bestFit="1" customWidth="1"/>
    <col min="21" max="24" width="10.28515625" style="58"/>
    <col min="25" max="25" width="32.28515625" style="58" bestFit="1" customWidth="1"/>
    <col min="26" max="16384" width="10.28515625" style="58"/>
  </cols>
  <sheetData>
    <row r="1" spans="1:17" ht="13.5" thickBot="1">
      <c r="C1" s="143" t="str">
        <f>I2</f>
        <v>ACB - 2º TURNO</v>
      </c>
      <c r="D1" s="277" t="s">
        <v>244</v>
      </c>
      <c r="E1" s="278"/>
      <c r="F1" s="278"/>
      <c r="G1" s="279"/>
      <c r="H1" s="274" t="s">
        <v>245</v>
      </c>
      <c r="I1" s="275"/>
      <c r="J1" s="276"/>
      <c r="K1" s="276"/>
      <c r="L1" s="249" t="s">
        <v>26</v>
      </c>
      <c r="M1" s="250"/>
      <c r="N1" s="324"/>
      <c r="O1" s="273"/>
      <c r="Q1" s="92" t="s">
        <v>261</v>
      </c>
    </row>
    <row r="2" spans="1:17" ht="26.25" thickBot="1">
      <c r="B2" s="126" t="s">
        <v>202</v>
      </c>
      <c r="C2" s="135" t="s">
        <v>229</v>
      </c>
      <c r="D2" s="266" t="s">
        <v>257</v>
      </c>
      <c r="E2" s="315" t="s">
        <v>358</v>
      </c>
      <c r="F2" s="267" t="s">
        <v>359</v>
      </c>
      <c r="G2" s="268" t="s">
        <v>262</v>
      </c>
      <c r="H2" s="266" t="s">
        <v>258</v>
      </c>
      <c r="I2" s="322" t="s">
        <v>361</v>
      </c>
      <c r="J2" s="269" t="s">
        <v>360</v>
      </c>
      <c r="K2" s="270" t="s">
        <v>263</v>
      </c>
      <c r="L2" s="271" t="s">
        <v>259</v>
      </c>
      <c r="M2" s="325" t="s">
        <v>362</v>
      </c>
      <c r="N2" s="269" t="s">
        <v>363</v>
      </c>
      <c r="O2" s="272" t="s">
        <v>239</v>
      </c>
      <c r="Q2" s="257" t="str">
        <f>INDEX(D2:O2,1,Menu!B27)</f>
        <v>ACB (D+N)</v>
      </c>
    </row>
    <row r="3" spans="1:17">
      <c r="A3" s="374" t="s">
        <v>198</v>
      </c>
      <c r="B3" s="129">
        <v>10</v>
      </c>
      <c r="C3" s="136" t="str">
        <f>VLOOKUP(B3,'Tipos de Defeitos'!B$4:E$106,Menu!$B$28+1,)</f>
        <v>Data da Montagem</v>
      </c>
      <c r="D3" s="290"/>
      <c r="E3" s="316"/>
      <c r="F3" s="291"/>
      <c r="G3" s="292"/>
      <c r="H3" s="290"/>
      <c r="I3" s="316"/>
      <c r="J3" s="291"/>
      <c r="K3" s="292"/>
      <c r="L3" s="290"/>
      <c r="M3" s="316"/>
      <c r="N3" s="291"/>
      <c r="O3" s="293"/>
      <c r="Q3" s="294"/>
    </row>
    <row r="4" spans="1:17">
      <c r="A4" s="375"/>
      <c r="B4" s="127">
        <f>(B3/10+1)*10</f>
        <v>20</v>
      </c>
      <c r="C4" s="137" t="str">
        <f>VLOOKUP(B4,'Tipos de Defeitos'!B$4:E$106,Menu!$B$28+1,)</f>
        <v>Data do Acabamento</v>
      </c>
      <c r="D4" s="295"/>
      <c r="E4" s="317"/>
      <c r="F4" s="296"/>
      <c r="G4" s="297"/>
      <c r="H4" s="295"/>
      <c r="I4" s="317"/>
      <c r="J4" s="296"/>
      <c r="K4" s="297"/>
      <c r="L4" s="295"/>
      <c r="M4" s="317"/>
      <c r="N4" s="296"/>
      <c r="O4" s="298"/>
      <c r="Q4" s="294"/>
    </row>
    <row r="5" spans="1:17">
      <c r="A5" s="375"/>
      <c r="B5" s="127">
        <f t="shared" ref="B5:B68" si="0">(B4/10+1)*10</f>
        <v>30</v>
      </c>
      <c r="C5" s="137" t="str">
        <f>VLOOKUP(B5,'Tipos de Defeitos'!B$4:E$106,Menu!$B$28+1,)</f>
        <v>Descanso:</v>
      </c>
      <c r="D5" s="140"/>
      <c r="E5" s="318"/>
      <c r="F5" s="314"/>
      <c r="G5" s="260"/>
      <c r="H5" s="140"/>
      <c r="I5" s="323"/>
      <c r="J5" s="314"/>
      <c r="K5" s="260"/>
      <c r="L5" s="140"/>
      <c r="M5" s="323"/>
      <c r="N5" s="206"/>
      <c r="O5" s="216"/>
      <c r="Q5" s="258"/>
    </row>
    <row r="6" spans="1:17">
      <c r="A6" s="375"/>
      <c r="B6" s="127">
        <f t="shared" si="0"/>
        <v>40</v>
      </c>
      <c r="C6" s="137" t="str">
        <f>VLOOKUP(B6,'Tipos de Defeitos'!B$4:E$106,Menu!$B$28+1,)</f>
        <v>Modelo</v>
      </c>
      <c r="D6" s="140"/>
      <c r="E6" s="318"/>
      <c r="F6" s="314"/>
      <c r="G6" s="260"/>
      <c r="H6" s="140"/>
      <c r="I6" s="323"/>
      <c r="J6" s="314"/>
      <c r="K6" s="260"/>
      <c r="L6" s="140"/>
      <c r="M6" s="323"/>
      <c r="N6" s="206"/>
      <c r="O6" s="216"/>
      <c r="Q6" s="258"/>
    </row>
    <row r="7" spans="1:17">
      <c r="A7" s="375"/>
      <c r="B7" s="127">
        <f t="shared" si="0"/>
        <v>50</v>
      </c>
      <c r="C7" s="137" t="str">
        <f>VLOOKUP(B7,'Tipos de Defeitos'!B$4:E$106,Menu!$B$28+1,)</f>
        <v>Qtd de Produção (pçs)</v>
      </c>
      <c r="D7" s="259">
        <f>'[3]UM-4 - Dia'!AS7</f>
        <v>1200350</v>
      </c>
      <c r="E7" s="261">
        <f>'[3]UM-4 - 2T'!AS7</f>
        <v>2160550</v>
      </c>
      <c r="F7" s="211">
        <f>'[3]UM-4 - 3T'!AS7</f>
        <v>1560650</v>
      </c>
      <c r="G7" s="261">
        <f>SUBTOTAL(9,D7:F7)</f>
        <v>4921550</v>
      </c>
      <c r="H7" s="205">
        <f>'UM-4 - Dia'!AS7</f>
        <v>0</v>
      </c>
      <c r="I7" s="245">
        <f>'UM-4 - 2T'!AS7</f>
        <v>0</v>
      </c>
      <c r="J7" s="211">
        <f>'UM-4 - 3T'!AS7</f>
        <v>0</v>
      </c>
      <c r="K7" s="261">
        <f>SUBTOTAL(9,H7:J7)</f>
        <v>0</v>
      </c>
      <c r="L7" s="205">
        <f>H7</f>
        <v>0</v>
      </c>
      <c r="M7" s="245">
        <f>I7</f>
        <v>0</v>
      </c>
      <c r="N7" s="211">
        <f>J7</f>
        <v>0</v>
      </c>
      <c r="O7" s="219">
        <f>SUM(L7:M7)</f>
        <v>0</v>
      </c>
      <c r="P7" s="187"/>
      <c r="Q7" s="259">
        <f>INDEX(D7:O7,1,Menu!$B$27)</f>
        <v>0</v>
      </c>
    </row>
    <row r="8" spans="1:17">
      <c r="A8" s="375"/>
      <c r="B8" s="127">
        <f t="shared" si="0"/>
        <v>60</v>
      </c>
      <c r="C8" s="137" t="str">
        <f>VLOOKUP(B8,'Tipos de Defeitos'!B$4:E$106,Menu!$B$28+1,)</f>
        <v>GME - Fornecedor</v>
      </c>
      <c r="D8" s="205"/>
      <c r="E8" s="245"/>
      <c r="F8" s="211"/>
      <c r="G8" s="261"/>
      <c r="H8" s="205"/>
      <c r="I8" s="245"/>
      <c r="J8" s="211"/>
      <c r="K8" s="261"/>
      <c r="L8" s="205"/>
      <c r="M8" s="245"/>
      <c r="N8" s="211"/>
      <c r="O8" s="219"/>
      <c r="P8" s="187"/>
      <c r="Q8" s="259"/>
    </row>
    <row r="9" spans="1:17">
      <c r="A9" s="375"/>
      <c r="B9" s="127">
        <f t="shared" si="0"/>
        <v>70</v>
      </c>
      <c r="C9" s="137" t="str">
        <f>VLOOKUP(B9,'Tipos de Defeitos'!B$4:E$106,Menu!$B$28+1,)</f>
        <v>Nº Lote</v>
      </c>
      <c r="D9" s="205"/>
      <c r="E9" s="245"/>
      <c r="F9" s="211"/>
      <c r="G9" s="261"/>
      <c r="H9" s="205"/>
      <c r="I9" s="245"/>
      <c r="J9" s="211"/>
      <c r="K9" s="261"/>
      <c r="L9" s="205"/>
      <c r="M9" s="245"/>
      <c r="N9" s="211"/>
      <c r="O9" s="219"/>
      <c r="P9" s="187"/>
      <c r="Q9" s="259"/>
    </row>
    <row r="10" spans="1:17">
      <c r="A10" s="375"/>
      <c r="B10" s="127">
        <f t="shared" si="0"/>
        <v>80</v>
      </c>
      <c r="C10" s="137" t="str">
        <f>VLOOKUP(B10,'Tipos de Defeitos'!B$4:E$106,Menu!$B$28+1,)</f>
        <v>Qtd</v>
      </c>
      <c r="D10" s="205"/>
      <c r="E10" s="245"/>
      <c r="F10" s="211"/>
      <c r="G10" s="261"/>
      <c r="H10" s="205"/>
      <c r="I10" s="245"/>
      <c r="J10" s="211"/>
      <c r="K10" s="261"/>
      <c r="L10" s="205"/>
      <c r="M10" s="245"/>
      <c r="N10" s="211"/>
      <c r="O10" s="219"/>
      <c r="P10" s="187"/>
      <c r="Q10" s="259"/>
    </row>
    <row r="11" spans="1:17">
      <c r="A11" s="375"/>
      <c r="B11" s="127">
        <f t="shared" si="0"/>
        <v>90</v>
      </c>
      <c r="C11" s="137" t="str">
        <f>VLOOKUP(B11,'Tipos de Defeitos'!B$4:E$106,Menu!$B$28+1,)</f>
        <v>GMT - Fornecedor</v>
      </c>
      <c r="D11" s="205"/>
      <c r="E11" s="245"/>
      <c r="F11" s="211"/>
      <c r="G11" s="261"/>
      <c r="H11" s="205"/>
      <c r="I11" s="245"/>
      <c r="J11" s="211"/>
      <c r="K11" s="261"/>
      <c r="L11" s="205"/>
      <c r="M11" s="245"/>
      <c r="N11" s="211"/>
      <c r="O11" s="219"/>
      <c r="P11" s="187"/>
      <c r="Q11" s="259"/>
    </row>
    <row r="12" spans="1:17">
      <c r="A12" s="375"/>
      <c r="B12" s="127">
        <f t="shared" si="0"/>
        <v>100</v>
      </c>
      <c r="C12" s="137" t="str">
        <f>VLOOKUP(B12,'Tipos de Defeitos'!B$4:E$106,Menu!$B$28+1,)</f>
        <v>Nº Lote</v>
      </c>
      <c r="D12" s="205"/>
      <c r="E12" s="245"/>
      <c r="F12" s="211"/>
      <c r="G12" s="261"/>
      <c r="H12" s="205"/>
      <c r="I12" s="245"/>
      <c r="J12" s="211"/>
      <c r="K12" s="261"/>
      <c r="L12" s="205"/>
      <c r="M12" s="245"/>
      <c r="N12" s="211"/>
      <c r="O12" s="219"/>
      <c r="P12" s="187"/>
      <c r="Q12" s="259"/>
    </row>
    <row r="13" spans="1:17">
      <c r="A13" s="375"/>
      <c r="B13" s="127">
        <f t="shared" si="0"/>
        <v>110</v>
      </c>
      <c r="C13" s="137" t="str">
        <f>VLOOKUP(B13,'Tipos de Defeitos'!B$4:E$106,Menu!$B$28+1,)</f>
        <v>Qtd</v>
      </c>
      <c r="D13" s="205"/>
      <c r="E13" s="245"/>
      <c r="F13" s="211"/>
      <c r="G13" s="261"/>
      <c r="H13" s="205"/>
      <c r="I13" s="245"/>
      <c r="J13" s="211"/>
      <c r="K13" s="261"/>
      <c r="L13" s="205"/>
      <c r="M13" s="245"/>
      <c r="N13" s="211"/>
      <c r="O13" s="219"/>
      <c r="P13" s="187"/>
      <c r="Q13" s="259"/>
    </row>
    <row r="14" spans="1:17">
      <c r="A14" s="375"/>
      <c r="B14" s="127">
        <f t="shared" si="0"/>
        <v>120</v>
      </c>
      <c r="C14" s="137" t="str">
        <f>VLOOKUP(B14,'Tipos de Defeitos'!B$4:E$106,Menu!$B$28+1,)</f>
        <v>GCA - Fornecedor</v>
      </c>
      <c r="D14" s="205"/>
      <c r="E14" s="245"/>
      <c r="F14" s="211"/>
      <c r="G14" s="261"/>
      <c r="H14" s="205"/>
      <c r="I14" s="245"/>
      <c r="J14" s="211"/>
      <c r="K14" s="261"/>
      <c r="L14" s="205"/>
      <c r="M14" s="245"/>
      <c r="N14" s="211"/>
      <c r="O14" s="219"/>
      <c r="P14" s="187"/>
      <c r="Q14" s="259"/>
    </row>
    <row r="15" spans="1:17">
      <c r="A15" s="375"/>
      <c r="B15" s="127">
        <f t="shared" si="0"/>
        <v>130</v>
      </c>
      <c r="C15" s="137" t="str">
        <f>VLOOKUP(B15,'Tipos de Defeitos'!B$4:E$106,Menu!$B$28+1,)</f>
        <v>Lot.</v>
      </c>
      <c r="D15" s="205"/>
      <c r="E15" s="245"/>
      <c r="F15" s="211"/>
      <c r="G15" s="261"/>
      <c r="H15" s="205"/>
      <c r="I15" s="245"/>
      <c r="J15" s="211"/>
      <c r="K15" s="261"/>
      <c r="L15" s="205"/>
      <c r="M15" s="245"/>
      <c r="N15" s="211"/>
      <c r="O15" s="219"/>
      <c r="P15" s="187"/>
      <c r="Q15" s="259"/>
    </row>
    <row r="16" spans="1:17">
      <c r="A16" s="375"/>
      <c r="B16" s="127">
        <f t="shared" si="0"/>
        <v>140</v>
      </c>
      <c r="C16" s="137" t="str">
        <f>VLOOKUP(B16,'Tipos de Defeitos'!B$4:E$106,Menu!$B$28+1,)</f>
        <v>Qtd</v>
      </c>
      <c r="D16" s="205"/>
      <c r="E16" s="245"/>
      <c r="F16" s="211"/>
      <c r="G16" s="261"/>
      <c r="H16" s="205"/>
      <c r="I16" s="245"/>
      <c r="J16" s="211"/>
      <c r="K16" s="261"/>
      <c r="L16" s="205"/>
      <c r="M16" s="245"/>
      <c r="N16" s="211"/>
      <c r="O16" s="219"/>
      <c r="P16" s="187"/>
      <c r="Q16" s="259"/>
    </row>
    <row r="17" spans="1:32">
      <c r="A17" s="375"/>
      <c r="B17" s="127">
        <f t="shared" si="0"/>
        <v>150</v>
      </c>
      <c r="C17" s="137" t="str">
        <f>VLOOKUP(B17,'Tipos de Defeitos'!B$4:E$106,Menu!$B$28+1,)</f>
        <v>GZO - Fornecedor</v>
      </c>
      <c r="D17" s="205"/>
      <c r="E17" s="245"/>
      <c r="F17" s="211"/>
      <c r="G17" s="261"/>
      <c r="H17" s="205"/>
      <c r="I17" s="245"/>
      <c r="J17" s="211"/>
      <c r="K17" s="261"/>
      <c r="L17" s="205"/>
      <c r="M17" s="245"/>
      <c r="N17" s="211"/>
      <c r="O17" s="219"/>
      <c r="P17" s="187"/>
      <c r="Q17" s="259"/>
    </row>
    <row r="18" spans="1:32">
      <c r="A18" s="375"/>
      <c r="B18" s="127">
        <f t="shared" si="0"/>
        <v>160</v>
      </c>
      <c r="C18" s="137" t="str">
        <f>VLOOKUP(B18,'Tipos de Defeitos'!B$4:E$106,Menu!$B$28+1,)</f>
        <v>Nº Lote</v>
      </c>
      <c r="D18" s="299"/>
      <c r="E18" s="319"/>
      <c r="F18" s="300"/>
      <c r="G18" s="301"/>
      <c r="H18" s="299"/>
      <c r="I18" s="319"/>
      <c r="J18" s="300"/>
      <c r="K18" s="301"/>
      <c r="L18" s="299"/>
      <c r="M18" s="319"/>
      <c r="N18" s="300"/>
      <c r="O18" s="302"/>
      <c r="P18" s="187"/>
      <c r="Q18" s="303"/>
    </row>
    <row r="19" spans="1:32">
      <c r="A19" s="375"/>
      <c r="B19" s="127">
        <f t="shared" si="0"/>
        <v>170</v>
      </c>
      <c r="C19" s="137" t="str">
        <f>VLOOKUP(B19,'Tipos de Defeitos'!B$4:E$106,Menu!$B$28+1,)</f>
        <v>Qtd</v>
      </c>
      <c r="D19" s="299"/>
      <c r="E19" s="319"/>
      <c r="F19" s="300"/>
      <c r="G19" s="301"/>
      <c r="H19" s="299"/>
      <c r="I19" s="319"/>
      <c r="J19" s="300"/>
      <c r="K19" s="301"/>
      <c r="L19" s="299"/>
      <c r="M19" s="319"/>
      <c r="N19" s="300"/>
      <c r="O19" s="302"/>
      <c r="P19" s="187"/>
      <c r="Q19" s="303"/>
    </row>
    <row r="20" spans="1:32">
      <c r="A20" s="375"/>
      <c r="B20" s="127">
        <f t="shared" si="0"/>
        <v>180</v>
      </c>
      <c r="C20" s="137" t="str">
        <f>VLOOKUP(B20,'Tipos de Defeitos'!B$4:E$106,Menu!$B$28+1,)</f>
        <v>Solução nº 125 Qtd</v>
      </c>
      <c r="D20" s="205"/>
      <c r="E20" s="245"/>
      <c r="F20" s="211"/>
      <c r="G20" s="261"/>
      <c r="H20" s="205"/>
      <c r="I20" s="245"/>
      <c r="J20" s="211"/>
      <c r="K20" s="261"/>
      <c r="L20" s="205"/>
      <c r="M20" s="245"/>
      <c r="N20" s="211"/>
      <c r="O20" s="219"/>
      <c r="P20" s="187"/>
      <c r="Q20" s="259"/>
    </row>
    <row r="21" spans="1:32" ht="12.75" customHeight="1">
      <c r="A21" s="375"/>
      <c r="B21" s="127">
        <f t="shared" si="0"/>
        <v>190</v>
      </c>
      <c r="C21" s="137" t="str">
        <f>VLOOKUP(B21,'Tipos de Defeitos'!B$4:E$106,Menu!$B$28+1,)</f>
        <v>Carvão - Fornecedor</v>
      </c>
      <c r="D21" s="205"/>
      <c r="E21" s="245"/>
      <c r="F21" s="211"/>
      <c r="G21" s="261"/>
      <c r="H21" s="205"/>
      <c r="I21" s="245"/>
      <c r="J21" s="211"/>
      <c r="K21" s="261"/>
      <c r="L21" s="205"/>
      <c r="M21" s="245"/>
      <c r="N21" s="211"/>
      <c r="O21" s="219"/>
      <c r="P21" s="187"/>
      <c r="Q21" s="259"/>
    </row>
    <row r="22" spans="1:32" ht="13.5" thickBot="1">
      <c r="A22" s="376"/>
      <c r="B22" s="130">
        <f t="shared" si="0"/>
        <v>200</v>
      </c>
      <c r="C22" s="138" t="str">
        <f>VLOOKUP(B22,'Tipos de Defeitos'!B$4:E$106,Menu!$B$28+1,)</f>
        <v>Nº Lote</v>
      </c>
      <c r="D22" s="212"/>
      <c r="E22" s="246"/>
      <c r="F22" s="213"/>
      <c r="G22" s="264"/>
      <c r="H22" s="212"/>
      <c r="I22" s="246"/>
      <c r="J22" s="213"/>
      <c r="K22" s="264"/>
      <c r="L22" s="212"/>
      <c r="M22" s="246"/>
      <c r="N22" s="213"/>
      <c r="O22" s="220"/>
      <c r="P22" s="187"/>
      <c r="Q22" s="259"/>
    </row>
    <row r="23" spans="1:32">
      <c r="A23" s="351" t="s">
        <v>199</v>
      </c>
      <c r="B23" s="129">
        <f t="shared" si="0"/>
        <v>210</v>
      </c>
      <c r="C23" s="132" t="str">
        <f>VLOOKUP(B23,'Tipos de Defeitos'!B$4:E$106,Menu!$B$28+1,)</f>
        <v>Qtd. Retestada (pçs)</v>
      </c>
      <c r="D23" s="209">
        <f>'[3]UM-4 - Dia'!AS23</f>
        <v>1321</v>
      </c>
      <c r="E23" s="244">
        <f>'[3]UM-4 - 2T'!AS23</f>
        <v>801</v>
      </c>
      <c r="F23" s="210">
        <f>'[3]UM-4 - 3T'!AS23</f>
        <v>499</v>
      </c>
      <c r="G23" s="263">
        <f>SUBTOTAL(9,D23:F23)</f>
        <v>2621</v>
      </c>
      <c r="H23" s="209">
        <f>'UM-4 - Dia'!AS23</f>
        <v>0</v>
      </c>
      <c r="I23" s="244">
        <f>'UM-4 - 2T'!AS23</f>
        <v>0</v>
      </c>
      <c r="J23" s="210">
        <f>'UM-4 - 3T'!AS23</f>
        <v>0</v>
      </c>
      <c r="K23" s="263">
        <f>SUBTOTAL(9,H23:J23)</f>
        <v>0</v>
      </c>
      <c r="L23" s="209">
        <f t="shared" ref="L23:N24" si="1">H23+D23</f>
        <v>1321</v>
      </c>
      <c r="M23" s="244">
        <f t="shared" si="1"/>
        <v>801</v>
      </c>
      <c r="N23" s="208">
        <f t="shared" si="1"/>
        <v>499</v>
      </c>
      <c r="O23" s="218">
        <f>SUBTOTAL(9,D23:K23)</f>
        <v>2621</v>
      </c>
      <c r="P23" s="187"/>
      <c r="Q23" s="259">
        <f>INDEX(D23:O23,1,Menu!$B$27)</f>
        <v>0</v>
      </c>
    </row>
    <row r="24" spans="1:32" ht="13.5" customHeight="1">
      <c r="A24" s="352"/>
      <c r="B24" s="127">
        <f t="shared" si="0"/>
        <v>220</v>
      </c>
      <c r="C24" s="133" t="str">
        <f>VLOOKUP(B24,'Tipos de Defeitos'!B$4:E$106,Menu!$B$28+1,)</f>
        <v>Defeitos (Qty)</v>
      </c>
      <c r="D24" s="209">
        <f>'[3]UM-4 - Dia'!AS24</f>
        <v>1321</v>
      </c>
      <c r="E24" s="245">
        <f>'[3]UM-4 - 2T'!AS24</f>
        <v>801</v>
      </c>
      <c r="F24" s="211">
        <f>'[3]UM-4 - 3T'!AS24</f>
        <v>499</v>
      </c>
      <c r="G24" s="261">
        <f>SUBTOTAL(9,D24:F24)</f>
        <v>2621</v>
      </c>
      <c r="H24" s="205">
        <f>'UM-4 - Dia'!AS24</f>
        <v>0</v>
      </c>
      <c r="I24" s="245">
        <f>'UM-4 - 2T'!AS24</f>
        <v>0</v>
      </c>
      <c r="J24" s="211">
        <f>'UM-4 - 3T'!AS24</f>
        <v>0</v>
      </c>
      <c r="K24" s="261">
        <f>SUBTOTAL(9,H24:J24)</f>
        <v>0</v>
      </c>
      <c r="L24" s="205">
        <f t="shared" si="1"/>
        <v>1321</v>
      </c>
      <c r="M24" s="245">
        <f t="shared" si="1"/>
        <v>801</v>
      </c>
      <c r="N24" s="211">
        <f t="shared" si="1"/>
        <v>499</v>
      </c>
      <c r="O24" s="219">
        <f>SUBTOTAL(9,D24:K24)</f>
        <v>2621</v>
      </c>
      <c r="P24" s="187"/>
      <c r="Q24" s="259">
        <f>INDEX(D24:O24,1,Menu!$B$27)</f>
        <v>0</v>
      </c>
    </row>
    <row r="25" spans="1:32">
      <c r="A25" s="352"/>
      <c r="B25" s="127">
        <f t="shared" si="0"/>
        <v>230</v>
      </c>
      <c r="C25" s="133" t="str">
        <f>VLOOKUP(B25,'Tipos de Defeitos'!B$4:E$106,Menu!$B$28+1,)</f>
        <v>Voltagem (Moda)</v>
      </c>
      <c r="D25" s="209"/>
      <c r="E25" s="244"/>
      <c r="F25" s="210"/>
      <c r="G25" s="263"/>
      <c r="H25" s="209"/>
      <c r="I25" s="244"/>
      <c r="J25" s="210"/>
      <c r="K25" s="263"/>
      <c r="L25" s="209"/>
      <c r="M25" s="244"/>
      <c r="N25" s="210"/>
      <c r="O25" s="218"/>
      <c r="P25" s="187"/>
      <c r="Q25" s="259"/>
    </row>
    <row r="26" spans="1:32">
      <c r="A26" s="352"/>
      <c r="B26" s="127">
        <f t="shared" si="0"/>
        <v>240</v>
      </c>
      <c r="C26" s="133" t="str">
        <f>VLOOKUP(B26,'Tipos de Defeitos'!B$4:E$106,Menu!$B$28+1,)</f>
        <v>Voltagem (ajustada)</v>
      </c>
      <c r="D26" s="205"/>
      <c r="E26" s="245"/>
      <c r="F26" s="211"/>
      <c r="G26" s="261"/>
      <c r="H26" s="205"/>
      <c r="I26" s="245"/>
      <c r="J26" s="211"/>
      <c r="K26" s="261"/>
      <c r="L26" s="205"/>
      <c r="M26" s="245"/>
      <c r="N26" s="211"/>
      <c r="O26" s="219"/>
      <c r="P26" s="187"/>
      <c r="Q26" s="259"/>
    </row>
    <row r="27" spans="1:32" ht="13.5" thickBot="1">
      <c r="A27" s="353"/>
      <c r="B27" s="130">
        <f t="shared" si="0"/>
        <v>250</v>
      </c>
      <c r="C27" s="134" t="str">
        <f>VLOOKUP(B27,'Tipos de Defeitos'!B$4:E$106,Menu!$B$28+1,)</f>
        <v>Qtd. Analisada (pçs)</v>
      </c>
      <c r="D27" s="212">
        <f>'[3]UM-4 - Dia'!AS27</f>
        <v>160</v>
      </c>
      <c r="E27" s="246">
        <f>'[3]UM-4 - 2T'!AS27</f>
        <v>160</v>
      </c>
      <c r="F27" s="213">
        <f>'[3]UM-4 - 3T'!AS27</f>
        <v>160</v>
      </c>
      <c r="G27" s="264">
        <f>SUBTOTAL(9,D27:F27)</f>
        <v>480</v>
      </c>
      <c r="H27" s="212">
        <f>'UM-4 - Dia'!AS27</f>
        <v>0</v>
      </c>
      <c r="I27" s="246">
        <f>'UM-4 - 2T'!AS27</f>
        <v>0</v>
      </c>
      <c r="J27" s="213">
        <f>'UM-4 - 3T'!AS27</f>
        <v>0</v>
      </c>
      <c r="K27" s="264">
        <f t="shared" ref="K27:K58" si="2">SUBTOTAL(9,H27:J27)</f>
        <v>0</v>
      </c>
      <c r="L27" s="212">
        <f t="shared" ref="L27:L58" si="3">H27+D27</f>
        <v>160</v>
      </c>
      <c r="M27" s="246">
        <f t="shared" ref="M27:N58" si="4">I27+E27</f>
        <v>160</v>
      </c>
      <c r="N27" s="213">
        <f t="shared" si="4"/>
        <v>160</v>
      </c>
      <c r="O27" s="220">
        <f>SUBTOTAL(9,D27:K27)</f>
        <v>480</v>
      </c>
      <c r="Q27" s="259">
        <f>INDEX(D27:O27,1,Menu!$B$27)</f>
        <v>0</v>
      </c>
      <c r="R27" s="256" t="s">
        <v>249</v>
      </c>
      <c r="S27" s="255"/>
      <c r="T27" s="259" t="s">
        <v>47</v>
      </c>
      <c r="U27" s="92" t="s">
        <v>246</v>
      </c>
      <c r="V27" s="92" t="s">
        <v>247</v>
      </c>
      <c r="W27" s="92" t="s">
        <v>248</v>
      </c>
      <c r="X27" s="92" t="s">
        <v>249</v>
      </c>
      <c r="Y27" s="92" t="s">
        <v>250</v>
      </c>
      <c r="Z27" s="92" t="s">
        <v>47</v>
      </c>
      <c r="AA27" s="93" t="s">
        <v>251</v>
      </c>
      <c r="AB27" s="93" t="s">
        <v>256</v>
      </c>
      <c r="AC27" s="93" t="s">
        <v>255</v>
      </c>
      <c r="AE27" s="93"/>
      <c r="AF27" s="60"/>
    </row>
    <row r="28" spans="1:32">
      <c r="A28" s="351" t="s">
        <v>200</v>
      </c>
      <c r="B28" s="129">
        <f t="shared" si="0"/>
        <v>260</v>
      </c>
      <c r="C28" s="132" t="str">
        <f>VLOOKUP(B28,'Tipos de Defeitos'!B$4:E$106,Menu!$B$28+1,)</f>
        <v>Sem Papel Separador</v>
      </c>
      <c r="D28" s="207">
        <f>'[3]UM-4 - Dia'!AS28</f>
        <v>0</v>
      </c>
      <c r="E28" s="243">
        <f>'[3]UM-4 - 2T'!AS28</f>
        <v>0</v>
      </c>
      <c r="F28" s="208">
        <f>'[3]UM-4 - 3T'!AS28</f>
        <v>1</v>
      </c>
      <c r="G28" s="262">
        <f t="shared" ref="G28:G77" si="5">SUBTOTAL(9,D28:E28)</f>
        <v>0</v>
      </c>
      <c r="H28" s="207">
        <f>'UM-4 - Dia'!AS28</f>
        <v>0</v>
      </c>
      <c r="I28" s="243">
        <f>'UM-4 - 2T'!AS28</f>
        <v>0</v>
      </c>
      <c r="J28" s="208">
        <f>'UM-4 - 3T'!AS28</f>
        <v>0</v>
      </c>
      <c r="K28" s="262">
        <f t="shared" si="2"/>
        <v>0</v>
      </c>
      <c r="L28" s="207">
        <f t="shared" si="3"/>
        <v>0</v>
      </c>
      <c r="M28" s="243">
        <f t="shared" si="4"/>
        <v>0</v>
      </c>
      <c r="N28" s="208">
        <f t="shared" si="4"/>
        <v>1</v>
      </c>
      <c r="O28" s="217">
        <f t="shared" ref="O28:O78" si="6">SUBTOTAL(9,D28:K28)</f>
        <v>1</v>
      </c>
      <c r="Q28" s="259">
        <f>INDEX(D28:O28,1,Menu!$B$27)</f>
        <v>0</v>
      </c>
      <c r="R28" s="255">
        <v>1</v>
      </c>
      <c r="S28" s="255" t="str">
        <f>C28</f>
        <v>Sem Papel Separador</v>
      </c>
      <c r="T28" s="259" t="e">
        <f>Q28/$Q$27*$Q$24/$Q$7*1000000</f>
        <v>#DIV/0!</v>
      </c>
      <c r="U28" s="224">
        <f>Q28*100000+B28*100+R28</f>
        <v>26001</v>
      </c>
      <c r="V28" s="224">
        <f t="shared" ref="V28:V76" si="7">LARGE($U$28:$U$94,R28)</f>
        <v>92067</v>
      </c>
      <c r="W28" s="224">
        <f t="shared" ref="W28:W76" si="8">MATCH(V28,$U$28:$U$94,0)</f>
        <v>67</v>
      </c>
      <c r="X28" s="224">
        <v>1</v>
      </c>
      <c r="Y28" s="224" t="str">
        <f>VLOOKUP(W28,$R$28:$U$94,2,FALSE)</f>
        <v>Outros - Amperagem</v>
      </c>
      <c r="Z28" s="225" t="e">
        <f>VLOOKUP(W28,$R$28:$T$94,3,0)</f>
        <v>#DIV/0!</v>
      </c>
      <c r="AA28" s="225" t="e">
        <f>Z28</f>
        <v>#DIV/0!</v>
      </c>
      <c r="AB28" s="60" t="e">
        <f>AA28/$AA$94*100</f>
        <v>#DIV/0!</v>
      </c>
      <c r="AC28" s="60" t="e">
        <f>IF(($Q$105&gt;$Q$106)*(AB28&lt;=80),Z28,0)</f>
        <v>#DIV/0!</v>
      </c>
      <c r="AE28" s="93"/>
    </row>
    <row r="29" spans="1:32">
      <c r="A29" s="352"/>
      <c r="B29" s="127">
        <f t="shared" si="0"/>
        <v>270</v>
      </c>
      <c r="C29" s="133" t="str">
        <f>VLOOKUP(B29,'Tipos de Defeitos'!B$4:E$106,Menu!$B$28+1,)</f>
        <v>Papel Separador Cortado</v>
      </c>
      <c r="D29" s="205">
        <f>'[3]UM-4 - Dia'!AS29</f>
        <v>0</v>
      </c>
      <c r="E29" s="245">
        <f>'[3]UM-4 - 2T'!AS29</f>
        <v>0</v>
      </c>
      <c r="F29" s="211">
        <f>'[3]UM-4 - 3T'!AS29</f>
        <v>0</v>
      </c>
      <c r="G29" s="261">
        <f t="shared" si="5"/>
        <v>0</v>
      </c>
      <c r="H29" s="205">
        <f>'UM-4 - Dia'!AS29</f>
        <v>0</v>
      </c>
      <c r="I29" s="245">
        <f>'UM-4 - 2T'!AS29</f>
        <v>0</v>
      </c>
      <c r="J29" s="211">
        <f>'UM-4 - 3T'!AS29</f>
        <v>0</v>
      </c>
      <c r="K29" s="261">
        <f t="shared" si="2"/>
        <v>0</v>
      </c>
      <c r="L29" s="205">
        <f t="shared" si="3"/>
        <v>0</v>
      </c>
      <c r="M29" s="245">
        <f t="shared" si="4"/>
        <v>0</v>
      </c>
      <c r="N29" s="211">
        <f t="shared" si="4"/>
        <v>0</v>
      </c>
      <c r="O29" s="219">
        <f t="shared" si="6"/>
        <v>0</v>
      </c>
      <c r="Q29" s="259">
        <f>INDEX(D29:O29,1,Menu!$B$27)</f>
        <v>0</v>
      </c>
      <c r="R29" s="255">
        <v>2</v>
      </c>
      <c r="S29" s="255" t="str">
        <f t="shared" ref="S29:S77" si="9">C29</f>
        <v>Papel Separador Cortado</v>
      </c>
      <c r="T29" s="259" t="e">
        <f t="shared" ref="T29:T77" si="10">Q29/$Q$27*$Q$24/$Q$7*1000000</f>
        <v>#DIV/0!</v>
      </c>
      <c r="U29" s="224">
        <f t="shared" ref="U29:U77" si="11">Q29*100000+B29*100+R29</f>
        <v>27002</v>
      </c>
      <c r="V29" s="224">
        <f t="shared" si="7"/>
        <v>91066</v>
      </c>
      <c r="W29" s="224">
        <f t="shared" si="8"/>
        <v>66</v>
      </c>
      <c r="X29" s="224">
        <v>2</v>
      </c>
      <c r="Y29" s="224" t="str">
        <f t="shared" ref="Y29:Y92" si="12">VLOOKUP(W29,$R$28:$U$94,2,FALSE)</f>
        <v>Causa Desconhecida - Amperagem</v>
      </c>
      <c r="Z29" s="225" t="e">
        <f t="shared" ref="Z29:Z92" si="13">VLOOKUP(W29,$R$28:$T$94,3,0)</f>
        <v>#DIV/0!</v>
      </c>
      <c r="AA29" s="225" t="e">
        <f>Z29+AA28</f>
        <v>#DIV/0!</v>
      </c>
      <c r="AB29" s="60" t="e">
        <f t="shared" ref="AB29:AB92" si="14">AA29/$AA$94*100</f>
        <v>#DIV/0!</v>
      </c>
      <c r="AC29" s="60" t="e">
        <f t="shared" ref="AC29:AC92" si="15">IF(($Q$105&gt;$Q$106)*(AB29&lt;=80),Z29,0)</f>
        <v>#DIV/0!</v>
      </c>
      <c r="AE29" s="93"/>
    </row>
    <row r="30" spans="1:32">
      <c r="A30" s="352"/>
      <c r="B30" s="127">
        <f t="shared" si="0"/>
        <v>280</v>
      </c>
      <c r="C30" s="133" t="str">
        <f>VLOOKUP(B30,'Tipos de Defeitos'!B$4:E$106,Menu!$B$28+1,)</f>
        <v>Papel Separador Rasgado</v>
      </c>
      <c r="D30" s="205">
        <f>'[3]UM-4 - Dia'!AS30</f>
        <v>0</v>
      </c>
      <c r="E30" s="245">
        <f>'[3]UM-4 - 2T'!AS30</f>
        <v>0</v>
      </c>
      <c r="F30" s="211">
        <f>'[3]UM-4 - 3T'!AS30</f>
        <v>0</v>
      </c>
      <c r="G30" s="261">
        <f t="shared" si="5"/>
        <v>0</v>
      </c>
      <c r="H30" s="205">
        <f>'UM-4 - Dia'!AS30</f>
        <v>0</v>
      </c>
      <c r="I30" s="245">
        <f>'UM-4 - 2T'!AS30</f>
        <v>0</v>
      </c>
      <c r="J30" s="211">
        <f>'UM-4 - 3T'!AS30</f>
        <v>0</v>
      </c>
      <c r="K30" s="261">
        <f t="shared" si="2"/>
        <v>0</v>
      </c>
      <c r="L30" s="205">
        <f t="shared" si="3"/>
        <v>0</v>
      </c>
      <c r="M30" s="245">
        <f t="shared" si="4"/>
        <v>0</v>
      </c>
      <c r="N30" s="211">
        <f t="shared" si="4"/>
        <v>0</v>
      </c>
      <c r="O30" s="219">
        <f t="shared" si="6"/>
        <v>0</v>
      </c>
      <c r="Q30" s="259">
        <f>INDEX(D30:O30,1,Menu!$B$27)</f>
        <v>0</v>
      </c>
      <c r="R30" s="255">
        <v>3</v>
      </c>
      <c r="S30" s="255" t="str">
        <f t="shared" si="9"/>
        <v>Papel Separador Rasgado</v>
      </c>
      <c r="T30" s="259" t="e">
        <f t="shared" si="10"/>
        <v>#DIV/0!</v>
      </c>
      <c r="U30" s="224">
        <f t="shared" si="11"/>
        <v>28003</v>
      </c>
      <c r="V30" s="224">
        <f t="shared" si="7"/>
        <v>90065</v>
      </c>
      <c r="W30" s="224">
        <f t="shared" si="8"/>
        <v>65</v>
      </c>
      <c r="X30" s="224">
        <v>3</v>
      </c>
      <c r="Y30" s="224" t="str">
        <f t="shared" si="12"/>
        <v>PVC Comprido</v>
      </c>
      <c r="Z30" s="225" t="e">
        <f t="shared" si="13"/>
        <v>#DIV/0!</v>
      </c>
      <c r="AA30" s="225" t="e">
        <f t="shared" ref="AA30:AA93" si="16">Z30+AA29</f>
        <v>#DIV/0!</v>
      </c>
      <c r="AB30" s="60" t="e">
        <f t="shared" si="14"/>
        <v>#DIV/0!</v>
      </c>
      <c r="AC30" s="60" t="e">
        <f t="shared" si="15"/>
        <v>#DIV/0!</v>
      </c>
      <c r="AE30" s="93"/>
    </row>
    <row r="31" spans="1:32">
      <c r="A31" s="352"/>
      <c r="B31" s="127">
        <f t="shared" si="0"/>
        <v>290</v>
      </c>
      <c r="C31" s="133" t="str">
        <f>VLOOKUP(B31,'Tipos de Defeitos'!B$4:E$106,Menu!$B$28+1,)</f>
        <v>Papel Dobrado Sup.</v>
      </c>
      <c r="D31" s="205">
        <f>'[3]UM-4 - Dia'!AS31</f>
        <v>0</v>
      </c>
      <c r="E31" s="245">
        <f>'[3]UM-4 - 2T'!AS31</f>
        <v>0</v>
      </c>
      <c r="F31" s="211">
        <f>'[3]UM-4 - 3T'!AS31</f>
        <v>0</v>
      </c>
      <c r="G31" s="261">
        <f t="shared" si="5"/>
        <v>0</v>
      </c>
      <c r="H31" s="205">
        <f>'UM-4 - Dia'!AS31</f>
        <v>0</v>
      </c>
      <c r="I31" s="245">
        <f>'UM-4 - 2T'!AS31</f>
        <v>0</v>
      </c>
      <c r="J31" s="211">
        <f>'UM-4 - 3T'!AS31</f>
        <v>0</v>
      </c>
      <c r="K31" s="261">
        <f t="shared" si="2"/>
        <v>0</v>
      </c>
      <c r="L31" s="205">
        <f t="shared" si="3"/>
        <v>0</v>
      </c>
      <c r="M31" s="245">
        <f t="shared" si="4"/>
        <v>0</v>
      </c>
      <c r="N31" s="211">
        <f t="shared" si="4"/>
        <v>0</v>
      </c>
      <c r="O31" s="219">
        <f t="shared" si="6"/>
        <v>0</v>
      </c>
      <c r="Q31" s="259">
        <f>INDEX(D31:O31,1,Menu!$B$27)</f>
        <v>0</v>
      </c>
      <c r="R31" s="255">
        <v>4</v>
      </c>
      <c r="S31" s="255" t="str">
        <f t="shared" si="9"/>
        <v>Papel Dobrado Sup.</v>
      </c>
      <c r="T31" s="259" t="e">
        <f t="shared" si="10"/>
        <v>#DIV/0!</v>
      </c>
      <c r="U31" s="224">
        <f t="shared" si="11"/>
        <v>29004</v>
      </c>
      <c r="V31" s="224">
        <f t="shared" si="7"/>
        <v>89064</v>
      </c>
      <c r="W31" s="224">
        <f t="shared" si="8"/>
        <v>64</v>
      </c>
      <c r="X31" s="224">
        <v>4</v>
      </c>
      <c r="Y31" s="224" t="str">
        <f t="shared" si="12"/>
        <v>Bottom Plate Amassado</v>
      </c>
      <c r="Z31" s="225" t="e">
        <f t="shared" si="13"/>
        <v>#DIV/0!</v>
      </c>
      <c r="AA31" s="225" t="e">
        <f t="shared" si="16"/>
        <v>#DIV/0!</v>
      </c>
      <c r="AB31" s="60" t="e">
        <f t="shared" si="14"/>
        <v>#DIV/0!</v>
      </c>
      <c r="AC31" s="60" t="e">
        <f t="shared" si="15"/>
        <v>#DIV/0!</v>
      </c>
      <c r="AE31" s="93"/>
    </row>
    <row r="32" spans="1:32">
      <c r="A32" s="352"/>
      <c r="B32" s="127">
        <f t="shared" si="0"/>
        <v>300</v>
      </c>
      <c r="C32" s="133" t="str">
        <f>VLOOKUP(B32,'Tipos de Defeitos'!B$4:E$106,Menu!$B$28+1,)</f>
        <v>Papel Dobrado Meio</v>
      </c>
      <c r="D32" s="205">
        <f>'[3]UM-4 - Dia'!AS32</f>
        <v>0</v>
      </c>
      <c r="E32" s="245">
        <f>'[3]UM-4 - 2T'!AS32</f>
        <v>2</v>
      </c>
      <c r="F32" s="211">
        <f>'[3]UM-4 - 3T'!AS32</f>
        <v>0</v>
      </c>
      <c r="G32" s="261">
        <f t="shared" si="5"/>
        <v>2</v>
      </c>
      <c r="H32" s="205">
        <f>'UM-4 - Dia'!AS32</f>
        <v>0</v>
      </c>
      <c r="I32" s="245">
        <f>'UM-4 - 2T'!AS32</f>
        <v>0</v>
      </c>
      <c r="J32" s="211">
        <f>'UM-4 - 3T'!AS32</f>
        <v>0</v>
      </c>
      <c r="K32" s="261">
        <f t="shared" si="2"/>
        <v>0</v>
      </c>
      <c r="L32" s="205">
        <f t="shared" si="3"/>
        <v>0</v>
      </c>
      <c r="M32" s="245">
        <f t="shared" si="4"/>
        <v>2</v>
      </c>
      <c r="N32" s="211">
        <f t="shared" si="4"/>
        <v>0</v>
      </c>
      <c r="O32" s="219">
        <f t="shared" si="6"/>
        <v>2</v>
      </c>
      <c r="Q32" s="259">
        <f>INDEX(D32:O32,1,Menu!$B$27)</f>
        <v>0</v>
      </c>
      <c r="R32" s="255">
        <v>5</v>
      </c>
      <c r="S32" s="255" t="str">
        <f t="shared" si="9"/>
        <v>Papel Dobrado Meio</v>
      </c>
      <c r="T32" s="259" t="e">
        <f t="shared" si="10"/>
        <v>#DIV/0!</v>
      </c>
      <c r="U32" s="224">
        <f t="shared" si="11"/>
        <v>30005</v>
      </c>
      <c r="V32" s="224">
        <f t="shared" si="7"/>
        <v>88063</v>
      </c>
      <c r="W32" s="224">
        <f t="shared" si="8"/>
        <v>63</v>
      </c>
      <c r="X32" s="224">
        <v>5</v>
      </c>
      <c r="Y32" s="224" t="str">
        <f t="shared" si="12"/>
        <v>Mistura seca</v>
      </c>
      <c r="Z32" s="225" t="e">
        <f t="shared" si="13"/>
        <v>#DIV/0!</v>
      </c>
      <c r="AA32" s="225" t="e">
        <f t="shared" si="16"/>
        <v>#DIV/0!</v>
      </c>
      <c r="AB32" s="60" t="e">
        <f t="shared" si="14"/>
        <v>#DIV/0!</v>
      </c>
      <c r="AC32" s="60" t="e">
        <f t="shared" si="15"/>
        <v>#DIV/0!</v>
      </c>
    </row>
    <row r="33" spans="1:29">
      <c r="A33" s="352"/>
      <c r="B33" s="127">
        <f t="shared" si="0"/>
        <v>310</v>
      </c>
      <c r="C33" s="133" t="str">
        <f>VLOOKUP(B33,'Tipos de Defeitos'!B$4:E$106,Menu!$B$28+1,)</f>
        <v>Papel Dobrado Inf.</v>
      </c>
      <c r="D33" s="205">
        <f>'[3]UM-4 - Dia'!AS33</f>
        <v>0</v>
      </c>
      <c r="E33" s="245">
        <f>'[3]UM-4 - 2T'!AS33</f>
        <v>3</v>
      </c>
      <c r="F33" s="211">
        <f>'[3]UM-4 - 3T'!AS33</f>
        <v>0</v>
      </c>
      <c r="G33" s="261">
        <f t="shared" si="5"/>
        <v>3</v>
      </c>
      <c r="H33" s="205">
        <f>'UM-4 - Dia'!AS33</f>
        <v>0</v>
      </c>
      <c r="I33" s="245">
        <f>'UM-4 - 2T'!AS33</f>
        <v>0</v>
      </c>
      <c r="J33" s="211">
        <f>'UM-4 - 3T'!AS33</f>
        <v>0</v>
      </c>
      <c r="K33" s="261">
        <f t="shared" si="2"/>
        <v>0</v>
      </c>
      <c r="L33" s="205">
        <f t="shared" si="3"/>
        <v>0</v>
      </c>
      <c r="M33" s="245">
        <f t="shared" si="4"/>
        <v>3</v>
      </c>
      <c r="N33" s="211">
        <f t="shared" si="4"/>
        <v>0</v>
      </c>
      <c r="O33" s="219">
        <f t="shared" si="6"/>
        <v>3</v>
      </c>
      <c r="Q33" s="259">
        <f>INDEX(D33:O33,1,Menu!$B$27)</f>
        <v>0</v>
      </c>
      <c r="R33" s="255">
        <v>6</v>
      </c>
      <c r="S33" s="255" t="str">
        <f t="shared" si="9"/>
        <v>Papel Dobrado Inf.</v>
      </c>
      <c r="T33" s="259" t="e">
        <f t="shared" si="10"/>
        <v>#DIV/0!</v>
      </c>
      <c r="U33" s="224">
        <f t="shared" si="11"/>
        <v>31006</v>
      </c>
      <c r="V33" s="224">
        <f t="shared" si="7"/>
        <v>87062</v>
      </c>
      <c r="W33" s="224">
        <f t="shared" si="8"/>
        <v>62</v>
      </c>
      <c r="X33" s="224">
        <v>6</v>
      </c>
      <c r="Y33" s="224" t="str">
        <f t="shared" si="12"/>
        <v>Contem estranho</v>
      </c>
      <c r="Z33" s="225" t="e">
        <f t="shared" si="13"/>
        <v>#DIV/0!</v>
      </c>
      <c r="AA33" s="225" t="e">
        <f t="shared" si="16"/>
        <v>#DIV/0!</v>
      </c>
      <c r="AB33" s="60" t="e">
        <f t="shared" si="14"/>
        <v>#DIV/0!</v>
      </c>
      <c r="AC33" s="60" t="e">
        <f t="shared" si="15"/>
        <v>#DIV/0!</v>
      </c>
    </row>
    <row r="34" spans="1:29">
      <c r="A34" s="352"/>
      <c r="B34" s="127">
        <f t="shared" si="0"/>
        <v>320</v>
      </c>
      <c r="C34" s="133" t="str">
        <f>VLOOKUP(B34,'Tipos de Defeitos'!B$4:E$106,Menu!$B$28+1,)</f>
        <v>Papel Afundado</v>
      </c>
      <c r="D34" s="205">
        <f>'[3]UM-4 - Dia'!AS34</f>
        <v>0</v>
      </c>
      <c r="E34" s="245">
        <f>'[3]UM-4 - 2T'!AS34</f>
        <v>0</v>
      </c>
      <c r="F34" s="211">
        <f>'[3]UM-4 - 3T'!AS34</f>
        <v>0</v>
      </c>
      <c r="G34" s="261">
        <f t="shared" si="5"/>
        <v>0</v>
      </c>
      <c r="H34" s="205">
        <f>'UM-4 - Dia'!AS34</f>
        <v>0</v>
      </c>
      <c r="I34" s="245">
        <f>'UM-4 - 2T'!AS34</f>
        <v>0</v>
      </c>
      <c r="J34" s="211">
        <f>'UM-4 - 3T'!AS34</f>
        <v>0</v>
      </c>
      <c r="K34" s="261">
        <f t="shared" si="2"/>
        <v>0</v>
      </c>
      <c r="L34" s="205">
        <f t="shared" si="3"/>
        <v>0</v>
      </c>
      <c r="M34" s="245">
        <f t="shared" si="4"/>
        <v>0</v>
      </c>
      <c r="N34" s="211">
        <f t="shared" si="4"/>
        <v>0</v>
      </c>
      <c r="O34" s="219">
        <f t="shared" si="6"/>
        <v>0</v>
      </c>
      <c r="Q34" s="259">
        <f>INDEX(D34:O34,1,Menu!$B$27)</f>
        <v>0</v>
      </c>
      <c r="R34" s="255">
        <v>7</v>
      </c>
      <c r="S34" s="255" t="str">
        <f t="shared" si="9"/>
        <v>Papel Afundado</v>
      </c>
      <c r="T34" s="259" t="e">
        <f t="shared" si="10"/>
        <v>#DIV/0!</v>
      </c>
      <c r="U34" s="224">
        <f t="shared" si="11"/>
        <v>32007</v>
      </c>
      <c r="V34" s="224">
        <f t="shared" si="7"/>
        <v>86061</v>
      </c>
      <c r="W34" s="224">
        <f t="shared" si="8"/>
        <v>61</v>
      </c>
      <c r="X34" s="224">
        <v>7</v>
      </c>
      <c r="Y34" s="224" t="str">
        <f t="shared" si="12"/>
        <v>Tubo de Zinco Sujo</v>
      </c>
      <c r="Z34" s="225" t="e">
        <f t="shared" si="13"/>
        <v>#DIV/0!</v>
      </c>
      <c r="AA34" s="225" t="e">
        <f t="shared" si="16"/>
        <v>#DIV/0!</v>
      </c>
      <c r="AB34" s="60" t="e">
        <f t="shared" si="14"/>
        <v>#DIV/0!</v>
      </c>
      <c r="AC34" s="60" t="e">
        <f t="shared" si="15"/>
        <v>#DIV/0!</v>
      </c>
    </row>
    <row r="35" spans="1:29">
      <c r="A35" s="352"/>
      <c r="B35" s="127">
        <f t="shared" si="0"/>
        <v>330</v>
      </c>
      <c r="C35" s="133" t="str">
        <f>VLOOKUP(B35,'Tipos de Defeitos'!B$4:E$106,Menu!$B$28+1,)</f>
        <v>Papel Deslocado</v>
      </c>
      <c r="D35" s="205">
        <f>'[3]UM-4 - Dia'!AS35</f>
        <v>54</v>
      </c>
      <c r="E35" s="245">
        <f>'[3]UM-4 - 2T'!AS35</f>
        <v>58</v>
      </c>
      <c r="F35" s="211">
        <f>'[3]UM-4 - 3T'!AS35</f>
        <v>53</v>
      </c>
      <c r="G35" s="261">
        <f t="shared" si="5"/>
        <v>112</v>
      </c>
      <c r="H35" s="205">
        <f>'UM-4 - Dia'!AS35</f>
        <v>0</v>
      </c>
      <c r="I35" s="245">
        <f>'UM-4 - 2T'!AS35</f>
        <v>0</v>
      </c>
      <c r="J35" s="211">
        <f>'UM-4 - 3T'!AS35</f>
        <v>0</v>
      </c>
      <c r="K35" s="261">
        <f t="shared" si="2"/>
        <v>0</v>
      </c>
      <c r="L35" s="205">
        <f t="shared" si="3"/>
        <v>54</v>
      </c>
      <c r="M35" s="245">
        <f t="shared" si="4"/>
        <v>58</v>
      </c>
      <c r="N35" s="211">
        <f t="shared" si="4"/>
        <v>53</v>
      </c>
      <c r="O35" s="219">
        <f t="shared" si="6"/>
        <v>165</v>
      </c>
      <c r="P35" s="227" t="e">
        <f>O35/$O$27*$O$24/$O$7*1000000</f>
        <v>#DIV/0!</v>
      </c>
      <c r="Q35" s="259">
        <f>INDEX(D35:O35,1,Menu!$B$27)</f>
        <v>0</v>
      </c>
      <c r="R35" s="255">
        <v>8</v>
      </c>
      <c r="S35" s="255" t="str">
        <f t="shared" si="9"/>
        <v>Papel Deslocado</v>
      </c>
      <c r="T35" s="259" t="e">
        <f t="shared" si="10"/>
        <v>#DIV/0!</v>
      </c>
      <c r="U35" s="224">
        <f t="shared" si="11"/>
        <v>33008</v>
      </c>
      <c r="V35" s="224">
        <f t="shared" si="7"/>
        <v>85060</v>
      </c>
      <c r="W35" s="224">
        <f t="shared" si="8"/>
        <v>60</v>
      </c>
      <c r="X35" s="224">
        <v>8</v>
      </c>
      <c r="Y35" s="224" t="str">
        <f t="shared" si="12"/>
        <v>Carvão Frouxo</v>
      </c>
      <c r="Z35" s="225" t="e">
        <f t="shared" si="13"/>
        <v>#DIV/0!</v>
      </c>
      <c r="AA35" s="225" t="e">
        <f t="shared" si="16"/>
        <v>#DIV/0!</v>
      </c>
      <c r="AB35" s="60" t="e">
        <f t="shared" si="14"/>
        <v>#DIV/0!</v>
      </c>
      <c r="AC35" s="60" t="e">
        <f t="shared" si="15"/>
        <v>#DIV/0!</v>
      </c>
    </row>
    <row r="36" spans="1:29" ht="12.75" customHeight="1">
      <c r="A36" s="352"/>
      <c r="B36" s="127">
        <f t="shared" si="0"/>
        <v>340</v>
      </c>
      <c r="C36" s="133" t="str">
        <f>VLOOKUP(B36,'Tipos de Defeitos'!B$4:E$106,Menu!$B$28+1,)</f>
        <v>Papel menor</v>
      </c>
      <c r="D36" s="205">
        <f>'[3]UM-4 - Dia'!AS36</f>
        <v>0</v>
      </c>
      <c r="E36" s="245">
        <f>'[3]UM-4 - 2T'!AS36</f>
        <v>2</v>
      </c>
      <c r="F36" s="211">
        <f>'[3]UM-4 - 3T'!AS36</f>
        <v>1</v>
      </c>
      <c r="G36" s="261">
        <f t="shared" si="5"/>
        <v>2</v>
      </c>
      <c r="H36" s="205">
        <f>'UM-4 - Dia'!AS36</f>
        <v>0</v>
      </c>
      <c r="I36" s="245">
        <f>'UM-4 - 2T'!AS36</f>
        <v>0</v>
      </c>
      <c r="J36" s="211">
        <f>'UM-4 - 3T'!AS36</f>
        <v>0</v>
      </c>
      <c r="K36" s="261">
        <f t="shared" si="2"/>
        <v>0</v>
      </c>
      <c r="L36" s="205">
        <f t="shared" si="3"/>
        <v>0</v>
      </c>
      <c r="M36" s="245">
        <f t="shared" si="4"/>
        <v>2</v>
      </c>
      <c r="N36" s="211">
        <f t="shared" si="4"/>
        <v>1</v>
      </c>
      <c r="O36" s="219">
        <f t="shared" si="6"/>
        <v>3</v>
      </c>
      <c r="Q36" s="259">
        <f>INDEX(D36:O36,1,Menu!$B$27)</f>
        <v>0</v>
      </c>
      <c r="R36" s="255">
        <v>9</v>
      </c>
      <c r="S36" s="255" t="str">
        <f t="shared" si="9"/>
        <v>Papel menor</v>
      </c>
      <c r="T36" s="259" t="e">
        <f t="shared" si="10"/>
        <v>#DIV/0!</v>
      </c>
      <c r="U36" s="224">
        <f t="shared" si="11"/>
        <v>34009</v>
      </c>
      <c r="V36" s="224">
        <f t="shared" si="7"/>
        <v>84059</v>
      </c>
      <c r="W36" s="224">
        <f t="shared" si="8"/>
        <v>59</v>
      </c>
      <c r="X36" s="224">
        <v>9</v>
      </c>
      <c r="Y36" s="224" t="str">
        <f t="shared" si="12"/>
        <v>Metade do Carvão</v>
      </c>
      <c r="Z36" s="225" t="e">
        <f t="shared" si="13"/>
        <v>#DIV/0!</v>
      </c>
      <c r="AA36" s="225" t="e">
        <f t="shared" si="16"/>
        <v>#DIV/0!</v>
      </c>
      <c r="AB36" s="60" t="e">
        <f t="shared" si="14"/>
        <v>#DIV/0!</v>
      </c>
      <c r="AC36" s="60" t="e">
        <f t="shared" si="15"/>
        <v>#DIV/0!</v>
      </c>
    </row>
    <row r="37" spans="1:29">
      <c r="A37" s="352"/>
      <c r="B37" s="127">
        <f t="shared" si="0"/>
        <v>350</v>
      </c>
      <c r="C37" s="133" t="str">
        <f>VLOOKUP(B37,'Tipos de Defeitos'!B$4:E$106,Menu!$B$28+1,)</f>
        <v>Sem Disco</v>
      </c>
      <c r="D37" s="205">
        <f>'[3]UM-4 - Dia'!AS37</f>
        <v>0</v>
      </c>
      <c r="E37" s="245">
        <f>'[3]UM-4 - 2T'!AS37</f>
        <v>0</v>
      </c>
      <c r="F37" s="211">
        <f>'[3]UM-4 - 3T'!AS37</f>
        <v>0</v>
      </c>
      <c r="G37" s="261">
        <f t="shared" si="5"/>
        <v>0</v>
      </c>
      <c r="H37" s="205">
        <f>'UM-4 - Dia'!AS37</f>
        <v>0</v>
      </c>
      <c r="I37" s="245">
        <f>'UM-4 - 2T'!AS37</f>
        <v>0</v>
      </c>
      <c r="J37" s="211">
        <f>'UM-4 - 3T'!AS37</f>
        <v>0</v>
      </c>
      <c r="K37" s="261">
        <f t="shared" si="2"/>
        <v>0</v>
      </c>
      <c r="L37" s="205">
        <f t="shared" si="3"/>
        <v>0</v>
      </c>
      <c r="M37" s="245">
        <f t="shared" si="4"/>
        <v>0</v>
      </c>
      <c r="N37" s="211">
        <f t="shared" si="4"/>
        <v>0</v>
      </c>
      <c r="O37" s="219">
        <f t="shared" si="6"/>
        <v>0</v>
      </c>
      <c r="Q37" s="259">
        <f>INDEX(D37:O37,1,Menu!$B$27)</f>
        <v>0</v>
      </c>
      <c r="R37" s="255">
        <v>10</v>
      </c>
      <c r="S37" s="255" t="str">
        <f t="shared" si="9"/>
        <v>Sem Disco</v>
      </c>
      <c r="T37" s="259" t="e">
        <f t="shared" si="10"/>
        <v>#DIV/0!</v>
      </c>
      <c r="U37" s="224">
        <f t="shared" si="11"/>
        <v>35010</v>
      </c>
      <c r="V37" s="224">
        <f t="shared" si="7"/>
        <v>83058</v>
      </c>
      <c r="W37" s="224">
        <f t="shared" si="8"/>
        <v>58</v>
      </c>
      <c r="X37" s="224">
        <v>10</v>
      </c>
      <c r="Y37" s="224" t="str">
        <f t="shared" si="12"/>
        <v>Carvão Quebrado</v>
      </c>
      <c r="Z37" s="225" t="e">
        <f t="shared" si="13"/>
        <v>#DIV/0!</v>
      </c>
      <c r="AA37" s="225" t="e">
        <f t="shared" si="16"/>
        <v>#DIV/0!</v>
      </c>
      <c r="AB37" s="60" t="e">
        <f t="shared" si="14"/>
        <v>#DIV/0!</v>
      </c>
      <c r="AC37" s="60" t="e">
        <f t="shared" si="15"/>
        <v>#DIV/0!</v>
      </c>
    </row>
    <row r="38" spans="1:29">
      <c r="A38" s="352"/>
      <c r="B38" s="127">
        <f t="shared" si="0"/>
        <v>360</v>
      </c>
      <c r="C38" s="133" t="str">
        <f>VLOOKUP(B38,'Tipos de Defeitos'!B$4:E$106,Menu!$B$28+1,)</f>
        <v>Disco Cortado</v>
      </c>
      <c r="D38" s="205">
        <f>'[3]UM-4 - Dia'!AS38</f>
        <v>0</v>
      </c>
      <c r="E38" s="245">
        <f>'[3]UM-4 - 2T'!AS38</f>
        <v>0</v>
      </c>
      <c r="F38" s="211">
        <f>'[3]UM-4 - 3T'!AS38</f>
        <v>0</v>
      </c>
      <c r="G38" s="261">
        <f t="shared" si="5"/>
        <v>0</v>
      </c>
      <c r="H38" s="205">
        <f>'UM-4 - Dia'!AS38</f>
        <v>0</v>
      </c>
      <c r="I38" s="245">
        <f>'UM-4 - 2T'!AS38</f>
        <v>0</v>
      </c>
      <c r="J38" s="211">
        <f>'UM-4 - 3T'!AS38</f>
        <v>0</v>
      </c>
      <c r="K38" s="261">
        <f t="shared" si="2"/>
        <v>0</v>
      </c>
      <c r="L38" s="205">
        <f t="shared" si="3"/>
        <v>0</v>
      </c>
      <c r="M38" s="245">
        <f t="shared" si="4"/>
        <v>0</v>
      </c>
      <c r="N38" s="211">
        <f t="shared" si="4"/>
        <v>0</v>
      </c>
      <c r="O38" s="219">
        <f t="shared" si="6"/>
        <v>0</v>
      </c>
      <c r="Q38" s="259">
        <f>INDEX(D38:O38,1,Menu!$B$27)</f>
        <v>0</v>
      </c>
      <c r="R38" s="255">
        <v>11</v>
      </c>
      <c r="S38" s="255" t="str">
        <f t="shared" si="9"/>
        <v>Disco Cortado</v>
      </c>
      <c r="T38" s="259" t="e">
        <f t="shared" si="10"/>
        <v>#DIV/0!</v>
      </c>
      <c r="U38" s="224">
        <f t="shared" si="11"/>
        <v>36011</v>
      </c>
      <c r="V38" s="224">
        <f t="shared" si="7"/>
        <v>82057</v>
      </c>
      <c r="W38" s="224">
        <f t="shared" si="8"/>
        <v>57</v>
      </c>
      <c r="X38" s="224">
        <v>11</v>
      </c>
      <c r="Y38" s="224" t="str">
        <f t="shared" si="12"/>
        <v>Emenda de Papel</v>
      </c>
      <c r="Z38" s="225" t="e">
        <f t="shared" si="13"/>
        <v>#DIV/0!</v>
      </c>
      <c r="AA38" s="225" t="e">
        <f t="shared" si="16"/>
        <v>#DIV/0!</v>
      </c>
      <c r="AB38" s="60" t="e">
        <f t="shared" si="14"/>
        <v>#DIV/0!</v>
      </c>
      <c r="AC38" s="60" t="e">
        <f t="shared" si="15"/>
        <v>#DIV/0!</v>
      </c>
    </row>
    <row r="39" spans="1:29">
      <c r="A39" s="352"/>
      <c r="B39" s="127">
        <f t="shared" si="0"/>
        <v>370</v>
      </c>
      <c r="C39" s="133" t="str">
        <f>VLOOKUP(B39,'Tipos de Defeitos'!B$4:E$106,Menu!$B$28+1,)</f>
        <v>Disco Rasgado</v>
      </c>
      <c r="D39" s="205">
        <f>'[3]UM-4 - Dia'!AS39</f>
        <v>0</v>
      </c>
      <c r="E39" s="245">
        <f>'[3]UM-4 - 2T'!AS39</f>
        <v>0</v>
      </c>
      <c r="F39" s="211">
        <f>'[3]UM-4 - 3T'!AS39</f>
        <v>0</v>
      </c>
      <c r="G39" s="261">
        <f t="shared" si="5"/>
        <v>0</v>
      </c>
      <c r="H39" s="205">
        <f>'UM-4 - Dia'!AS39</f>
        <v>0</v>
      </c>
      <c r="I39" s="245">
        <f>'UM-4 - 2T'!AS39</f>
        <v>0</v>
      </c>
      <c r="J39" s="211">
        <f>'UM-4 - 3T'!AS39</f>
        <v>0</v>
      </c>
      <c r="K39" s="261">
        <f t="shared" si="2"/>
        <v>0</v>
      </c>
      <c r="L39" s="205">
        <f t="shared" si="3"/>
        <v>0</v>
      </c>
      <c r="M39" s="245">
        <f t="shared" si="4"/>
        <v>0</v>
      </c>
      <c r="N39" s="211">
        <f t="shared" si="4"/>
        <v>0</v>
      </c>
      <c r="O39" s="219">
        <f t="shared" si="6"/>
        <v>0</v>
      </c>
      <c r="Q39" s="259">
        <f>INDEX(D39:O39,1,Menu!$B$27)</f>
        <v>0</v>
      </c>
      <c r="R39" s="255">
        <v>12</v>
      </c>
      <c r="S39" s="255" t="str">
        <f t="shared" si="9"/>
        <v>Disco Rasgado</v>
      </c>
      <c r="T39" s="259" t="e">
        <f t="shared" si="10"/>
        <v>#DIV/0!</v>
      </c>
      <c r="U39" s="224">
        <f t="shared" si="11"/>
        <v>37012</v>
      </c>
      <c r="V39" s="224">
        <f t="shared" si="7"/>
        <v>81056</v>
      </c>
      <c r="W39" s="224">
        <f t="shared" si="8"/>
        <v>56</v>
      </c>
      <c r="X39" s="224">
        <v>12</v>
      </c>
      <c r="Y39" s="224" t="str">
        <f t="shared" si="12"/>
        <v>Bobina Rachada</v>
      </c>
      <c r="Z39" s="225" t="e">
        <f t="shared" si="13"/>
        <v>#DIV/0!</v>
      </c>
      <c r="AA39" s="225" t="e">
        <f t="shared" si="16"/>
        <v>#DIV/0!</v>
      </c>
      <c r="AB39" s="60" t="e">
        <f t="shared" si="14"/>
        <v>#DIV/0!</v>
      </c>
      <c r="AC39" s="60" t="e">
        <f t="shared" si="15"/>
        <v>#DIV/0!</v>
      </c>
    </row>
    <row r="40" spans="1:29">
      <c r="A40" s="352"/>
      <c r="B40" s="127">
        <f t="shared" si="0"/>
        <v>380</v>
      </c>
      <c r="C40" s="133" t="str">
        <f>VLOOKUP(B40,'Tipos de Defeitos'!B$4:E$106,Menu!$B$28+1,)</f>
        <v>Disco Furado</v>
      </c>
      <c r="D40" s="205">
        <f>'[3]UM-4 - Dia'!AS40</f>
        <v>0</v>
      </c>
      <c r="E40" s="245">
        <f>'[3]UM-4 - 2T'!AS40</f>
        <v>0</v>
      </c>
      <c r="F40" s="211">
        <f>'[3]UM-4 - 3T'!AS40</f>
        <v>0</v>
      </c>
      <c r="G40" s="261">
        <f t="shared" si="5"/>
        <v>0</v>
      </c>
      <c r="H40" s="205">
        <f>'UM-4 - Dia'!AS40</f>
        <v>0</v>
      </c>
      <c r="I40" s="245">
        <f>'UM-4 - 2T'!AS40</f>
        <v>0</v>
      </c>
      <c r="J40" s="211">
        <f>'UM-4 - 3T'!AS40</f>
        <v>0</v>
      </c>
      <c r="K40" s="261">
        <f t="shared" si="2"/>
        <v>0</v>
      </c>
      <c r="L40" s="205">
        <f t="shared" si="3"/>
        <v>0</v>
      </c>
      <c r="M40" s="245">
        <f t="shared" si="4"/>
        <v>0</v>
      </c>
      <c r="N40" s="211">
        <f t="shared" si="4"/>
        <v>0</v>
      </c>
      <c r="O40" s="219">
        <f t="shared" si="6"/>
        <v>0</v>
      </c>
      <c r="Q40" s="259">
        <f>INDEX(D40:O40,1,Menu!$B$27)</f>
        <v>0</v>
      </c>
      <c r="R40" s="255">
        <v>13</v>
      </c>
      <c r="S40" s="255" t="str">
        <f t="shared" si="9"/>
        <v>Disco Furado</v>
      </c>
      <c r="T40" s="259" t="e">
        <f t="shared" si="10"/>
        <v>#DIV/0!</v>
      </c>
      <c r="U40" s="224">
        <f t="shared" si="11"/>
        <v>38013</v>
      </c>
      <c r="V40" s="224">
        <f t="shared" si="7"/>
        <v>80055</v>
      </c>
      <c r="W40" s="224">
        <f t="shared" si="8"/>
        <v>55</v>
      </c>
      <c r="X40" s="224">
        <v>13</v>
      </c>
      <c r="Y40" s="224" t="str">
        <f t="shared" si="12"/>
        <v>Bobina Baixa</v>
      </c>
      <c r="Z40" s="225" t="e">
        <f t="shared" si="13"/>
        <v>#DIV/0!</v>
      </c>
      <c r="AA40" s="225" t="e">
        <f t="shared" si="16"/>
        <v>#DIV/0!</v>
      </c>
      <c r="AB40" s="60" t="e">
        <f t="shared" si="14"/>
        <v>#DIV/0!</v>
      </c>
      <c r="AC40" s="60" t="e">
        <f t="shared" si="15"/>
        <v>#DIV/0!</v>
      </c>
    </row>
    <row r="41" spans="1:29">
      <c r="A41" s="352"/>
      <c r="B41" s="127">
        <f t="shared" si="0"/>
        <v>390</v>
      </c>
      <c r="C41" s="133" t="str">
        <f>VLOOKUP(B41,'Tipos de Defeitos'!B$4:E$106,Menu!$B$28+1,)</f>
        <v>Disco Dobrado</v>
      </c>
      <c r="D41" s="205">
        <f>'[3]UM-4 - Dia'!AS41</f>
        <v>0</v>
      </c>
      <c r="E41" s="245">
        <f>'[3]UM-4 - 2T'!AS41</f>
        <v>0</v>
      </c>
      <c r="F41" s="211">
        <f>'[3]UM-4 - 3T'!AS41</f>
        <v>0</v>
      </c>
      <c r="G41" s="261">
        <f t="shared" si="5"/>
        <v>0</v>
      </c>
      <c r="H41" s="205">
        <f>'UM-4 - Dia'!AS41</f>
        <v>0</v>
      </c>
      <c r="I41" s="245">
        <f>'UM-4 - 2T'!AS41</f>
        <v>0</v>
      </c>
      <c r="J41" s="211">
        <f>'UM-4 - 3T'!AS41</f>
        <v>0</v>
      </c>
      <c r="K41" s="261">
        <f t="shared" si="2"/>
        <v>0</v>
      </c>
      <c r="L41" s="205">
        <f t="shared" si="3"/>
        <v>0</v>
      </c>
      <c r="M41" s="245">
        <f t="shared" si="4"/>
        <v>0</v>
      </c>
      <c r="N41" s="211">
        <f t="shared" si="4"/>
        <v>0</v>
      </c>
      <c r="O41" s="219">
        <f t="shared" si="6"/>
        <v>0</v>
      </c>
      <c r="Q41" s="259">
        <f>INDEX(D41:O41,1,Menu!$B$27)</f>
        <v>0</v>
      </c>
      <c r="R41" s="255">
        <v>14</v>
      </c>
      <c r="S41" s="255" t="str">
        <f t="shared" si="9"/>
        <v>Disco Dobrado</v>
      </c>
      <c r="T41" s="259" t="e">
        <f t="shared" si="10"/>
        <v>#DIV/0!</v>
      </c>
      <c r="U41" s="224">
        <f t="shared" si="11"/>
        <v>39014</v>
      </c>
      <c r="V41" s="224">
        <f t="shared" si="7"/>
        <v>79054</v>
      </c>
      <c r="W41" s="224">
        <f t="shared" si="8"/>
        <v>54</v>
      </c>
      <c r="X41" s="224">
        <v>14</v>
      </c>
      <c r="Y41" s="224" t="str">
        <f t="shared" si="12"/>
        <v>Pelota de Manganês</v>
      </c>
      <c r="Z41" s="225" t="e">
        <f t="shared" si="13"/>
        <v>#DIV/0!</v>
      </c>
      <c r="AA41" s="225" t="e">
        <f t="shared" si="16"/>
        <v>#DIV/0!</v>
      </c>
      <c r="AB41" s="60" t="e">
        <f t="shared" si="14"/>
        <v>#DIV/0!</v>
      </c>
      <c r="AC41" s="60" t="e">
        <f t="shared" si="15"/>
        <v>#DIV/0!</v>
      </c>
    </row>
    <row r="42" spans="1:29">
      <c r="A42" s="352"/>
      <c r="B42" s="127">
        <f t="shared" si="0"/>
        <v>400</v>
      </c>
      <c r="C42" s="133" t="str">
        <f>VLOOKUP(B42,'Tipos de Defeitos'!B$4:E$106,Menu!$B$28+1,)</f>
        <v>Disco fora de centro / deslocado</v>
      </c>
      <c r="D42" s="205">
        <f>'[3]UM-4 - Dia'!AS42</f>
        <v>2</v>
      </c>
      <c r="E42" s="245">
        <f>'[3]UM-4 - 2T'!AS42</f>
        <v>0</v>
      </c>
      <c r="F42" s="211">
        <f>'[3]UM-4 - 3T'!AS42</f>
        <v>0</v>
      </c>
      <c r="G42" s="261">
        <f t="shared" si="5"/>
        <v>2</v>
      </c>
      <c r="H42" s="205">
        <f>'UM-4 - Dia'!AS42</f>
        <v>0</v>
      </c>
      <c r="I42" s="245">
        <f>'UM-4 - 2T'!AS42</f>
        <v>0</v>
      </c>
      <c r="J42" s="211">
        <f>'UM-4 - 3T'!AS42</f>
        <v>0</v>
      </c>
      <c r="K42" s="261">
        <f t="shared" si="2"/>
        <v>0</v>
      </c>
      <c r="L42" s="205">
        <f t="shared" si="3"/>
        <v>2</v>
      </c>
      <c r="M42" s="245">
        <f t="shared" si="4"/>
        <v>0</v>
      </c>
      <c r="N42" s="211">
        <f t="shared" si="4"/>
        <v>0</v>
      </c>
      <c r="O42" s="219">
        <f t="shared" si="6"/>
        <v>2</v>
      </c>
      <c r="Q42" s="259">
        <f>INDEX(D42:O42,1,Menu!$B$27)</f>
        <v>0</v>
      </c>
      <c r="R42" s="255">
        <v>15</v>
      </c>
      <c r="S42" s="255" t="str">
        <f t="shared" si="9"/>
        <v>Disco fora de centro / deslocado</v>
      </c>
      <c r="T42" s="259" t="e">
        <f t="shared" si="10"/>
        <v>#DIV/0!</v>
      </c>
      <c r="U42" s="224">
        <f t="shared" si="11"/>
        <v>40015</v>
      </c>
      <c r="V42" s="224">
        <f t="shared" si="7"/>
        <v>78053</v>
      </c>
      <c r="W42" s="224">
        <f t="shared" si="8"/>
        <v>53</v>
      </c>
      <c r="X42" s="224">
        <v>15</v>
      </c>
      <c r="Y42" s="224" t="str">
        <f t="shared" si="12"/>
        <v>Pedra de Cl de Amônia</v>
      </c>
      <c r="Z42" s="225" t="e">
        <f t="shared" si="13"/>
        <v>#DIV/0!</v>
      </c>
      <c r="AA42" s="225" t="e">
        <f t="shared" si="16"/>
        <v>#DIV/0!</v>
      </c>
      <c r="AB42" s="60" t="e">
        <f t="shared" si="14"/>
        <v>#DIV/0!</v>
      </c>
      <c r="AC42" s="60" t="e">
        <f t="shared" si="15"/>
        <v>#DIV/0!</v>
      </c>
    </row>
    <row r="43" spans="1:29">
      <c r="A43" s="352"/>
      <c r="B43" s="127">
        <f t="shared" si="0"/>
        <v>410</v>
      </c>
      <c r="C43" s="133" t="str">
        <f>VLOOKUP(B43,'Tipos de Defeitos'!B$4:E$106,Menu!$B$28+1,)</f>
        <v>Isolador fora de centro</v>
      </c>
      <c r="D43" s="205">
        <f>'[3]UM-4 - Dia'!AS43</f>
        <v>0</v>
      </c>
      <c r="E43" s="245">
        <f>'[3]UM-4 - 2T'!AS43</f>
        <v>0</v>
      </c>
      <c r="F43" s="211">
        <f>'[3]UM-4 - 3T'!AS43</f>
        <v>0</v>
      </c>
      <c r="G43" s="261">
        <f t="shared" si="5"/>
        <v>0</v>
      </c>
      <c r="H43" s="205">
        <f>'UM-4 - Dia'!AS43</f>
        <v>0</v>
      </c>
      <c r="I43" s="245">
        <f>'UM-4 - 2T'!AS43</f>
        <v>0</v>
      </c>
      <c r="J43" s="211">
        <f>'UM-4 - 3T'!AS43</f>
        <v>0</v>
      </c>
      <c r="K43" s="261">
        <f t="shared" si="2"/>
        <v>0</v>
      </c>
      <c r="L43" s="205">
        <f t="shared" si="3"/>
        <v>0</v>
      </c>
      <c r="M43" s="245">
        <f t="shared" si="4"/>
        <v>0</v>
      </c>
      <c r="N43" s="211">
        <f t="shared" si="4"/>
        <v>0</v>
      </c>
      <c r="O43" s="219">
        <f t="shared" si="6"/>
        <v>0</v>
      </c>
      <c r="Q43" s="259">
        <f>INDEX(D43:O43,1,Menu!$B$27)</f>
        <v>0</v>
      </c>
      <c r="R43" s="255">
        <v>16</v>
      </c>
      <c r="S43" s="255" t="str">
        <f t="shared" si="9"/>
        <v>Isolador fora de centro</v>
      </c>
      <c r="T43" s="259" t="e">
        <f t="shared" si="10"/>
        <v>#DIV/0!</v>
      </c>
      <c r="U43" s="224">
        <f t="shared" si="11"/>
        <v>41016</v>
      </c>
      <c r="V43" s="224">
        <f t="shared" si="7"/>
        <v>77052</v>
      </c>
      <c r="W43" s="224">
        <f t="shared" si="8"/>
        <v>52</v>
      </c>
      <c r="X43" s="224">
        <v>16</v>
      </c>
      <c r="Y43" s="224" t="str">
        <f t="shared" si="12"/>
        <v>Pedra de Negro</v>
      </c>
      <c r="Z43" s="225" t="e">
        <f t="shared" si="13"/>
        <v>#DIV/0!</v>
      </c>
      <c r="AA43" s="225" t="e">
        <f t="shared" si="16"/>
        <v>#DIV/0!</v>
      </c>
      <c r="AB43" s="60" t="e">
        <f t="shared" si="14"/>
        <v>#DIV/0!</v>
      </c>
      <c r="AC43" s="60" t="e">
        <f t="shared" si="15"/>
        <v>#DIV/0!</v>
      </c>
    </row>
    <row r="44" spans="1:29">
      <c r="A44" s="352"/>
      <c r="B44" s="127">
        <f t="shared" si="0"/>
        <v>420</v>
      </c>
      <c r="C44" s="133" t="str">
        <f>VLOOKUP(B44,'Tipos de Defeitos'!B$4:E$106,Menu!$B$28+1,)</f>
        <v>Isolador afundado</v>
      </c>
      <c r="D44" s="205">
        <f>'[3]UM-4 - Dia'!AS44</f>
        <v>1</v>
      </c>
      <c r="E44" s="245">
        <f>'[3]UM-4 - 2T'!AS44</f>
        <v>5</v>
      </c>
      <c r="F44" s="211">
        <f>'[3]UM-4 - 3T'!AS44</f>
        <v>1</v>
      </c>
      <c r="G44" s="261">
        <f t="shared" si="5"/>
        <v>6</v>
      </c>
      <c r="H44" s="205">
        <f>'UM-4 - Dia'!AS44</f>
        <v>0</v>
      </c>
      <c r="I44" s="245">
        <f>'UM-4 - 2T'!AS44</f>
        <v>0</v>
      </c>
      <c r="J44" s="211">
        <f>'UM-4 - 3T'!AS44</f>
        <v>0</v>
      </c>
      <c r="K44" s="261">
        <f t="shared" si="2"/>
        <v>0</v>
      </c>
      <c r="L44" s="205">
        <f t="shared" si="3"/>
        <v>1</v>
      </c>
      <c r="M44" s="245">
        <f t="shared" si="4"/>
        <v>5</v>
      </c>
      <c r="N44" s="211">
        <f t="shared" si="4"/>
        <v>1</v>
      </c>
      <c r="O44" s="219">
        <f t="shared" si="6"/>
        <v>7</v>
      </c>
      <c r="Q44" s="259">
        <f>INDEX(D44:O44,1,Menu!$B$27)</f>
        <v>0</v>
      </c>
      <c r="R44" s="255">
        <v>17</v>
      </c>
      <c r="S44" s="255" t="str">
        <f t="shared" si="9"/>
        <v>Isolador afundado</v>
      </c>
      <c r="T44" s="259" t="e">
        <f t="shared" si="10"/>
        <v>#DIV/0!</v>
      </c>
      <c r="U44" s="224">
        <f t="shared" si="11"/>
        <v>42017</v>
      </c>
      <c r="V44" s="224">
        <f t="shared" si="7"/>
        <v>76051</v>
      </c>
      <c r="W44" s="224">
        <f t="shared" si="8"/>
        <v>51</v>
      </c>
      <c r="X44" s="224">
        <v>17</v>
      </c>
      <c r="Y44" s="224" t="str">
        <f t="shared" si="12"/>
        <v>Papel Separdor Duplo</v>
      </c>
      <c r="Z44" s="225" t="e">
        <f t="shared" si="13"/>
        <v>#DIV/0!</v>
      </c>
      <c r="AA44" s="225" t="e">
        <f t="shared" si="16"/>
        <v>#DIV/0!</v>
      </c>
      <c r="AB44" s="60" t="e">
        <f t="shared" si="14"/>
        <v>#DIV/0!</v>
      </c>
      <c r="AC44" s="60" t="e">
        <f t="shared" si="15"/>
        <v>#DIV/0!</v>
      </c>
    </row>
    <row r="45" spans="1:29">
      <c r="A45" s="352"/>
      <c r="B45" s="127">
        <f t="shared" si="0"/>
        <v>430</v>
      </c>
      <c r="C45" s="133" t="str">
        <f>VLOOKUP(B45,'Tipos de Defeitos'!B$4:E$106,Menu!$B$28+1,)</f>
        <v>Isolador Inclinado</v>
      </c>
      <c r="D45" s="205">
        <f>'[3]UM-4 - Dia'!AS45</f>
        <v>6</v>
      </c>
      <c r="E45" s="245">
        <f>'[3]UM-4 - 2T'!AS45</f>
        <v>1</v>
      </c>
      <c r="F45" s="211">
        <f>'[3]UM-4 - 3T'!AS45</f>
        <v>6</v>
      </c>
      <c r="G45" s="261">
        <f t="shared" si="5"/>
        <v>7</v>
      </c>
      <c r="H45" s="205">
        <f>'UM-4 - Dia'!AS45</f>
        <v>0</v>
      </c>
      <c r="I45" s="245">
        <f>'UM-4 - 2T'!AS45</f>
        <v>0</v>
      </c>
      <c r="J45" s="211">
        <f>'UM-4 - 3T'!AS45</f>
        <v>0</v>
      </c>
      <c r="K45" s="261">
        <f t="shared" si="2"/>
        <v>0</v>
      </c>
      <c r="L45" s="205">
        <f t="shared" si="3"/>
        <v>6</v>
      </c>
      <c r="M45" s="245">
        <f t="shared" si="4"/>
        <v>1</v>
      </c>
      <c r="N45" s="211">
        <f t="shared" si="4"/>
        <v>6</v>
      </c>
      <c r="O45" s="219">
        <f t="shared" si="6"/>
        <v>13</v>
      </c>
      <c r="Q45" s="259">
        <f>INDEX(D45:O45,1,Menu!$B$27)</f>
        <v>0</v>
      </c>
      <c r="R45" s="255">
        <v>18</v>
      </c>
      <c r="S45" s="255" t="str">
        <f t="shared" si="9"/>
        <v>Isolador Inclinado</v>
      </c>
      <c r="T45" s="259" t="e">
        <f t="shared" si="10"/>
        <v>#DIV/0!</v>
      </c>
      <c r="U45" s="224">
        <f t="shared" si="11"/>
        <v>43018</v>
      </c>
      <c r="V45" s="224">
        <f t="shared" si="7"/>
        <v>75050</v>
      </c>
      <c r="W45" s="224">
        <f t="shared" si="8"/>
        <v>50</v>
      </c>
      <c r="X45" s="224">
        <v>18</v>
      </c>
      <c r="Y45" s="224" t="str">
        <f t="shared" si="12"/>
        <v>Outros - Voltagem</v>
      </c>
      <c r="Z45" s="225" t="e">
        <f t="shared" si="13"/>
        <v>#DIV/0!</v>
      </c>
      <c r="AA45" s="225" t="e">
        <f t="shared" si="16"/>
        <v>#DIV/0!</v>
      </c>
      <c r="AB45" s="60" t="e">
        <f t="shared" si="14"/>
        <v>#DIV/0!</v>
      </c>
      <c r="AC45" s="60" t="e">
        <f t="shared" si="15"/>
        <v>#DIV/0!</v>
      </c>
    </row>
    <row r="46" spans="1:29">
      <c r="A46" s="352"/>
      <c r="B46" s="127">
        <f t="shared" si="0"/>
        <v>440</v>
      </c>
      <c r="C46" s="133" t="str">
        <f>VLOOKUP(B46,'Tipos de Defeitos'!B$4:E$106,Menu!$B$28+1,)</f>
        <v>Papel sujo</v>
      </c>
      <c r="D46" s="205">
        <f>'[3]UM-4 - Dia'!AS46</f>
        <v>2</v>
      </c>
      <c r="E46" s="245">
        <f>'[3]UM-4 - 2T'!AS46</f>
        <v>0</v>
      </c>
      <c r="F46" s="211">
        <f>'[3]UM-4 - 3T'!AS46</f>
        <v>1</v>
      </c>
      <c r="G46" s="261">
        <f t="shared" si="5"/>
        <v>2</v>
      </c>
      <c r="H46" s="205">
        <f>'UM-4 - Dia'!AS46</f>
        <v>0</v>
      </c>
      <c r="I46" s="245">
        <f>'UM-4 - 2T'!AS46</f>
        <v>0</v>
      </c>
      <c r="J46" s="211">
        <f>'UM-4 - 3T'!AS46</f>
        <v>0</v>
      </c>
      <c r="K46" s="261">
        <f t="shared" si="2"/>
        <v>0</v>
      </c>
      <c r="L46" s="205">
        <f t="shared" si="3"/>
        <v>2</v>
      </c>
      <c r="M46" s="245">
        <f t="shared" si="4"/>
        <v>0</v>
      </c>
      <c r="N46" s="211">
        <f t="shared" si="4"/>
        <v>1</v>
      </c>
      <c r="O46" s="219">
        <f t="shared" si="6"/>
        <v>3</v>
      </c>
      <c r="Q46" s="259">
        <f>INDEX(D46:O46,1,Menu!$B$27)</f>
        <v>0</v>
      </c>
      <c r="R46" s="255">
        <v>19</v>
      </c>
      <c r="S46" s="255" t="str">
        <f t="shared" si="9"/>
        <v>Papel sujo</v>
      </c>
      <c r="T46" s="259" t="e">
        <f t="shared" si="10"/>
        <v>#DIV/0!</v>
      </c>
      <c r="U46" s="224">
        <f t="shared" si="11"/>
        <v>44019</v>
      </c>
      <c r="V46" s="224">
        <f t="shared" si="7"/>
        <v>74049</v>
      </c>
      <c r="W46" s="224">
        <f t="shared" si="8"/>
        <v>49</v>
      </c>
      <c r="X46" s="224">
        <v>19</v>
      </c>
      <c r="Y46" s="224" t="str">
        <f t="shared" si="12"/>
        <v>Pilha Boa</v>
      </c>
      <c r="Z46" s="225" t="e">
        <f t="shared" si="13"/>
        <v>#DIV/0!</v>
      </c>
      <c r="AA46" s="225" t="e">
        <f t="shared" si="16"/>
        <v>#DIV/0!</v>
      </c>
      <c r="AB46" s="60" t="e">
        <f t="shared" si="14"/>
        <v>#DIV/0!</v>
      </c>
      <c r="AC46" s="60" t="e">
        <f t="shared" si="15"/>
        <v>#DIV/0!</v>
      </c>
    </row>
    <row r="47" spans="1:29">
      <c r="A47" s="352"/>
      <c r="B47" s="127">
        <f t="shared" si="0"/>
        <v>450</v>
      </c>
      <c r="C47" s="133" t="str">
        <f>VLOOKUP(B47,'Tipos de Defeitos'!B$4:E$106,Menu!$B$28+1,)</f>
        <v>Manchado</v>
      </c>
      <c r="D47" s="205">
        <f>'[3]UM-4 - Dia'!AS47</f>
        <v>0</v>
      </c>
      <c r="E47" s="245">
        <f>'[3]UM-4 - 2T'!AS47</f>
        <v>0</v>
      </c>
      <c r="F47" s="211">
        <f>'[3]UM-4 - 3T'!AS47</f>
        <v>0</v>
      </c>
      <c r="G47" s="261">
        <f t="shared" si="5"/>
        <v>0</v>
      </c>
      <c r="H47" s="205">
        <f>'UM-4 - Dia'!AS47</f>
        <v>0</v>
      </c>
      <c r="I47" s="245">
        <f>'UM-4 - 2T'!AS47</f>
        <v>0</v>
      </c>
      <c r="J47" s="211">
        <f>'UM-4 - 3T'!AS47</f>
        <v>0</v>
      </c>
      <c r="K47" s="261">
        <f t="shared" si="2"/>
        <v>0</v>
      </c>
      <c r="L47" s="205">
        <f t="shared" si="3"/>
        <v>0</v>
      </c>
      <c r="M47" s="245">
        <f t="shared" si="4"/>
        <v>0</v>
      </c>
      <c r="N47" s="211">
        <f t="shared" si="4"/>
        <v>0</v>
      </c>
      <c r="O47" s="219">
        <f t="shared" si="6"/>
        <v>0</v>
      </c>
      <c r="Q47" s="259">
        <f>INDEX(D47:O47,1,Menu!$B$27)</f>
        <v>0</v>
      </c>
      <c r="R47" s="255">
        <v>20</v>
      </c>
      <c r="S47" s="255" t="str">
        <f t="shared" si="9"/>
        <v>Manchado</v>
      </c>
      <c r="T47" s="259" t="e">
        <f t="shared" si="10"/>
        <v>#DIV/0!</v>
      </c>
      <c r="U47" s="224">
        <f t="shared" si="11"/>
        <v>45020</v>
      </c>
      <c r="V47" s="224">
        <f t="shared" si="7"/>
        <v>73048</v>
      </c>
      <c r="W47" s="224">
        <f t="shared" si="8"/>
        <v>48</v>
      </c>
      <c r="X47" s="224">
        <v>20</v>
      </c>
      <c r="Y47" s="224" t="str">
        <f t="shared" si="12"/>
        <v>Causa Desconhecida - Voltagem</v>
      </c>
      <c r="Z47" s="225" t="e">
        <f t="shared" si="13"/>
        <v>#DIV/0!</v>
      </c>
      <c r="AA47" s="225" t="e">
        <f t="shared" si="16"/>
        <v>#DIV/0!</v>
      </c>
      <c r="AB47" s="60" t="e">
        <f t="shared" si="14"/>
        <v>#DIV/0!</v>
      </c>
      <c r="AC47" s="60" t="e">
        <f t="shared" si="15"/>
        <v>#DIV/0!</v>
      </c>
    </row>
    <row r="48" spans="1:29">
      <c r="A48" s="352"/>
      <c r="B48" s="127">
        <f t="shared" si="0"/>
        <v>460</v>
      </c>
      <c r="C48" s="133" t="str">
        <f>VLOOKUP(B48,'Tipos de Defeitos'!B$4:E$106,Menu!$B$28+1,)</f>
        <v>Manchado Superior</v>
      </c>
      <c r="D48" s="205">
        <f>'[3]UM-4 - Dia'!AS48</f>
        <v>0</v>
      </c>
      <c r="E48" s="245">
        <f>'[3]UM-4 - 2T'!AS48</f>
        <v>0</v>
      </c>
      <c r="F48" s="211">
        <f>'[3]UM-4 - 3T'!AS48</f>
        <v>0</v>
      </c>
      <c r="G48" s="261">
        <f t="shared" si="5"/>
        <v>0</v>
      </c>
      <c r="H48" s="205">
        <f>'UM-4 - Dia'!AS48</f>
        <v>0</v>
      </c>
      <c r="I48" s="245">
        <f>'UM-4 - 2T'!AS48</f>
        <v>0</v>
      </c>
      <c r="J48" s="211">
        <f>'UM-4 - 3T'!AS48</f>
        <v>0</v>
      </c>
      <c r="K48" s="261">
        <f t="shared" si="2"/>
        <v>0</v>
      </c>
      <c r="L48" s="205">
        <f t="shared" si="3"/>
        <v>0</v>
      </c>
      <c r="M48" s="245">
        <f t="shared" si="4"/>
        <v>0</v>
      </c>
      <c r="N48" s="211">
        <f t="shared" si="4"/>
        <v>0</v>
      </c>
      <c r="O48" s="219">
        <f t="shared" si="6"/>
        <v>0</v>
      </c>
      <c r="Q48" s="259">
        <f>INDEX(D48:O48,1,Menu!$B$27)</f>
        <v>0</v>
      </c>
      <c r="R48" s="255">
        <v>21</v>
      </c>
      <c r="S48" s="255" t="str">
        <f t="shared" si="9"/>
        <v>Manchado Superior</v>
      </c>
      <c r="T48" s="259" t="e">
        <f t="shared" si="10"/>
        <v>#DIV/0!</v>
      </c>
      <c r="U48" s="224">
        <f t="shared" si="11"/>
        <v>46021</v>
      </c>
      <c r="V48" s="224">
        <f t="shared" si="7"/>
        <v>72047</v>
      </c>
      <c r="W48" s="224">
        <f t="shared" si="8"/>
        <v>47</v>
      </c>
      <c r="X48" s="224">
        <v>21</v>
      </c>
      <c r="Y48" s="224" t="str">
        <f t="shared" si="12"/>
        <v>Pilha recuperada do Acabamento</v>
      </c>
      <c r="Z48" s="225" t="e">
        <f t="shared" si="13"/>
        <v>#DIV/0!</v>
      </c>
      <c r="AA48" s="225" t="e">
        <f t="shared" si="16"/>
        <v>#DIV/0!</v>
      </c>
      <c r="AB48" s="60" t="e">
        <f t="shared" si="14"/>
        <v>#DIV/0!</v>
      </c>
      <c r="AC48" s="60" t="e">
        <f t="shared" si="15"/>
        <v>#DIV/0!</v>
      </c>
    </row>
    <row r="49" spans="1:29">
      <c r="A49" s="352"/>
      <c r="B49" s="127">
        <f t="shared" si="0"/>
        <v>470</v>
      </c>
      <c r="C49" s="133" t="str">
        <f>VLOOKUP(B49,'Tipos de Defeitos'!B$4:E$106,Menu!$B$28+1,)</f>
        <v>Ferro</v>
      </c>
      <c r="D49" s="205">
        <f>'[3]UM-4 - Dia'!AS49</f>
        <v>0</v>
      </c>
      <c r="E49" s="245">
        <f>'[3]UM-4 - 2T'!AS49</f>
        <v>0</v>
      </c>
      <c r="F49" s="211">
        <f>'[3]UM-4 - 3T'!AS49</f>
        <v>0</v>
      </c>
      <c r="G49" s="261">
        <f t="shared" si="5"/>
        <v>0</v>
      </c>
      <c r="H49" s="205">
        <f>'UM-4 - Dia'!AS49</f>
        <v>0</v>
      </c>
      <c r="I49" s="245">
        <f>'UM-4 - 2T'!AS49</f>
        <v>0</v>
      </c>
      <c r="J49" s="211">
        <f>'UM-4 - 3T'!AS49</f>
        <v>0</v>
      </c>
      <c r="K49" s="261">
        <f t="shared" si="2"/>
        <v>0</v>
      </c>
      <c r="L49" s="205">
        <f t="shared" si="3"/>
        <v>0</v>
      </c>
      <c r="M49" s="245">
        <f t="shared" si="4"/>
        <v>0</v>
      </c>
      <c r="N49" s="211">
        <f t="shared" si="4"/>
        <v>0</v>
      </c>
      <c r="O49" s="219">
        <f t="shared" si="6"/>
        <v>0</v>
      </c>
      <c r="Q49" s="259">
        <f>INDEX(D49:O49,1,Menu!$B$27)</f>
        <v>0</v>
      </c>
      <c r="R49" s="255">
        <v>22</v>
      </c>
      <c r="S49" s="255" t="str">
        <f t="shared" si="9"/>
        <v>Ferro</v>
      </c>
      <c r="T49" s="259" t="e">
        <f t="shared" si="10"/>
        <v>#DIV/0!</v>
      </c>
      <c r="U49" s="224">
        <f t="shared" si="11"/>
        <v>47022</v>
      </c>
      <c r="V49" s="224">
        <f t="shared" si="7"/>
        <v>71046</v>
      </c>
      <c r="W49" s="224">
        <f t="shared" si="8"/>
        <v>46</v>
      </c>
      <c r="X49" s="224">
        <v>22</v>
      </c>
      <c r="Y49" s="224" t="str">
        <f t="shared" si="12"/>
        <v>Curto Circ. Externo -  Cap sujo</v>
      </c>
      <c r="Z49" s="225" t="e">
        <f t="shared" si="13"/>
        <v>#DIV/0!</v>
      </c>
      <c r="AA49" s="225" t="e">
        <f t="shared" si="16"/>
        <v>#DIV/0!</v>
      </c>
      <c r="AB49" s="60" t="e">
        <f t="shared" si="14"/>
        <v>#DIV/0!</v>
      </c>
      <c r="AC49" s="60" t="e">
        <f t="shared" si="15"/>
        <v>#DIV/0!</v>
      </c>
    </row>
    <row r="50" spans="1:29">
      <c r="A50" s="352"/>
      <c r="B50" s="127">
        <f t="shared" si="0"/>
        <v>480</v>
      </c>
      <c r="C50" s="133" t="str">
        <f>VLOOKUP(B50,'Tipos de Defeitos'!B$4:E$106,Menu!$B$28+1,)</f>
        <v>Cobre</v>
      </c>
      <c r="D50" s="205">
        <f>'[3]UM-4 - Dia'!AS50</f>
        <v>0</v>
      </c>
      <c r="E50" s="245">
        <f>'[3]UM-4 - 2T'!AS50</f>
        <v>0</v>
      </c>
      <c r="F50" s="211">
        <f>'[3]UM-4 - 3T'!AS50</f>
        <v>0</v>
      </c>
      <c r="G50" s="261">
        <f t="shared" si="5"/>
        <v>0</v>
      </c>
      <c r="H50" s="205">
        <f>'UM-4 - Dia'!AS50</f>
        <v>0</v>
      </c>
      <c r="I50" s="245">
        <f>'UM-4 - 2T'!AS50</f>
        <v>0</v>
      </c>
      <c r="J50" s="211">
        <f>'UM-4 - 3T'!AS50</f>
        <v>0</v>
      </c>
      <c r="K50" s="261">
        <f t="shared" si="2"/>
        <v>0</v>
      </c>
      <c r="L50" s="205">
        <f t="shared" si="3"/>
        <v>0</v>
      </c>
      <c r="M50" s="245">
        <f t="shared" si="4"/>
        <v>0</v>
      </c>
      <c r="N50" s="211">
        <f t="shared" si="4"/>
        <v>0</v>
      </c>
      <c r="O50" s="219">
        <f t="shared" si="6"/>
        <v>0</v>
      </c>
      <c r="Q50" s="259">
        <f>INDEX(D50:O50,1,Menu!$B$27)</f>
        <v>0</v>
      </c>
      <c r="R50" s="255">
        <v>23</v>
      </c>
      <c r="S50" s="255" t="str">
        <f t="shared" si="9"/>
        <v>Cobre</v>
      </c>
      <c r="T50" s="259" t="e">
        <f t="shared" si="10"/>
        <v>#DIV/0!</v>
      </c>
      <c r="U50" s="224">
        <f t="shared" si="11"/>
        <v>48023</v>
      </c>
      <c r="V50" s="224">
        <f t="shared" si="7"/>
        <v>70045</v>
      </c>
      <c r="W50" s="224">
        <f t="shared" si="8"/>
        <v>45</v>
      </c>
      <c r="X50" s="224">
        <v>23</v>
      </c>
      <c r="Y50" s="224" t="str">
        <f t="shared" si="12"/>
        <v>Curto Circuito Externo</v>
      </c>
      <c r="Z50" s="225" t="e">
        <f t="shared" si="13"/>
        <v>#DIV/0!</v>
      </c>
      <c r="AA50" s="225" t="e">
        <f t="shared" si="16"/>
        <v>#DIV/0!</v>
      </c>
      <c r="AB50" s="60" t="e">
        <f t="shared" si="14"/>
        <v>#DIV/0!</v>
      </c>
      <c r="AC50" s="60" t="e">
        <f t="shared" si="15"/>
        <v>#DIV/0!</v>
      </c>
    </row>
    <row r="51" spans="1:29">
      <c r="A51" s="352"/>
      <c r="B51" s="127">
        <f t="shared" si="0"/>
        <v>490</v>
      </c>
      <c r="C51" s="133" t="str">
        <f>VLOOKUP(B51,'Tipos de Defeitos'!B$4:E$106,Menu!$B$28+1,)</f>
        <v>Mistura no Tubo</v>
      </c>
      <c r="D51" s="205">
        <f>'[3]UM-4 - Dia'!AS51</f>
        <v>0</v>
      </c>
      <c r="E51" s="245">
        <f>'[3]UM-4 - 2T'!AS51</f>
        <v>0</v>
      </c>
      <c r="F51" s="211">
        <f>'[3]UM-4 - 3T'!AS51</f>
        <v>0</v>
      </c>
      <c r="G51" s="261">
        <f t="shared" si="5"/>
        <v>0</v>
      </c>
      <c r="H51" s="205">
        <f>'UM-4 - Dia'!AS51</f>
        <v>0</v>
      </c>
      <c r="I51" s="245">
        <f>'UM-4 - 2T'!AS51</f>
        <v>0</v>
      </c>
      <c r="J51" s="211">
        <f>'UM-4 - 3T'!AS51</f>
        <v>0</v>
      </c>
      <c r="K51" s="261">
        <f t="shared" si="2"/>
        <v>0</v>
      </c>
      <c r="L51" s="205">
        <f t="shared" si="3"/>
        <v>0</v>
      </c>
      <c r="M51" s="245">
        <f t="shared" si="4"/>
        <v>0</v>
      </c>
      <c r="N51" s="211">
        <f t="shared" si="4"/>
        <v>0</v>
      </c>
      <c r="O51" s="219">
        <f t="shared" si="6"/>
        <v>0</v>
      </c>
      <c r="Q51" s="259">
        <f>INDEX(D51:O51,1,Menu!$B$27)</f>
        <v>0</v>
      </c>
      <c r="R51" s="255">
        <v>24</v>
      </c>
      <c r="S51" s="255" t="str">
        <f t="shared" si="9"/>
        <v>Mistura no Tubo</v>
      </c>
      <c r="T51" s="259" t="e">
        <f t="shared" si="10"/>
        <v>#DIV/0!</v>
      </c>
      <c r="U51" s="224">
        <f t="shared" si="11"/>
        <v>49024</v>
      </c>
      <c r="V51" s="224">
        <f t="shared" si="7"/>
        <v>69044</v>
      </c>
      <c r="W51" s="224">
        <f t="shared" si="8"/>
        <v>44</v>
      </c>
      <c r="X51" s="224">
        <v>24</v>
      </c>
      <c r="Y51" s="224" t="str">
        <f t="shared" si="12"/>
        <v>Tubo com Rebarba</v>
      </c>
      <c r="Z51" s="225" t="e">
        <f t="shared" si="13"/>
        <v>#DIV/0!</v>
      </c>
      <c r="AA51" s="225" t="e">
        <f t="shared" si="16"/>
        <v>#DIV/0!</v>
      </c>
      <c r="AB51" s="60" t="e">
        <f t="shared" si="14"/>
        <v>#DIV/0!</v>
      </c>
      <c r="AC51" s="60" t="e">
        <f t="shared" si="15"/>
        <v>#DIV/0!</v>
      </c>
    </row>
    <row r="52" spans="1:29">
      <c r="A52" s="352"/>
      <c r="B52" s="127">
        <f t="shared" si="0"/>
        <v>500</v>
      </c>
      <c r="C52" s="133" t="str">
        <f>VLOOKUP(B52,'Tipos de Defeitos'!B$4:E$106,Menu!$B$28+1,)</f>
        <v>Pó de Mistura</v>
      </c>
      <c r="D52" s="205">
        <f>'[3]UM-4 - Dia'!AS52</f>
        <v>0</v>
      </c>
      <c r="E52" s="245">
        <f>'[3]UM-4 - 2T'!AS52</f>
        <v>0</v>
      </c>
      <c r="F52" s="211">
        <f>'[3]UM-4 - 3T'!AS52</f>
        <v>0</v>
      </c>
      <c r="G52" s="261">
        <f t="shared" si="5"/>
        <v>0</v>
      </c>
      <c r="H52" s="205">
        <f>'UM-4 - Dia'!AS52</f>
        <v>0</v>
      </c>
      <c r="I52" s="245">
        <f>'UM-4 - 2T'!AS52</f>
        <v>0</v>
      </c>
      <c r="J52" s="211">
        <f>'UM-4 - 3T'!AS52</f>
        <v>0</v>
      </c>
      <c r="K52" s="261">
        <f t="shared" si="2"/>
        <v>0</v>
      </c>
      <c r="L52" s="205">
        <f t="shared" si="3"/>
        <v>0</v>
      </c>
      <c r="M52" s="245">
        <f t="shared" si="4"/>
        <v>0</v>
      </c>
      <c r="N52" s="211">
        <f t="shared" si="4"/>
        <v>0</v>
      </c>
      <c r="O52" s="219">
        <f t="shared" si="6"/>
        <v>0</v>
      </c>
      <c r="Q52" s="259">
        <f>INDEX(D52:O52,1,Menu!$B$27)</f>
        <v>0</v>
      </c>
      <c r="R52" s="255">
        <v>25</v>
      </c>
      <c r="S52" s="255" t="str">
        <f t="shared" si="9"/>
        <v>Pó de Mistura</v>
      </c>
      <c r="T52" s="259" t="e">
        <f t="shared" si="10"/>
        <v>#DIV/0!</v>
      </c>
      <c r="U52" s="224">
        <f t="shared" si="11"/>
        <v>50025</v>
      </c>
      <c r="V52" s="224">
        <f t="shared" si="7"/>
        <v>68043</v>
      </c>
      <c r="W52" s="224">
        <f t="shared" si="8"/>
        <v>43</v>
      </c>
      <c r="X52" s="224">
        <v>25</v>
      </c>
      <c r="Y52" s="224" t="str">
        <f t="shared" si="12"/>
        <v>Tubo de Zinco Amassado</v>
      </c>
      <c r="Z52" s="225" t="e">
        <f t="shared" si="13"/>
        <v>#DIV/0!</v>
      </c>
      <c r="AA52" s="225" t="e">
        <f t="shared" si="16"/>
        <v>#DIV/0!</v>
      </c>
      <c r="AB52" s="60" t="e">
        <f t="shared" si="14"/>
        <v>#DIV/0!</v>
      </c>
      <c r="AC52" s="60" t="e">
        <f t="shared" si="15"/>
        <v>#DIV/0!</v>
      </c>
    </row>
    <row r="53" spans="1:29">
      <c r="A53" s="352"/>
      <c r="B53" s="127">
        <f t="shared" si="0"/>
        <v>510</v>
      </c>
      <c r="C53" s="133" t="str">
        <f>VLOOKUP(B53,'Tipos de Defeitos'!B$4:E$106,Menu!$B$28+1,)</f>
        <v>Bobina Baixa</v>
      </c>
      <c r="D53" s="205">
        <f>'[3]UM-4 - Dia'!AS53</f>
        <v>0</v>
      </c>
      <c r="E53" s="245">
        <f>'[3]UM-4 - 2T'!AS53</f>
        <v>5</v>
      </c>
      <c r="F53" s="211">
        <f>'[3]UM-4 - 3T'!AS53</f>
        <v>0</v>
      </c>
      <c r="G53" s="261">
        <f t="shared" si="5"/>
        <v>5</v>
      </c>
      <c r="H53" s="205">
        <f>'UM-4 - Dia'!AS53</f>
        <v>0</v>
      </c>
      <c r="I53" s="245">
        <f>'UM-4 - 2T'!AS53</f>
        <v>0</v>
      </c>
      <c r="J53" s="211">
        <f>'UM-4 - 3T'!AS53</f>
        <v>0</v>
      </c>
      <c r="K53" s="261">
        <f t="shared" si="2"/>
        <v>0</v>
      </c>
      <c r="L53" s="205">
        <f t="shared" si="3"/>
        <v>0</v>
      </c>
      <c r="M53" s="245">
        <f t="shared" si="4"/>
        <v>5</v>
      </c>
      <c r="N53" s="211">
        <f t="shared" si="4"/>
        <v>0</v>
      </c>
      <c r="O53" s="219">
        <f t="shared" si="6"/>
        <v>5</v>
      </c>
      <c r="Q53" s="259">
        <f>INDEX(D53:O53,1,Menu!$B$27)</f>
        <v>0</v>
      </c>
      <c r="R53" s="255">
        <v>26</v>
      </c>
      <c r="S53" s="255" t="str">
        <f t="shared" si="9"/>
        <v>Bobina Baixa</v>
      </c>
      <c r="T53" s="259" t="e">
        <f t="shared" si="10"/>
        <v>#DIV/0!</v>
      </c>
      <c r="U53" s="224">
        <f t="shared" si="11"/>
        <v>51026</v>
      </c>
      <c r="V53" s="224">
        <f t="shared" si="7"/>
        <v>67042</v>
      </c>
      <c r="W53" s="224">
        <f t="shared" si="8"/>
        <v>42</v>
      </c>
      <c r="X53" s="224">
        <v>26</v>
      </c>
      <c r="Y53" s="224" t="str">
        <f t="shared" si="12"/>
        <v>Tubo Rachado - Câmera</v>
      </c>
      <c r="Z53" s="225" t="e">
        <f t="shared" si="13"/>
        <v>#DIV/0!</v>
      </c>
      <c r="AA53" s="225" t="e">
        <f t="shared" si="16"/>
        <v>#DIV/0!</v>
      </c>
      <c r="AB53" s="60" t="e">
        <f t="shared" si="14"/>
        <v>#DIV/0!</v>
      </c>
      <c r="AC53" s="60" t="e">
        <f t="shared" si="15"/>
        <v>#DIV/0!</v>
      </c>
    </row>
    <row r="54" spans="1:29">
      <c r="A54" s="352"/>
      <c r="B54" s="127">
        <f t="shared" si="0"/>
        <v>520</v>
      </c>
      <c r="C54" s="133" t="str">
        <f>VLOOKUP(B54,'Tipos de Defeitos'!B$4:E$106,Menu!$B$28+1,)</f>
        <v>Bobina Alta</v>
      </c>
      <c r="D54" s="205">
        <f>'[3]UM-4 - Dia'!AS54</f>
        <v>8</v>
      </c>
      <c r="E54" s="245">
        <f>'[3]UM-4 - 2T'!AS54</f>
        <v>0</v>
      </c>
      <c r="F54" s="211">
        <f>'[3]UM-4 - 3T'!AS54</f>
        <v>3</v>
      </c>
      <c r="G54" s="261">
        <f t="shared" si="5"/>
        <v>8</v>
      </c>
      <c r="H54" s="205">
        <f>'UM-4 - Dia'!AS54</f>
        <v>0</v>
      </c>
      <c r="I54" s="245">
        <f>'UM-4 - 2T'!AS54</f>
        <v>0</v>
      </c>
      <c r="J54" s="211">
        <f>'UM-4 - 3T'!AS54</f>
        <v>0</v>
      </c>
      <c r="K54" s="261">
        <f t="shared" si="2"/>
        <v>0</v>
      </c>
      <c r="L54" s="205">
        <f t="shared" si="3"/>
        <v>8</v>
      </c>
      <c r="M54" s="245">
        <f t="shared" si="4"/>
        <v>0</v>
      </c>
      <c r="N54" s="211">
        <f t="shared" si="4"/>
        <v>3</v>
      </c>
      <c r="O54" s="219">
        <f t="shared" si="6"/>
        <v>11</v>
      </c>
      <c r="Q54" s="259">
        <f>INDEX(D54:O54,1,Menu!$B$27)</f>
        <v>0</v>
      </c>
      <c r="R54" s="255">
        <v>27</v>
      </c>
      <c r="S54" s="255" t="str">
        <f t="shared" si="9"/>
        <v>Bobina Alta</v>
      </c>
      <c r="T54" s="259" t="e">
        <f t="shared" si="10"/>
        <v>#DIV/0!</v>
      </c>
      <c r="U54" s="224">
        <f t="shared" si="11"/>
        <v>52027</v>
      </c>
      <c r="V54" s="224">
        <f t="shared" si="7"/>
        <v>66041</v>
      </c>
      <c r="W54" s="224">
        <f t="shared" si="8"/>
        <v>41</v>
      </c>
      <c r="X54" s="224">
        <v>27</v>
      </c>
      <c r="Y54" s="224" t="str">
        <f t="shared" si="12"/>
        <v>Tubo descascado</v>
      </c>
      <c r="Z54" s="225" t="e">
        <f t="shared" si="13"/>
        <v>#DIV/0!</v>
      </c>
      <c r="AA54" s="225" t="e">
        <f t="shared" si="16"/>
        <v>#DIV/0!</v>
      </c>
      <c r="AB54" s="60" t="e">
        <f t="shared" si="14"/>
        <v>#DIV/0!</v>
      </c>
      <c r="AC54" s="60" t="e">
        <f t="shared" si="15"/>
        <v>#DIV/0!</v>
      </c>
    </row>
    <row r="55" spans="1:29">
      <c r="A55" s="352"/>
      <c r="B55" s="127">
        <f t="shared" si="0"/>
        <v>530</v>
      </c>
      <c r="C55" s="133" t="str">
        <f>VLOOKUP(B55,'Tipos de Defeitos'!B$4:E$106,Menu!$B$28+1,)</f>
        <v>Bobina Molhada</v>
      </c>
      <c r="D55" s="205">
        <f>'[3]UM-4 - Dia'!AS55</f>
        <v>0</v>
      </c>
      <c r="E55" s="245">
        <f>'[3]UM-4 - 2T'!AS55</f>
        <v>0</v>
      </c>
      <c r="F55" s="211">
        <f>'[3]UM-4 - 3T'!AS55</f>
        <v>1</v>
      </c>
      <c r="G55" s="261">
        <f t="shared" si="5"/>
        <v>0</v>
      </c>
      <c r="H55" s="205">
        <f>'UM-4 - Dia'!AS55</f>
        <v>0</v>
      </c>
      <c r="I55" s="245">
        <f>'UM-4 - 2T'!AS55</f>
        <v>0</v>
      </c>
      <c r="J55" s="211">
        <f>'UM-4 - 3T'!AS55</f>
        <v>0</v>
      </c>
      <c r="K55" s="261">
        <f t="shared" si="2"/>
        <v>0</v>
      </c>
      <c r="L55" s="205">
        <f t="shared" si="3"/>
        <v>0</v>
      </c>
      <c r="M55" s="245">
        <f t="shared" si="4"/>
        <v>0</v>
      </c>
      <c r="N55" s="211">
        <f t="shared" si="4"/>
        <v>1</v>
      </c>
      <c r="O55" s="219">
        <f t="shared" si="6"/>
        <v>1</v>
      </c>
      <c r="Q55" s="259">
        <f>INDEX(D55:O55,1,Menu!$B$27)</f>
        <v>0</v>
      </c>
      <c r="R55" s="255">
        <v>28</v>
      </c>
      <c r="S55" s="255" t="str">
        <f t="shared" si="9"/>
        <v>Bobina Molhada</v>
      </c>
      <c r="T55" s="259" t="e">
        <f t="shared" si="10"/>
        <v>#DIV/0!</v>
      </c>
      <c r="U55" s="224">
        <f t="shared" si="11"/>
        <v>53028</v>
      </c>
      <c r="V55" s="224">
        <f t="shared" si="7"/>
        <v>65040</v>
      </c>
      <c r="W55" s="224">
        <f t="shared" si="8"/>
        <v>40</v>
      </c>
      <c r="X55" s="224">
        <v>28</v>
      </c>
      <c r="Y55" s="224" t="str">
        <f t="shared" si="12"/>
        <v>Tb c/ Boca Amassada - recuperada</v>
      </c>
      <c r="Z55" s="225" t="e">
        <f t="shared" si="13"/>
        <v>#DIV/0!</v>
      </c>
      <c r="AA55" s="225" t="e">
        <f t="shared" si="16"/>
        <v>#DIV/0!</v>
      </c>
      <c r="AB55" s="60" t="e">
        <f t="shared" si="14"/>
        <v>#DIV/0!</v>
      </c>
      <c r="AC55" s="60" t="e">
        <f t="shared" si="15"/>
        <v>#DIV/0!</v>
      </c>
    </row>
    <row r="56" spans="1:29">
      <c r="A56" s="352"/>
      <c r="B56" s="127">
        <f t="shared" si="0"/>
        <v>540</v>
      </c>
      <c r="C56" s="133" t="str">
        <f>VLOOKUP(B56,'Tipos de Defeitos'!B$4:E$106,Menu!$B$28+1,)</f>
        <v>Mistura seca</v>
      </c>
      <c r="D56" s="205">
        <f>'[3]UM-4 - Dia'!AS56</f>
        <v>0</v>
      </c>
      <c r="E56" s="245">
        <f>'[3]UM-4 - 2T'!AS56</f>
        <v>0</v>
      </c>
      <c r="F56" s="211">
        <f>'[3]UM-4 - 3T'!AS56</f>
        <v>0</v>
      </c>
      <c r="G56" s="261">
        <f t="shared" si="5"/>
        <v>0</v>
      </c>
      <c r="H56" s="205">
        <f>'UM-4 - Dia'!AS56</f>
        <v>0</v>
      </c>
      <c r="I56" s="245">
        <f>'UM-4 - 2T'!AS56</f>
        <v>0</v>
      </c>
      <c r="J56" s="211">
        <f>'UM-4 - 3T'!AS56</f>
        <v>0</v>
      </c>
      <c r="K56" s="261">
        <f t="shared" si="2"/>
        <v>0</v>
      </c>
      <c r="L56" s="205">
        <f t="shared" si="3"/>
        <v>0</v>
      </c>
      <c r="M56" s="245">
        <f t="shared" si="4"/>
        <v>0</v>
      </c>
      <c r="N56" s="211">
        <f t="shared" si="4"/>
        <v>0</v>
      </c>
      <c r="O56" s="219">
        <f t="shared" si="6"/>
        <v>0</v>
      </c>
      <c r="Q56" s="259">
        <f>INDEX(D56:O56,1,Menu!$B$27)</f>
        <v>0</v>
      </c>
      <c r="R56" s="255">
        <v>29</v>
      </c>
      <c r="S56" s="255" t="str">
        <f t="shared" si="9"/>
        <v>Mistura seca</v>
      </c>
      <c r="T56" s="259" t="e">
        <f t="shared" si="10"/>
        <v>#DIV/0!</v>
      </c>
      <c r="U56" s="224">
        <f t="shared" si="11"/>
        <v>54029</v>
      </c>
      <c r="V56" s="224">
        <f t="shared" si="7"/>
        <v>64039</v>
      </c>
      <c r="W56" s="224">
        <f t="shared" si="8"/>
        <v>39</v>
      </c>
      <c r="X56" s="224">
        <v>29</v>
      </c>
      <c r="Y56" s="224" t="str">
        <f t="shared" si="12"/>
        <v>Tb c/ Boca Amassada - Câmera</v>
      </c>
      <c r="Z56" s="225" t="e">
        <f t="shared" si="13"/>
        <v>#DIV/0!</v>
      </c>
      <c r="AA56" s="225" t="e">
        <f t="shared" si="16"/>
        <v>#DIV/0!</v>
      </c>
      <c r="AB56" s="60" t="e">
        <f t="shared" si="14"/>
        <v>#DIV/0!</v>
      </c>
      <c r="AC56" s="60" t="e">
        <f t="shared" si="15"/>
        <v>#DIV/0!</v>
      </c>
    </row>
    <row r="57" spans="1:29">
      <c r="A57" s="352"/>
      <c r="B57" s="127">
        <f t="shared" si="0"/>
        <v>550</v>
      </c>
      <c r="C57" s="133" t="str">
        <f>VLOOKUP(B57,'Tipos de Defeitos'!B$4:E$106,Menu!$B$28+1,)</f>
        <v>Contem estranho</v>
      </c>
      <c r="D57" s="205">
        <f>'[3]UM-4 - Dia'!AS57</f>
        <v>0</v>
      </c>
      <c r="E57" s="245">
        <f>'[3]UM-4 - 2T'!AS57</f>
        <v>0</v>
      </c>
      <c r="F57" s="211">
        <f>'[3]UM-4 - 3T'!AS57</f>
        <v>0</v>
      </c>
      <c r="G57" s="261">
        <f t="shared" si="5"/>
        <v>0</v>
      </c>
      <c r="H57" s="205">
        <f>'UM-4 - Dia'!AS57</f>
        <v>0</v>
      </c>
      <c r="I57" s="245">
        <f>'UM-4 - 2T'!AS57</f>
        <v>0</v>
      </c>
      <c r="J57" s="211">
        <f>'UM-4 - 3T'!AS57</f>
        <v>0</v>
      </c>
      <c r="K57" s="261">
        <f t="shared" si="2"/>
        <v>0</v>
      </c>
      <c r="L57" s="205">
        <f t="shared" si="3"/>
        <v>0</v>
      </c>
      <c r="M57" s="245">
        <f t="shared" si="4"/>
        <v>0</v>
      </c>
      <c r="N57" s="211">
        <f t="shared" si="4"/>
        <v>0</v>
      </c>
      <c r="O57" s="219">
        <f t="shared" si="6"/>
        <v>0</v>
      </c>
      <c r="Q57" s="259">
        <f>INDEX(D57:O57,1,Menu!$B$27)</f>
        <v>0</v>
      </c>
      <c r="R57" s="255">
        <v>30</v>
      </c>
      <c r="S57" s="255" t="str">
        <f t="shared" si="9"/>
        <v>Contem estranho</v>
      </c>
      <c r="T57" s="259" t="e">
        <f t="shared" si="10"/>
        <v>#DIV/0!</v>
      </c>
      <c r="U57" s="224">
        <f t="shared" si="11"/>
        <v>55030</v>
      </c>
      <c r="V57" s="224">
        <f t="shared" si="7"/>
        <v>63038</v>
      </c>
      <c r="W57" s="224">
        <f t="shared" si="8"/>
        <v>38</v>
      </c>
      <c r="X57" s="224">
        <v>30</v>
      </c>
      <c r="Y57" s="224" t="str">
        <f t="shared" si="12"/>
        <v>Tb c/ Boca Amassada - Operador</v>
      </c>
      <c r="Z57" s="225" t="e">
        <f t="shared" si="13"/>
        <v>#DIV/0!</v>
      </c>
      <c r="AA57" s="225" t="e">
        <f t="shared" si="16"/>
        <v>#DIV/0!</v>
      </c>
      <c r="AB57" s="60" t="e">
        <f t="shared" si="14"/>
        <v>#DIV/0!</v>
      </c>
      <c r="AC57" s="60" t="e">
        <f t="shared" si="15"/>
        <v>#DIV/0!</v>
      </c>
    </row>
    <row r="58" spans="1:29">
      <c r="A58" s="352"/>
      <c r="B58" s="127">
        <f t="shared" si="0"/>
        <v>560</v>
      </c>
      <c r="C58" s="133" t="str">
        <f>VLOOKUP(B58,'Tipos de Defeitos'!B$4:E$106,Menu!$B$28+1,)</f>
        <v>Pedra de Óxido</v>
      </c>
      <c r="D58" s="205">
        <f>'[3]UM-4 - Dia'!AS58</f>
        <v>21</v>
      </c>
      <c r="E58" s="245">
        <f>'[3]UM-4 - 2T'!AS58</f>
        <v>43</v>
      </c>
      <c r="F58" s="211">
        <f>'[3]UM-4 - 3T'!AS58</f>
        <v>36</v>
      </c>
      <c r="G58" s="261">
        <f t="shared" si="5"/>
        <v>64</v>
      </c>
      <c r="H58" s="205">
        <f>'UM-4 - Dia'!AS58</f>
        <v>0</v>
      </c>
      <c r="I58" s="245">
        <f>'UM-4 - 2T'!AS58</f>
        <v>0</v>
      </c>
      <c r="J58" s="211">
        <f>'UM-4 - 3T'!AS58</f>
        <v>0</v>
      </c>
      <c r="K58" s="261">
        <f t="shared" si="2"/>
        <v>0</v>
      </c>
      <c r="L58" s="205">
        <f t="shared" si="3"/>
        <v>21</v>
      </c>
      <c r="M58" s="245">
        <f t="shared" si="4"/>
        <v>43</v>
      </c>
      <c r="N58" s="211">
        <f t="shared" si="4"/>
        <v>36</v>
      </c>
      <c r="O58" s="219">
        <f t="shared" si="6"/>
        <v>100</v>
      </c>
      <c r="Q58" s="259">
        <f>INDEX(D58:O58,1,Menu!$B$27)</f>
        <v>0</v>
      </c>
      <c r="R58" s="255">
        <v>31</v>
      </c>
      <c r="S58" s="255" t="str">
        <f t="shared" si="9"/>
        <v>Pedra de Óxido</v>
      </c>
      <c r="T58" s="259" t="e">
        <f t="shared" si="10"/>
        <v>#DIV/0!</v>
      </c>
      <c r="U58" s="224">
        <f t="shared" si="11"/>
        <v>56031</v>
      </c>
      <c r="V58" s="224">
        <f t="shared" si="7"/>
        <v>62037</v>
      </c>
      <c r="W58" s="224">
        <f t="shared" si="8"/>
        <v>37</v>
      </c>
      <c r="X58" s="224">
        <v>31</v>
      </c>
      <c r="Y58" s="224" t="str">
        <f t="shared" si="12"/>
        <v>PY Queimado</v>
      </c>
      <c r="Z58" s="225" t="e">
        <f t="shared" si="13"/>
        <v>#DIV/0!</v>
      </c>
      <c r="AA58" s="225" t="e">
        <f t="shared" si="16"/>
        <v>#DIV/0!</v>
      </c>
      <c r="AB58" s="60" t="e">
        <f t="shared" si="14"/>
        <v>#DIV/0!</v>
      </c>
      <c r="AC58" s="60" t="e">
        <f t="shared" si="15"/>
        <v>#DIV/0!</v>
      </c>
    </row>
    <row r="59" spans="1:29">
      <c r="A59" s="352"/>
      <c r="B59" s="127">
        <f t="shared" si="0"/>
        <v>570</v>
      </c>
      <c r="C59" s="133" t="str">
        <f>VLOOKUP(B59,'Tipos de Defeitos'!B$4:E$106,Menu!$B$28+1,)</f>
        <v>Carvão Quebrado</v>
      </c>
      <c r="D59" s="205">
        <f>'[3]UM-4 - Dia'!AS59</f>
        <v>0</v>
      </c>
      <c r="E59" s="245">
        <f>'[3]UM-4 - 2T'!AS59</f>
        <v>0</v>
      </c>
      <c r="F59" s="211">
        <f>'[3]UM-4 - 3T'!AS59</f>
        <v>1</v>
      </c>
      <c r="G59" s="261">
        <f t="shared" si="5"/>
        <v>0</v>
      </c>
      <c r="H59" s="205">
        <f>'UM-4 - Dia'!AS59</f>
        <v>0</v>
      </c>
      <c r="I59" s="245">
        <f>'UM-4 - 2T'!AS59</f>
        <v>0</v>
      </c>
      <c r="J59" s="211">
        <f>'UM-4 - 3T'!AS59</f>
        <v>0</v>
      </c>
      <c r="K59" s="261">
        <f t="shared" ref="K59:K79" si="17">SUBTOTAL(9,H59:J59)</f>
        <v>0</v>
      </c>
      <c r="L59" s="205">
        <f t="shared" ref="L59:L78" si="18">H59+D59</f>
        <v>0</v>
      </c>
      <c r="M59" s="245">
        <f t="shared" ref="M59:N78" si="19">I59+E59</f>
        <v>0</v>
      </c>
      <c r="N59" s="211">
        <f t="shared" si="19"/>
        <v>1</v>
      </c>
      <c r="O59" s="219">
        <f t="shared" si="6"/>
        <v>1</v>
      </c>
      <c r="Q59" s="259">
        <f>INDEX(D59:O59,1,Menu!$B$27)</f>
        <v>0</v>
      </c>
      <c r="R59" s="255">
        <v>32</v>
      </c>
      <c r="S59" s="255" t="str">
        <f t="shared" si="9"/>
        <v>Carvão Quebrado</v>
      </c>
      <c r="T59" s="259" t="e">
        <f t="shared" si="10"/>
        <v>#DIV/0!</v>
      </c>
      <c r="U59" s="224">
        <f t="shared" si="11"/>
        <v>57032</v>
      </c>
      <c r="V59" s="224">
        <f t="shared" si="7"/>
        <v>61036</v>
      </c>
      <c r="W59" s="224">
        <f t="shared" si="8"/>
        <v>36</v>
      </c>
      <c r="X59" s="224">
        <v>32</v>
      </c>
      <c r="Y59" s="224" t="str">
        <f t="shared" si="12"/>
        <v>PY Fora de Centro</v>
      </c>
      <c r="Z59" s="225" t="e">
        <f t="shared" si="13"/>
        <v>#DIV/0!</v>
      </c>
      <c r="AA59" s="225" t="e">
        <f t="shared" si="16"/>
        <v>#DIV/0!</v>
      </c>
      <c r="AB59" s="60" t="e">
        <f t="shared" si="14"/>
        <v>#DIV/0!</v>
      </c>
      <c r="AC59" s="60" t="e">
        <f t="shared" si="15"/>
        <v>#DIV/0!</v>
      </c>
    </row>
    <row r="60" spans="1:29">
      <c r="A60" s="352"/>
      <c r="B60" s="127">
        <f t="shared" si="0"/>
        <v>580</v>
      </c>
      <c r="C60" s="133" t="str">
        <f>VLOOKUP(B60,'Tipos de Defeitos'!B$4:E$106,Menu!$B$28+1,)</f>
        <v>Sem Selante</v>
      </c>
      <c r="D60" s="205">
        <f>'[3]UM-4 - Dia'!AS60</f>
        <v>0</v>
      </c>
      <c r="E60" s="245">
        <f>'[3]UM-4 - 2T'!AS60</f>
        <v>0</v>
      </c>
      <c r="F60" s="211">
        <f>'[3]UM-4 - 3T'!AS60</f>
        <v>0</v>
      </c>
      <c r="G60" s="261">
        <f t="shared" si="5"/>
        <v>0</v>
      </c>
      <c r="H60" s="205">
        <f>'UM-4 - Dia'!AS60</f>
        <v>0</v>
      </c>
      <c r="I60" s="245">
        <f>'UM-4 - 2T'!AS60</f>
        <v>0</v>
      </c>
      <c r="J60" s="211">
        <f>'UM-4 - 3T'!AS60</f>
        <v>0</v>
      </c>
      <c r="K60" s="261">
        <f t="shared" si="17"/>
        <v>0</v>
      </c>
      <c r="L60" s="205">
        <f t="shared" si="18"/>
        <v>0</v>
      </c>
      <c r="M60" s="245">
        <f t="shared" si="19"/>
        <v>0</v>
      </c>
      <c r="N60" s="211">
        <f t="shared" si="19"/>
        <v>0</v>
      </c>
      <c r="O60" s="219">
        <f t="shared" si="6"/>
        <v>0</v>
      </c>
      <c r="Q60" s="259">
        <f>INDEX(D60:O60,1,Menu!$B$27)</f>
        <v>0</v>
      </c>
      <c r="R60" s="255">
        <v>33</v>
      </c>
      <c r="S60" s="255" t="str">
        <f t="shared" si="9"/>
        <v>Sem Selante</v>
      </c>
      <c r="T60" s="259" t="e">
        <f t="shared" si="10"/>
        <v>#DIV/0!</v>
      </c>
      <c r="U60" s="224">
        <f t="shared" si="11"/>
        <v>58033</v>
      </c>
      <c r="V60" s="224">
        <f t="shared" si="7"/>
        <v>60035</v>
      </c>
      <c r="W60" s="224">
        <f t="shared" si="8"/>
        <v>35</v>
      </c>
      <c r="X60" s="224">
        <v>33</v>
      </c>
      <c r="Y60" s="224" t="str">
        <f t="shared" si="12"/>
        <v>Sem PY</v>
      </c>
      <c r="Z60" s="225" t="e">
        <f t="shared" si="13"/>
        <v>#DIV/0!</v>
      </c>
      <c r="AA60" s="225" t="e">
        <f t="shared" si="16"/>
        <v>#DIV/0!</v>
      </c>
      <c r="AB60" s="60" t="e">
        <f t="shared" si="14"/>
        <v>#DIV/0!</v>
      </c>
      <c r="AC60" s="60" t="e">
        <f t="shared" si="15"/>
        <v>#DIV/0!</v>
      </c>
    </row>
    <row r="61" spans="1:29">
      <c r="A61" s="352"/>
      <c r="B61" s="127">
        <f t="shared" si="0"/>
        <v>590</v>
      </c>
      <c r="C61" s="133" t="str">
        <f>VLOOKUP(B61,'Tipos de Defeitos'!B$4:E$106,Menu!$B$28+1,)</f>
        <v>PY c/ Falha de Injeção</v>
      </c>
      <c r="D61" s="205">
        <f>'[3]UM-4 - Dia'!AS61</f>
        <v>0</v>
      </c>
      <c r="E61" s="245">
        <f>'[3]UM-4 - 2T'!AS61</f>
        <v>0</v>
      </c>
      <c r="F61" s="211">
        <f>'[3]UM-4 - 3T'!AS61</f>
        <v>0</v>
      </c>
      <c r="G61" s="261">
        <f t="shared" si="5"/>
        <v>0</v>
      </c>
      <c r="H61" s="205">
        <f>'UM-4 - Dia'!AS61</f>
        <v>0</v>
      </c>
      <c r="I61" s="245">
        <f>'UM-4 - 2T'!AS61</f>
        <v>0</v>
      </c>
      <c r="J61" s="211">
        <f>'UM-4 - 3T'!AS61</f>
        <v>0</v>
      </c>
      <c r="K61" s="261">
        <f t="shared" si="17"/>
        <v>0</v>
      </c>
      <c r="L61" s="205">
        <f t="shared" si="18"/>
        <v>0</v>
      </c>
      <c r="M61" s="245">
        <f t="shared" si="19"/>
        <v>0</v>
      </c>
      <c r="N61" s="211">
        <f t="shared" si="19"/>
        <v>0</v>
      </c>
      <c r="O61" s="219">
        <f t="shared" si="6"/>
        <v>0</v>
      </c>
      <c r="Q61" s="259">
        <f>INDEX(D61:O61,1,Menu!$B$27)</f>
        <v>0</v>
      </c>
      <c r="R61" s="255">
        <v>34</v>
      </c>
      <c r="S61" s="255" t="str">
        <f t="shared" si="9"/>
        <v>PY c/ Falha de Injeção</v>
      </c>
      <c r="T61" s="259" t="e">
        <f t="shared" si="10"/>
        <v>#DIV/0!</v>
      </c>
      <c r="U61" s="224">
        <f t="shared" si="11"/>
        <v>59034</v>
      </c>
      <c r="V61" s="224">
        <f t="shared" si="7"/>
        <v>59034</v>
      </c>
      <c r="W61" s="224">
        <f t="shared" si="8"/>
        <v>34</v>
      </c>
      <c r="X61" s="224">
        <v>34</v>
      </c>
      <c r="Y61" s="224" t="str">
        <f t="shared" si="12"/>
        <v>PY c/ Falha de Injeção</v>
      </c>
      <c r="Z61" s="225" t="e">
        <f t="shared" si="13"/>
        <v>#DIV/0!</v>
      </c>
      <c r="AA61" s="225" t="e">
        <f t="shared" si="16"/>
        <v>#DIV/0!</v>
      </c>
      <c r="AB61" s="60" t="e">
        <f t="shared" si="14"/>
        <v>#DIV/0!</v>
      </c>
      <c r="AC61" s="60" t="e">
        <f t="shared" si="15"/>
        <v>#DIV/0!</v>
      </c>
    </row>
    <row r="62" spans="1:29">
      <c r="A62" s="352"/>
      <c r="B62" s="127">
        <f t="shared" si="0"/>
        <v>600</v>
      </c>
      <c r="C62" s="133" t="str">
        <f>VLOOKUP(B62,'Tipos de Defeitos'!B$4:E$106,Menu!$B$28+1,)</f>
        <v>Sem PY</v>
      </c>
      <c r="D62" s="205">
        <f>'[3]UM-4 - Dia'!AS62</f>
        <v>0</v>
      </c>
      <c r="E62" s="245">
        <f>'[3]UM-4 - 2T'!AS62</f>
        <v>0</v>
      </c>
      <c r="F62" s="211">
        <f>'[3]UM-4 - 3T'!AS62</f>
        <v>0</v>
      </c>
      <c r="G62" s="261">
        <f t="shared" si="5"/>
        <v>0</v>
      </c>
      <c r="H62" s="205">
        <f>'UM-4 - Dia'!AS62</f>
        <v>0</v>
      </c>
      <c r="I62" s="245">
        <f>'UM-4 - 2T'!AS62</f>
        <v>0</v>
      </c>
      <c r="J62" s="211">
        <f>'UM-4 - 3T'!AS62</f>
        <v>0</v>
      </c>
      <c r="K62" s="261">
        <f t="shared" si="17"/>
        <v>0</v>
      </c>
      <c r="L62" s="205">
        <f t="shared" si="18"/>
        <v>0</v>
      </c>
      <c r="M62" s="245">
        <f t="shared" si="19"/>
        <v>0</v>
      </c>
      <c r="N62" s="211">
        <f t="shared" si="19"/>
        <v>0</v>
      </c>
      <c r="O62" s="219">
        <f t="shared" si="6"/>
        <v>0</v>
      </c>
      <c r="Q62" s="259">
        <f>INDEX(D62:O62,1,Menu!$B$27)</f>
        <v>0</v>
      </c>
      <c r="R62" s="255">
        <v>35</v>
      </c>
      <c r="S62" s="255" t="str">
        <f t="shared" si="9"/>
        <v>Sem PY</v>
      </c>
      <c r="T62" s="259" t="e">
        <f t="shared" si="10"/>
        <v>#DIV/0!</v>
      </c>
      <c r="U62" s="224">
        <f t="shared" si="11"/>
        <v>60035</v>
      </c>
      <c r="V62" s="224">
        <f t="shared" si="7"/>
        <v>58033</v>
      </c>
      <c r="W62" s="224">
        <f t="shared" si="8"/>
        <v>33</v>
      </c>
      <c r="X62" s="224">
        <v>35</v>
      </c>
      <c r="Y62" s="224" t="str">
        <f t="shared" si="12"/>
        <v>Sem Selante</v>
      </c>
      <c r="Z62" s="225" t="e">
        <f t="shared" si="13"/>
        <v>#DIV/0!</v>
      </c>
      <c r="AA62" s="225" t="e">
        <f t="shared" si="16"/>
        <v>#DIV/0!</v>
      </c>
      <c r="AB62" s="60" t="e">
        <f t="shared" si="14"/>
        <v>#DIV/0!</v>
      </c>
      <c r="AC62" s="60" t="e">
        <f t="shared" si="15"/>
        <v>#DIV/0!</v>
      </c>
    </row>
    <row r="63" spans="1:29">
      <c r="A63" s="352"/>
      <c r="B63" s="127">
        <f t="shared" si="0"/>
        <v>610</v>
      </c>
      <c r="C63" s="133" t="str">
        <f>VLOOKUP(B63,'Tipos de Defeitos'!B$4:E$106,Menu!$B$28+1,)</f>
        <v>PY Fora de Centro</v>
      </c>
      <c r="D63" s="205">
        <f>'[3]UM-4 - Dia'!AS63</f>
        <v>0</v>
      </c>
      <c r="E63" s="245">
        <f>'[3]UM-4 - 2T'!AS63</f>
        <v>0</v>
      </c>
      <c r="F63" s="211">
        <f>'[3]UM-4 - 3T'!AS63</f>
        <v>0</v>
      </c>
      <c r="G63" s="261">
        <f t="shared" si="5"/>
        <v>0</v>
      </c>
      <c r="H63" s="205">
        <f>'UM-4 - Dia'!AS63</f>
        <v>0</v>
      </c>
      <c r="I63" s="245">
        <f>'UM-4 - 2T'!AS63</f>
        <v>0</v>
      </c>
      <c r="J63" s="211">
        <f>'UM-4 - 3T'!AS63</f>
        <v>0</v>
      </c>
      <c r="K63" s="261">
        <f t="shared" si="17"/>
        <v>0</v>
      </c>
      <c r="L63" s="205">
        <f t="shared" si="18"/>
        <v>0</v>
      </c>
      <c r="M63" s="245">
        <f t="shared" si="19"/>
        <v>0</v>
      </c>
      <c r="N63" s="211">
        <f t="shared" si="19"/>
        <v>0</v>
      </c>
      <c r="O63" s="219">
        <f t="shared" si="6"/>
        <v>0</v>
      </c>
      <c r="Q63" s="259">
        <f>INDEX(D63:O63,1,Menu!$B$27)</f>
        <v>0</v>
      </c>
      <c r="R63" s="255">
        <v>36</v>
      </c>
      <c r="S63" s="255" t="str">
        <f t="shared" si="9"/>
        <v>PY Fora de Centro</v>
      </c>
      <c r="T63" s="259" t="e">
        <f t="shared" si="10"/>
        <v>#DIV/0!</v>
      </c>
      <c r="U63" s="224">
        <f t="shared" si="11"/>
        <v>61036</v>
      </c>
      <c r="V63" s="224">
        <f t="shared" si="7"/>
        <v>57032</v>
      </c>
      <c r="W63" s="224">
        <f t="shared" si="8"/>
        <v>32</v>
      </c>
      <c r="X63" s="224">
        <v>36</v>
      </c>
      <c r="Y63" s="224" t="str">
        <f t="shared" si="12"/>
        <v>Carvão Quebrado</v>
      </c>
      <c r="Z63" s="225" t="e">
        <f t="shared" si="13"/>
        <v>#DIV/0!</v>
      </c>
      <c r="AA63" s="225" t="e">
        <f t="shared" si="16"/>
        <v>#DIV/0!</v>
      </c>
      <c r="AB63" s="60" t="e">
        <f t="shared" si="14"/>
        <v>#DIV/0!</v>
      </c>
      <c r="AC63" s="60" t="e">
        <f t="shared" si="15"/>
        <v>#DIV/0!</v>
      </c>
    </row>
    <row r="64" spans="1:29">
      <c r="A64" s="352"/>
      <c r="B64" s="127">
        <f t="shared" si="0"/>
        <v>620</v>
      </c>
      <c r="C64" s="133" t="str">
        <f>VLOOKUP(B64,'Tipos de Defeitos'!B$4:E$106,Menu!$B$28+1,)</f>
        <v>PY Queimado</v>
      </c>
      <c r="D64" s="205">
        <f>'[3]UM-4 - Dia'!AS64</f>
        <v>0</v>
      </c>
      <c r="E64" s="245">
        <f>'[3]UM-4 - 2T'!AS64</f>
        <v>0</v>
      </c>
      <c r="F64" s="211">
        <f>'[3]UM-4 - 3T'!AS64</f>
        <v>0</v>
      </c>
      <c r="G64" s="261">
        <f t="shared" si="5"/>
        <v>0</v>
      </c>
      <c r="H64" s="205">
        <f>'UM-4 - Dia'!AS64</f>
        <v>0</v>
      </c>
      <c r="I64" s="245">
        <f>'UM-4 - 2T'!AS64</f>
        <v>0</v>
      </c>
      <c r="J64" s="211">
        <f>'UM-4 - 3T'!AS64</f>
        <v>0</v>
      </c>
      <c r="K64" s="261">
        <f t="shared" si="17"/>
        <v>0</v>
      </c>
      <c r="L64" s="205">
        <f t="shared" si="18"/>
        <v>0</v>
      </c>
      <c r="M64" s="245">
        <f t="shared" si="19"/>
        <v>0</v>
      </c>
      <c r="N64" s="211">
        <f t="shared" si="19"/>
        <v>0</v>
      </c>
      <c r="O64" s="219">
        <f t="shared" si="6"/>
        <v>0</v>
      </c>
      <c r="Q64" s="259">
        <f>INDEX(D64:O64,1,Menu!$B$27)</f>
        <v>0</v>
      </c>
      <c r="R64" s="255">
        <v>37</v>
      </c>
      <c r="S64" s="255" t="str">
        <f t="shared" si="9"/>
        <v>PY Queimado</v>
      </c>
      <c r="T64" s="259" t="e">
        <f t="shared" si="10"/>
        <v>#DIV/0!</v>
      </c>
      <c r="U64" s="224">
        <f t="shared" si="11"/>
        <v>62037</v>
      </c>
      <c r="V64" s="224">
        <f t="shared" si="7"/>
        <v>56031</v>
      </c>
      <c r="W64" s="224">
        <f t="shared" si="8"/>
        <v>31</v>
      </c>
      <c r="X64" s="224">
        <v>37</v>
      </c>
      <c r="Y64" s="224" t="str">
        <f t="shared" si="12"/>
        <v>Pedra de Óxido</v>
      </c>
      <c r="Z64" s="225" t="e">
        <f t="shared" si="13"/>
        <v>#DIV/0!</v>
      </c>
      <c r="AA64" s="225" t="e">
        <f t="shared" si="16"/>
        <v>#DIV/0!</v>
      </c>
      <c r="AB64" s="60" t="e">
        <f t="shared" si="14"/>
        <v>#DIV/0!</v>
      </c>
      <c r="AC64" s="60" t="e">
        <f t="shared" si="15"/>
        <v>#DIV/0!</v>
      </c>
    </row>
    <row r="65" spans="1:29">
      <c r="A65" s="352"/>
      <c r="B65" s="127">
        <f t="shared" si="0"/>
        <v>630</v>
      </c>
      <c r="C65" s="133" t="str">
        <f>VLOOKUP(B65,'Tipos de Defeitos'!B$4:E$106,Menu!$B$28+1,)</f>
        <v>Tb c/ Boca Amassada - Operador</v>
      </c>
      <c r="D65" s="205">
        <f>'[3]UM-4 - Dia'!AS65</f>
        <v>0</v>
      </c>
      <c r="E65" s="245">
        <f>'[3]UM-4 - 2T'!AS65</f>
        <v>0</v>
      </c>
      <c r="F65" s="211">
        <f>'[3]UM-4 - 3T'!AS65</f>
        <v>0</v>
      </c>
      <c r="G65" s="261">
        <f t="shared" si="5"/>
        <v>0</v>
      </c>
      <c r="H65" s="205">
        <f>'UM-4 - Dia'!AS65</f>
        <v>0</v>
      </c>
      <c r="I65" s="245">
        <f>'UM-4 - 2T'!AS65</f>
        <v>0</v>
      </c>
      <c r="J65" s="211">
        <f>'UM-4 - 3T'!AS65</f>
        <v>0</v>
      </c>
      <c r="K65" s="261">
        <f t="shared" si="17"/>
        <v>0</v>
      </c>
      <c r="L65" s="205">
        <f t="shared" si="18"/>
        <v>0</v>
      </c>
      <c r="M65" s="245">
        <f t="shared" si="19"/>
        <v>0</v>
      </c>
      <c r="N65" s="211">
        <f t="shared" si="19"/>
        <v>0</v>
      </c>
      <c r="O65" s="219">
        <f t="shared" si="6"/>
        <v>0</v>
      </c>
      <c r="Q65" s="259">
        <f>INDEX(D65:O65,1,Menu!$B$27)</f>
        <v>0</v>
      </c>
      <c r="R65" s="255">
        <v>38</v>
      </c>
      <c r="S65" s="255" t="str">
        <f t="shared" si="9"/>
        <v>Tb c/ Boca Amassada - Operador</v>
      </c>
      <c r="T65" s="259" t="e">
        <f t="shared" si="10"/>
        <v>#DIV/0!</v>
      </c>
      <c r="U65" s="224">
        <f t="shared" si="11"/>
        <v>63038</v>
      </c>
      <c r="V65" s="224">
        <f t="shared" si="7"/>
        <v>55030</v>
      </c>
      <c r="W65" s="224">
        <f t="shared" si="8"/>
        <v>30</v>
      </c>
      <c r="X65" s="224">
        <v>38</v>
      </c>
      <c r="Y65" s="224" t="str">
        <f t="shared" si="12"/>
        <v>Contem estranho</v>
      </c>
      <c r="Z65" s="225" t="e">
        <f t="shared" si="13"/>
        <v>#DIV/0!</v>
      </c>
      <c r="AA65" s="225" t="e">
        <f t="shared" si="16"/>
        <v>#DIV/0!</v>
      </c>
      <c r="AB65" s="60" t="e">
        <f t="shared" si="14"/>
        <v>#DIV/0!</v>
      </c>
      <c r="AC65" s="60" t="e">
        <f t="shared" si="15"/>
        <v>#DIV/0!</v>
      </c>
    </row>
    <row r="66" spans="1:29">
      <c r="A66" s="352"/>
      <c r="B66" s="127">
        <f t="shared" si="0"/>
        <v>640</v>
      </c>
      <c r="C66" s="133" t="str">
        <f>VLOOKUP(B66,'Tipos de Defeitos'!B$4:E$106,Menu!$B$28+1,)</f>
        <v>Tb c/ Boca Amassada - Câmera</v>
      </c>
      <c r="D66" s="205">
        <f>'[3]UM-4 - Dia'!AS66</f>
        <v>0</v>
      </c>
      <c r="E66" s="245">
        <f>'[3]UM-4 - 2T'!AS66</f>
        <v>0</v>
      </c>
      <c r="F66" s="211">
        <f>'[3]UM-4 - 3T'!AS66</f>
        <v>0</v>
      </c>
      <c r="G66" s="261">
        <f t="shared" si="5"/>
        <v>0</v>
      </c>
      <c r="H66" s="205">
        <f>'UM-4 - Dia'!AS66</f>
        <v>0</v>
      </c>
      <c r="I66" s="245">
        <f>'UM-4 - 2T'!AS66</f>
        <v>0</v>
      </c>
      <c r="J66" s="211">
        <f>'UM-4 - 3T'!AS66</f>
        <v>0</v>
      </c>
      <c r="K66" s="261">
        <f t="shared" si="17"/>
        <v>0</v>
      </c>
      <c r="L66" s="205">
        <f t="shared" si="18"/>
        <v>0</v>
      </c>
      <c r="M66" s="245">
        <f t="shared" si="19"/>
        <v>0</v>
      </c>
      <c r="N66" s="211">
        <f t="shared" si="19"/>
        <v>0</v>
      </c>
      <c r="O66" s="219">
        <f t="shared" si="6"/>
        <v>0</v>
      </c>
      <c r="Q66" s="259">
        <f>INDEX(D66:O66,1,Menu!$B$27)</f>
        <v>0</v>
      </c>
      <c r="R66" s="255">
        <v>39</v>
      </c>
      <c r="S66" s="255" t="str">
        <f t="shared" si="9"/>
        <v>Tb c/ Boca Amassada - Câmera</v>
      </c>
      <c r="T66" s="259" t="e">
        <f t="shared" si="10"/>
        <v>#DIV/0!</v>
      </c>
      <c r="U66" s="224">
        <f t="shared" si="11"/>
        <v>64039</v>
      </c>
      <c r="V66" s="224">
        <f t="shared" si="7"/>
        <v>54029</v>
      </c>
      <c r="W66" s="224">
        <f t="shared" si="8"/>
        <v>29</v>
      </c>
      <c r="X66" s="224">
        <v>39</v>
      </c>
      <c r="Y66" s="224" t="str">
        <f t="shared" si="12"/>
        <v>Mistura seca</v>
      </c>
      <c r="Z66" s="225" t="e">
        <f t="shared" si="13"/>
        <v>#DIV/0!</v>
      </c>
      <c r="AA66" s="225" t="e">
        <f t="shared" si="16"/>
        <v>#DIV/0!</v>
      </c>
      <c r="AB66" s="60" t="e">
        <f t="shared" si="14"/>
        <v>#DIV/0!</v>
      </c>
      <c r="AC66" s="60" t="e">
        <f t="shared" si="15"/>
        <v>#DIV/0!</v>
      </c>
    </row>
    <row r="67" spans="1:29">
      <c r="A67" s="352"/>
      <c r="B67" s="127">
        <f t="shared" si="0"/>
        <v>650</v>
      </c>
      <c r="C67" s="133" t="str">
        <f>VLOOKUP(B67,'Tipos de Defeitos'!B$4:E$106,Menu!$B$28+1,)</f>
        <v>Tb c/ Boca Amassada - recuperada</v>
      </c>
      <c r="D67" s="205">
        <f>'[3]UM-4 - Dia'!AS67</f>
        <v>0</v>
      </c>
      <c r="E67" s="245">
        <f>'[3]UM-4 - 2T'!AS67</f>
        <v>0</v>
      </c>
      <c r="F67" s="211">
        <f>'[3]UM-4 - 3T'!AS67</f>
        <v>0</v>
      </c>
      <c r="G67" s="261">
        <f t="shared" si="5"/>
        <v>0</v>
      </c>
      <c r="H67" s="205">
        <f>'UM-4 - Dia'!AS67</f>
        <v>0</v>
      </c>
      <c r="I67" s="245">
        <f>'UM-4 - 2T'!AS67</f>
        <v>0</v>
      </c>
      <c r="J67" s="211">
        <f>'UM-4 - 3T'!AS67</f>
        <v>0</v>
      </c>
      <c r="K67" s="261">
        <f t="shared" si="17"/>
        <v>0</v>
      </c>
      <c r="L67" s="205">
        <f t="shared" si="18"/>
        <v>0</v>
      </c>
      <c r="M67" s="245">
        <f t="shared" si="19"/>
        <v>0</v>
      </c>
      <c r="N67" s="211">
        <f t="shared" si="19"/>
        <v>0</v>
      </c>
      <c r="O67" s="219">
        <f t="shared" si="6"/>
        <v>0</v>
      </c>
      <c r="Q67" s="259">
        <f>INDEX(D67:O67,1,Menu!$B$27)</f>
        <v>0</v>
      </c>
      <c r="R67" s="255">
        <v>40</v>
      </c>
      <c r="S67" s="255" t="str">
        <f t="shared" si="9"/>
        <v>Tb c/ Boca Amassada - recuperada</v>
      </c>
      <c r="T67" s="259" t="e">
        <f t="shared" si="10"/>
        <v>#DIV/0!</v>
      </c>
      <c r="U67" s="224">
        <f t="shared" si="11"/>
        <v>65040</v>
      </c>
      <c r="V67" s="224">
        <f t="shared" si="7"/>
        <v>53028</v>
      </c>
      <c r="W67" s="224">
        <f t="shared" si="8"/>
        <v>28</v>
      </c>
      <c r="X67" s="224">
        <v>40</v>
      </c>
      <c r="Y67" s="224" t="str">
        <f t="shared" si="12"/>
        <v>Bobina Molhada</v>
      </c>
      <c r="Z67" s="225" t="e">
        <f t="shared" si="13"/>
        <v>#DIV/0!</v>
      </c>
      <c r="AA67" s="225" t="e">
        <f t="shared" si="16"/>
        <v>#DIV/0!</v>
      </c>
      <c r="AB67" s="60" t="e">
        <f t="shared" si="14"/>
        <v>#DIV/0!</v>
      </c>
      <c r="AC67" s="60" t="e">
        <f t="shared" si="15"/>
        <v>#DIV/0!</v>
      </c>
    </row>
    <row r="68" spans="1:29">
      <c r="A68" s="352"/>
      <c r="B68" s="127">
        <f t="shared" si="0"/>
        <v>660</v>
      </c>
      <c r="C68" s="183" t="str">
        <f>VLOOKUP(B68,'Tipos de Defeitos'!B$4:E$106,Menu!$B$28+1,)</f>
        <v>Tubo descascado</v>
      </c>
      <c r="D68" s="205">
        <f>'[3]UM-4 - Dia'!AS68</f>
        <v>33</v>
      </c>
      <c r="E68" s="245">
        <f>'[3]UM-4 - 2T'!AS68</f>
        <v>19</v>
      </c>
      <c r="F68" s="211">
        <f>'[3]UM-4 - 3T'!AS68</f>
        <v>27</v>
      </c>
      <c r="G68" s="261">
        <f t="shared" si="5"/>
        <v>52</v>
      </c>
      <c r="H68" s="205">
        <f>'UM-4 - Dia'!AS68</f>
        <v>0</v>
      </c>
      <c r="I68" s="245">
        <f>'UM-4 - 2T'!AS68</f>
        <v>0</v>
      </c>
      <c r="J68" s="211">
        <f>'UM-4 - 3T'!AS68</f>
        <v>0</v>
      </c>
      <c r="K68" s="261">
        <f t="shared" si="17"/>
        <v>0</v>
      </c>
      <c r="L68" s="205">
        <f t="shared" si="18"/>
        <v>33</v>
      </c>
      <c r="M68" s="245">
        <f t="shared" si="19"/>
        <v>19</v>
      </c>
      <c r="N68" s="211">
        <f t="shared" si="19"/>
        <v>27</v>
      </c>
      <c r="O68" s="219">
        <f t="shared" si="6"/>
        <v>79</v>
      </c>
      <c r="Q68" s="259">
        <f>INDEX(D68:O68,1,Menu!$B$27)</f>
        <v>0</v>
      </c>
      <c r="R68" s="255">
        <v>41</v>
      </c>
      <c r="S68" s="255" t="str">
        <f t="shared" si="9"/>
        <v>Tubo descascado</v>
      </c>
      <c r="T68" s="259" t="e">
        <f t="shared" si="10"/>
        <v>#DIV/0!</v>
      </c>
      <c r="U68" s="224">
        <f t="shared" si="11"/>
        <v>66041</v>
      </c>
      <c r="V68" s="224">
        <f t="shared" si="7"/>
        <v>52027</v>
      </c>
      <c r="W68" s="224">
        <f t="shared" si="8"/>
        <v>27</v>
      </c>
      <c r="X68" s="224">
        <v>41</v>
      </c>
      <c r="Y68" s="224" t="str">
        <f t="shared" si="12"/>
        <v>Bobina Alta</v>
      </c>
      <c r="Z68" s="225" t="e">
        <f t="shared" si="13"/>
        <v>#DIV/0!</v>
      </c>
      <c r="AA68" s="225" t="e">
        <f t="shared" si="16"/>
        <v>#DIV/0!</v>
      </c>
      <c r="AB68" s="60" t="e">
        <f t="shared" si="14"/>
        <v>#DIV/0!</v>
      </c>
      <c r="AC68" s="60" t="e">
        <f t="shared" si="15"/>
        <v>#DIV/0!</v>
      </c>
    </row>
    <row r="69" spans="1:29">
      <c r="A69" s="352"/>
      <c r="B69" s="127">
        <f t="shared" ref="B69:B105" si="20">(B68/10+1)*10</f>
        <v>670</v>
      </c>
      <c r="C69" s="183" t="str">
        <f>VLOOKUP(B69,'Tipos de Defeitos'!B$4:E$106,Menu!$B$28+1,)</f>
        <v>Tubo Rachado - Câmera</v>
      </c>
      <c r="D69" s="205">
        <f>'[3]UM-4 - Dia'!AS69</f>
        <v>0</v>
      </c>
      <c r="E69" s="245">
        <f>'[3]UM-4 - 2T'!AS69</f>
        <v>0</v>
      </c>
      <c r="F69" s="211">
        <f>'[3]UM-4 - 3T'!AS69</f>
        <v>2</v>
      </c>
      <c r="G69" s="261">
        <f t="shared" si="5"/>
        <v>0</v>
      </c>
      <c r="H69" s="205">
        <f>'UM-4 - Dia'!AS69</f>
        <v>0</v>
      </c>
      <c r="I69" s="245">
        <f>'UM-4 - 2T'!AS69</f>
        <v>0</v>
      </c>
      <c r="J69" s="211">
        <f>'UM-4 - 3T'!AS69</f>
        <v>0</v>
      </c>
      <c r="K69" s="261">
        <f t="shared" si="17"/>
        <v>0</v>
      </c>
      <c r="L69" s="205">
        <f t="shared" si="18"/>
        <v>0</v>
      </c>
      <c r="M69" s="245">
        <f t="shared" si="19"/>
        <v>0</v>
      </c>
      <c r="N69" s="211">
        <f t="shared" si="19"/>
        <v>2</v>
      </c>
      <c r="O69" s="219">
        <f t="shared" si="6"/>
        <v>2</v>
      </c>
      <c r="Q69" s="259">
        <f>INDEX(D69:O69,1,Menu!$B$27)</f>
        <v>0</v>
      </c>
      <c r="R69" s="255">
        <v>42</v>
      </c>
      <c r="S69" s="255" t="str">
        <f t="shared" si="9"/>
        <v>Tubo Rachado - Câmera</v>
      </c>
      <c r="T69" s="259" t="e">
        <f t="shared" si="10"/>
        <v>#DIV/0!</v>
      </c>
      <c r="U69" s="224">
        <f t="shared" si="11"/>
        <v>67042</v>
      </c>
      <c r="V69" s="224">
        <f t="shared" si="7"/>
        <v>51026</v>
      </c>
      <c r="W69" s="224">
        <f t="shared" si="8"/>
        <v>26</v>
      </c>
      <c r="X69" s="224">
        <v>42</v>
      </c>
      <c r="Y69" s="224" t="str">
        <f t="shared" si="12"/>
        <v>Bobina Baixa</v>
      </c>
      <c r="Z69" s="225" t="e">
        <f t="shared" si="13"/>
        <v>#DIV/0!</v>
      </c>
      <c r="AA69" s="225" t="e">
        <f t="shared" si="16"/>
        <v>#DIV/0!</v>
      </c>
      <c r="AB69" s="60" t="e">
        <f t="shared" si="14"/>
        <v>#DIV/0!</v>
      </c>
      <c r="AC69" s="60" t="e">
        <f t="shared" si="15"/>
        <v>#DIV/0!</v>
      </c>
    </row>
    <row r="70" spans="1:29">
      <c r="A70" s="352"/>
      <c r="B70" s="127">
        <f t="shared" si="20"/>
        <v>680</v>
      </c>
      <c r="C70" s="133" t="str">
        <f>VLOOKUP(B70,'Tipos de Defeitos'!B$4:E$106,Menu!$B$28+1,)</f>
        <v>Tubo de Zinco Amassado</v>
      </c>
      <c r="D70" s="205">
        <f>'[3]UM-4 - Dia'!AS70</f>
        <v>0</v>
      </c>
      <c r="E70" s="245">
        <f>'[3]UM-4 - 2T'!AS70</f>
        <v>0</v>
      </c>
      <c r="F70" s="211">
        <f>'[3]UM-4 - 3T'!AS70</f>
        <v>0</v>
      </c>
      <c r="G70" s="261">
        <f t="shared" si="5"/>
        <v>0</v>
      </c>
      <c r="H70" s="205">
        <f>'UM-4 - Dia'!AS70</f>
        <v>0</v>
      </c>
      <c r="I70" s="245">
        <f>'UM-4 - 2T'!AS70</f>
        <v>0</v>
      </c>
      <c r="J70" s="211">
        <f>'UM-4 - 3T'!AS70</f>
        <v>0</v>
      </c>
      <c r="K70" s="261">
        <f t="shared" si="17"/>
        <v>0</v>
      </c>
      <c r="L70" s="205">
        <f t="shared" si="18"/>
        <v>0</v>
      </c>
      <c r="M70" s="245">
        <f t="shared" si="19"/>
        <v>0</v>
      </c>
      <c r="N70" s="211">
        <f t="shared" si="19"/>
        <v>0</v>
      </c>
      <c r="O70" s="219">
        <f t="shared" si="6"/>
        <v>0</v>
      </c>
      <c r="Q70" s="259">
        <f>INDEX(D70:O70,1,Menu!$B$27)</f>
        <v>0</v>
      </c>
      <c r="R70" s="255">
        <v>43</v>
      </c>
      <c r="S70" s="255" t="str">
        <f t="shared" si="9"/>
        <v>Tubo de Zinco Amassado</v>
      </c>
      <c r="T70" s="259" t="e">
        <f t="shared" si="10"/>
        <v>#DIV/0!</v>
      </c>
      <c r="U70" s="224">
        <f t="shared" si="11"/>
        <v>68043</v>
      </c>
      <c r="V70" s="224">
        <f t="shared" si="7"/>
        <v>50025</v>
      </c>
      <c r="W70" s="224">
        <f t="shared" si="8"/>
        <v>25</v>
      </c>
      <c r="X70" s="224">
        <v>43</v>
      </c>
      <c r="Y70" s="224" t="str">
        <f t="shared" si="12"/>
        <v>Pó de Mistura</v>
      </c>
      <c r="Z70" s="225" t="e">
        <f t="shared" si="13"/>
        <v>#DIV/0!</v>
      </c>
      <c r="AA70" s="225" t="e">
        <f t="shared" si="16"/>
        <v>#DIV/0!</v>
      </c>
      <c r="AB70" s="60" t="e">
        <f t="shared" si="14"/>
        <v>#DIV/0!</v>
      </c>
      <c r="AC70" s="60" t="e">
        <f t="shared" si="15"/>
        <v>#DIV/0!</v>
      </c>
    </row>
    <row r="71" spans="1:29">
      <c r="A71" s="352"/>
      <c r="B71" s="127">
        <f t="shared" si="20"/>
        <v>690</v>
      </c>
      <c r="C71" s="133" t="str">
        <f>VLOOKUP(B71,'Tipos de Defeitos'!B$4:E$106,Menu!$B$28+1,)</f>
        <v>Tubo com Rebarba</v>
      </c>
      <c r="D71" s="205">
        <f>'[3]UM-4 - Dia'!AS71</f>
        <v>14</v>
      </c>
      <c r="E71" s="245">
        <f>'[3]UM-4 - 2T'!AS71</f>
        <v>7</v>
      </c>
      <c r="F71" s="211">
        <f>'[3]UM-4 - 3T'!AS71</f>
        <v>7</v>
      </c>
      <c r="G71" s="261">
        <f t="shared" si="5"/>
        <v>21</v>
      </c>
      <c r="H71" s="205">
        <f>'UM-4 - Dia'!AS71</f>
        <v>0</v>
      </c>
      <c r="I71" s="245">
        <f>'UM-4 - 2T'!AS71</f>
        <v>0</v>
      </c>
      <c r="J71" s="211">
        <f>'UM-4 - 3T'!AS71</f>
        <v>0</v>
      </c>
      <c r="K71" s="261">
        <f t="shared" si="17"/>
        <v>0</v>
      </c>
      <c r="L71" s="205">
        <f t="shared" si="18"/>
        <v>14</v>
      </c>
      <c r="M71" s="245">
        <f t="shared" si="19"/>
        <v>7</v>
      </c>
      <c r="N71" s="211">
        <f t="shared" si="19"/>
        <v>7</v>
      </c>
      <c r="O71" s="219">
        <f t="shared" si="6"/>
        <v>28</v>
      </c>
      <c r="Q71" s="259">
        <f>INDEX(D71:O71,1,Menu!$B$27)</f>
        <v>0</v>
      </c>
      <c r="R71" s="255">
        <v>44</v>
      </c>
      <c r="S71" s="255" t="str">
        <f t="shared" si="9"/>
        <v>Tubo com Rebarba</v>
      </c>
      <c r="T71" s="259" t="e">
        <f t="shared" si="10"/>
        <v>#DIV/0!</v>
      </c>
      <c r="U71" s="224">
        <f t="shared" si="11"/>
        <v>69044</v>
      </c>
      <c r="V71" s="224">
        <f t="shared" si="7"/>
        <v>49024</v>
      </c>
      <c r="W71" s="224">
        <f t="shared" si="8"/>
        <v>24</v>
      </c>
      <c r="X71" s="224">
        <v>44</v>
      </c>
      <c r="Y71" s="224" t="str">
        <f t="shared" si="12"/>
        <v>Mistura no Tubo</v>
      </c>
      <c r="Z71" s="225" t="e">
        <f t="shared" si="13"/>
        <v>#DIV/0!</v>
      </c>
      <c r="AA71" s="225" t="e">
        <f t="shared" si="16"/>
        <v>#DIV/0!</v>
      </c>
      <c r="AB71" s="60" t="e">
        <f t="shared" si="14"/>
        <v>#DIV/0!</v>
      </c>
      <c r="AC71" s="60" t="e">
        <f t="shared" si="15"/>
        <v>#DIV/0!</v>
      </c>
    </row>
    <row r="72" spans="1:29">
      <c r="A72" s="352"/>
      <c r="B72" s="127">
        <f t="shared" si="20"/>
        <v>700</v>
      </c>
      <c r="C72" s="133" t="str">
        <f>VLOOKUP(B72,'Tipos de Defeitos'!B$4:E$106,Menu!$B$28+1,)</f>
        <v>Curto Circuito Externo</v>
      </c>
      <c r="D72" s="205">
        <f>'[3]UM-4 - Dia'!AS72</f>
        <v>1</v>
      </c>
      <c r="E72" s="245">
        <f>'[3]UM-4 - 2T'!AS72</f>
        <v>6</v>
      </c>
      <c r="F72" s="211">
        <f>'[3]UM-4 - 3T'!AS72</f>
        <v>1</v>
      </c>
      <c r="G72" s="261">
        <f t="shared" si="5"/>
        <v>7</v>
      </c>
      <c r="H72" s="205">
        <f>'UM-4 - Dia'!AS72</f>
        <v>0</v>
      </c>
      <c r="I72" s="245">
        <f>'UM-4 - 2T'!AS72</f>
        <v>0</v>
      </c>
      <c r="J72" s="211">
        <f>'UM-4 - 3T'!AS72</f>
        <v>0</v>
      </c>
      <c r="K72" s="261">
        <f t="shared" si="17"/>
        <v>0</v>
      </c>
      <c r="L72" s="205">
        <f t="shared" si="18"/>
        <v>1</v>
      </c>
      <c r="M72" s="245">
        <f t="shared" si="19"/>
        <v>6</v>
      </c>
      <c r="N72" s="211">
        <f t="shared" si="19"/>
        <v>1</v>
      </c>
      <c r="O72" s="219">
        <f t="shared" si="6"/>
        <v>8</v>
      </c>
      <c r="P72" s="227" t="e">
        <f>O72/$O$27*$O$24/$O$7*1000000</f>
        <v>#DIV/0!</v>
      </c>
      <c r="Q72" s="259">
        <f>INDEX(D72:O72,1,Menu!$B$27)</f>
        <v>0</v>
      </c>
      <c r="R72" s="255">
        <v>45</v>
      </c>
      <c r="S72" s="255" t="str">
        <f t="shared" si="9"/>
        <v>Curto Circuito Externo</v>
      </c>
      <c r="T72" s="259" t="e">
        <f t="shared" si="10"/>
        <v>#DIV/0!</v>
      </c>
      <c r="U72" s="224">
        <f t="shared" si="11"/>
        <v>70045</v>
      </c>
      <c r="V72" s="224">
        <f t="shared" si="7"/>
        <v>48023</v>
      </c>
      <c r="W72" s="224">
        <f t="shared" si="8"/>
        <v>23</v>
      </c>
      <c r="X72" s="224">
        <v>45</v>
      </c>
      <c r="Y72" s="224" t="str">
        <f t="shared" si="12"/>
        <v>Cobre</v>
      </c>
      <c r="Z72" s="225" t="e">
        <f t="shared" si="13"/>
        <v>#DIV/0!</v>
      </c>
      <c r="AA72" s="225" t="e">
        <f t="shared" si="16"/>
        <v>#DIV/0!</v>
      </c>
      <c r="AB72" s="60" t="e">
        <f t="shared" si="14"/>
        <v>#DIV/0!</v>
      </c>
      <c r="AC72" s="60" t="e">
        <f t="shared" si="15"/>
        <v>#DIV/0!</v>
      </c>
    </row>
    <row r="73" spans="1:29">
      <c r="A73" s="352"/>
      <c r="B73" s="127">
        <f t="shared" si="20"/>
        <v>710</v>
      </c>
      <c r="C73" s="133" t="str">
        <f>VLOOKUP(B73,'Tipos de Defeitos'!B$4:E$106,Menu!$B$28+1,)</f>
        <v>Curto Circ. Externo -  Cap sujo</v>
      </c>
      <c r="D73" s="205">
        <f>'[3]UM-4 - Dia'!AS73</f>
        <v>0</v>
      </c>
      <c r="E73" s="245">
        <f>'[3]UM-4 - 2T'!AS73</f>
        <v>0</v>
      </c>
      <c r="F73" s="211">
        <f>'[3]UM-4 - 3T'!AS73</f>
        <v>0</v>
      </c>
      <c r="G73" s="261">
        <f t="shared" si="5"/>
        <v>0</v>
      </c>
      <c r="H73" s="205">
        <f>'UM-4 - Dia'!AS73</f>
        <v>0</v>
      </c>
      <c r="I73" s="245">
        <f>'UM-4 - 2T'!AS73</f>
        <v>0</v>
      </c>
      <c r="J73" s="211">
        <f>'UM-4 - 3T'!AS73</f>
        <v>0</v>
      </c>
      <c r="K73" s="261">
        <f t="shared" si="17"/>
        <v>0</v>
      </c>
      <c r="L73" s="205">
        <f t="shared" si="18"/>
        <v>0</v>
      </c>
      <c r="M73" s="245">
        <f t="shared" si="19"/>
        <v>0</v>
      </c>
      <c r="N73" s="211">
        <f t="shared" si="19"/>
        <v>0</v>
      </c>
      <c r="O73" s="219">
        <f t="shared" si="6"/>
        <v>0</v>
      </c>
      <c r="Q73" s="259">
        <f>INDEX(D73:O73,1,Menu!$B$27)</f>
        <v>0</v>
      </c>
      <c r="R73" s="255">
        <v>46</v>
      </c>
      <c r="S73" s="255" t="str">
        <f t="shared" si="9"/>
        <v>Curto Circ. Externo -  Cap sujo</v>
      </c>
      <c r="T73" s="259" t="e">
        <f t="shared" si="10"/>
        <v>#DIV/0!</v>
      </c>
      <c r="U73" s="224">
        <f t="shared" si="11"/>
        <v>71046</v>
      </c>
      <c r="V73" s="224">
        <f t="shared" si="7"/>
        <v>47022</v>
      </c>
      <c r="W73" s="224">
        <f t="shared" si="8"/>
        <v>22</v>
      </c>
      <c r="X73" s="224">
        <v>46</v>
      </c>
      <c r="Y73" s="224" t="str">
        <f t="shared" si="12"/>
        <v>Ferro</v>
      </c>
      <c r="Z73" s="225" t="e">
        <f t="shared" si="13"/>
        <v>#DIV/0!</v>
      </c>
      <c r="AA73" s="225" t="e">
        <f t="shared" si="16"/>
        <v>#DIV/0!</v>
      </c>
      <c r="AB73" s="60" t="e">
        <f t="shared" si="14"/>
        <v>#DIV/0!</v>
      </c>
      <c r="AC73" s="60" t="e">
        <f t="shared" si="15"/>
        <v>#DIV/0!</v>
      </c>
    </row>
    <row r="74" spans="1:29">
      <c r="A74" s="352"/>
      <c r="B74" s="127">
        <f t="shared" si="20"/>
        <v>720</v>
      </c>
      <c r="C74" s="133" t="str">
        <f>VLOOKUP(B74,'Tipos de Defeitos'!B$4:E$106,Menu!$B$28+1,)</f>
        <v>Pilha recuperada do Acabamento</v>
      </c>
      <c r="D74" s="205">
        <f>'[3]UM-4 - Dia'!AS74</f>
        <v>0</v>
      </c>
      <c r="E74" s="245">
        <f>'[3]UM-4 - 2T'!AS74</f>
        <v>0</v>
      </c>
      <c r="F74" s="211">
        <f>'[3]UM-4 - 3T'!AS74</f>
        <v>0</v>
      </c>
      <c r="G74" s="261">
        <f t="shared" si="5"/>
        <v>0</v>
      </c>
      <c r="H74" s="205">
        <f>'UM-4 - Dia'!AS74</f>
        <v>0</v>
      </c>
      <c r="I74" s="245">
        <f>'UM-4 - 2T'!AS74</f>
        <v>0</v>
      </c>
      <c r="J74" s="211">
        <f>'UM-4 - 3T'!AS74</f>
        <v>0</v>
      </c>
      <c r="K74" s="261">
        <f t="shared" si="17"/>
        <v>0</v>
      </c>
      <c r="L74" s="205">
        <f t="shared" si="18"/>
        <v>0</v>
      </c>
      <c r="M74" s="245">
        <f t="shared" si="19"/>
        <v>0</v>
      </c>
      <c r="N74" s="211">
        <f t="shared" si="19"/>
        <v>0</v>
      </c>
      <c r="O74" s="219">
        <f t="shared" si="6"/>
        <v>0</v>
      </c>
      <c r="Q74" s="259">
        <f>INDEX(D74:O74,1,Menu!$B$27)</f>
        <v>0</v>
      </c>
      <c r="R74" s="255">
        <v>47</v>
      </c>
      <c r="S74" s="255" t="str">
        <f t="shared" si="9"/>
        <v>Pilha recuperada do Acabamento</v>
      </c>
      <c r="T74" s="259" t="e">
        <f t="shared" si="10"/>
        <v>#DIV/0!</v>
      </c>
      <c r="U74" s="224">
        <f t="shared" si="11"/>
        <v>72047</v>
      </c>
      <c r="V74" s="224">
        <f t="shared" si="7"/>
        <v>46021</v>
      </c>
      <c r="W74" s="224">
        <f t="shared" si="8"/>
        <v>21</v>
      </c>
      <c r="X74" s="224">
        <v>47</v>
      </c>
      <c r="Y74" s="224" t="str">
        <f t="shared" si="12"/>
        <v>Manchado Superior</v>
      </c>
      <c r="Z74" s="225" t="e">
        <f t="shared" si="13"/>
        <v>#DIV/0!</v>
      </c>
      <c r="AA74" s="225" t="e">
        <f t="shared" si="16"/>
        <v>#DIV/0!</v>
      </c>
      <c r="AB74" s="60" t="e">
        <f t="shared" si="14"/>
        <v>#DIV/0!</v>
      </c>
      <c r="AC74" s="60" t="e">
        <f t="shared" si="15"/>
        <v>#DIV/0!</v>
      </c>
    </row>
    <row r="75" spans="1:29">
      <c r="A75" s="352"/>
      <c r="B75" s="127">
        <f t="shared" si="20"/>
        <v>730</v>
      </c>
      <c r="C75" s="133" t="str">
        <f>VLOOKUP(B75,'Tipos de Defeitos'!B$4:E$106,Menu!$B$28+1,)</f>
        <v>Causa Desconhecida - Voltagem</v>
      </c>
      <c r="D75" s="205">
        <f>'[3]UM-4 - Dia'!AS75</f>
        <v>5</v>
      </c>
      <c r="E75" s="245">
        <f>'[3]UM-4 - 2T'!AS75</f>
        <v>8</v>
      </c>
      <c r="F75" s="211">
        <f>'[3]UM-4 - 3T'!AS75</f>
        <v>5</v>
      </c>
      <c r="G75" s="261">
        <f t="shared" si="5"/>
        <v>13</v>
      </c>
      <c r="H75" s="205">
        <f>'UM-4 - Dia'!AS75</f>
        <v>0</v>
      </c>
      <c r="I75" s="245">
        <f>'UM-4 - 2T'!AS75</f>
        <v>0</v>
      </c>
      <c r="J75" s="211">
        <f>'UM-4 - 3T'!AS75</f>
        <v>0</v>
      </c>
      <c r="K75" s="261">
        <f t="shared" si="17"/>
        <v>0</v>
      </c>
      <c r="L75" s="205">
        <f t="shared" si="18"/>
        <v>5</v>
      </c>
      <c r="M75" s="245">
        <f t="shared" si="19"/>
        <v>8</v>
      </c>
      <c r="N75" s="211">
        <f t="shared" si="19"/>
        <v>5</v>
      </c>
      <c r="O75" s="219">
        <f t="shared" si="6"/>
        <v>18</v>
      </c>
      <c r="Q75" s="259">
        <f>INDEX(D75:O75,1,Menu!$B$27)</f>
        <v>0</v>
      </c>
      <c r="R75" s="255">
        <v>48</v>
      </c>
      <c r="S75" s="255" t="str">
        <f t="shared" si="9"/>
        <v>Causa Desconhecida - Voltagem</v>
      </c>
      <c r="T75" s="259" t="e">
        <f t="shared" si="10"/>
        <v>#DIV/0!</v>
      </c>
      <c r="U75" s="224">
        <f t="shared" si="11"/>
        <v>73048</v>
      </c>
      <c r="V75" s="224">
        <f t="shared" si="7"/>
        <v>45020</v>
      </c>
      <c r="W75" s="224">
        <f t="shared" si="8"/>
        <v>20</v>
      </c>
      <c r="X75" s="224">
        <v>48</v>
      </c>
      <c r="Y75" s="224" t="str">
        <f t="shared" si="12"/>
        <v>Manchado</v>
      </c>
      <c r="Z75" s="225" t="e">
        <f t="shared" si="13"/>
        <v>#DIV/0!</v>
      </c>
      <c r="AA75" s="225" t="e">
        <f t="shared" si="16"/>
        <v>#DIV/0!</v>
      </c>
      <c r="AB75" s="60" t="e">
        <f t="shared" si="14"/>
        <v>#DIV/0!</v>
      </c>
      <c r="AC75" s="60" t="e">
        <f t="shared" si="15"/>
        <v>#DIV/0!</v>
      </c>
    </row>
    <row r="76" spans="1:29">
      <c r="A76" s="352"/>
      <c r="B76" s="127">
        <f t="shared" si="20"/>
        <v>740</v>
      </c>
      <c r="C76" s="133" t="str">
        <f>VLOOKUP(B76,'Tipos de Defeitos'!B$4:E$106,Menu!$B$28+1,)</f>
        <v>Pilha Boa</v>
      </c>
      <c r="D76" s="205">
        <f>'[3]UM-4 - Dia'!AS76</f>
        <v>0</v>
      </c>
      <c r="E76" s="245">
        <f>'[3]UM-4 - 2T'!AS76</f>
        <v>0</v>
      </c>
      <c r="F76" s="211">
        <f>'[3]UM-4 - 3T'!AS76</f>
        <v>0</v>
      </c>
      <c r="G76" s="261">
        <f t="shared" si="5"/>
        <v>0</v>
      </c>
      <c r="H76" s="205">
        <f>'UM-4 - Dia'!AS76</f>
        <v>0</v>
      </c>
      <c r="I76" s="245">
        <f>'UM-4 - 2T'!AS76</f>
        <v>0</v>
      </c>
      <c r="J76" s="211">
        <f>'UM-4 - 3T'!AS76</f>
        <v>0</v>
      </c>
      <c r="K76" s="261">
        <f t="shared" si="17"/>
        <v>0</v>
      </c>
      <c r="L76" s="205">
        <f t="shared" si="18"/>
        <v>0</v>
      </c>
      <c r="M76" s="245">
        <f t="shared" si="19"/>
        <v>0</v>
      </c>
      <c r="N76" s="211">
        <f t="shared" si="19"/>
        <v>0</v>
      </c>
      <c r="O76" s="219">
        <f t="shared" si="6"/>
        <v>0</v>
      </c>
      <c r="Q76" s="259">
        <f>INDEX(D76:O76,1,Menu!$B$27)</f>
        <v>0</v>
      </c>
      <c r="R76" s="255">
        <v>49</v>
      </c>
      <c r="S76" s="255" t="str">
        <f t="shared" si="9"/>
        <v>Pilha Boa</v>
      </c>
      <c r="T76" s="259" t="e">
        <f t="shared" si="10"/>
        <v>#DIV/0!</v>
      </c>
      <c r="U76" s="224">
        <f t="shared" si="11"/>
        <v>74049</v>
      </c>
      <c r="V76" s="224">
        <f t="shared" si="7"/>
        <v>44019</v>
      </c>
      <c r="W76" s="224">
        <f t="shared" si="8"/>
        <v>19</v>
      </c>
      <c r="X76" s="224">
        <v>49</v>
      </c>
      <c r="Y76" s="224" t="str">
        <f t="shared" si="12"/>
        <v>Papel sujo</v>
      </c>
      <c r="Z76" s="225" t="e">
        <f t="shared" si="13"/>
        <v>#DIV/0!</v>
      </c>
      <c r="AA76" s="225" t="e">
        <f t="shared" si="16"/>
        <v>#DIV/0!</v>
      </c>
      <c r="AB76" s="60" t="e">
        <f t="shared" si="14"/>
        <v>#DIV/0!</v>
      </c>
      <c r="AC76" s="60" t="e">
        <f t="shared" si="15"/>
        <v>#DIV/0!</v>
      </c>
    </row>
    <row r="77" spans="1:29" ht="13.5" thickBot="1">
      <c r="A77" s="353"/>
      <c r="B77" s="130">
        <f t="shared" si="20"/>
        <v>750</v>
      </c>
      <c r="C77" s="134" t="str">
        <f>VLOOKUP(B77,'Tipos de Defeitos'!B$4:E$106,Menu!$B$28+1,)</f>
        <v>Outros - Voltagem</v>
      </c>
      <c r="D77" s="212">
        <f>'[3]UM-4 - Dia'!AS77</f>
        <v>3</v>
      </c>
      <c r="E77" s="246">
        <f>'[3]UM-4 - 2T'!AS77</f>
        <v>0</v>
      </c>
      <c r="F77" s="213">
        <f>'[3]UM-4 - 3T'!AS77</f>
        <v>1</v>
      </c>
      <c r="G77" s="264">
        <f t="shared" si="5"/>
        <v>3</v>
      </c>
      <c r="H77" s="212">
        <f>'UM-4 - Dia'!AS77</f>
        <v>0</v>
      </c>
      <c r="I77" s="246">
        <f>'UM-4 - 2T'!AS77</f>
        <v>0</v>
      </c>
      <c r="J77" s="213">
        <f>'UM-4 - 3T'!AS77</f>
        <v>0</v>
      </c>
      <c r="K77" s="264">
        <f t="shared" si="17"/>
        <v>0</v>
      </c>
      <c r="L77" s="304">
        <f t="shared" si="18"/>
        <v>3</v>
      </c>
      <c r="M77" s="326">
        <f t="shared" si="19"/>
        <v>0</v>
      </c>
      <c r="N77" s="305">
        <f t="shared" si="19"/>
        <v>1</v>
      </c>
      <c r="O77" s="220">
        <f t="shared" si="6"/>
        <v>4</v>
      </c>
      <c r="Q77" s="259">
        <f>INDEX(D77:O77,1,Menu!$B$27)</f>
        <v>0</v>
      </c>
      <c r="R77" s="255">
        <v>50</v>
      </c>
      <c r="S77" s="255" t="str">
        <f t="shared" si="9"/>
        <v>Outros - Voltagem</v>
      </c>
      <c r="T77" s="259" t="e">
        <f t="shared" si="10"/>
        <v>#DIV/0!</v>
      </c>
      <c r="U77" s="224">
        <f t="shared" si="11"/>
        <v>75050</v>
      </c>
      <c r="V77" s="224">
        <f>LARGE($U$28:$U$94,R77)</f>
        <v>43018</v>
      </c>
      <c r="W77" s="224">
        <f>MATCH(V77,$U$28:$U$94,0)</f>
        <v>18</v>
      </c>
      <c r="X77" s="224">
        <v>50</v>
      </c>
      <c r="Y77" s="224" t="str">
        <f t="shared" si="12"/>
        <v>Isolador Inclinado</v>
      </c>
      <c r="Z77" s="225" t="e">
        <f t="shared" si="13"/>
        <v>#DIV/0!</v>
      </c>
      <c r="AA77" s="225" t="e">
        <f t="shared" si="16"/>
        <v>#DIV/0!</v>
      </c>
      <c r="AB77" s="60" t="e">
        <f t="shared" si="14"/>
        <v>#DIV/0!</v>
      </c>
      <c r="AC77" s="60" t="e">
        <f t="shared" si="15"/>
        <v>#DIV/0!</v>
      </c>
    </row>
    <row r="78" spans="1:29">
      <c r="A78" s="351" t="s">
        <v>201</v>
      </c>
      <c r="B78" s="129">
        <f t="shared" si="20"/>
        <v>760</v>
      </c>
      <c r="C78" s="132" t="str">
        <f>VLOOKUP(B78,'Tipos de Defeitos'!B$4:E$106,Menu!$B$28+1,)</f>
        <v>Total (pçs)</v>
      </c>
      <c r="D78" s="207">
        <f>'[3]UM-4 - Dia'!AS78</f>
        <v>150</v>
      </c>
      <c r="E78" s="243">
        <f>'[3]UM-4 - 2T'!AS78</f>
        <v>159</v>
      </c>
      <c r="F78" s="208">
        <f>'[3]UM-4 - 3T'!AS78</f>
        <v>147</v>
      </c>
      <c r="G78" s="262">
        <f>SUBTOTAL(9,D78:F78)</f>
        <v>456</v>
      </c>
      <c r="H78" s="207">
        <f>'UM-4 - Dia'!AS78</f>
        <v>0</v>
      </c>
      <c r="I78" s="243">
        <f>'UM-4 - 2T'!AS78</f>
        <v>0</v>
      </c>
      <c r="J78" s="208">
        <f>'UM-4 - 3T'!AS78</f>
        <v>0</v>
      </c>
      <c r="K78" s="217">
        <f t="shared" si="17"/>
        <v>0</v>
      </c>
      <c r="L78" s="207">
        <f t="shared" si="18"/>
        <v>150</v>
      </c>
      <c r="M78" s="243">
        <f t="shared" si="19"/>
        <v>159</v>
      </c>
      <c r="N78" s="208">
        <f t="shared" si="19"/>
        <v>147</v>
      </c>
      <c r="O78" s="217">
        <f t="shared" si="6"/>
        <v>456</v>
      </c>
      <c r="P78" s="187"/>
      <c r="Q78" s="259">
        <f>INDEX(D78:O78,1,Menu!$B$27)</f>
        <v>0</v>
      </c>
      <c r="R78" s="255">
        <v>51</v>
      </c>
      <c r="S78" s="139" t="str">
        <f>C86</f>
        <v>Papel Separdor Duplo</v>
      </c>
      <c r="T78" s="259" t="e">
        <f>Q86/$Q$27*$Q$24/$Q$7*1000000</f>
        <v>#DIV/0!</v>
      </c>
      <c r="U78" s="224">
        <f>Q86*100000+B78*100+R78</f>
        <v>76051</v>
      </c>
      <c r="V78" s="224">
        <f t="shared" ref="V78:V94" si="21">LARGE($U$28:$U$94,R78)</f>
        <v>42017</v>
      </c>
      <c r="W78" s="224">
        <f t="shared" ref="W78:W94" si="22">MATCH(V78,$U$28:$U$94,0)</f>
        <v>17</v>
      </c>
      <c r="X78" s="224">
        <v>51</v>
      </c>
      <c r="Y78" s="224" t="str">
        <f t="shared" si="12"/>
        <v>Isolador afundado</v>
      </c>
      <c r="Z78" s="224" t="e">
        <f t="shared" si="13"/>
        <v>#DIV/0!</v>
      </c>
      <c r="AA78" s="225" t="e">
        <f t="shared" si="16"/>
        <v>#DIV/0!</v>
      </c>
      <c r="AB78" s="60" t="e">
        <f t="shared" si="14"/>
        <v>#DIV/0!</v>
      </c>
      <c r="AC78" s="60" t="e">
        <f t="shared" si="15"/>
        <v>#DIV/0!</v>
      </c>
    </row>
    <row r="79" spans="1:29">
      <c r="A79" s="352"/>
      <c r="B79" s="127">
        <f t="shared" si="20"/>
        <v>770</v>
      </c>
      <c r="C79" s="133" t="str">
        <f>VLOOKUP(B79,'Tipos de Defeitos'!B$4:E$106,Menu!$B$28+1,)</f>
        <v>Taxa Defeituosa 1º Teste</v>
      </c>
      <c r="D79" s="209">
        <f>D78/D27*D24/D7*1000000</f>
        <v>1031.7303286541426</v>
      </c>
      <c r="E79" s="244">
        <f>E78/E27*E24/E7*1000000</f>
        <v>368.42181388998171</v>
      </c>
      <c r="F79" s="210">
        <f>F78/F27*F24/F7*1000000</f>
        <v>293.75981161695444</v>
      </c>
      <c r="G79" s="263">
        <f>'[2]UM-4 - 3T'!$AT$79</f>
        <v>505.92801048450184</v>
      </c>
      <c r="H79" s="209" t="e">
        <f>H78/H27*H24/H7*1000000</f>
        <v>#DIV/0!</v>
      </c>
      <c r="I79" s="244" t="e">
        <f>I78/I27*I24/I7*1000000</f>
        <v>#DIV/0!</v>
      </c>
      <c r="J79" s="210" t="e">
        <f>J78/J27*J24/J7*1000000</f>
        <v>#DIV/0!</v>
      </c>
      <c r="K79" s="218" t="e">
        <f t="shared" si="17"/>
        <v>#DIV/0!</v>
      </c>
      <c r="L79" s="205" t="e">
        <f>L78/L27*L24/L7*1000000</f>
        <v>#DIV/0!</v>
      </c>
      <c r="M79" s="245" t="e">
        <f>M78/M27*M24/M7*1000000</f>
        <v>#DIV/0!</v>
      </c>
      <c r="N79" s="211" t="e">
        <f>N78/N27*N24/N7*1000000</f>
        <v>#DIV/0!</v>
      </c>
      <c r="O79" s="218" t="e">
        <f>O78/O27*O24/O7*1000000</f>
        <v>#DIV/0!</v>
      </c>
      <c r="P79" s="187"/>
      <c r="Q79" s="259" t="e">
        <f>INDEX(D79:O79,1,Menu!$B$27)</f>
        <v>#DIV/0!</v>
      </c>
      <c r="R79" s="255">
        <v>52</v>
      </c>
      <c r="S79" s="139" t="str">
        <f t="shared" ref="S79:S94" si="23">C87</f>
        <v>Pedra de Negro</v>
      </c>
      <c r="T79" s="259" t="e">
        <f t="shared" ref="T79:T94" si="24">Q87/$Q$27*$Q$24/$Q$7*1000000</f>
        <v>#DIV/0!</v>
      </c>
      <c r="U79" s="224">
        <f t="shared" ref="U79:U94" si="25">Q87*100000+B79*100+R79</f>
        <v>77052</v>
      </c>
      <c r="V79" s="224">
        <f t="shared" si="21"/>
        <v>41016</v>
      </c>
      <c r="W79" s="224">
        <f t="shared" si="22"/>
        <v>16</v>
      </c>
      <c r="X79" s="224">
        <v>52</v>
      </c>
      <c r="Y79" s="224" t="str">
        <f t="shared" si="12"/>
        <v>Isolador fora de centro</v>
      </c>
      <c r="Z79" s="224" t="e">
        <f t="shared" si="13"/>
        <v>#DIV/0!</v>
      </c>
      <c r="AA79" s="225" t="e">
        <f t="shared" si="16"/>
        <v>#DIV/0!</v>
      </c>
      <c r="AB79" s="60" t="e">
        <f t="shared" si="14"/>
        <v>#DIV/0!</v>
      </c>
      <c r="AC79" s="60" t="e">
        <f t="shared" si="15"/>
        <v>#DIV/0!</v>
      </c>
    </row>
    <row r="80" spans="1:29">
      <c r="A80" s="352"/>
      <c r="B80" s="127">
        <f t="shared" si="20"/>
        <v>780</v>
      </c>
      <c r="C80" s="133" t="str">
        <f>VLOOKUP(B80,'Tipos de Defeitos'!B$4:E$106,Menu!$B$28+1,)</f>
        <v>Taxa defeituosa (ppm)</v>
      </c>
      <c r="D80" s="205">
        <f>D24/D7*1000000</f>
        <v>1100.5123505644187</v>
      </c>
      <c r="E80" s="245">
        <f>E24/E7*1000000</f>
        <v>370.73893221633381</v>
      </c>
      <c r="F80" s="211">
        <f>F24/F7*1000000</f>
        <v>319.73857046743348</v>
      </c>
      <c r="G80" s="219" cm="1">
        <f t="array" ref="G80">[2]!TX_DV_TT</f>
        <v>609.67486387574752</v>
      </c>
      <c r="H80" s="205" t="e">
        <f>H24/H7*1000000</f>
        <v>#DIV/0!</v>
      </c>
      <c r="I80" s="245" t="e">
        <f>I24/I7*1000000</f>
        <v>#DIV/0!</v>
      </c>
      <c r="J80" s="211" t="e">
        <f>J24/J7*1000000</f>
        <v>#DIV/0!</v>
      </c>
      <c r="K80" s="219" t="e">
        <f>'UM-4 - 2T'!AT80</f>
        <v>#DIV/0!</v>
      </c>
      <c r="L80" s="205" t="e">
        <f>L24/L7*1000000</f>
        <v>#DIV/0!</v>
      </c>
      <c r="M80" s="245" t="e">
        <f>M24/M7*1000000</f>
        <v>#DIV/0!</v>
      </c>
      <c r="N80" s="211" t="e">
        <f>N24/N7*1000000</f>
        <v>#DIV/0!</v>
      </c>
      <c r="O80" s="219" t="e">
        <f>O78/O27*O24/O7*1000000</f>
        <v>#DIV/0!</v>
      </c>
      <c r="P80" s="187"/>
      <c r="Q80" s="259" t="e">
        <f>INDEX(D80:O80,1,Menu!$B$27)</f>
        <v>#DIV/0!</v>
      </c>
      <c r="R80" s="255">
        <v>53</v>
      </c>
      <c r="S80" s="139" t="str">
        <f t="shared" si="23"/>
        <v>Pedra de Cl de Amônia</v>
      </c>
      <c r="T80" s="259" t="e">
        <f t="shared" si="24"/>
        <v>#DIV/0!</v>
      </c>
      <c r="U80" s="224">
        <f t="shared" si="25"/>
        <v>78053</v>
      </c>
      <c r="V80" s="224">
        <f t="shared" si="21"/>
        <v>40015</v>
      </c>
      <c r="W80" s="224">
        <f t="shared" si="22"/>
        <v>15</v>
      </c>
      <c r="X80" s="224">
        <v>53</v>
      </c>
      <c r="Y80" s="224" t="str">
        <f t="shared" si="12"/>
        <v>Disco fora de centro / deslocado</v>
      </c>
      <c r="Z80" s="224" t="e">
        <f t="shared" si="13"/>
        <v>#DIV/0!</v>
      </c>
      <c r="AA80" s="225" t="e">
        <f t="shared" si="16"/>
        <v>#DIV/0!</v>
      </c>
      <c r="AB80" s="60" t="e">
        <f t="shared" si="14"/>
        <v>#DIV/0!</v>
      </c>
      <c r="AC80" s="60" t="e">
        <f t="shared" si="15"/>
        <v>#DIV/0!</v>
      </c>
    </row>
    <row r="81" spans="1:29">
      <c r="A81" s="352"/>
      <c r="B81" s="127">
        <f t="shared" si="20"/>
        <v>790</v>
      </c>
      <c r="C81" s="133" t="str">
        <f>VLOOKUP(B81,'Tipos de Defeitos'!B$4:E$106,Menu!$B$28+1,)</f>
        <v>Qtd. Defeitos internos (pçs)</v>
      </c>
      <c r="D81" s="205">
        <f>'[3]UM-4 - Dia'!AS81</f>
        <v>117</v>
      </c>
      <c r="E81" s="245">
        <f>'[3]UM-4 - 2T'!AS81</f>
        <v>127</v>
      </c>
      <c r="F81" s="211">
        <f>'[3]UM-4 - 3T'!AS81</f>
        <v>126</v>
      </c>
      <c r="G81" s="261">
        <f>SUBTOTAL(9,D81:F81)</f>
        <v>370</v>
      </c>
      <c r="H81" s="205">
        <f>'UM-4 - Dia'!AS81</f>
        <v>0</v>
      </c>
      <c r="I81" s="245">
        <f>'UM-4 - 2T'!AS81</f>
        <v>0</v>
      </c>
      <c r="J81" s="211">
        <f>'UM-4 - 3T'!AS81</f>
        <v>0</v>
      </c>
      <c r="K81" s="219">
        <f>SUBTOTAL(9,H81:J81)</f>
        <v>0</v>
      </c>
      <c r="L81" s="205">
        <f>H81+D81</f>
        <v>117</v>
      </c>
      <c r="M81" s="245">
        <f>I81+E81</f>
        <v>127</v>
      </c>
      <c r="N81" s="211">
        <f>J81+F81</f>
        <v>126</v>
      </c>
      <c r="O81" s="219">
        <f>SUBTOTAL(9,D81:K81)</f>
        <v>370</v>
      </c>
      <c r="P81" s="187"/>
      <c r="Q81" s="259">
        <f>INDEX(D81:O81,1,Menu!$B$27)</f>
        <v>0</v>
      </c>
      <c r="R81" s="255">
        <v>54</v>
      </c>
      <c r="S81" s="139" t="str">
        <f t="shared" si="23"/>
        <v>Pelota de Manganês</v>
      </c>
      <c r="T81" s="259" t="e">
        <f t="shared" si="24"/>
        <v>#DIV/0!</v>
      </c>
      <c r="U81" s="224">
        <f t="shared" si="25"/>
        <v>79054</v>
      </c>
      <c r="V81" s="224">
        <f t="shared" si="21"/>
        <v>39014</v>
      </c>
      <c r="W81" s="224">
        <f t="shared" si="22"/>
        <v>14</v>
      </c>
      <c r="X81" s="224">
        <v>54</v>
      </c>
      <c r="Y81" s="224" t="str">
        <f t="shared" si="12"/>
        <v>Disco Dobrado</v>
      </c>
      <c r="Z81" s="224" t="e">
        <f t="shared" si="13"/>
        <v>#DIV/0!</v>
      </c>
      <c r="AA81" s="225" t="e">
        <f t="shared" si="16"/>
        <v>#DIV/0!</v>
      </c>
      <c r="AB81" s="60" t="e">
        <f t="shared" si="14"/>
        <v>#DIV/0!</v>
      </c>
      <c r="AC81" s="60" t="e">
        <f t="shared" si="15"/>
        <v>#DIV/0!</v>
      </c>
    </row>
    <row r="82" spans="1:29" ht="13.5" thickBot="1">
      <c r="A82" s="353"/>
      <c r="B82" s="130">
        <f t="shared" si="20"/>
        <v>800</v>
      </c>
      <c r="C82" s="134" t="str">
        <f>VLOOKUP(B82,'Tipos de Defeitos'!B$4:E$106,Menu!$B$28+1,)</f>
        <v>Defeitos Internos - Taxa defeituosa (ppm)</v>
      </c>
      <c r="D82" s="212">
        <f t="shared" ref="D82:O82" si="26">D81/D27*D24/D7*1000000</f>
        <v>804.74965635023113</v>
      </c>
      <c r="E82" s="246">
        <f t="shared" si="26"/>
        <v>294.27402744671491</v>
      </c>
      <c r="F82" s="213">
        <f t="shared" si="26"/>
        <v>251.79412424310382</v>
      </c>
      <c r="G82" s="264">
        <f t="shared" si="26"/>
        <v>410.5117628931265</v>
      </c>
      <c r="H82" s="212" t="e">
        <f t="shared" si="26"/>
        <v>#DIV/0!</v>
      </c>
      <c r="I82" s="246" t="e">
        <f t="shared" si="26"/>
        <v>#DIV/0!</v>
      </c>
      <c r="J82" s="213" t="e">
        <f t="shared" si="26"/>
        <v>#DIV/0!</v>
      </c>
      <c r="K82" s="220" t="e">
        <f t="shared" si="26"/>
        <v>#DIV/0!</v>
      </c>
      <c r="L82" s="212" t="e">
        <f t="shared" si="26"/>
        <v>#DIV/0!</v>
      </c>
      <c r="M82" s="327" t="e">
        <f t="shared" si="26"/>
        <v>#DIV/0!</v>
      </c>
      <c r="N82" s="213" t="e">
        <f t="shared" si="26"/>
        <v>#DIV/0!</v>
      </c>
      <c r="O82" s="220" t="e">
        <f t="shared" si="26"/>
        <v>#DIV/0!</v>
      </c>
      <c r="P82" s="187"/>
      <c r="Q82" s="259" t="e">
        <f>INDEX(D82:O82,1,Menu!$B$27)</f>
        <v>#DIV/0!</v>
      </c>
      <c r="R82" s="255">
        <v>55</v>
      </c>
      <c r="S82" s="139" t="str">
        <f t="shared" si="23"/>
        <v>Bobina Baixa</v>
      </c>
      <c r="T82" s="259" t="e">
        <f t="shared" si="24"/>
        <v>#DIV/0!</v>
      </c>
      <c r="U82" s="224">
        <f t="shared" si="25"/>
        <v>80055</v>
      </c>
      <c r="V82" s="224">
        <f t="shared" si="21"/>
        <v>38013</v>
      </c>
      <c r="W82" s="224">
        <f t="shared" si="22"/>
        <v>13</v>
      </c>
      <c r="X82" s="224">
        <v>55</v>
      </c>
      <c r="Y82" s="224" t="str">
        <f t="shared" si="12"/>
        <v>Disco Furado</v>
      </c>
      <c r="Z82" s="224" t="e">
        <f t="shared" si="13"/>
        <v>#DIV/0!</v>
      </c>
      <c r="AA82" s="225" t="e">
        <f t="shared" si="16"/>
        <v>#DIV/0!</v>
      </c>
      <c r="AB82" s="60" t="e">
        <f t="shared" si="14"/>
        <v>#DIV/0!</v>
      </c>
      <c r="AC82" s="60" t="e">
        <f t="shared" si="15"/>
        <v>#DIV/0!</v>
      </c>
    </row>
    <row r="83" spans="1:29" ht="14.25" customHeight="1">
      <c r="A83" s="354" t="s">
        <v>199</v>
      </c>
      <c r="B83" s="129">
        <f t="shared" si="20"/>
        <v>810</v>
      </c>
      <c r="C83" s="132" t="str">
        <f>VLOOKUP(B83,'Tipos de Defeitos'!B$4:E$106,Menu!$B$28+1,)</f>
        <v>Amperagem (Moda)</v>
      </c>
      <c r="D83" s="207"/>
      <c r="E83" s="243"/>
      <c r="F83" s="208"/>
      <c r="G83" s="262"/>
      <c r="H83" s="207"/>
      <c r="I83" s="243"/>
      <c r="J83" s="208"/>
      <c r="K83" s="262"/>
      <c r="L83" s="209"/>
      <c r="M83" s="244"/>
      <c r="N83" s="210"/>
      <c r="O83" s="217"/>
      <c r="P83" s="187"/>
      <c r="Q83" s="259">
        <f>INDEX(D83:O83,1,Menu!$B$27)</f>
        <v>0</v>
      </c>
      <c r="R83" s="255">
        <v>56</v>
      </c>
      <c r="S83" s="139" t="str">
        <f t="shared" si="23"/>
        <v>Bobina Rachada</v>
      </c>
      <c r="T83" s="259" t="e">
        <f t="shared" si="24"/>
        <v>#DIV/0!</v>
      </c>
      <c r="U83" s="224">
        <f t="shared" si="25"/>
        <v>81056</v>
      </c>
      <c r="V83" s="224">
        <f t="shared" si="21"/>
        <v>37012</v>
      </c>
      <c r="W83" s="224">
        <f t="shared" si="22"/>
        <v>12</v>
      </c>
      <c r="X83" s="224">
        <v>56</v>
      </c>
      <c r="Y83" s="224" t="str">
        <f t="shared" si="12"/>
        <v>Disco Rasgado</v>
      </c>
      <c r="Z83" s="224" t="e">
        <f t="shared" si="13"/>
        <v>#DIV/0!</v>
      </c>
      <c r="AA83" s="225" t="e">
        <f t="shared" si="16"/>
        <v>#DIV/0!</v>
      </c>
      <c r="AB83" s="60" t="e">
        <f t="shared" si="14"/>
        <v>#DIV/0!</v>
      </c>
      <c r="AC83" s="60" t="e">
        <f t="shared" si="15"/>
        <v>#DIV/0!</v>
      </c>
    </row>
    <row r="84" spans="1:29">
      <c r="A84" s="355"/>
      <c r="B84" s="127">
        <f t="shared" si="20"/>
        <v>820</v>
      </c>
      <c r="C84" s="133" t="str">
        <f>VLOOKUP(B84,'Tipos de Defeitos'!B$4:E$106,Menu!$B$28+1,)</f>
        <v>Amperagem Ajustada</v>
      </c>
      <c r="D84" s="205"/>
      <c r="E84" s="245"/>
      <c r="F84" s="211"/>
      <c r="G84" s="261"/>
      <c r="H84" s="205"/>
      <c r="I84" s="245"/>
      <c r="J84" s="211"/>
      <c r="K84" s="261"/>
      <c r="L84" s="205"/>
      <c r="M84" s="245"/>
      <c r="N84" s="211"/>
      <c r="O84" s="219"/>
      <c r="P84" s="187"/>
      <c r="Q84" s="259">
        <f>INDEX(D84:O84,1,Menu!$B$27)</f>
        <v>0</v>
      </c>
      <c r="R84" s="255">
        <v>57</v>
      </c>
      <c r="S84" s="139" t="str">
        <f t="shared" si="23"/>
        <v>Emenda de Papel</v>
      </c>
      <c r="T84" s="259" t="e">
        <f t="shared" si="24"/>
        <v>#DIV/0!</v>
      </c>
      <c r="U84" s="224">
        <f t="shared" si="25"/>
        <v>82057</v>
      </c>
      <c r="V84" s="224">
        <f t="shared" si="21"/>
        <v>36011</v>
      </c>
      <c r="W84" s="224">
        <f t="shared" si="22"/>
        <v>11</v>
      </c>
      <c r="X84" s="224">
        <v>57</v>
      </c>
      <c r="Y84" s="224" t="str">
        <f t="shared" si="12"/>
        <v>Disco Cortado</v>
      </c>
      <c r="Z84" s="224" t="e">
        <f t="shared" si="13"/>
        <v>#DIV/0!</v>
      </c>
      <c r="AA84" s="225" t="e">
        <f t="shared" si="16"/>
        <v>#DIV/0!</v>
      </c>
      <c r="AB84" s="60" t="e">
        <f t="shared" si="14"/>
        <v>#DIV/0!</v>
      </c>
      <c r="AC84" s="60" t="e">
        <f t="shared" si="15"/>
        <v>#DIV/0!</v>
      </c>
    </row>
    <row r="85" spans="1:29" ht="13.5" thickBot="1">
      <c r="A85" s="356"/>
      <c r="B85" s="130">
        <f t="shared" si="20"/>
        <v>830</v>
      </c>
      <c r="C85" s="134" t="str">
        <f>VLOOKUP(B85,'Tipos de Defeitos'!B$4:E$106,Menu!$B$28+1,)</f>
        <v>Qtd Baterias analisadas (pçs)</v>
      </c>
      <c r="D85" s="214">
        <f>'[3]UM-4 - Dia'!AS85</f>
        <v>9</v>
      </c>
      <c r="E85" s="320">
        <f>'[3]UM-4 - 2T'!AS85</f>
        <v>1</v>
      </c>
      <c r="F85" s="215">
        <f>'[3]UM-4 - 3T'!AS85</f>
        <v>13</v>
      </c>
      <c r="G85" s="265">
        <f>SUBTOTAL(9,D85:E85)</f>
        <v>10</v>
      </c>
      <c r="H85" s="214">
        <f>'UM-4 - Dia'!AS85</f>
        <v>0</v>
      </c>
      <c r="I85" s="320">
        <f>'UM-4 - 2T'!AS85</f>
        <v>0</v>
      </c>
      <c r="J85" s="215">
        <f>'UM-4 - 3T'!AS85</f>
        <v>0</v>
      </c>
      <c r="K85" s="265">
        <f t="shared" ref="K85:K103" si="27">SUBTOTAL(9,H85:J85)</f>
        <v>0</v>
      </c>
      <c r="L85" s="214">
        <f t="shared" ref="L85:L103" si="28">H85+D85</f>
        <v>9</v>
      </c>
      <c r="M85" s="320">
        <f t="shared" ref="M85:N103" si="29">I85+E85</f>
        <v>1</v>
      </c>
      <c r="N85" s="215">
        <f t="shared" si="29"/>
        <v>13</v>
      </c>
      <c r="O85" s="221">
        <f>SUBTOTAL(9,D85:K85)</f>
        <v>23</v>
      </c>
      <c r="Q85" s="259">
        <f>INDEX(D85:O85,1,Menu!$B$27)</f>
        <v>0</v>
      </c>
      <c r="R85" s="255">
        <v>58</v>
      </c>
      <c r="S85" s="139" t="str">
        <f t="shared" si="23"/>
        <v>Carvão Quebrado</v>
      </c>
      <c r="T85" s="259" t="e">
        <f t="shared" si="24"/>
        <v>#DIV/0!</v>
      </c>
      <c r="U85" s="224">
        <f t="shared" si="25"/>
        <v>83058</v>
      </c>
      <c r="V85" s="224">
        <f t="shared" si="21"/>
        <v>35010</v>
      </c>
      <c r="W85" s="224">
        <f t="shared" si="22"/>
        <v>10</v>
      </c>
      <c r="X85" s="224">
        <v>58</v>
      </c>
      <c r="Y85" s="224" t="str">
        <f t="shared" si="12"/>
        <v>Sem Disco</v>
      </c>
      <c r="Z85" s="224" t="e">
        <f t="shared" si="13"/>
        <v>#DIV/0!</v>
      </c>
      <c r="AA85" s="225" t="e">
        <f t="shared" si="16"/>
        <v>#DIV/0!</v>
      </c>
      <c r="AB85" s="60" t="e">
        <f t="shared" si="14"/>
        <v>#DIV/0!</v>
      </c>
      <c r="AC85" s="60" t="e">
        <f t="shared" si="15"/>
        <v>#DIV/0!</v>
      </c>
    </row>
    <row r="86" spans="1:29" ht="13.5" customHeight="1">
      <c r="A86" s="352" t="s">
        <v>28</v>
      </c>
      <c r="B86" s="128">
        <f t="shared" si="20"/>
        <v>840</v>
      </c>
      <c r="C86" s="139" t="str">
        <f>VLOOKUP(B86,'Tipos de Defeitos'!B$4:E$106,Menu!$B$28+1,)</f>
        <v>Papel Separdor Duplo</v>
      </c>
      <c r="D86" s="209">
        <f>'[3]UM-4 - Dia'!AS86</f>
        <v>0</v>
      </c>
      <c r="E86" s="244">
        <f>'[3]UM-4 - 2T'!AS86</f>
        <v>0</v>
      </c>
      <c r="F86" s="210">
        <f>'[3]UM-4 - 3T'!AS86</f>
        <v>0</v>
      </c>
      <c r="G86" s="263">
        <f t="shared" ref="G86:G102" si="30">SUBTOTAL(9,D86:E86)</f>
        <v>0</v>
      </c>
      <c r="H86" s="209">
        <f>'UM-4 - Dia'!AS86</f>
        <v>0</v>
      </c>
      <c r="I86" s="244">
        <f>'UM-4 - 2T'!AS86</f>
        <v>0</v>
      </c>
      <c r="J86" s="210">
        <f>'UM-4 - 3T'!AS86</f>
        <v>0</v>
      </c>
      <c r="K86" s="263">
        <f t="shared" si="27"/>
        <v>0</v>
      </c>
      <c r="L86" s="209">
        <f t="shared" si="28"/>
        <v>0</v>
      </c>
      <c r="M86" s="244">
        <f t="shared" si="29"/>
        <v>0</v>
      </c>
      <c r="N86" s="210">
        <f t="shared" si="29"/>
        <v>0</v>
      </c>
      <c r="O86" s="218">
        <f t="shared" ref="O86:O103" si="31">SUBTOTAL(9,D86:K86)</f>
        <v>0</v>
      </c>
      <c r="Q86" s="259">
        <f>INDEX(D86:O86,1,Menu!$B$27)</f>
        <v>0</v>
      </c>
      <c r="R86" s="255">
        <v>59</v>
      </c>
      <c r="S86" s="139" t="str">
        <f t="shared" si="23"/>
        <v>Metade do Carvão</v>
      </c>
      <c r="T86" s="259" t="e">
        <f t="shared" si="24"/>
        <v>#DIV/0!</v>
      </c>
      <c r="U86" s="224">
        <f t="shared" si="25"/>
        <v>84059</v>
      </c>
      <c r="V86" s="224">
        <f t="shared" si="21"/>
        <v>34009</v>
      </c>
      <c r="W86" s="224">
        <f t="shared" si="22"/>
        <v>9</v>
      </c>
      <c r="X86" s="224">
        <v>59</v>
      </c>
      <c r="Y86" s="224" t="str">
        <f t="shared" si="12"/>
        <v>Papel menor</v>
      </c>
      <c r="Z86" s="224" t="e">
        <f t="shared" si="13"/>
        <v>#DIV/0!</v>
      </c>
      <c r="AA86" s="225" t="e">
        <f t="shared" si="16"/>
        <v>#DIV/0!</v>
      </c>
      <c r="AB86" s="60" t="e">
        <f t="shared" si="14"/>
        <v>#DIV/0!</v>
      </c>
      <c r="AC86" s="60" t="e">
        <f t="shared" si="15"/>
        <v>#DIV/0!</v>
      </c>
    </row>
    <row r="87" spans="1:29">
      <c r="A87" s="352"/>
      <c r="B87" s="127">
        <f t="shared" si="20"/>
        <v>850</v>
      </c>
      <c r="C87" s="133" t="str">
        <f>VLOOKUP(B87,'Tipos de Defeitos'!B$4:E$106,Menu!$B$28+1,)</f>
        <v>Pedra de Negro</v>
      </c>
      <c r="D87" s="209">
        <f>'[3]UM-4 - Dia'!AS87</f>
        <v>0</v>
      </c>
      <c r="E87" s="244">
        <f>'[3]UM-4 - 2T'!AS87</f>
        <v>0</v>
      </c>
      <c r="F87" s="210">
        <f>'[3]UM-4 - 3T'!AS87</f>
        <v>0</v>
      </c>
      <c r="G87" s="263">
        <f t="shared" si="30"/>
        <v>0</v>
      </c>
      <c r="H87" s="209">
        <f>'UM-4 - Dia'!AS87</f>
        <v>0</v>
      </c>
      <c r="I87" s="244">
        <f>'UM-4 - 2T'!AS87</f>
        <v>0</v>
      </c>
      <c r="J87" s="210">
        <f>'UM-4 - 3T'!AS87</f>
        <v>0</v>
      </c>
      <c r="K87" s="263">
        <f t="shared" si="27"/>
        <v>0</v>
      </c>
      <c r="L87" s="209">
        <f t="shared" si="28"/>
        <v>0</v>
      </c>
      <c r="M87" s="244">
        <f t="shared" si="29"/>
        <v>0</v>
      </c>
      <c r="N87" s="210">
        <f t="shared" si="29"/>
        <v>0</v>
      </c>
      <c r="O87" s="218">
        <f t="shared" si="31"/>
        <v>0</v>
      </c>
      <c r="Q87" s="259">
        <f>INDEX(D87:O87,1,Menu!$B$27)</f>
        <v>0</v>
      </c>
      <c r="R87" s="255">
        <v>60</v>
      </c>
      <c r="S87" s="139" t="str">
        <f t="shared" si="23"/>
        <v>Carvão Frouxo</v>
      </c>
      <c r="T87" s="259" t="e">
        <f t="shared" si="24"/>
        <v>#DIV/0!</v>
      </c>
      <c r="U87" s="224">
        <f t="shared" si="25"/>
        <v>85060</v>
      </c>
      <c r="V87" s="224">
        <f t="shared" si="21"/>
        <v>33008</v>
      </c>
      <c r="W87" s="224">
        <f t="shared" si="22"/>
        <v>8</v>
      </c>
      <c r="X87" s="224">
        <v>60</v>
      </c>
      <c r="Y87" s="224" t="str">
        <f t="shared" si="12"/>
        <v>Papel Deslocado</v>
      </c>
      <c r="Z87" s="224" t="e">
        <f t="shared" si="13"/>
        <v>#DIV/0!</v>
      </c>
      <c r="AA87" s="225" t="e">
        <f t="shared" si="16"/>
        <v>#DIV/0!</v>
      </c>
      <c r="AB87" s="60" t="e">
        <f t="shared" si="14"/>
        <v>#DIV/0!</v>
      </c>
      <c r="AC87" s="60" t="e">
        <f t="shared" si="15"/>
        <v>#DIV/0!</v>
      </c>
    </row>
    <row r="88" spans="1:29">
      <c r="A88" s="352"/>
      <c r="B88" s="127">
        <f t="shared" si="20"/>
        <v>860</v>
      </c>
      <c r="C88" s="133" t="str">
        <f>VLOOKUP(B88,'Tipos de Defeitos'!B$4:E$106,Menu!$B$28+1,)</f>
        <v>Pedra de Cl de Amônia</v>
      </c>
      <c r="D88" s="209">
        <f>'[3]UM-4 - Dia'!AS88</f>
        <v>0</v>
      </c>
      <c r="E88" s="244">
        <f>'[3]UM-4 - 2T'!AS88</f>
        <v>0</v>
      </c>
      <c r="F88" s="210">
        <f>'[3]UM-4 - 3T'!AS88</f>
        <v>0</v>
      </c>
      <c r="G88" s="263">
        <f t="shared" si="30"/>
        <v>0</v>
      </c>
      <c r="H88" s="209">
        <f>'UM-4 - Dia'!AS88</f>
        <v>0</v>
      </c>
      <c r="I88" s="244">
        <f>'UM-4 - 2T'!AS88</f>
        <v>0</v>
      </c>
      <c r="J88" s="210">
        <f>'UM-4 - 3T'!AS88</f>
        <v>0</v>
      </c>
      <c r="K88" s="263">
        <f t="shared" si="27"/>
        <v>0</v>
      </c>
      <c r="L88" s="209">
        <f t="shared" si="28"/>
        <v>0</v>
      </c>
      <c r="M88" s="244">
        <f t="shared" si="29"/>
        <v>0</v>
      </c>
      <c r="N88" s="210">
        <f t="shared" si="29"/>
        <v>0</v>
      </c>
      <c r="O88" s="218">
        <f t="shared" si="31"/>
        <v>0</v>
      </c>
      <c r="Q88" s="259">
        <f>INDEX(D88:O88,1,Menu!$B$27)</f>
        <v>0</v>
      </c>
      <c r="R88" s="255">
        <v>61</v>
      </c>
      <c r="S88" s="139" t="str">
        <f t="shared" si="23"/>
        <v>Tubo de Zinco Sujo</v>
      </c>
      <c r="T88" s="259" t="e">
        <f t="shared" si="24"/>
        <v>#DIV/0!</v>
      </c>
      <c r="U88" s="224">
        <f t="shared" si="25"/>
        <v>86061</v>
      </c>
      <c r="V88" s="224">
        <f t="shared" si="21"/>
        <v>32007</v>
      </c>
      <c r="W88" s="224">
        <f t="shared" si="22"/>
        <v>7</v>
      </c>
      <c r="X88" s="224">
        <v>61</v>
      </c>
      <c r="Y88" s="224" t="str">
        <f t="shared" si="12"/>
        <v>Papel Afundado</v>
      </c>
      <c r="Z88" s="224" t="e">
        <f t="shared" si="13"/>
        <v>#DIV/0!</v>
      </c>
      <c r="AA88" s="225" t="e">
        <f t="shared" si="16"/>
        <v>#DIV/0!</v>
      </c>
      <c r="AB88" s="60" t="e">
        <f t="shared" si="14"/>
        <v>#DIV/0!</v>
      </c>
      <c r="AC88" s="60" t="e">
        <f t="shared" si="15"/>
        <v>#DIV/0!</v>
      </c>
    </row>
    <row r="89" spans="1:29">
      <c r="A89" s="352"/>
      <c r="B89" s="127">
        <f t="shared" si="20"/>
        <v>870</v>
      </c>
      <c r="C89" s="133" t="str">
        <f>VLOOKUP(B89,'Tipos de Defeitos'!B$4:E$106,Menu!$B$28+1,)</f>
        <v>Pelota de Manganês</v>
      </c>
      <c r="D89" s="209">
        <f>'[3]UM-4 - Dia'!AS89</f>
        <v>0</v>
      </c>
      <c r="E89" s="244">
        <f>'[3]UM-4 - 2T'!AS89</f>
        <v>0</v>
      </c>
      <c r="F89" s="210">
        <f>'[3]UM-4 - 3T'!AS89</f>
        <v>0</v>
      </c>
      <c r="G89" s="263">
        <f t="shared" si="30"/>
        <v>0</v>
      </c>
      <c r="H89" s="209">
        <f>'UM-4 - Dia'!AS89</f>
        <v>0</v>
      </c>
      <c r="I89" s="244">
        <f>'UM-4 - 2T'!AS89</f>
        <v>0</v>
      </c>
      <c r="J89" s="210">
        <f>'UM-4 - 3T'!AS89</f>
        <v>0</v>
      </c>
      <c r="K89" s="263">
        <f t="shared" si="27"/>
        <v>0</v>
      </c>
      <c r="L89" s="209">
        <f t="shared" si="28"/>
        <v>0</v>
      </c>
      <c r="M89" s="244">
        <f t="shared" si="29"/>
        <v>0</v>
      </c>
      <c r="N89" s="210">
        <f t="shared" si="29"/>
        <v>0</v>
      </c>
      <c r="O89" s="218">
        <f t="shared" si="31"/>
        <v>0</v>
      </c>
      <c r="Q89" s="259">
        <f>INDEX(D89:O89,1,Menu!$B$27)</f>
        <v>0</v>
      </c>
      <c r="R89" s="255">
        <v>62</v>
      </c>
      <c r="S89" s="139" t="str">
        <f t="shared" si="23"/>
        <v>Contem estranho</v>
      </c>
      <c r="T89" s="259" t="e">
        <f t="shared" si="24"/>
        <v>#DIV/0!</v>
      </c>
      <c r="U89" s="224">
        <f t="shared" si="25"/>
        <v>87062</v>
      </c>
      <c r="V89" s="224">
        <f t="shared" si="21"/>
        <v>31006</v>
      </c>
      <c r="W89" s="224">
        <f t="shared" si="22"/>
        <v>6</v>
      </c>
      <c r="X89" s="224">
        <v>62</v>
      </c>
      <c r="Y89" s="224" t="str">
        <f t="shared" si="12"/>
        <v>Papel Dobrado Inf.</v>
      </c>
      <c r="Z89" s="224" t="e">
        <f t="shared" si="13"/>
        <v>#DIV/0!</v>
      </c>
      <c r="AA89" s="225" t="e">
        <f t="shared" si="16"/>
        <v>#DIV/0!</v>
      </c>
      <c r="AB89" s="60" t="e">
        <f t="shared" si="14"/>
        <v>#DIV/0!</v>
      </c>
      <c r="AC89" s="60" t="e">
        <f t="shared" si="15"/>
        <v>#DIV/0!</v>
      </c>
    </row>
    <row r="90" spans="1:29">
      <c r="A90" s="352"/>
      <c r="B90" s="127">
        <f t="shared" si="20"/>
        <v>880</v>
      </c>
      <c r="C90" s="133" t="str">
        <f>VLOOKUP(B90,'Tipos de Defeitos'!B$4:E$106,Menu!$B$28+1,)</f>
        <v>Bobina Baixa</v>
      </c>
      <c r="D90" s="209">
        <f>'[3]UM-4 - Dia'!AS90</f>
        <v>9</v>
      </c>
      <c r="E90" s="244">
        <f>'[3]UM-4 - 2T'!AS90</f>
        <v>0</v>
      </c>
      <c r="F90" s="210">
        <f>'[3]UM-4 - 3T'!AS90</f>
        <v>12</v>
      </c>
      <c r="G90" s="263">
        <f t="shared" si="30"/>
        <v>9</v>
      </c>
      <c r="H90" s="209">
        <f>'UM-4 - Dia'!AS90</f>
        <v>0</v>
      </c>
      <c r="I90" s="244">
        <f>'UM-4 - 2T'!AS90</f>
        <v>0</v>
      </c>
      <c r="J90" s="210">
        <f>'UM-4 - 3T'!AS90</f>
        <v>0</v>
      </c>
      <c r="K90" s="263">
        <f t="shared" si="27"/>
        <v>0</v>
      </c>
      <c r="L90" s="209">
        <f t="shared" si="28"/>
        <v>9</v>
      </c>
      <c r="M90" s="244">
        <f t="shared" si="29"/>
        <v>0</v>
      </c>
      <c r="N90" s="210">
        <f t="shared" si="29"/>
        <v>12</v>
      </c>
      <c r="O90" s="218">
        <f t="shared" si="31"/>
        <v>21</v>
      </c>
      <c r="Q90" s="259">
        <f>INDEX(D90:O90,1,Menu!$B$27)</f>
        <v>0</v>
      </c>
      <c r="R90" s="255">
        <v>63</v>
      </c>
      <c r="S90" s="139" t="str">
        <f t="shared" si="23"/>
        <v>Mistura seca</v>
      </c>
      <c r="T90" s="259" t="e">
        <f t="shared" si="24"/>
        <v>#DIV/0!</v>
      </c>
      <c r="U90" s="224">
        <f t="shared" si="25"/>
        <v>88063</v>
      </c>
      <c r="V90" s="224">
        <f t="shared" si="21"/>
        <v>30005</v>
      </c>
      <c r="W90" s="224">
        <f t="shared" si="22"/>
        <v>5</v>
      </c>
      <c r="X90" s="224">
        <v>63</v>
      </c>
      <c r="Y90" s="224" t="str">
        <f t="shared" si="12"/>
        <v>Papel Dobrado Meio</v>
      </c>
      <c r="Z90" s="224" t="e">
        <f t="shared" si="13"/>
        <v>#DIV/0!</v>
      </c>
      <c r="AA90" s="225" t="e">
        <f t="shared" si="16"/>
        <v>#DIV/0!</v>
      </c>
      <c r="AB90" s="60" t="e">
        <f t="shared" si="14"/>
        <v>#DIV/0!</v>
      </c>
      <c r="AC90" s="60" t="e">
        <f t="shared" si="15"/>
        <v>#DIV/0!</v>
      </c>
    </row>
    <row r="91" spans="1:29">
      <c r="A91" s="352"/>
      <c r="B91" s="127">
        <f t="shared" si="20"/>
        <v>890</v>
      </c>
      <c r="C91" s="133" t="str">
        <f>VLOOKUP(B91,'Tipos de Defeitos'!B$4:E$106,Menu!$B$28+1,)</f>
        <v>Bobina Rachada</v>
      </c>
      <c r="D91" s="209">
        <f>'[3]UM-4 - Dia'!AS91</f>
        <v>0</v>
      </c>
      <c r="E91" s="244">
        <f>'[3]UM-4 - 2T'!AS91</f>
        <v>0</v>
      </c>
      <c r="F91" s="210">
        <f>'[3]UM-4 - 3T'!AS91</f>
        <v>0</v>
      </c>
      <c r="G91" s="263">
        <f t="shared" si="30"/>
        <v>0</v>
      </c>
      <c r="H91" s="209">
        <f>'UM-4 - Dia'!AS91</f>
        <v>0</v>
      </c>
      <c r="I91" s="244">
        <f>'UM-4 - 2T'!AS91</f>
        <v>0</v>
      </c>
      <c r="J91" s="210">
        <f>'UM-4 - 3T'!AS91</f>
        <v>0</v>
      </c>
      <c r="K91" s="263">
        <f t="shared" si="27"/>
        <v>0</v>
      </c>
      <c r="L91" s="209">
        <f t="shared" si="28"/>
        <v>0</v>
      </c>
      <c r="M91" s="244">
        <f t="shared" si="29"/>
        <v>0</v>
      </c>
      <c r="N91" s="210">
        <f t="shared" si="29"/>
        <v>0</v>
      </c>
      <c r="O91" s="218">
        <f t="shared" si="31"/>
        <v>0</v>
      </c>
      <c r="Q91" s="259">
        <f>INDEX(D91:O91,1,Menu!$B$27)</f>
        <v>0</v>
      </c>
      <c r="R91" s="255">
        <v>64</v>
      </c>
      <c r="S91" s="139" t="str">
        <f t="shared" si="23"/>
        <v>Bottom Plate Amassado</v>
      </c>
      <c r="T91" s="259" t="e">
        <f t="shared" si="24"/>
        <v>#DIV/0!</v>
      </c>
      <c r="U91" s="224">
        <f t="shared" si="25"/>
        <v>89064</v>
      </c>
      <c r="V91" s="224">
        <f t="shared" si="21"/>
        <v>29004</v>
      </c>
      <c r="W91" s="224">
        <f t="shared" si="22"/>
        <v>4</v>
      </c>
      <c r="X91" s="224">
        <v>64</v>
      </c>
      <c r="Y91" s="224" t="str">
        <f t="shared" si="12"/>
        <v>Papel Dobrado Sup.</v>
      </c>
      <c r="Z91" s="224" t="e">
        <f t="shared" si="13"/>
        <v>#DIV/0!</v>
      </c>
      <c r="AA91" s="225" t="e">
        <f t="shared" si="16"/>
        <v>#DIV/0!</v>
      </c>
      <c r="AB91" s="60" t="e">
        <f t="shared" si="14"/>
        <v>#DIV/0!</v>
      </c>
      <c r="AC91" s="60" t="e">
        <f t="shared" si="15"/>
        <v>#DIV/0!</v>
      </c>
    </row>
    <row r="92" spans="1:29">
      <c r="A92" s="352"/>
      <c r="B92" s="127">
        <f t="shared" si="20"/>
        <v>900</v>
      </c>
      <c r="C92" s="133" t="str">
        <f>VLOOKUP(B92,'Tipos de Defeitos'!B$4:E$106,Menu!$B$28+1,)</f>
        <v>Emenda de Papel</v>
      </c>
      <c r="D92" s="209">
        <f>'[3]UM-4 - Dia'!AS92</f>
        <v>0</v>
      </c>
      <c r="E92" s="244">
        <f>'[3]UM-4 - 2T'!AS92</f>
        <v>0</v>
      </c>
      <c r="F92" s="210">
        <f>'[3]UM-4 - 3T'!AS92</f>
        <v>0</v>
      </c>
      <c r="G92" s="263">
        <f t="shared" si="30"/>
        <v>0</v>
      </c>
      <c r="H92" s="209">
        <f>'UM-4 - Dia'!AS92</f>
        <v>0</v>
      </c>
      <c r="I92" s="244">
        <f>'UM-4 - 2T'!AS92</f>
        <v>0</v>
      </c>
      <c r="J92" s="210">
        <f>'UM-4 - 3T'!AS92</f>
        <v>0</v>
      </c>
      <c r="K92" s="263">
        <f t="shared" si="27"/>
        <v>0</v>
      </c>
      <c r="L92" s="209">
        <f t="shared" si="28"/>
        <v>0</v>
      </c>
      <c r="M92" s="244">
        <f t="shared" si="29"/>
        <v>0</v>
      </c>
      <c r="N92" s="210">
        <f t="shared" si="29"/>
        <v>0</v>
      </c>
      <c r="O92" s="218">
        <f t="shared" si="31"/>
        <v>0</v>
      </c>
      <c r="Q92" s="259">
        <f>INDEX(D92:O92,1,Menu!$B$27)</f>
        <v>0</v>
      </c>
      <c r="R92" s="255">
        <v>65</v>
      </c>
      <c r="S92" s="139" t="str">
        <f t="shared" si="23"/>
        <v>PVC Comprido</v>
      </c>
      <c r="T92" s="259" t="e">
        <f t="shared" si="24"/>
        <v>#DIV/0!</v>
      </c>
      <c r="U92" s="224">
        <f t="shared" si="25"/>
        <v>90065</v>
      </c>
      <c r="V92" s="224">
        <f t="shared" si="21"/>
        <v>28003</v>
      </c>
      <c r="W92" s="224">
        <f t="shared" si="22"/>
        <v>3</v>
      </c>
      <c r="X92" s="224">
        <v>65</v>
      </c>
      <c r="Y92" s="224" t="str">
        <f t="shared" si="12"/>
        <v>Papel Separador Rasgado</v>
      </c>
      <c r="Z92" s="224" t="e">
        <f t="shared" si="13"/>
        <v>#DIV/0!</v>
      </c>
      <c r="AA92" s="225" t="e">
        <f t="shared" si="16"/>
        <v>#DIV/0!</v>
      </c>
      <c r="AB92" s="60" t="e">
        <f t="shared" si="14"/>
        <v>#DIV/0!</v>
      </c>
      <c r="AC92" s="60" t="e">
        <f t="shared" si="15"/>
        <v>#DIV/0!</v>
      </c>
    </row>
    <row r="93" spans="1:29">
      <c r="A93" s="352"/>
      <c r="B93" s="127">
        <f t="shared" si="20"/>
        <v>910</v>
      </c>
      <c r="C93" s="133" t="str">
        <f>VLOOKUP(B93,'Tipos de Defeitos'!B$4:E$106,Menu!$B$28+1,)</f>
        <v>Carvão Quebrado</v>
      </c>
      <c r="D93" s="209">
        <f>'[3]UM-4 - Dia'!AS93</f>
        <v>0</v>
      </c>
      <c r="E93" s="244">
        <f>'[3]UM-4 - 2T'!AS93</f>
        <v>1</v>
      </c>
      <c r="F93" s="210">
        <f>'[3]UM-4 - 3T'!AS93</f>
        <v>0</v>
      </c>
      <c r="G93" s="263">
        <f t="shared" si="30"/>
        <v>1</v>
      </c>
      <c r="H93" s="209">
        <f>'UM-4 - Dia'!AS93</f>
        <v>0</v>
      </c>
      <c r="I93" s="244">
        <f>'UM-4 - 2T'!AS93</f>
        <v>0</v>
      </c>
      <c r="J93" s="210">
        <f>'UM-4 - 3T'!AS93</f>
        <v>0</v>
      </c>
      <c r="K93" s="263">
        <f t="shared" si="27"/>
        <v>0</v>
      </c>
      <c r="L93" s="209">
        <f t="shared" si="28"/>
        <v>0</v>
      </c>
      <c r="M93" s="244">
        <f t="shared" si="29"/>
        <v>1</v>
      </c>
      <c r="N93" s="210">
        <f t="shared" si="29"/>
        <v>0</v>
      </c>
      <c r="O93" s="218">
        <f t="shared" si="31"/>
        <v>1</v>
      </c>
      <c r="Q93" s="259">
        <f>INDEX(D93:O93,1,Menu!$B$27)</f>
        <v>0</v>
      </c>
      <c r="R93" s="255">
        <v>66</v>
      </c>
      <c r="S93" s="139" t="str">
        <f t="shared" si="23"/>
        <v>Causa Desconhecida - Amperagem</v>
      </c>
      <c r="T93" s="259" t="e">
        <f t="shared" si="24"/>
        <v>#DIV/0!</v>
      </c>
      <c r="U93" s="224">
        <f t="shared" si="25"/>
        <v>91066</v>
      </c>
      <c r="V93" s="224">
        <f t="shared" si="21"/>
        <v>27002</v>
      </c>
      <c r="W93" s="224">
        <f t="shared" si="22"/>
        <v>2</v>
      </c>
      <c r="X93" s="224">
        <v>66</v>
      </c>
      <c r="Y93" s="224" t="str">
        <f t="shared" ref="Y93:Y94" si="32">VLOOKUP(W93,$R$28:$U$94,2,FALSE)</f>
        <v>Papel Separador Cortado</v>
      </c>
      <c r="Z93" s="224" t="e">
        <f t="shared" ref="Z93:Z94" si="33">VLOOKUP(W93,$R$28:$T$94,3,0)</f>
        <v>#DIV/0!</v>
      </c>
      <c r="AA93" s="225" t="e">
        <f t="shared" si="16"/>
        <v>#DIV/0!</v>
      </c>
      <c r="AB93" s="60" t="e">
        <f t="shared" ref="AB93:AB94" si="34">AA93/$AA$94*100</f>
        <v>#DIV/0!</v>
      </c>
      <c r="AC93" s="60" t="e">
        <f t="shared" ref="AC93:AC94" si="35">IF(($Q$105&gt;$Q$106)*(AB93&lt;=80),Z93,0)</f>
        <v>#DIV/0!</v>
      </c>
    </row>
    <row r="94" spans="1:29">
      <c r="A94" s="352"/>
      <c r="B94" s="127">
        <f t="shared" si="20"/>
        <v>920</v>
      </c>
      <c r="C94" s="133" t="str">
        <f>VLOOKUP(B94,'Tipos de Defeitos'!B$4:E$106,Menu!$B$28+1,)</f>
        <v>Metade do Carvão</v>
      </c>
      <c r="D94" s="209">
        <f>'[3]UM-4 - Dia'!AS94</f>
        <v>0</v>
      </c>
      <c r="E94" s="244">
        <f>'[3]UM-4 - 2T'!AS94</f>
        <v>0</v>
      </c>
      <c r="F94" s="210">
        <f>'[3]UM-4 - 3T'!AS94</f>
        <v>0</v>
      </c>
      <c r="G94" s="263">
        <f t="shared" si="30"/>
        <v>0</v>
      </c>
      <c r="H94" s="209">
        <f>'UM-4 - Dia'!AS94</f>
        <v>0</v>
      </c>
      <c r="I94" s="244">
        <f>'UM-4 - 2T'!AS94</f>
        <v>0</v>
      </c>
      <c r="J94" s="210">
        <f>'UM-4 - 3T'!AS94</f>
        <v>0</v>
      </c>
      <c r="K94" s="263">
        <f t="shared" si="27"/>
        <v>0</v>
      </c>
      <c r="L94" s="209">
        <f t="shared" si="28"/>
        <v>0</v>
      </c>
      <c r="M94" s="244">
        <f t="shared" si="29"/>
        <v>0</v>
      </c>
      <c r="N94" s="210">
        <f t="shared" si="29"/>
        <v>0</v>
      </c>
      <c r="O94" s="218">
        <f t="shared" si="31"/>
        <v>0</v>
      </c>
      <c r="Q94" s="259">
        <f>INDEX(D94:O94,1,Menu!$B$27)</f>
        <v>0</v>
      </c>
      <c r="R94" s="255">
        <v>67</v>
      </c>
      <c r="S94" s="139" t="str">
        <f t="shared" si="23"/>
        <v>Outros - Amperagem</v>
      </c>
      <c r="T94" s="259" t="e">
        <f t="shared" si="24"/>
        <v>#DIV/0!</v>
      </c>
      <c r="U94" s="224">
        <f t="shared" si="25"/>
        <v>92067</v>
      </c>
      <c r="V94" s="224">
        <f t="shared" si="21"/>
        <v>26001</v>
      </c>
      <c r="W94" s="224">
        <f t="shared" si="22"/>
        <v>1</v>
      </c>
      <c r="X94" s="224">
        <v>67</v>
      </c>
      <c r="Y94" s="224" t="str">
        <f t="shared" si="32"/>
        <v>Sem Papel Separador</v>
      </c>
      <c r="Z94" s="224" t="e">
        <f t="shared" si="33"/>
        <v>#DIV/0!</v>
      </c>
      <c r="AA94" s="225" t="e">
        <f t="shared" ref="AA94" si="36">Z94+AA93</f>
        <v>#DIV/0!</v>
      </c>
      <c r="AB94" s="60" t="e">
        <f t="shared" si="34"/>
        <v>#DIV/0!</v>
      </c>
      <c r="AC94" s="60" t="e">
        <f t="shared" si="35"/>
        <v>#DIV/0!</v>
      </c>
    </row>
    <row r="95" spans="1:29">
      <c r="A95" s="352"/>
      <c r="B95" s="127">
        <f t="shared" si="20"/>
        <v>930</v>
      </c>
      <c r="C95" s="133" t="str">
        <f>VLOOKUP(B95,'Tipos de Defeitos'!B$4:E$106,Menu!$B$28+1,)</f>
        <v>Carvão Frouxo</v>
      </c>
      <c r="D95" s="209">
        <f>'[3]UM-4 - Dia'!AS95</f>
        <v>0</v>
      </c>
      <c r="E95" s="244">
        <f>'[3]UM-4 - 2T'!AS95</f>
        <v>0</v>
      </c>
      <c r="F95" s="210">
        <f>'[3]UM-4 - 3T'!AS95</f>
        <v>1</v>
      </c>
      <c r="G95" s="263">
        <f t="shared" si="30"/>
        <v>0</v>
      </c>
      <c r="H95" s="209">
        <f>'UM-4 - Dia'!AS95</f>
        <v>0</v>
      </c>
      <c r="I95" s="244">
        <f>'UM-4 - 2T'!AS95</f>
        <v>0</v>
      </c>
      <c r="J95" s="210">
        <f>'UM-4 - 3T'!AS95</f>
        <v>0</v>
      </c>
      <c r="K95" s="263">
        <f t="shared" si="27"/>
        <v>0</v>
      </c>
      <c r="L95" s="209">
        <f t="shared" si="28"/>
        <v>0</v>
      </c>
      <c r="M95" s="244">
        <f t="shared" si="29"/>
        <v>0</v>
      </c>
      <c r="N95" s="210">
        <f t="shared" si="29"/>
        <v>1</v>
      </c>
      <c r="O95" s="218">
        <f t="shared" si="31"/>
        <v>1</v>
      </c>
      <c r="Q95" s="259">
        <f>INDEX(D95:O95,1,Menu!$B$27)</f>
        <v>0</v>
      </c>
      <c r="T95" s="306"/>
    </row>
    <row r="96" spans="1:29">
      <c r="A96" s="352"/>
      <c r="B96" s="127">
        <f t="shared" si="20"/>
        <v>940</v>
      </c>
      <c r="C96" s="133" t="str">
        <f>VLOOKUP(B96,'Tipos de Defeitos'!B$4:E$106,Menu!$B$28+1,)</f>
        <v>Tubo de Zinco Sujo</v>
      </c>
      <c r="D96" s="209">
        <f>'[3]UM-4 - Dia'!AS96</f>
        <v>0</v>
      </c>
      <c r="E96" s="244">
        <f>'[3]UM-4 - 2T'!AS96</f>
        <v>0</v>
      </c>
      <c r="F96" s="210">
        <f>'[3]UM-4 - 3T'!AS96</f>
        <v>0</v>
      </c>
      <c r="G96" s="263">
        <f t="shared" si="30"/>
        <v>0</v>
      </c>
      <c r="H96" s="209">
        <f>'UM-4 - Dia'!AS96</f>
        <v>0</v>
      </c>
      <c r="I96" s="244">
        <f>'UM-4 - 2T'!AS96</f>
        <v>0</v>
      </c>
      <c r="J96" s="210">
        <f>'UM-4 - 3T'!AS96</f>
        <v>0</v>
      </c>
      <c r="K96" s="263">
        <f t="shared" si="27"/>
        <v>0</v>
      </c>
      <c r="L96" s="209">
        <f t="shared" si="28"/>
        <v>0</v>
      </c>
      <c r="M96" s="244">
        <f t="shared" si="29"/>
        <v>0</v>
      </c>
      <c r="N96" s="210">
        <f t="shared" si="29"/>
        <v>0</v>
      </c>
      <c r="O96" s="218">
        <f t="shared" si="31"/>
        <v>0</v>
      </c>
      <c r="Q96" s="259">
        <f>INDEX(D96:O96,1,Menu!$B$27)</f>
        <v>0</v>
      </c>
      <c r="T96" s="306"/>
    </row>
    <row r="97" spans="1:20">
      <c r="A97" s="352"/>
      <c r="B97" s="127">
        <f t="shared" si="20"/>
        <v>950</v>
      </c>
      <c r="C97" s="133" t="str">
        <f>VLOOKUP(B97,'Tipos de Defeitos'!B$4:E$106,Menu!$B$28+1,)</f>
        <v>Contem estranho</v>
      </c>
      <c r="D97" s="209">
        <f>'[3]UM-4 - Dia'!AS97</f>
        <v>0</v>
      </c>
      <c r="E97" s="244">
        <f>'[3]UM-4 - 2T'!AS97</f>
        <v>0</v>
      </c>
      <c r="F97" s="210">
        <f>'[3]UM-4 - 3T'!AS97</f>
        <v>0</v>
      </c>
      <c r="G97" s="263">
        <f t="shared" si="30"/>
        <v>0</v>
      </c>
      <c r="H97" s="209">
        <f>'UM-4 - Dia'!AS97</f>
        <v>0</v>
      </c>
      <c r="I97" s="244">
        <f>'UM-4 - 2T'!AS97</f>
        <v>0</v>
      </c>
      <c r="J97" s="210">
        <f>'UM-4 - 3T'!AS97</f>
        <v>0</v>
      </c>
      <c r="K97" s="263">
        <f t="shared" si="27"/>
        <v>0</v>
      </c>
      <c r="L97" s="209">
        <f t="shared" si="28"/>
        <v>0</v>
      </c>
      <c r="M97" s="244">
        <f t="shared" si="29"/>
        <v>0</v>
      </c>
      <c r="N97" s="210">
        <f t="shared" si="29"/>
        <v>0</v>
      </c>
      <c r="O97" s="218">
        <f t="shared" si="31"/>
        <v>0</v>
      </c>
      <c r="Q97" s="259">
        <f>INDEX(D97:O97,1,Menu!$B$27)</f>
        <v>0</v>
      </c>
      <c r="T97" s="306"/>
    </row>
    <row r="98" spans="1:20">
      <c r="A98" s="352"/>
      <c r="B98" s="127">
        <f t="shared" si="20"/>
        <v>960</v>
      </c>
      <c r="C98" s="133" t="str">
        <f>VLOOKUP(B98,'Tipos de Defeitos'!B$4:E$106,Menu!$B$28+1,)</f>
        <v>Mistura seca</v>
      </c>
      <c r="D98" s="209">
        <f>'[3]UM-4 - Dia'!AS98</f>
        <v>0</v>
      </c>
      <c r="E98" s="244">
        <f>'[3]UM-4 - 2T'!AS98</f>
        <v>0</v>
      </c>
      <c r="F98" s="210">
        <f>'[3]UM-4 - 3T'!AS98</f>
        <v>0</v>
      </c>
      <c r="G98" s="263">
        <f t="shared" si="30"/>
        <v>0</v>
      </c>
      <c r="H98" s="209">
        <f>'UM-4 - Dia'!AS98</f>
        <v>0</v>
      </c>
      <c r="I98" s="244">
        <f>'UM-4 - 2T'!AS98</f>
        <v>0</v>
      </c>
      <c r="J98" s="210">
        <f>'UM-4 - 3T'!AS98</f>
        <v>0</v>
      </c>
      <c r="K98" s="263">
        <f t="shared" si="27"/>
        <v>0</v>
      </c>
      <c r="L98" s="209">
        <f t="shared" si="28"/>
        <v>0</v>
      </c>
      <c r="M98" s="244">
        <f t="shared" si="29"/>
        <v>0</v>
      </c>
      <c r="N98" s="210">
        <f t="shared" si="29"/>
        <v>0</v>
      </c>
      <c r="O98" s="218">
        <f t="shared" si="31"/>
        <v>0</v>
      </c>
      <c r="Q98" s="259">
        <f>INDEX(D98:O98,1,Menu!$B$27)</f>
        <v>0</v>
      </c>
      <c r="T98" s="306"/>
    </row>
    <row r="99" spans="1:20">
      <c r="A99" s="352"/>
      <c r="B99" s="127">
        <f t="shared" si="20"/>
        <v>970</v>
      </c>
      <c r="C99" s="133" t="str">
        <f>VLOOKUP(B99,'Tipos de Defeitos'!B$4:E$106,Menu!$B$28+1,)</f>
        <v>Bottom Plate Amassado</v>
      </c>
      <c r="D99" s="209">
        <f>'[3]UM-4 - Dia'!AS99</f>
        <v>0</v>
      </c>
      <c r="E99" s="244">
        <f>'[3]UM-4 - 2T'!AS99</f>
        <v>0</v>
      </c>
      <c r="F99" s="210">
        <f>'[3]UM-4 - 3T'!AS99</f>
        <v>0</v>
      </c>
      <c r="G99" s="263">
        <f t="shared" si="30"/>
        <v>0</v>
      </c>
      <c r="H99" s="209">
        <f>'UM-4 - Dia'!AS99</f>
        <v>0</v>
      </c>
      <c r="I99" s="244">
        <f>'UM-4 - 2T'!AS99</f>
        <v>0</v>
      </c>
      <c r="J99" s="210">
        <f>'UM-4 - 3T'!AS99</f>
        <v>0</v>
      </c>
      <c r="K99" s="263">
        <f t="shared" si="27"/>
        <v>0</v>
      </c>
      <c r="L99" s="209">
        <f t="shared" si="28"/>
        <v>0</v>
      </c>
      <c r="M99" s="244">
        <f t="shared" si="29"/>
        <v>0</v>
      </c>
      <c r="N99" s="210">
        <f t="shared" si="29"/>
        <v>0</v>
      </c>
      <c r="O99" s="218">
        <f t="shared" si="31"/>
        <v>0</v>
      </c>
      <c r="Q99" s="259">
        <f>INDEX(D99:O99,1,Menu!$B$27)</f>
        <v>0</v>
      </c>
      <c r="T99" s="306"/>
    </row>
    <row r="100" spans="1:20">
      <c r="A100" s="352"/>
      <c r="B100" s="127">
        <f t="shared" si="20"/>
        <v>980</v>
      </c>
      <c r="C100" s="133" t="str">
        <f>VLOOKUP(B100,'Tipos de Defeitos'!B$4:E$106,Menu!$B$28+1,)</f>
        <v>PVC Comprido</v>
      </c>
      <c r="D100" s="209">
        <f>'[3]UM-4 - Dia'!AS100</f>
        <v>0</v>
      </c>
      <c r="E100" s="244">
        <f>'[3]UM-4 - 2T'!AS100</f>
        <v>0</v>
      </c>
      <c r="F100" s="210">
        <f>'[3]UM-4 - 3T'!AS100</f>
        <v>0</v>
      </c>
      <c r="G100" s="263">
        <f t="shared" si="30"/>
        <v>0</v>
      </c>
      <c r="H100" s="209">
        <f>'UM-4 - Dia'!AS100</f>
        <v>0</v>
      </c>
      <c r="I100" s="244">
        <f>'UM-4 - 2T'!AS100</f>
        <v>0</v>
      </c>
      <c r="J100" s="210">
        <f>'UM-4 - 3T'!AS100</f>
        <v>0</v>
      </c>
      <c r="K100" s="263">
        <f t="shared" si="27"/>
        <v>0</v>
      </c>
      <c r="L100" s="209">
        <f t="shared" si="28"/>
        <v>0</v>
      </c>
      <c r="M100" s="244">
        <f t="shared" si="29"/>
        <v>0</v>
      </c>
      <c r="N100" s="210">
        <f t="shared" si="29"/>
        <v>0</v>
      </c>
      <c r="O100" s="218">
        <f t="shared" si="31"/>
        <v>0</v>
      </c>
      <c r="Q100" s="259">
        <f>INDEX(D100:O100,1,Menu!$B$27)</f>
        <v>0</v>
      </c>
      <c r="T100" s="306"/>
    </row>
    <row r="101" spans="1:20">
      <c r="A101" s="352"/>
      <c r="B101" s="127">
        <f t="shared" si="20"/>
        <v>990</v>
      </c>
      <c r="C101" s="133" t="str">
        <f>VLOOKUP(B101,'Tipos de Defeitos'!B$4:E$106,Menu!$B$28+1,)</f>
        <v>Causa Desconhecida - Amperagem</v>
      </c>
      <c r="D101" s="209">
        <f>'[3]UM-4 - Dia'!AS101</f>
        <v>0</v>
      </c>
      <c r="E101" s="244">
        <f>'[3]UM-4 - 2T'!AS101</f>
        <v>0</v>
      </c>
      <c r="F101" s="210">
        <f>'[3]UM-4 - 3T'!AS101</f>
        <v>0</v>
      </c>
      <c r="G101" s="263">
        <f t="shared" si="30"/>
        <v>0</v>
      </c>
      <c r="H101" s="209">
        <f>'UM-4 - Dia'!AS101</f>
        <v>0</v>
      </c>
      <c r="I101" s="244">
        <f>'UM-4 - 2T'!AS101</f>
        <v>0</v>
      </c>
      <c r="J101" s="210">
        <f>'UM-4 - 3T'!AS101</f>
        <v>0</v>
      </c>
      <c r="K101" s="263">
        <f t="shared" si="27"/>
        <v>0</v>
      </c>
      <c r="L101" s="209">
        <f t="shared" si="28"/>
        <v>0</v>
      </c>
      <c r="M101" s="244">
        <f t="shared" si="29"/>
        <v>0</v>
      </c>
      <c r="N101" s="210">
        <f t="shared" si="29"/>
        <v>0</v>
      </c>
      <c r="O101" s="218">
        <f t="shared" si="31"/>
        <v>0</v>
      </c>
      <c r="Q101" s="259">
        <f>INDEX(D101:O101,1,Menu!$B$27)</f>
        <v>0</v>
      </c>
      <c r="T101" s="306"/>
    </row>
    <row r="102" spans="1:20" ht="13.5" thickBot="1">
      <c r="A102" s="352"/>
      <c r="B102" s="154">
        <f t="shared" si="20"/>
        <v>1000</v>
      </c>
      <c r="C102" s="155" t="str">
        <f>VLOOKUP(B102,'Tipos de Defeitos'!B$4:E$106,Menu!$B$28+1,)</f>
        <v>Outros - Amperagem</v>
      </c>
      <c r="D102" s="307">
        <f>'[3]UM-4 - Dia'!AS102</f>
        <v>0</v>
      </c>
      <c r="E102" s="321">
        <f>'[3]UM-4 - 2T'!AS102</f>
        <v>0</v>
      </c>
      <c r="F102" s="308">
        <f>'[3]UM-4 - 3T'!AS102</f>
        <v>0</v>
      </c>
      <c r="G102" s="306">
        <f t="shared" si="30"/>
        <v>0</v>
      </c>
      <c r="H102" s="307">
        <f>'UM-4 - Dia'!AS102</f>
        <v>0</v>
      </c>
      <c r="I102" s="321">
        <f>'UM-4 - 2T'!AS102</f>
        <v>0</v>
      </c>
      <c r="J102" s="308">
        <f>'UM-4 - 3T'!AS102</f>
        <v>0</v>
      </c>
      <c r="K102" s="306">
        <f t="shared" si="27"/>
        <v>0</v>
      </c>
      <c r="L102" s="307">
        <f t="shared" si="28"/>
        <v>0</v>
      </c>
      <c r="M102" s="321">
        <f t="shared" si="29"/>
        <v>0</v>
      </c>
      <c r="N102" s="308">
        <f t="shared" si="29"/>
        <v>0</v>
      </c>
      <c r="O102" s="309">
        <f t="shared" si="31"/>
        <v>0</v>
      </c>
      <c r="Q102" s="259">
        <f>INDEX(D102:O102,1,Menu!$B$27)</f>
        <v>0</v>
      </c>
      <c r="T102" s="306"/>
    </row>
    <row r="103" spans="1:20">
      <c r="A103" s="371" t="s">
        <v>201</v>
      </c>
      <c r="B103" s="129">
        <f t="shared" si="20"/>
        <v>1010</v>
      </c>
      <c r="C103" s="136" t="str">
        <f>VLOOKUP(B103,'Tipos de Defeitos'!B$4:E$106,Menu!$B$28+1,)</f>
        <v>Total</v>
      </c>
      <c r="D103" s="207">
        <f>'[3]UM-4 - Dia'!AS103</f>
        <v>9</v>
      </c>
      <c r="E103" s="243">
        <f>'[3]UM-4 - 2T'!AS103</f>
        <v>1</v>
      </c>
      <c r="F103" s="208">
        <f>'[3]UM-4 - 3T'!AS103</f>
        <v>13</v>
      </c>
      <c r="G103" s="262">
        <f>SUBTOTAL(9,D103:E103)</f>
        <v>10</v>
      </c>
      <c r="H103" s="207">
        <f>'UM-4 - Dia'!AS103</f>
        <v>0</v>
      </c>
      <c r="I103" s="243">
        <f>'UM-4 - 2T'!AS103</f>
        <v>0</v>
      </c>
      <c r="J103" s="208">
        <f>'UM-4 - 3T'!AS103</f>
        <v>0</v>
      </c>
      <c r="K103" s="262">
        <f t="shared" si="27"/>
        <v>0</v>
      </c>
      <c r="L103" s="207">
        <f t="shared" si="28"/>
        <v>9</v>
      </c>
      <c r="M103" s="243">
        <f t="shared" si="29"/>
        <v>1</v>
      </c>
      <c r="N103" s="208">
        <f t="shared" si="29"/>
        <v>13</v>
      </c>
      <c r="O103" s="217">
        <f t="shared" si="31"/>
        <v>23</v>
      </c>
      <c r="P103" s="252"/>
      <c r="Q103" s="259">
        <f>INDEX(D103:O103,1,Menu!$B$27)</f>
        <v>0</v>
      </c>
    </row>
    <row r="104" spans="1:20">
      <c r="A104" s="372"/>
      <c r="B104" s="127">
        <f t="shared" si="20"/>
        <v>1020</v>
      </c>
      <c r="C104" s="137" t="str">
        <f>VLOOKUP(B104,'Tipos de Defeitos'!B$4:E$106,Menu!$B$28+1,)</f>
        <v>Taxa defeituosa (ppm)</v>
      </c>
      <c r="D104" s="209">
        <f>'[3]UM-4 - Dia'!AS104</f>
        <v>61.903819719248553</v>
      </c>
      <c r="E104" s="244">
        <f>'[3]UM-4 - 2T'!AS104</f>
        <v>2.3171183263520865</v>
      </c>
      <c r="F104" s="210">
        <f>'[3]UM-4 - 3T'!AS104</f>
        <v>25.978758850478968</v>
      </c>
      <c r="G104" s="263">
        <f>G103/G27*G24/G7*1000000</f>
        <v>11.09491251062504</v>
      </c>
      <c r="H104" s="209" t="e">
        <f>'UM-4 - Dia'!AS104</f>
        <v>#DIV/0!</v>
      </c>
      <c r="I104" s="244" t="e">
        <f>'UM-4 - 2T'!AS104</f>
        <v>#DIV/0!</v>
      </c>
      <c r="J104" s="210" t="e">
        <f>'UM-4 - 3T'!AS104</f>
        <v>#DIV/0!</v>
      </c>
      <c r="K104" s="263" t="e">
        <f>K103/K27*K24/K7*1000000</f>
        <v>#DIV/0!</v>
      </c>
      <c r="L104" s="209" t="e">
        <f>L103/L27*L24/L7*1000000</f>
        <v>#DIV/0!</v>
      </c>
      <c r="M104" s="244" t="e">
        <f>M103/M27*M24/M7*1000000</f>
        <v>#DIV/0!</v>
      </c>
      <c r="N104" s="210" t="e">
        <f>N103/N27*N24/N7*1000000</f>
        <v>#DIV/0!</v>
      </c>
      <c r="O104" s="218" t="e">
        <f>O103/O27*O24/O7*1000000</f>
        <v>#DIV/0!</v>
      </c>
      <c r="P104" s="253"/>
      <c r="Q104" s="259" t="e">
        <f>INDEX(D104:O104,1,Menu!$B$27)</f>
        <v>#DIV/0!</v>
      </c>
    </row>
    <row r="105" spans="1:20" ht="13.5" thickBot="1">
      <c r="A105" s="373"/>
      <c r="B105" s="130">
        <f t="shared" si="20"/>
        <v>1030</v>
      </c>
      <c r="C105" s="138" t="str">
        <f>VLOOKUP(B105,'Tipos de Defeitos'!B$4:E$106,Menu!$B$28+1,)</f>
        <v>Taxa Defeituosa Total (ppm)</v>
      </c>
      <c r="D105" s="214">
        <f>'[3]UM-4 - Dia'!AS105</f>
        <v>1100.5123505644187</v>
      </c>
      <c r="E105" s="320">
        <f>'[3]UM-4 - 2T'!AS105</f>
        <v>370.73893221633381</v>
      </c>
      <c r="F105" s="215">
        <f>'[3]UM-4 - 3T'!AS105</f>
        <v>319.73857046743348</v>
      </c>
      <c r="G105" s="265">
        <f>(G85+G78)/G27*G24/G7*1000000</f>
        <v>517.02292299512681</v>
      </c>
      <c r="H105" s="214" t="e">
        <f>H24/H7*1000000</f>
        <v>#DIV/0!</v>
      </c>
      <c r="I105" s="320" t="e">
        <f>I24/I7*1000000</f>
        <v>#DIV/0!</v>
      </c>
      <c r="J105" s="215" t="e">
        <f>J24/J7*1000000</f>
        <v>#DIV/0!</v>
      </c>
      <c r="K105" s="265" t="e">
        <f>(K85+K78)/K27*K24/K7*1000000</f>
        <v>#DIV/0!</v>
      </c>
      <c r="L105" s="214" t="e">
        <f>L24/L7*1000000</f>
        <v>#DIV/0!</v>
      </c>
      <c r="M105" s="320" t="e">
        <f>M24/M7*1000000</f>
        <v>#DIV/0!</v>
      </c>
      <c r="N105" s="215" t="e">
        <f>N24/N7*1000000</f>
        <v>#DIV/0!</v>
      </c>
      <c r="O105" s="221" t="e">
        <f>O24/O7*1000000</f>
        <v>#DIV/0!</v>
      </c>
      <c r="P105" s="254"/>
      <c r="Q105" s="259" t="e">
        <f>INDEX(D105:O105,1,Menu!$B$27)</f>
        <v>#DIV/0!</v>
      </c>
    </row>
    <row r="106" spans="1:20">
      <c r="A106" s="63"/>
      <c r="B106" s="75"/>
      <c r="C106" s="93" t="s">
        <v>260</v>
      </c>
      <c r="D106" s="76">
        <v>1800</v>
      </c>
      <c r="E106" s="76">
        <v>1800</v>
      </c>
      <c r="F106" s="76">
        <v>1800</v>
      </c>
      <c r="G106" s="76">
        <v>1800</v>
      </c>
      <c r="H106" s="76">
        <f>G106</f>
        <v>1800</v>
      </c>
      <c r="I106" s="76">
        <f t="shared" ref="I106:O106" si="37">H106</f>
        <v>1800</v>
      </c>
      <c r="J106" s="76">
        <f t="shared" si="37"/>
        <v>1800</v>
      </c>
      <c r="K106" s="76">
        <f t="shared" si="37"/>
        <v>1800</v>
      </c>
      <c r="L106" s="76">
        <f t="shared" si="37"/>
        <v>1800</v>
      </c>
      <c r="M106" s="76">
        <f t="shared" si="37"/>
        <v>1800</v>
      </c>
      <c r="N106" s="76">
        <f t="shared" si="37"/>
        <v>1800</v>
      </c>
      <c r="O106" s="76">
        <f t="shared" si="37"/>
        <v>1800</v>
      </c>
      <c r="Q106" s="224">
        <f>INDEX(D106:O106,1,Menu!$B$27)</f>
        <v>1800</v>
      </c>
    </row>
    <row r="107" spans="1:20">
      <c r="A107" s="63"/>
      <c r="B107" s="75"/>
      <c r="C107" s="93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</row>
    <row r="108" spans="1:20">
      <c r="A108" s="63"/>
      <c r="B108" s="75">
        <v>10</v>
      </c>
      <c r="C108" s="92" t="s">
        <v>365</v>
      </c>
      <c r="D108" s="329">
        <f>D78/D27*D24</f>
        <v>1238.4375</v>
      </c>
      <c r="E108" s="329">
        <f t="shared" ref="E108" si="38">E78/E27*E24</f>
        <v>795.99374999999998</v>
      </c>
      <c r="F108" s="329">
        <f>F78/F27*F24</f>
        <v>458.45624999999995</v>
      </c>
      <c r="G108" s="329">
        <f>G78/G27*G24</f>
        <v>2489.9499999999998</v>
      </c>
      <c r="H108" s="329" t="e">
        <f>H78/H27*H24</f>
        <v>#DIV/0!</v>
      </c>
      <c r="I108" s="329" t="e">
        <f t="shared" ref="I108:K108" si="39">I78/I27*I24</f>
        <v>#DIV/0!</v>
      </c>
      <c r="J108" s="329" t="e">
        <f t="shared" si="39"/>
        <v>#DIV/0!</v>
      </c>
      <c r="K108" s="329" t="e">
        <f t="shared" si="39"/>
        <v>#DIV/0!</v>
      </c>
      <c r="L108" s="329">
        <f>L78/L27*L24</f>
        <v>1238.4375</v>
      </c>
      <c r="M108" s="329">
        <f t="shared" ref="M108:N108" si="40">M78/M27*M24</f>
        <v>795.99374999999998</v>
      </c>
      <c r="N108" s="329">
        <f t="shared" si="40"/>
        <v>458.45624999999995</v>
      </c>
      <c r="O108" s="330">
        <f>SUM(L108:N108)</f>
        <v>2492.8874999999998</v>
      </c>
    </row>
    <row r="109" spans="1:20">
      <c r="A109" s="63"/>
      <c r="B109" s="75"/>
      <c r="C109" s="92" t="s">
        <v>366</v>
      </c>
      <c r="D109" s="329">
        <f>D85/D27*D24</f>
        <v>74.306250000000006</v>
      </c>
      <c r="E109" s="329">
        <f t="shared" ref="E109:F109" si="41">E85/E27*E24</f>
        <v>5.0062500000000005</v>
      </c>
      <c r="F109" s="329">
        <f t="shared" si="41"/>
        <v>40.543750000000003</v>
      </c>
      <c r="G109" s="329">
        <f>G85/G27*G24</f>
        <v>54.604166666666664</v>
      </c>
      <c r="H109" s="329" t="e">
        <f>H85/H27*H24</f>
        <v>#DIV/0!</v>
      </c>
      <c r="I109" s="329" t="e">
        <f t="shared" ref="I109:K109" si="42">I85/I27*I24</f>
        <v>#DIV/0!</v>
      </c>
      <c r="J109" s="329" t="e">
        <f t="shared" si="42"/>
        <v>#DIV/0!</v>
      </c>
      <c r="K109" s="329" t="e">
        <f t="shared" si="42"/>
        <v>#DIV/0!</v>
      </c>
      <c r="L109" s="329">
        <f>L85/L27*L24</f>
        <v>74.306250000000006</v>
      </c>
      <c r="M109" s="329">
        <f t="shared" ref="M109:N109" si="43">M85/M27*M24</f>
        <v>5.0062500000000005</v>
      </c>
      <c r="N109" s="329">
        <f t="shared" si="43"/>
        <v>40.543750000000003</v>
      </c>
      <c r="O109" s="330">
        <f t="shared" ref="O109:O111" si="44">SUM(L109:N109)</f>
        <v>119.85625</v>
      </c>
    </row>
    <row r="110" spans="1:20">
      <c r="C110" s="92" t="s">
        <v>367</v>
      </c>
      <c r="D110" s="329">
        <f>D81/D27*D24</f>
        <v>965.98124999999993</v>
      </c>
      <c r="E110" s="329">
        <f t="shared" ref="E110:F110" si="45">E81/E27*E24</f>
        <v>635.79374999999993</v>
      </c>
      <c r="F110" s="329">
        <f t="shared" si="45"/>
        <v>392.96249999999998</v>
      </c>
      <c r="G110" s="329">
        <f>G81/G27*G24</f>
        <v>2020.3541666666667</v>
      </c>
      <c r="H110" s="329" t="e">
        <f>H81/H27*H24</f>
        <v>#DIV/0!</v>
      </c>
      <c r="I110" s="329" t="e">
        <f t="shared" ref="I110:J110" si="46">I81/I27*I24</f>
        <v>#DIV/0!</v>
      </c>
      <c r="J110" s="329" t="e">
        <f t="shared" si="46"/>
        <v>#DIV/0!</v>
      </c>
      <c r="K110" s="329" t="e">
        <f>K81/K27*K24</f>
        <v>#DIV/0!</v>
      </c>
      <c r="L110" s="329">
        <f>L81/L27*L24</f>
        <v>965.98124999999993</v>
      </c>
      <c r="M110" s="329">
        <f>M81/M27*M24</f>
        <v>635.79374999999993</v>
      </c>
      <c r="N110" s="329">
        <f>N81/N27*N24</f>
        <v>392.96249999999998</v>
      </c>
      <c r="O110" s="330">
        <f t="shared" si="44"/>
        <v>1994.7374999999997</v>
      </c>
    </row>
    <row r="111" spans="1:20">
      <c r="C111" s="92" t="s">
        <v>368</v>
      </c>
      <c r="D111" s="329">
        <f>SUM(D86:D98)/D27*D24</f>
        <v>74.306250000000006</v>
      </c>
      <c r="E111" s="329">
        <f t="shared" ref="E111:F111" si="47">SUM(E86:E98)/E27*E24</f>
        <v>5.0062500000000005</v>
      </c>
      <c r="F111" s="329">
        <f t="shared" si="47"/>
        <v>40.543750000000003</v>
      </c>
      <c r="G111" s="329">
        <f t="shared" ref="G111" si="48">SUM(G86:G98)/G27*G24</f>
        <v>54.604166666666664</v>
      </c>
      <c r="H111" s="329" t="e">
        <f>SUM(H86:H98)/H27*H24</f>
        <v>#DIV/0!</v>
      </c>
      <c r="I111" s="329" t="e">
        <f t="shared" ref="I111:J111" si="49">SUM(I86:I98)/I27*I24</f>
        <v>#DIV/0!</v>
      </c>
      <c r="J111" s="329" t="e">
        <f t="shared" si="49"/>
        <v>#DIV/0!</v>
      </c>
      <c r="K111" s="329" t="e">
        <f>SUM(K86:K98)/K27*K24</f>
        <v>#DIV/0!</v>
      </c>
      <c r="L111" s="329">
        <f>SUM(L86:L98)/L27*L24</f>
        <v>74.306250000000006</v>
      </c>
      <c r="M111" s="329">
        <f t="shared" ref="M111:N111" si="50">SUM(M86:M98)/M27*M24</f>
        <v>5.0062500000000005</v>
      </c>
      <c r="N111" s="329">
        <f t="shared" si="50"/>
        <v>40.543750000000003</v>
      </c>
      <c r="O111" s="330">
        <f t="shared" si="44"/>
        <v>119.85625</v>
      </c>
    </row>
    <row r="112" spans="1:20">
      <c r="C112" s="58">
        <v>1</v>
      </c>
    </row>
    <row r="131" spans="4:8" s="59" customFormat="1">
      <c r="D131" s="62"/>
      <c r="E131" s="62" t="str">
        <f>E2</f>
        <v>MTG - 2º TURNO</v>
      </c>
      <c r="F131" s="62"/>
      <c r="G131" s="62"/>
      <c r="H131" s="62"/>
    </row>
  </sheetData>
  <sheetProtection selectLockedCells="1"/>
  <mergeCells count="7">
    <mergeCell ref="A86:A102"/>
    <mergeCell ref="A103:A105"/>
    <mergeCell ref="A3:A22"/>
    <mergeCell ref="A23:A27"/>
    <mergeCell ref="A28:A77"/>
    <mergeCell ref="A78:A82"/>
    <mergeCell ref="A83:A85"/>
  </mergeCells>
  <conditionalFormatting sqref="R28:AB94 B3:O105">
    <cfRule type="expression" dxfId="4" priority="3">
      <formula>MOD(ROW(),2)=0</formula>
    </cfRule>
  </conditionalFormatting>
  <conditionalFormatting sqref="Q3:Q105">
    <cfRule type="expression" dxfId="3" priority="1">
      <formula>MOD(ROW(),2)=0</formula>
    </cfRule>
  </conditionalFormatting>
  <dataValidations disablePrompts="1" count="1">
    <dataValidation type="list" allowBlank="1" showInputMessage="1" showErrorMessage="1" sqref="D6:N6" xr:uid="{00000000-0002-0000-0600-000000000000}">
      <formula1>PRODUTOS</formula1>
    </dataValidation>
  </dataValidations>
  <pageMargins left="0.19685039370078741" right="0.19685039370078741" top="1.1811023622047245" bottom="0.55118110236220474" header="0.70866141732283472" footer="0.31496062992125984"/>
  <pageSetup paperSize="12" scale="47" orientation="landscape" horizontalDpi="300" verticalDpi="300" r:id="rId1"/>
  <headerFooter alignWithMargins="0">
    <oddHeader xml:space="preserve">&amp;L&amp;"SwitzerlandBlack,Negrito"&amp;16Panasonic&amp;"SwitzerlandBlack,Regular"
&amp;"Arial,Normal"&amp;9PILHAS / BATERIAS
&amp;C&amp;14CONTROLE DE FALHAS DE V e A&amp;16
&amp;12 1-SH &amp;RMÊS /  ANO&amp;12
Setembro/2003&amp;"ＭＳ ゴシック,Regular"&amp;11  </oddHeader>
    <oddFooter>&amp;LF-7.115 Rev 01 (PGQ-7.03)&amp;R&amp;A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>
    <pageSetUpPr fitToPage="1"/>
  </sheetPr>
  <dimension ref="A1"/>
  <sheetViews>
    <sheetView zoomScaleNormal="100" workbookViewId="0">
      <selection activeCell="W47" sqref="W47"/>
    </sheetView>
  </sheetViews>
  <sheetFormatPr defaultRowHeight="12.75"/>
  <sheetData/>
  <sheetProtection algorithmName="SHA-512" hashValue="wWE25XguCAIJE6pa834RBJde/5zlk1o0qY+oytu65Oc3Q+MxLk6G1+VlwayLpKOZKfbuWfNHtdEMD6aE0IY6Sg==" saltValue="JgxpKYo/7hQN+BDXR683Ng==" spinCount="100000" sheet="1" objects="1" scenarios="1" selectLockedCells="1"/>
  <pageMargins left="0.23622047244094491" right="0.23622047244094491" top="0.74803149606299213" bottom="0.74803149606299213" header="0.31496062992125984" footer="0.31496062992125984"/>
  <pageSetup paperSize="9" scale="7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4"/>
  <dimension ref="A1:G97"/>
  <sheetViews>
    <sheetView tabSelected="1" topLeftCell="A21" zoomScaleNormal="100" workbookViewId="0">
      <selection activeCell="A42" sqref="A42"/>
    </sheetView>
  </sheetViews>
  <sheetFormatPr defaultRowHeight="12.75"/>
  <cols>
    <col min="1" max="1" width="35.7109375" bestFit="1" customWidth="1"/>
    <col min="2" max="2" width="14.28515625" bestFit="1" customWidth="1"/>
    <col min="3" max="3" width="9.5703125" bestFit="1" customWidth="1"/>
    <col min="4" max="4" width="9.85546875" bestFit="1" customWidth="1"/>
  </cols>
  <sheetData>
    <row r="1" spans="1:7" ht="14.25">
      <c r="A1" s="26" t="s">
        <v>42</v>
      </c>
      <c r="B1" s="26" t="s">
        <v>238</v>
      </c>
      <c r="C1" s="377" t="s">
        <v>46</v>
      </c>
      <c r="D1" s="377" t="s">
        <v>47</v>
      </c>
    </row>
    <row r="2" spans="1:7" ht="14.25">
      <c r="A2" s="25" t="s">
        <v>186</v>
      </c>
      <c r="B2" s="26"/>
      <c r="C2" s="377"/>
      <c r="D2" s="377"/>
    </row>
    <row r="3" spans="1:7" ht="14.25">
      <c r="A3" s="25" t="s">
        <v>49</v>
      </c>
      <c r="B3" s="51"/>
      <c r="C3" s="377"/>
      <c r="D3" s="377"/>
    </row>
    <row r="4" spans="1:7" ht="14.25">
      <c r="A4" s="25" t="s">
        <v>188</v>
      </c>
      <c r="B4" s="26"/>
      <c r="C4" s="377"/>
      <c r="D4" s="377"/>
    </row>
    <row r="5" spans="1:7" ht="14.25">
      <c r="A5" s="25" t="s">
        <v>203</v>
      </c>
      <c r="B5" s="26"/>
      <c r="C5" s="377"/>
      <c r="D5" s="377"/>
    </row>
    <row r="6" spans="1:7" ht="14.25">
      <c r="A6" s="25" t="s">
        <v>204</v>
      </c>
      <c r="B6" s="26"/>
      <c r="C6" s="377"/>
      <c r="D6" s="377"/>
    </row>
    <row r="7" spans="1:7" ht="14.25">
      <c r="A7" s="25" t="s">
        <v>205</v>
      </c>
      <c r="B7" s="26"/>
      <c r="C7" s="377"/>
      <c r="D7" s="377"/>
      <c r="E7" t="s">
        <v>93</v>
      </c>
    </row>
    <row r="8" spans="1:7" ht="14.25">
      <c r="A8" s="25" t="s">
        <v>220</v>
      </c>
      <c r="B8" s="26"/>
      <c r="C8" s="27"/>
      <c r="D8" s="28"/>
    </row>
    <row r="9" spans="1:7" ht="14.25">
      <c r="A9" s="25" t="s">
        <v>204</v>
      </c>
      <c r="B9" s="26" t="e">
        <v>#DIV/0!</v>
      </c>
      <c r="C9" s="27" t="e">
        <f>B9/B$8*100</f>
        <v>#DIV/0!</v>
      </c>
      <c r="D9" s="27" t="e">
        <f>B9/B$8*B$5/B$3*1000000</f>
        <v>#DIV/0!</v>
      </c>
      <c r="E9" s="41" t="e">
        <f>C9</f>
        <v>#DIV/0!</v>
      </c>
      <c r="F9" s="21"/>
      <c r="G9" t="s">
        <v>64</v>
      </c>
    </row>
    <row r="10" spans="1:7" ht="14.25">
      <c r="A10" s="25" t="s">
        <v>205</v>
      </c>
      <c r="B10" s="26">
        <v>265401.71428571426</v>
      </c>
      <c r="C10" s="27" t="e">
        <f t="shared" ref="C10:C53" si="0">B10/B$8*100</f>
        <v>#DIV/0!</v>
      </c>
      <c r="D10" s="27" t="e">
        <f t="shared" ref="D10:D49" si="1">B10/B$8*B$5/B$3*1000000</f>
        <v>#DIV/0!</v>
      </c>
      <c r="E10" s="41" t="e">
        <f>E9+C10</f>
        <v>#DIV/0!</v>
      </c>
    </row>
    <row r="11" spans="1:7" ht="14.25">
      <c r="A11" s="26" t="s">
        <v>206</v>
      </c>
      <c r="B11" s="26">
        <v>5586</v>
      </c>
      <c r="C11" s="27" t="e">
        <f t="shared" si="0"/>
        <v>#DIV/0!</v>
      </c>
      <c r="D11" s="27" t="e">
        <f t="shared" si="1"/>
        <v>#DIV/0!</v>
      </c>
      <c r="E11" s="41" t="e">
        <f t="shared" ref="E11:E55" si="2">E10+C11</f>
        <v>#DIV/0!</v>
      </c>
      <c r="F11" s="23"/>
      <c r="G11" t="s">
        <v>65</v>
      </c>
    </row>
    <row r="12" spans="1:7" ht="14.25">
      <c r="A12" s="26" t="s">
        <v>195</v>
      </c>
      <c r="B12" s="26">
        <v>3119</v>
      </c>
      <c r="C12" s="27" t="e">
        <f t="shared" si="0"/>
        <v>#DIV/0!</v>
      </c>
      <c r="D12" s="27" t="e">
        <f t="shared" si="1"/>
        <v>#DIV/0!</v>
      </c>
      <c r="E12" s="41" t="e">
        <f t="shared" si="2"/>
        <v>#DIV/0!</v>
      </c>
    </row>
    <row r="13" spans="1:7" ht="14.25">
      <c r="A13" s="25" t="s">
        <v>205</v>
      </c>
      <c r="B13" s="26">
        <v>1423</v>
      </c>
      <c r="C13" s="27" t="e">
        <f t="shared" si="0"/>
        <v>#DIV/0!</v>
      </c>
      <c r="D13" s="27" t="e">
        <f t="shared" si="1"/>
        <v>#DIV/0!</v>
      </c>
      <c r="E13" s="41" t="e">
        <f t="shared" si="2"/>
        <v>#DIV/0!</v>
      </c>
      <c r="F13" s="22"/>
      <c r="G13" t="s">
        <v>66</v>
      </c>
    </row>
    <row r="14" spans="1:7" ht="14.25">
      <c r="A14" s="26" t="s">
        <v>222</v>
      </c>
      <c r="B14" s="26">
        <v>1423</v>
      </c>
      <c r="C14" s="27" t="e">
        <f t="shared" si="0"/>
        <v>#DIV/0!</v>
      </c>
      <c r="D14" s="27" t="e">
        <f t="shared" si="1"/>
        <v>#DIV/0!</v>
      </c>
      <c r="E14" s="41" t="e">
        <f t="shared" si="2"/>
        <v>#DIV/0!</v>
      </c>
    </row>
    <row r="15" spans="1:7" ht="14.25">
      <c r="A15" s="25" t="s">
        <v>204</v>
      </c>
      <c r="B15" s="26">
        <v>404</v>
      </c>
      <c r="C15" s="27" t="e">
        <f t="shared" si="0"/>
        <v>#DIV/0!</v>
      </c>
      <c r="D15" s="27" t="e">
        <f t="shared" si="1"/>
        <v>#DIV/0!</v>
      </c>
      <c r="E15" s="41" t="e">
        <f t="shared" si="2"/>
        <v>#DIV/0!</v>
      </c>
    </row>
    <row r="16" spans="1:7" ht="14.25">
      <c r="A16" s="26" t="s">
        <v>205</v>
      </c>
      <c r="B16" s="26">
        <v>123.19999999999997</v>
      </c>
      <c r="C16" s="27" t="e">
        <f t="shared" si="0"/>
        <v>#DIV/0!</v>
      </c>
      <c r="D16" s="27" t="e">
        <f t="shared" si="1"/>
        <v>#DIV/0!</v>
      </c>
      <c r="E16" s="41" t="e">
        <f t="shared" si="2"/>
        <v>#DIV/0!</v>
      </c>
    </row>
    <row r="17" spans="1:5" ht="14.25">
      <c r="A17" s="26" t="s">
        <v>224</v>
      </c>
      <c r="B17" s="26">
        <v>118</v>
      </c>
      <c r="C17" s="27" t="e">
        <f t="shared" si="0"/>
        <v>#DIV/0!</v>
      </c>
      <c r="D17" s="27" t="e">
        <f t="shared" si="1"/>
        <v>#DIV/0!</v>
      </c>
      <c r="E17" s="41" t="e">
        <f t="shared" si="2"/>
        <v>#DIV/0!</v>
      </c>
    </row>
    <row r="18" spans="1:5" ht="14.25">
      <c r="A18" s="26" t="s">
        <v>226</v>
      </c>
      <c r="B18" s="26">
        <v>23.471999999999994</v>
      </c>
      <c r="C18" s="27" t="e">
        <f t="shared" si="0"/>
        <v>#DIV/0!</v>
      </c>
      <c r="D18" s="27" t="e">
        <f t="shared" si="1"/>
        <v>#DIV/0!</v>
      </c>
      <c r="E18" s="41" t="e">
        <f t="shared" si="2"/>
        <v>#DIV/0!</v>
      </c>
    </row>
    <row r="19" spans="1:5" ht="14.25">
      <c r="A19" s="25" t="s">
        <v>204</v>
      </c>
      <c r="B19" s="26">
        <v>23.402000000000001</v>
      </c>
      <c r="C19" s="27" t="e">
        <f t="shared" si="0"/>
        <v>#DIV/0!</v>
      </c>
      <c r="D19" s="27" t="e">
        <f t="shared" si="1"/>
        <v>#DIV/0!</v>
      </c>
      <c r="E19" s="41" t="e">
        <f t="shared" si="2"/>
        <v>#DIV/0!</v>
      </c>
    </row>
    <row r="20" spans="1:5" ht="14.25">
      <c r="A20" s="25" t="s">
        <v>189</v>
      </c>
      <c r="B20" s="26">
        <v>12</v>
      </c>
      <c r="C20" s="27" t="e">
        <f t="shared" si="0"/>
        <v>#DIV/0!</v>
      </c>
      <c r="D20" s="27" t="e">
        <f t="shared" si="1"/>
        <v>#DIV/0!</v>
      </c>
      <c r="E20" s="41" t="e">
        <f t="shared" si="2"/>
        <v>#DIV/0!</v>
      </c>
    </row>
    <row r="21" spans="1:5" ht="14.25">
      <c r="A21" s="25" t="s">
        <v>190</v>
      </c>
      <c r="B21" s="26">
        <v>12</v>
      </c>
      <c r="C21" s="27" t="e">
        <f t="shared" si="0"/>
        <v>#DIV/0!</v>
      </c>
      <c r="D21" s="27" t="e">
        <f t="shared" si="1"/>
        <v>#DIV/0!</v>
      </c>
      <c r="E21" s="41" t="e">
        <f t="shared" si="2"/>
        <v>#DIV/0!</v>
      </c>
    </row>
    <row r="22" spans="1:5" ht="14.25">
      <c r="A22" s="25" t="s">
        <v>191</v>
      </c>
      <c r="B22" s="26">
        <v>7</v>
      </c>
      <c r="C22" s="27" t="e">
        <f t="shared" si="0"/>
        <v>#DIV/0!</v>
      </c>
      <c r="D22" s="27" t="e">
        <f t="shared" si="1"/>
        <v>#DIV/0!</v>
      </c>
      <c r="E22" s="41" t="e">
        <f t="shared" si="2"/>
        <v>#DIV/0!</v>
      </c>
    </row>
    <row r="23" spans="1:5" ht="14.25">
      <c r="A23" s="25" t="s">
        <v>192</v>
      </c>
      <c r="B23" s="26">
        <v>4</v>
      </c>
      <c r="C23" s="27" t="e">
        <f t="shared" si="0"/>
        <v>#DIV/0!</v>
      </c>
      <c r="D23" s="27" t="e">
        <f t="shared" si="1"/>
        <v>#DIV/0!</v>
      </c>
      <c r="E23" s="41" t="e">
        <f t="shared" si="2"/>
        <v>#DIV/0!</v>
      </c>
    </row>
    <row r="24" spans="1:5" ht="14.25">
      <c r="A24" s="25" t="s">
        <v>193</v>
      </c>
      <c r="B24" s="26">
        <v>3</v>
      </c>
      <c r="C24" s="27" t="e">
        <f t="shared" si="0"/>
        <v>#DIV/0!</v>
      </c>
      <c r="D24" s="27" t="e">
        <f t="shared" si="1"/>
        <v>#DIV/0!</v>
      </c>
      <c r="E24" s="41" t="e">
        <f t="shared" si="2"/>
        <v>#DIV/0!</v>
      </c>
    </row>
    <row r="25" spans="1:5" ht="14.25">
      <c r="A25" s="26" t="s">
        <v>4</v>
      </c>
      <c r="B25" s="26">
        <v>2</v>
      </c>
      <c r="C25" s="27" t="e">
        <f t="shared" si="0"/>
        <v>#DIV/0!</v>
      </c>
      <c r="D25" s="27" t="e">
        <f t="shared" si="1"/>
        <v>#DIV/0!</v>
      </c>
      <c r="E25" s="41" t="e">
        <f t="shared" si="2"/>
        <v>#DIV/0!</v>
      </c>
    </row>
    <row r="26" spans="1:5" ht="14.25">
      <c r="A26" s="25" t="s">
        <v>40</v>
      </c>
      <c r="B26" s="26">
        <v>1</v>
      </c>
      <c r="C26" s="27" t="e">
        <f t="shared" si="0"/>
        <v>#DIV/0!</v>
      </c>
      <c r="D26" s="27" t="e">
        <f t="shared" si="1"/>
        <v>#DIV/0!</v>
      </c>
      <c r="E26" s="41" t="e">
        <f t="shared" si="2"/>
        <v>#DIV/0!</v>
      </c>
    </row>
    <row r="27" spans="1:5" ht="14.25">
      <c r="A27" s="25" t="s">
        <v>88</v>
      </c>
      <c r="B27" s="26">
        <v>1</v>
      </c>
      <c r="C27" s="27" t="e">
        <f t="shared" si="0"/>
        <v>#DIV/0!</v>
      </c>
      <c r="D27" s="27" t="e">
        <f t="shared" si="1"/>
        <v>#DIV/0!</v>
      </c>
      <c r="E27" s="41" t="e">
        <f t="shared" si="2"/>
        <v>#DIV/0!</v>
      </c>
    </row>
    <row r="28" spans="1:5" ht="14.25">
      <c r="A28" s="25" t="s">
        <v>5</v>
      </c>
      <c r="B28" s="26">
        <v>1</v>
      </c>
      <c r="C28" s="27" t="e">
        <f t="shared" si="0"/>
        <v>#DIV/0!</v>
      </c>
      <c r="D28" s="27" t="e">
        <f t="shared" si="1"/>
        <v>#DIV/0!</v>
      </c>
      <c r="E28" s="41" t="e">
        <f t="shared" si="2"/>
        <v>#DIV/0!</v>
      </c>
    </row>
    <row r="29" spans="1:5" ht="14.25">
      <c r="A29" s="26" t="s">
        <v>6</v>
      </c>
      <c r="B29" s="26">
        <v>1</v>
      </c>
      <c r="C29" s="27" t="e">
        <f t="shared" si="0"/>
        <v>#DIV/0!</v>
      </c>
      <c r="D29" s="27" t="e">
        <f t="shared" si="1"/>
        <v>#DIV/0!</v>
      </c>
      <c r="E29" s="41" t="e">
        <f t="shared" si="2"/>
        <v>#DIV/0!</v>
      </c>
    </row>
    <row r="30" spans="1:5" ht="14.25">
      <c r="A30" s="26" t="s">
        <v>7</v>
      </c>
      <c r="B30" s="26">
        <v>0</v>
      </c>
      <c r="C30" s="27" t="e">
        <f t="shared" si="0"/>
        <v>#DIV/0!</v>
      </c>
      <c r="D30" s="27" t="e">
        <f t="shared" si="1"/>
        <v>#DIV/0!</v>
      </c>
      <c r="E30" s="41" t="e">
        <f t="shared" si="2"/>
        <v>#DIV/0!</v>
      </c>
    </row>
    <row r="31" spans="1:5" ht="14.25">
      <c r="A31" s="26" t="s">
        <v>8</v>
      </c>
      <c r="B31" s="26">
        <v>0</v>
      </c>
      <c r="C31" s="27" t="e">
        <f t="shared" si="0"/>
        <v>#DIV/0!</v>
      </c>
      <c r="D31" s="27" t="e">
        <f t="shared" si="1"/>
        <v>#DIV/0!</v>
      </c>
      <c r="E31" s="41" t="e">
        <f t="shared" si="2"/>
        <v>#DIV/0!</v>
      </c>
    </row>
    <row r="32" spans="1:5" ht="14.25">
      <c r="A32" s="26" t="s">
        <v>9</v>
      </c>
      <c r="B32" s="26">
        <v>0</v>
      </c>
      <c r="C32" s="27" t="e">
        <f t="shared" si="0"/>
        <v>#DIV/0!</v>
      </c>
      <c r="D32" s="27" t="e">
        <f t="shared" si="1"/>
        <v>#DIV/0!</v>
      </c>
      <c r="E32" s="41" t="e">
        <f t="shared" si="2"/>
        <v>#DIV/0!</v>
      </c>
    </row>
    <row r="33" spans="1:5" ht="14.25">
      <c r="A33" s="25" t="s">
        <v>98</v>
      </c>
      <c r="B33" s="26">
        <v>0</v>
      </c>
      <c r="C33" s="27" t="e">
        <f t="shared" si="0"/>
        <v>#DIV/0!</v>
      </c>
      <c r="D33" s="27" t="e">
        <f t="shared" si="1"/>
        <v>#DIV/0!</v>
      </c>
      <c r="E33" s="41" t="e">
        <f t="shared" si="2"/>
        <v>#DIV/0!</v>
      </c>
    </row>
    <row r="34" spans="1:5" ht="14.25">
      <c r="A34" s="25" t="s">
        <v>10</v>
      </c>
      <c r="B34" s="26">
        <v>0</v>
      </c>
      <c r="C34" s="27" t="e">
        <f t="shared" si="0"/>
        <v>#DIV/0!</v>
      </c>
      <c r="D34" s="27" t="e">
        <f t="shared" si="1"/>
        <v>#DIV/0!</v>
      </c>
      <c r="E34" s="41" t="e">
        <f t="shared" si="2"/>
        <v>#DIV/0!</v>
      </c>
    </row>
    <row r="35" spans="1:5" ht="14.25">
      <c r="A35" s="25" t="s">
        <v>70</v>
      </c>
      <c r="B35" s="26">
        <v>0</v>
      </c>
      <c r="C35" s="27" t="e">
        <f t="shared" si="0"/>
        <v>#DIV/0!</v>
      </c>
      <c r="D35" s="27" t="e">
        <f t="shared" si="1"/>
        <v>#DIV/0!</v>
      </c>
      <c r="E35" s="41" t="e">
        <f t="shared" si="2"/>
        <v>#DIV/0!</v>
      </c>
    </row>
    <row r="36" spans="1:5" ht="14.25">
      <c r="A36" s="25" t="s">
        <v>82</v>
      </c>
      <c r="B36" s="26">
        <v>0</v>
      </c>
      <c r="C36" s="27" t="e">
        <f t="shared" si="0"/>
        <v>#DIV/0!</v>
      </c>
      <c r="D36" s="27" t="e">
        <f t="shared" si="1"/>
        <v>#DIV/0!</v>
      </c>
      <c r="E36" s="41" t="e">
        <f t="shared" si="2"/>
        <v>#DIV/0!</v>
      </c>
    </row>
    <row r="37" spans="1:5" ht="14.25">
      <c r="A37" s="26" t="s">
        <v>83</v>
      </c>
      <c r="B37" s="26">
        <v>0</v>
      </c>
      <c r="C37" s="27" t="e">
        <f t="shared" si="0"/>
        <v>#DIV/0!</v>
      </c>
      <c r="D37" s="27" t="e">
        <f t="shared" si="1"/>
        <v>#DIV/0!</v>
      </c>
      <c r="E37" s="41" t="e">
        <f t="shared" si="2"/>
        <v>#DIV/0!</v>
      </c>
    </row>
    <row r="38" spans="1:5" ht="14.25">
      <c r="A38" s="25" t="s">
        <v>69</v>
      </c>
      <c r="B38" s="26">
        <v>0</v>
      </c>
      <c r="C38" s="27" t="e">
        <f t="shared" si="0"/>
        <v>#DIV/0!</v>
      </c>
      <c r="D38" s="27" t="e">
        <f t="shared" si="1"/>
        <v>#DIV/0!</v>
      </c>
      <c r="E38" s="41" t="e">
        <f t="shared" si="2"/>
        <v>#DIV/0!</v>
      </c>
    </row>
    <row r="39" spans="1:5" ht="14.25">
      <c r="A39" s="25" t="s">
        <v>77</v>
      </c>
      <c r="B39" s="26">
        <v>0</v>
      </c>
      <c r="C39" s="27" t="e">
        <f t="shared" si="0"/>
        <v>#DIV/0!</v>
      </c>
      <c r="D39" s="27" t="e">
        <f t="shared" si="1"/>
        <v>#DIV/0!</v>
      </c>
      <c r="E39" s="41" t="e">
        <f t="shared" si="2"/>
        <v>#DIV/0!</v>
      </c>
    </row>
    <row r="40" spans="1:5" ht="14.25">
      <c r="A40" s="25" t="s">
        <v>11</v>
      </c>
      <c r="B40" s="26">
        <v>0</v>
      </c>
      <c r="C40" s="27" t="e">
        <f t="shared" si="0"/>
        <v>#DIV/0!</v>
      </c>
      <c r="D40" s="27" t="e">
        <f t="shared" si="1"/>
        <v>#DIV/0!</v>
      </c>
      <c r="E40" s="41" t="e">
        <f t="shared" si="2"/>
        <v>#DIV/0!</v>
      </c>
    </row>
    <row r="41" spans="1:5" ht="14.25">
      <c r="A41" s="26" t="s">
        <v>71</v>
      </c>
      <c r="B41" s="26">
        <v>0</v>
      </c>
      <c r="C41" s="27" t="e">
        <f t="shared" si="0"/>
        <v>#DIV/0!</v>
      </c>
      <c r="D41" s="27" t="e">
        <f t="shared" si="1"/>
        <v>#DIV/0!</v>
      </c>
      <c r="E41" s="41" t="e">
        <f t="shared" si="2"/>
        <v>#DIV/0!</v>
      </c>
    </row>
    <row r="42" spans="1:5" ht="14.25">
      <c r="A42" s="25" t="s">
        <v>81</v>
      </c>
      <c r="B42" s="26">
        <v>0</v>
      </c>
      <c r="C42" s="27" t="e">
        <f t="shared" si="0"/>
        <v>#DIV/0!</v>
      </c>
      <c r="D42" s="27" t="e">
        <f t="shared" si="1"/>
        <v>#DIV/0!</v>
      </c>
      <c r="E42" s="41" t="e">
        <f t="shared" si="2"/>
        <v>#DIV/0!</v>
      </c>
    </row>
    <row r="43" spans="1:5" ht="14.25">
      <c r="A43" s="25" t="s">
        <v>12</v>
      </c>
      <c r="B43" s="26">
        <v>0</v>
      </c>
      <c r="C43" s="27" t="e">
        <f t="shared" si="0"/>
        <v>#DIV/0!</v>
      </c>
      <c r="D43" s="27" t="e">
        <f t="shared" si="1"/>
        <v>#DIV/0!</v>
      </c>
      <c r="E43" s="41" t="e">
        <f t="shared" si="2"/>
        <v>#DIV/0!</v>
      </c>
    </row>
    <row r="44" spans="1:5" ht="14.25">
      <c r="A44" s="25" t="s">
        <v>13</v>
      </c>
      <c r="B44" s="26">
        <v>0</v>
      </c>
      <c r="C44" s="27" t="e">
        <f t="shared" si="0"/>
        <v>#DIV/0!</v>
      </c>
      <c r="D44" s="27" t="e">
        <f t="shared" si="1"/>
        <v>#DIV/0!</v>
      </c>
      <c r="E44" s="41" t="e">
        <f t="shared" si="2"/>
        <v>#DIV/0!</v>
      </c>
    </row>
    <row r="45" spans="1:5" ht="14.25">
      <c r="A45" s="25" t="s">
        <v>109</v>
      </c>
      <c r="B45" s="26">
        <v>0</v>
      </c>
      <c r="C45" s="27" t="e">
        <f t="shared" si="0"/>
        <v>#DIV/0!</v>
      </c>
      <c r="D45" s="27" t="e">
        <f t="shared" si="1"/>
        <v>#DIV/0!</v>
      </c>
      <c r="E45" s="41" t="e">
        <f t="shared" si="2"/>
        <v>#DIV/0!</v>
      </c>
    </row>
    <row r="46" spans="1:5" ht="14.25">
      <c r="A46" s="25" t="s">
        <v>14</v>
      </c>
      <c r="B46" s="26">
        <v>0</v>
      </c>
      <c r="C46" s="27" t="e">
        <f t="shared" si="0"/>
        <v>#DIV/0!</v>
      </c>
      <c r="D46" s="27" t="e">
        <f t="shared" si="1"/>
        <v>#DIV/0!</v>
      </c>
      <c r="E46" s="41" t="e">
        <f t="shared" si="2"/>
        <v>#DIV/0!</v>
      </c>
    </row>
    <row r="47" spans="1:5" ht="14.25">
      <c r="A47" s="25" t="s">
        <v>15</v>
      </c>
      <c r="B47" s="26">
        <v>0</v>
      </c>
      <c r="C47" s="27" t="e">
        <f t="shared" si="0"/>
        <v>#DIV/0!</v>
      </c>
      <c r="D47" s="27" t="e">
        <f t="shared" si="1"/>
        <v>#DIV/0!</v>
      </c>
      <c r="E47" s="41" t="e">
        <f t="shared" si="2"/>
        <v>#DIV/0!</v>
      </c>
    </row>
    <row r="48" spans="1:5" ht="14.25">
      <c r="A48" s="26" t="s">
        <v>16</v>
      </c>
      <c r="B48" s="26">
        <v>0</v>
      </c>
      <c r="C48" s="27" t="e">
        <f t="shared" si="0"/>
        <v>#DIV/0!</v>
      </c>
      <c r="D48" s="27" t="e">
        <f t="shared" si="1"/>
        <v>#DIV/0!</v>
      </c>
      <c r="E48" s="41" t="e">
        <f t="shared" si="2"/>
        <v>#DIV/0!</v>
      </c>
    </row>
    <row r="49" spans="1:5" ht="14.25">
      <c r="A49" s="25" t="s">
        <v>17</v>
      </c>
      <c r="B49" s="26">
        <v>0</v>
      </c>
      <c r="C49" s="27" t="e">
        <f t="shared" si="0"/>
        <v>#DIV/0!</v>
      </c>
      <c r="D49" s="27" t="e">
        <f t="shared" si="1"/>
        <v>#DIV/0!</v>
      </c>
      <c r="E49" s="41" t="e">
        <f t="shared" si="2"/>
        <v>#DIV/0!</v>
      </c>
    </row>
    <row r="50" spans="1:5" ht="14.25">
      <c r="A50" s="25" t="s">
        <v>18</v>
      </c>
      <c r="B50" s="26">
        <v>0</v>
      </c>
      <c r="C50" s="27" t="e">
        <f t="shared" si="0"/>
        <v>#DIV/0!</v>
      </c>
      <c r="D50" s="27" t="e">
        <f t="shared" ref="D50:D55" si="3">B50/B$8*B$5/B$3*1000000</f>
        <v>#DIV/0!</v>
      </c>
      <c r="E50" s="41" t="e">
        <f t="shared" si="2"/>
        <v>#DIV/0!</v>
      </c>
    </row>
    <row r="51" spans="1:5" ht="14.25">
      <c r="A51" s="26" t="s">
        <v>19</v>
      </c>
      <c r="B51" s="26">
        <v>0</v>
      </c>
      <c r="C51" s="27" t="e">
        <f t="shared" si="0"/>
        <v>#DIV/0!</v>
      </c>
      <c r="D51" s="27" t="e">
        <f t="shared" si="3"/>
        <v>#DIV/0!</v>
      </c>
      <c r="E51" s="41" t="e">
        <f t="shared" si="2"/>
        <v>#DIV/0!</v>
      </c>
    </row>
    <row r="52" spans="1:5" ht="14.25">
      <c r="A52" s="25" t="s">
        <v>20</v>
      </c>
      <c r="B52" s="26">
        <v>0</v>
      </c>
      <c r="C52" s="27" t="e">
        <f t="shared" si="0"/>
        <v>#DIV/0!</v>
      </c>
      <c r="D52" s="27" t="e">
        <f t="shared" si="3"/>
        <v>#DIV/0!</v>
      </c>
      <c r="E52" s="41" t="e">
        <f t="shared" si="2"/>
        <v>#DIV/0!</v>
      </c>
    </row>
    <row r="53" spans="1:5" ht="14.25">
      <c r="A53" s="25" t="s">
        <v>21</v>
      </c>
      <c r="B53" s="26"/>
      <c r="C53" s="27" t="e">
        <f t="shared" si="0"/>
        <v>#DIV/0!</v>
      </c>
      <c r="D53" s="27" t="e">
        <f t="shared" si="3"/>
        <v>#DIV/0!</v>
      </c>
      <c r="E53" s="41" t="e">
        <f t="shared" si="2"/>
        <v>#DIV/0!</v>
      </c>
    </row>
    <row r="54" spans="1:5" ht="14.25">
      <c r="A54" s="25" t="s">
        <v>22</v>
      </c>
      <c r="B54" s="26"/>
      <c r="C54" s="27"/>
      <c r="D54" s="27" t="e">
        <f t="shared" si="3"/>
        <v>#DIV/0!</v>
      </c>
      <c r="E54" s="41" t="e">
        <f t="shared" si="2"/>
        <v>#DIV/0!</v>
      </c>
    </row>
    <row r="55" spans="1:5" ht="14.25">
      <c r="A55" s="26" t="s">
        <v>86</v>
      </c>
      <c r="B55" s="28">
        <v>0</v>
      </c>
      <c r="C55" s="27" t="e">
        <f t="shared" ref="C55:C60" si="4">B55/B$8*100</f>
        <v>#DIV/0!</v>
      </c>
      <c r="D55" s="27" t="e">
        <f t="shared" si="3"/>
        <v>#DIV/0!</v>
      </c>
      <c r="E55" s="41" t="e">
        <f t="shared" si="2"/>
        <v>#DIV/0!</v>
      </c>
    </row>
    <row r="56" spans="1:5" ht="14.25">
      <c r="A56" s="26" t="s">
        <v>23</v>
      </c>
      <c r="B56" s="26">
        <v>0</v>
      </c>
      <c r="C56" s="27" t="e">
        <f t="shared" si="4"/>
        <v>#DIV/0!</v>
      </c>
      <c r="D56" s="27"/>
    </row>
    <row r="57" spans="1:5" ht="14.25">
      <c r="A57" s="26" t="s">
        <v>24</v>
      </c>
      <c r="B57" s="28">
        <v>0</v>
      </c>
      <c r="C57" s="27" t="e">
        <f t="shared" si="4"/>
        <v>#DIV/0!</v>
      </c>
      <c r="D57" s="27" t="e">
        <f>B57/B$8*B$5/B$3*1000000</f>
        <v>#DIV/0!</v>
      </c>
    </row>
    <row r="58" spans="1:5" ht="14.25">
      <c r="A58" s="26" t="s">
        <v>89</v>
      </c>
      <c r="B58" s="26">
        <v>0</v>
      </c>
      <c r="C58" s="27" t="e">
        <f t="shared" si="4"/>
        <v>#DIV/0!</v>
      </c>
      <c r="D58" s="27" t="e">
        <f t="shared" ref="D58:D72" si="5">B58/B$8*B$5/B$3*1000000</f>
        <v>#DIV/0!</v>
      </c>
    </row>
    <row r="59" spans="1:5" ht="14.25">
      <c r="A59" s="26" t="s">
        <v>228</v>
      </c>
      <c r="B59" s="26">
        <v>0</v>
      </c>
      <c r="C59" s="27" t="e">
        <f t="shared" si="4"/>
        <v>#DIV/0!</v>
      </c>
      <c r="D59" s="27" t="e">
        <f t="shared" si="5"/>
        <v>#DIV/0!</v>
      </c>
    </row>
    <row r="60" spans="1:5" ht="14.25">
      <c r="A60" s="26" t="s">
        <v>68</v>
      </c>
      <c r="B60" s="26">
        <v>5</v>
      </c>
      <c r="C60" s="27" t="e">
        <f t="shared" si="4"/>
        <v>#DIV/0!</v>
      </c>
      <c r="D60" s="27" t="e">
        <f t="shared" si="5"/>
        <v>#DIV/0!</v>
      </c>
    </row>
    <row r="61" spans="1:5" ht="14.25">
      <c r="A61" s="26" t="s">
        <v>85</v>
      </c>
      <c r="B61" s="26">
        <v>44</v>
      </c>
      <c r="C61" s="27">
        <f>B61/B$60*100</f>
        <v>880.00000000000011</v>
      </c>
      <c r="D61" s="27" t="e">
        <f t="shared" si="5"/>
        <v>#DIV/0!</v>
      </c>
      <c r="E61" s="41"/>
    </row>
    <row r="62" spans="1:5" ht="14.25">
      <c r="A62" s="26" t="s">
        <v>102</v>
      </c>
      <c r="B62" s="26">
        <v>3</v>
      </c>
      <c r="C62" s="27">
        <f t="shared" ref="C62:C80" si="6">B62/B$60*100</f>
        <v>60</v>
      </c>
      <c r="D62" s="27" t="e">
        <f t="shared" si="5"/>
        <v>#DIV/0!</v>
      </c>
      <c r="E62" s="41"/>
    </row>
    <row r="63" spans="1:5" ht="14.25">
      <c r="A63" s="26" t="s">
        <v>99</v>
      </c>
      <c r="B63" s="26">
        <v>39</v>
      </c>
      <c r="C63" s="27">
        <f t="shared" si="6"/>
        <v>780</v>
      </c>
      <c r="D63" s="27" t="e">
        <f t="shared" si="5"/>
        <v>#DIV/0!</v>
      </c>
      <c r="E63" s="41"/>
    </row>
    <row r="64" spans="1:5" ht="14.25">
      <c r="A64" t="s">
        <v>74</v>
      </c>
      <c r="B64">
        <v>1011977.7039096185</v>
      </c>
      <c r="C64" s="27">
        <f t="shared" si="6"/>
        <v>20239554.078192372</v>
      </c>
      <c r="D64" s="27" t="e">
        <f t="shared" si="5"/>
        <v>#DIV/0!</v>
      </c>
      <c r="E64" s="41" t="e">
        <f>C64+E55</f>
        <v>#DIV/0!</v>
      </c>
    </row>
    <row r="65" spans="1:5" ht="14.25">
      <c r="A65" s="26" t="s">
        <v>103</v>
      </c>
      <c r="B65" s="26">
        <v>1423</v>
      </c>
      <c r="C65" s="27">
        <f t="shared" si="6"/>
        <v>28460.000000000004</v>
      </c>
      <c r="D65" s="27" t="e">
        <f t="shared" si="5"/>
        <v>#DIV/0!</v>
      </c>
      <c r="E65" s="41" t="e">
        <f t="shared" ref="E65:E77" si="7">C65+E64</f>
        <v>#DIV/0!</v>
      </c>
    </row>
    <row r="66" spans="1:5" ht="14.25">
      <c r="A66" s="26" t="s">
        <v>101</v>
      </c>
      <c r="B66" s="26">
        <v>1179.3558652441293</v>
      </c>
      <c r="C66" s="27">
        <f t="shared" si="6"/>
        <v>23587.117304882584</v>
      </c>
      <c r="D66" s="27" t="e">
        <f t="shared" si="5"/>
        <v>#DIV/0!</v>
      </c>
      <c r="E66" s="41" t="e">
        <f t="shared" si="7"/>
        <v>#DIV/0!</v>
      </c>
    </row>
    <row r="67" spans="1:5" ht="14.25">
      <c r="A67" s="26" t="s">
        <v>41</v>
      </c>
      <c r="B67" s="26">
        <v>657</v>
      </c>
      <c r="C67" s="27">
        <f t="shared" si="6"/>
        <v>13140</v>
      </c>
      <c r="D67" s="27" t="e">
        <f t="shared" si="5"/>
        <v>#DIV/0!</v>
      </c>
      <c r="E67" s="41" t="e">
        <f t="shared" si="7"/>
        <v>#DIV/0!</v>
      </c>
    </row>
    <row r="68" spans="1:5" ht="14.25">
      <c r="A68" s="26" t="s">
        <v>45</v>
      </c>
      <c r="B68" s="26">
        <v>554</v>
      </c>
      <c r="C68" s="27">
        <f t="shared" si="6"/>
        <v>11080</v>
      </c>
      <c r="D68" s="27" t="e">
        <f t="shared" si="5"/>
        <v>#DIV/0!</v>
      </c>
      <c r="E68" s="41" t="e">
        <f t="shared" si="7"/>
        <v>#DIV/0!</v>
      </c>
    </row>
    <row r="69" spans="1:5" ht="14.25">
      <c r="A69" s="26" t="s">
        <v>25</v>
      </c>
      <c r="B69" s="26">
        <v>538.06457077345169</v>
      </c>
      <c r="C69" s="27">
        <f t="shared" si="6"/>
        <v>10761.291415469035</v>
      </c>
      <c r="D69" s="27" t="e">
        <f t="shared" si="5"/>
        <v>#DIV/0!</v>
      </c>
      <c r="E69" s="41" t="e">
        <f t="shared" si="7"/>
        <v>#DIV/0!</v>
      </c>
    </row>
    <row r="70" spans="1:5" ht="14.25">
      <c r="A70" t="s">
        <v>73</v>
      </c>
      <c r="B70">
        <v>146</v>
      </c>
      <c r="C70" s="27">
        <f t="shared" si="6"/>
        <v>2920</v>
      </c>
      <c r="D70" s="27" t="e">
        <f t="shared" si="5"/>
        <v>#DIV/0!</v>
      </c>
      <c r="E70" s="41" t="e">
        <f t="shared" si="7"/>
        <v>#DIV/0!</v>
      </c>
    </row>
    <row r="71" spans="1:5" ht="14.25">
      <c r="A71" s="26" t="s">
        <v>104</v>
      </c>
      <c r="B71" s="26">
        <v>52</v>
      </c>
      <c r="C71" s="27">
        <f t="shared" si="6"/>
        <v>1040</v>
      </c>
      <c r="D71" s="27" t="e">
        <f t="shared" si="5"/>
        <v>#DIV/0!</v>
      </c>
      <c r="E71" s="41" t="e">
        <f t="shared" si="7"/>
        <v>#DIV/0!</v>
      </c>
    </row>
    <row r="72" spans="1:5" ht="14.25">
      <c r="A72" s="26" t="s">
        <v>111</v>
      </c>
      <c r="B72" s="26">
        <v>13</v>
      </c>
      <c r="C72" s="27">
        <f t="shared" si="6"/>
        <v>260</v>
      </c>
      <c r="D72" s="27" t="e">
        <f t="shared" si="5"/>
        <v>#DIV/0!</v>
      </c>
      <c r="E72" s="41" t="e">
        <f t="shared" si="7"/>
        <v>#DIV/0!</v>
      </c>
    </row>
    <row r="73" spans="1:5" ht="14.25">
      <c r="A73" t="s">
        <v>72</v>
      </c>
      <c r="B73">
        <v>3</v>
      </c>
      <c r="C73" s="27">
        <f t="shared" si="6"/>
        <v>60</v>
      </c>
      <c r="D73" s="27" t="e">
        <f t="shared" ref="D73:D80" si="8">B73/B$8*B$5/B$3*1000000</f>
        <v>#DIV/0!</v>
      </c>
      <c r="E73" s="41" t="e">
        <f t="shared" si="7"/>
        <v>#DIV/0!</v>
      </c>
    </row>
    <row r="74" spans="1:5" ht="14.25">
      <c r="A74" t="s">
        <v>97</v>
      </c>
      <c r="B74">
        <v>2</v>
      </c>
      <c r="C74" s="27">
        <f t="shared" si="6"/>
        <v>40</v>
      </c>
      <c r="D74" s="27" t="e">
        <f t="shared" si="8"/>
        <v>#DIV/0!</v>
      </c>
      <c r="E74" s="41" t="e">
        <f t="shared" si="7"/>
        <v>#DIV/0!</v>
      </c>
    </row>
    <row r="75" spans="1:5" ht="14.25">
      <c r="A75" t="s">
        <v>208</v>
      </c>
      <c r="B75">
        <v>1</v>
      </c>
      <c r="C75" s="27">
        <f t="shared" si="6"/>
        <v>20</v>
      </c>
      <c r="D75" s="27" t="e">
        <f t="shared" si="8"/>
        <v>#DIV/0!</v>
      </c>
      <c r="E75" s="41" t="e">
        <f t="shared" si="7"/>
        <v>#DIV/0!</v>
      </c>
    </row>
    <row r="76" spans="1:5" ht="14.25">
      <c r="A76" s="26" t="s">
        <v>231</v>
      </c>
      <c r="B76" s="26">
        <v>0</v>
      </c>
      <c r="C76" s="27">
        <f t="shared" si="6"/>
        <v>0</v>
      </c>
      <c r="D76" s="27" t="e">
        <f t="shared" si="8"/>
        <v>#DIV/0!</v>
      </c>
      <c r="E76" s="41" t="e">
        <f t="shared" si="7"/>
        <v>#DIV/0!</v>
      </c>
    </row>
    <row r="77" spans="1:5" ht="14.25">
      <c r="A77" t="s">
        <v>27</v>
      </c>
      <c r="B77">
        <v>0</v>
      </c>
      <c r="C77" s="27">
        <f t="shared" si="6"/>
        <v>0</v>
      </c>
      <c r="D77" s="27" t="e">
        <f t="shared" si="8"/>
        <v>#DIV/0!</v>
      </c>
      <c r="E77" s="41" t="e">
        <f t="shared" si="7"/>
        <v>#DIV/0!</v>
      </c>
    </row>
    <row r="78" spans="1:5" ht="14.25">
      <c r="A78" t="s">
        <v>209</v>
      </c>
      <c r="B78">
        <v>0</v>
      </c>
      <c r="C78" s="27">
        <f t="shared" si="6"/>
        <v>0</v>
      </c>
      <c r="D78" s="27" t="e">
        <f t="shared" si="8"/>
        <v>#DIV/0!</v>
      </c>
      <c r="E78" s="41" t="e">
        <f>C78+E77</f>
        <v>#DIV/0!</v>
      </c>
    </row>
    <row r="79" spans="1:5" ht="14.25">
      <c r="A79" t="s">
        <v>210</v>
      </c>
      <c r="B79">
        <v>0</v>
      </c>
      <c r="C79" s="27">
        <f t="shared" si="6"/>
        <v>0</v>
      </c>
      <c r="D79" s="27" t="e">
        <f t="shared" si="8"/>
        <v>#DIV/0!</v>
      </c>
      <c r="E79" s="41" t="e">
        <f>C79+E78</f>
        <v>#DIV/0!</v>
      </c>
    </row>
    <row r="80" spans="1:5" ht="14.25">
      <c r="A80" t="s">
        <v>213</v>
      </c>
      <c r="B80" s="42">
        <v>0</v>
      </c>
      <c r="C80" s="27">
        <f t="shared" si="6"/>
        <v>0</v>
      </c>
      <c r="D80" s="27" t="e">
        <f t="shared" si="8"/>
        <v>#DIV/0!</v>
      </c>
      <c r="E80" s="41" t="e">
        <f>C80+E79</f>
        <v>#DIV/0!</v>
      </c>
    </row>
    <row r="81" spans="1:2">
      <c r="A81" t="s">
        <v>29</v>
      </c>
      <c r="B81">
        <v>0</v>
      </c>
    </row>
    <row r="82" spans="1:2">
      <c r="B82">
        <v>0</v>
      </c>
    </row>
    <row r="83" spans="1:2">
      <c r="B83">
        <v>0</v>
      </c>
    </row>
    <row r="84" spans="1:2">
      <c r="B84">
        <v>0</v>
      </c>
    </row>
    <row r="85" spans="1:2">
      <c r="B85">
        <v>0</v>
      </c>
    </row>
    <row r="86" spans="1:2">
      <c r="B86">
        <v>0</v>
      </c>
    </row>
    <row r="87" spans="1:2">
      <c r="B87">
        <v>0</v>
      </c>
    </row>
    <row r="88" spans="1:2">
      <c r="B88">
        <v>0</v>
      </c>
    </row>
    <row r="89" spans="1:2"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  <row r="97" spans="2:2">
      <c r="B97">
        <v>1179.3558652441293</v>
      </c>
    </row>
  </sheetData>
  <sheetProtection algorithmName="SHA-512" hashValue="hdFOB4mD/VMhNNrdwEtCUTei8JkuwCFxFeVGGwek9SKl0mQepsv1j1Kgags3+QTadvvt0O12z/hltz2wdpgUCA==" saltValue="PNQ8G2hbHNScAl1o6rLSwQ==" spinCount="100000" sheet="1" objects="1" scenarios="1" selectLockedCells="1"/>
  <sortState xmlns:xlrd2="http://schemas.microsoft.com/office/spreadsheetml/2017/richdata2" ref="A64:B79">
    <sortCondition descending="1" ref="B2"/>
  </sortState>
  <mergeCells count="2">
    <mergeCell ref="C1:C7"/>
    <mergeCell ref="D1:D7"/>
  </mergeCells>
  <phoneticPr fontId="0" type="noConversion"/>
  <conditionalFormatting sqref="D9:D55 D57:D80">
    <cfRule type="cellIs" dxfId="2" priority="1" stopIfTrue="1" operator="greaterThan">
      <formula>6.8</formula>
    </cfRule>
    <cfRule type="cellIs" dxfId="1" priority="2" stopIfTrue="1" operator="between">
      <formula>6.8</formula>
      <formula>1</formula>
    </cfRule>
    <cfRule type="cellIs" dxfId="0" priority="3" stopIfTrue="1" operator="lessThan">
      <formula>1</formula>
    </cfRule>
  </conditionalFormatting>
  <pageMargins left="0.78740157499999996" right="0.78740157499999996" top="0.984251969" bottom="0.984251969" header="0.49212598499999999" footer="0.4921259849999999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19</vt:i4>
      </vt:variant>
    </vt:vector>
  </HeadingPairs>
  <TitlesOfParts>
    <vt:vector size="28" baseType="lpstr">
      <vt:lpstr>Menu</vt:lpstr>
      <vt:lpstr>Falhas por Modelo</vt:lpstr>
      <vt:lpstr>Tipos de Defeitos</vt:lpstr>
      <vt:lpstr>UM-4 - Dia</vt:lpstr>
      <vt:lpstr>UM-4 - 2T</vt:lpstr>
      <vt:lpstr>UM-4 - 3T</vt:lpstr>
      <vt:lpstr>Totalização (MTG+ACB)</vt:lpstr>
      <vt:lpstr>Gráfico Total Falhas (D+N)</vt:lpstr>
      <vt:lpstr>Dados do Gráfico</vt:lpstr>
      <vt:lpstr>'UM-4 - Dia'!Area_de_impressao</vt:lpstr>
      <vt:lpstr>'Tipos de Defeitos'!PRODUTOS</vt:lpstr>
      <vt:lpstr>PRODUTOS</vt:lpstr>
      <vt:lpstr>'Totalização (MTG+ACB)'!TAXA_A</vt:lpstr>
      <vt:lpstr>'UM-4 - 3T'!TAXA_A</vt:lpstr>
      <vt:lpstr>TAXA_A</vt:lpstr>
      <vt:lpstr>'Totalização (MTG+ACB)'!TAXA_V</vt:lpstr>
      <vt:lpstr>'UM-4 - 3T'!TAXA_V</vt:lpstr>
      <vt:lpstr>TAXA_V</vt:lpstr>
      <vt:lpstr>TD_VA_D</vt:lpstr>
      <vt:lpstr>'UM-4 - 3T'!TD_VA_N</vt:lpstr>
      <vt:lpstr>'Totalização (MTG+ACB)'!Total_Falhas_Dia</vt:lpstr>
      <vt:lpstr>'UM-4 - 2T'!Total_Falhas_Dia</vt:lpstr>
      <vt:lpstr>'UM-4 - 3T'!Total_Falhas_Dia</vt:lpstr>
      <vt:lpstr>Total_Falhas_Dia</vt:lpstr>
      <vt:lpstr>TT_VA_2T</vt:lpstr>
      <vt:lpstr>TT_VA_3T</vt:lpstr>
      <vt:lpstr>TX_DA_TT</vt:lpstr>
      <vt:lpstr>TX_DV_TT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2020-12-18T15:32:41Z</cp:lastPrinted>
  <dcterms:created xsi:type="dcterms:W3CDTF">2003-07-23T18:28:53Z</dcterms:created>
  <dcterms:modified xsi:type="dcterms:W3CDTF">2022-02-21T11:53:14Z</dcterms:modified>
</cp:coreProperties>
</file>