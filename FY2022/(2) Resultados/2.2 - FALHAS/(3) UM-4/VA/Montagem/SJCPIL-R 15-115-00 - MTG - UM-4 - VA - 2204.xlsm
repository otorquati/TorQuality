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Br-sjc-stg-00\pbrvol1\DADOS\PIL\PUB\QUALIDADE\FY2021\(2) Resultados\2.2 - FALHAS\(3) UM-4\VA\Montagem\"/>
    </mc:Choice>
  </mc:AlternateContent>
  <workbookProtection workbookAlgorithmName="SHA-512" workbookHashValue="KLu7/ZcxjsZob3U7VgPdTgewfoSSWfSor3i3OVIEq0T0Df62xWgI3ZT2m+ZIVwC98CogWl26lO6SCz3O6TXRHg==" workbookSaltValue="JCFbPJMy0sr9vhZAhH38Jg==" workbookSpinCount="100000" lockStructure="1"/>
  <bookViews>
    <workbookView xWindow="-120" yWindow="-120" windowWidth="29040" windowHeight="16440" tabRatio="607" firstSheet="4" activeTab="9"/>
  </bookViews>
  <sheets>
    <sheet name="Menu" sheetId="4" r:id="rId1"/>
    <sheet name="Tipos de Defeitos" sheetId="26" r:id="rId2"/>
    <sheet name="UM-4 - Dia" sheetId="2" r:id="rId3"/>
    <sheet name="UM-4 - 2T" sheetId="27" r:id="rId4"/>
    <sheet name="UM-4 - 3T" sheetId="29" r:id="rId5"/>
    <sheet name="Rascunho" sheetId="19" r:id="rId6"/>
    <sheet name="Dados do Gráfico Total" sheetId="20" r:id="rId7"/>
    <sheet name="Gráfico Falhas VA" sheetId="28" r:id="rId8"/>
    <sheet name="Falhas por Modelo" sheetId="10" r:id="rId9"/>
    <sheet name="Dados do Gráfico" sheetId="3" r:id="rId10"/>
  </sheets>
  <definedNames>
    <definedName name="_xlnm.Print_Area" localSheetId="7">'Gráfico Falhas VA'!$A$1:$S$45</definedName>
    <definedName name="_xlnm.Print_Area" localSheetId="2">'UM-4 - Dia'!$B$3:$J$105</definedName>
    <definedName name="PRODUTOS" localSheetId="1">'Falhas por Modelo'!$C$1:$I$1</definedName>
    <definedName name="PRODUTOS">'Falhas por Modelo'!$C$1:$I$1</definedName>
    <definedName name="TAXA_A_2T">'UM-4 - 2T'!$AS$104</definedName>
    <definedName name="TAXA_A_3T" localSheetId="4">'UM-4 - 3T'!$AS$104</definedName>
    <definedName name="TAXA_A_D">'UM-4 - Dia'!$AS$104</definedName>
    <definedName name="TAXA_V_2T">'UM-4 - 2T'!$AS$80</definedName>
    <definedName name="TAXA_V_3T" localSheetId="4">'UM-4 - 3T'!$AS$80</definedName>
    <definedName name="TAXA_V_D">'UM-4 - Dia'!$AS$80</definedName>
    <definedName name="TD_VA_2T">'UM-4 - 2T'!$AS$24</definedName>
    <definedName name="TD_VA_3T" localSheetId="4">'UM-4 - 3T'!$AS$24</definedName>
    <definedName name="TD_VA_D">'UM-4 - Dia'!$AS$24</definedName>
    <definedName name="Total_Falhas_2T" localSheetId="3">'UM-4 - 2T'!$AS$10:$AS$105</definedName>
    <definedName name="Total_Falhas_3T" localSheetId="4">'UM-4 - 3T'!$AS$10:$AS$105</definedName>
    <definedName name="Total_Falhas_Dia" localSheetId="6">'Dados do Gráfico Total'!$E$5:$E$74</definedName>
    <definedName name="Total_Falhas_Dia" localSheetId="5">Rascunho!$E$5:$E$77</definedName>
    <definedName name="Total_Falhas_Dia">'UM-4 - Dia'!$AS$10:$AS$105</definedName>
    <definedName name="TX_DA_TT" localSheetId="4">'UM-4 - 3T'!$AT$104</definedName>
    <definedName name="TX_DA_TT">'UM-4 - 2T'!$AT$104</definedName>
    <definedName name="TX_DV_TT">'UM-4 - 2T'!$AT$80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2" l="1"/>
  <c r="P26" i="2"/>
  <c r="W78" i="2"/>
  <c r="W79" i="2"/>
  <c r="W80" i="2"/>
  <c r="W81" i="2"/>
  <c r="W82" i="2"/>
  <c r="W84" i="2"/>
  <c r="W103" i="2"/>
  <c r="W104" i="2" s="1"/>
  <c r="W105" i="2"/>
  <c r="W85" i="2" l="1"/>
  <c r="R26" i="29"/>
  <c r="Q26" i="29"/>
  <c r="Q26" i="27"/>
  <c r="O5" i="2"/>
  <c r="L26" i="2"/>
  <c r="H26" i="2" l="1"/>
  <c r="E105" i="2" l="1"/>
  <c r="D105" i="2"/>
  <c r="E103" i="2"/>
  <c r="E85" i="2" s="1"/>
  <c r="D103" i="2"/>
  <c r="D104" i="2" s="1"/>
  <c r="E84" i="2"/>
  <c r="D84" i="2"/>
  <c r="E81" i="2"/>
  <c r="E82" i="2" s="1"/>
  <c r="D81" i="2"/>
  <c r="D82" i="2" s="1"/>
  <c r="E79" i="2"/>
  <c r="D79" i="2"/>
  <c r="E78" i="2"/>
  <c r="E80" i="2" s="1"/>
  <c r="D78" i="2"/>
  <c r="D80" i="2" s="1"/>
  <c r="E26" i="2"/>
  <c r="D26" i="2"/>
  <c r="E5" i="2"/>
  <c r="D5" i="2"/>
  <c r="G105" i="2"/>
  <c r="F105" i="2"/>
  <c r="G103" i="2"/>
  <c r="G104" i="2" s="1"/>
  <c r="F103" i="2"/>
  <c r="F104" i="2" s="1"/>
  <c r="G84" i="2"/>
  <c r="F84" i="2"/>
  <c r="G81" i="2"/>
  <c r="G82" i="2" s="1"/>
  <c r="F81" i="2"/>
  <c r="F82" i="2" s="1"/>
  <c r="G79" i="2"/>
  <c r="F79" i="2"/>
  <c r="G78" i="2"/>
  <c r="G80" i="2" s="1"/>
  <c r="F78" i="2"/>
  <c r="F80" i="2" s="1"/>
  <c r="G26" i="2"/>
  <c r="F26" i="2"/>
  <c r="G5" i="2"/>
  <c r="F5" i="2"/>
  <c r="J26" i="2"/>
  <c r="K26" i="2"/>
  <c r="M26" i="2"/>
  <c r="N26" i="2"/>
  <c r="D85" i="2" l="1"/>
  <c r="E104" i="2"/>
  <c r="F85" i="2"/>
  <c r="R79" i="2"/>
  <c r="S79" i="2"/>
  <c r="T79" i="2"/>
  <c r="R81" i="2"/>
  <c r="R82" i="2" s="1"/>
  <c r="S81" i="2"/>
  <c r="S82" i="2" s="1"/>
  <c r="T81" i="2"/>
  <c r="T82" i="2" s="1"/>
  <c r="H78" i="2"/>
  <c r="H80" i="2" s="1"/>
  <c r="I78" i="2"/>
  <c r="I80" i="2" s="1"/>
  <c r="J78" i="2"/>
  <c r="J80" i="2" s="1"/>
  <c r="K78" i="2"/>
  <c r="K80" i="2" s="1"/>
  <c r="L78" i="2"/>
  <c r="L80" i="2" s="1"/>
  <c r="M78" i="2"/>
  <c r="N78" i="2"/>
  <c r="O78" i="2"/>
  <c r="P78" i="2"/>
  <c r="Q78" i="2"/>
  <c r="R78" i="2"/>
  <c r="R80" i="2" s="1"/>
  <c r="S78" i="2"/>
  <c r="S80" i="2" s="1"/>
  <c r="T78" i="2"/>
  <c r="T80" i="2" s="1"/>
  <c r="U78" i="2"/>
  <c r="V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S5" i="2"/>
  <c r="T5" i="2"/>
  <c r="U5" i="2"/>
  <c r="S26" i="2"/>
  <c r="D105" i="29"/>
  <c r="D103" i="29"/>
  <c r="D104" i="29" s="1"/>
  <c r="D84" i="29"/>
  <c r="D81" i="29"/>
  <c r="D82" i="29" s="1"/>
  <c r="D79" i="29"/>
  <c r="D78" i="29"/>
  <c r="D80" i="29" s="1"/>
  <c r="D26" i="29"/>
  <c r="D5" i="29"/>
  <c r="E105" i="29"/>
  <c r="E103" i="29"/>
  <c r="E84" i="29"/>
  <c r="E81" i="29"/>
  <c r="E82" i="29" s="1"/>
  <c r="E79" i="29"/>
  <c r="E78" i="29"/>
  <c r="E80" i="29" s="1"/>
  <c r="E26" i="29"/>
  <c r="E5" i="29"/>
  <c r="I105" i="2"/>
  <c r="I103" i="2"/>
  <c r="I104" i="2" s="1"/>
  <c r="I84" i="2"/>
  <c r="I81" i="2"/>
  <c r="I82" i="2" s="1"/>
  <c r="I79" i="2"/>
  <c r="I26" i="2"/>
  <c r="I5" i="2"/>
  <c r="J5" i="2"/>
  <c r="K5" i="2"/>
  <c r="L5" i="2"/>
  <c r="J79" i="2"/>
  <c r="K79" i="2"/>
  <c r="L79" i="2"/>
  <c r="J81" i="2"/>
  <c r="J82" i="2" s="1"/>
  <c r="K81" i="2"/>
  <c r="K82" i="2" s="1"/>
  <c r="L81" i="2"/>
  <c r="L82" i="2" s="1"/>
  <c r="J84" i="2"/>
  <c r="K84" i="2"/>
  <c r="L84" i="2"/>
  <c r="J103" i="2"/>
  <c r="J104" i="2" s="1"/>
  <c r="K103" i="2"/>
  <c r="K85" i="2" s="1"/>
  <c r="L103" i="2"/>
  <c r="L85" i="2" s="1"/>
  <c r="J105" i="2"/>
  <c r="K105" i="2"/>
  <c r="L105" i="2"/>
  <c r="H5" i="2"/>
  <c r="H79" i="2"/>
  <c r="H81" i="2"/>
  <c r="H82" i="2" s="1"/>
  <c r="H84" i="2"/>
  <c r="H103" i="2"/>
  <c r="H85" i="2" s="1"/>
  <c r="H105" i="2"/>
  <c r="F105" i="29"/>
  <c r="F103" i="29"/>
  <c r="F104" i="29" s="1"/>
  <c r="F84" i="29"/>
  <c r="F81" i="29"/>
  <c r="F82" i="29" s="1"/>
  <c r="F79" i="29"/>
  <c r="F78" i="29"/>
  <c r="F80" i="29" s="1"/>
  <c r="F26" i="29"/>
  <c r="F5" i="29"/>
  <c r="G5" i="29"/>
  <c r="H5" i="29"/>
  <c r="I5" i="29"/>
  <c r="J5" i="29"/>
  <c r="K5" i="29"/>
  <c r="L5" i="29"/>
  <c r="M5" i="29"/>
  <c r="N5" i="29"/>
  <c r="O5" i="29"/>
  <c r="P5" i="29"/>
  <c r="Q5" i="29"/>
  <c r="R5" i="29"/>
  <c r="S5" i="29"/>
  <c r="T5" i="29"/>
  <c r="U5" i="29"/>
  <c r="V5" i="29"/>
  <c r="W5" i="29"/>
  <c r="X5" i="29"/>
  <c r="Y5" i="29"/>
  <c r="Z5" i="29"/>
  <c r="AA5" i="29"/>
  <c r="AB5" i="29"/>
  <c r="AC5" i="29"/>
  <c r="AD5" i="29"/>
  <c r="AE5" i="29"/>
  <c r="AF5" i="29"/>
  <c r="AG5" i="29"/>
  <c r="AH5" i="29"/>
  <c r="AI5" i="29"/>
  <c r="AJ5" i="29"/>
  <c r="AK5" i="29"/>
  <c r="AL5" i="29"/>
  <c r="AM5" i="29"/>
  <c r="AN5" i="29"/>
  <c r="AO5" i="29"/>
  <c r="AP5" i="29"/>
  <c r="AQ5" i="29"/>
  <c r="AR5" i="29"/>
  <c r="G26" i="29"/>
  <c r="H26" i="29"/>
  <c r="I26" i="29"/>
  <c r="J26" i="29"/>
  <c r="K26" i="29"/>
  <c r="L26" i="29"/>
  <c r="M26" i="29"/>
  <c r="N26" i="29"/>
  <c r="O26" i="29"/>
  <c r="P26" i="29"/>
  <c r="S26" i="29"/>
  <c r="T26" i="29"/>
  <c r="U26" i="29"/>
  <c r="V26" i="29"/>
  <c r="W26" i="29"/>
  <c r="X26" i="29"/>
  <c r="Y26" i="29"/>
  <c r="Z26" i="29"/>
  <c r="AA26" i="29"/>
  <c r="AB26" i="29"/>
  <c r="AC26" i="29"/>
  <c r="AD26" i="29"/>
  <c r="AE26" i="29"/>
  <c r="AF26" i="29"/>
  <c r="AG26" i="29"/>
  <c r="AH26" i="29"/>
  <c r="AI26" i="29"/>
  <c r="AJ26" i="29"/>
  <c r="AK26" i="29"/>
  <c r="AL26" i="29"/>
  <c r="AM26" i="29"/>
  <c r="AN26" i="29"/>
  <c r="AO26" i="29"/>
  <c r="AP26" i="29"/>
  <c r="AQ26" i="29"/>
  <c r="AR26" i="29"/>
  <c r="G78" i="29"/>
  <c r="G80" i="29" s="1"/>
  <c r="H78" i="29"/>
  <c r="H80" i="29" s="1"/>
  <c r="I78" i="29"/>
  <c r="I80" i="29" s="1"/>
  <c r="J78" i="29"/>
  <c r="J80" i="29" s="1"/>
  <c r="K78" i="29"/>
  <c r="K80" i="29" s="1"/>
  <c r="L78" i="29"/>
  <c r="L80" i="29" s="1"/>
  <c r="M78" i="29"/>
  <c r="M80" i="29" s="1"/>
  <c r="N78" i="29"/>
  <c r="N80" i="29" s="1"/>
  <c r="O78" i="29"/>
  <c r="O80" i="29" s="1"/>
  <c r="P78" i="29"/>
  <c r="P80" i="29" s="1"/>
  <c r="Q78" i="29"/>
  <c r="Q80" i="29" s="1"/>
  <c r="R78" i="29"/>
  <c r="R80" i="29" s="1"/>
  <c r="S78" i="29"/>
  <c r="T78" i="29"/>
  <c r="T80" i="29" s="1"/>
  <c r="U78" i="29"/>
  <c r="U80" i="29" s="1"/>
  <c r="V78" i="29"/>
  <c r="V80" i="29" s="1"/>
  <c r="W78" i="29"/>
  <c r="X78" i="29"/>
  <c r="Y78" i="29"/>
  <c r="Z78" i="29"/>
  <c r="AA78" i="29"/>
  <c r="AB78" i="29"/>
  <c r="AC78" i="29"/>
  <c r="AD78" i="29"/>
  <c r="AE78" i="29"/>
  <c r="AF78" i="29"/>
  <c r="AG78" i="29"/>
  <c r="AH78" i="29"/>
  <c r="AI78" i="29"/>
  <c r="AJ78" i="29"/>
  <c r="AK78" i="29"/>
  <c r="AL78" i="29"/>
  <c r="AM78" i="29"/>
  <c r="AN78" i="29"/>
  <c r="AO78" i="29"/>
  <c r="AP78" i="29"/>
  <c r="AQ78" i="29"/>
  <c r="AR78" i="29"/>
  <c r="G79" i="29"/>
  <c r="H79" i="29"/>
  <c r="I79" i="29"/>
  <c r="J79" i="29"/>
  <c r="K79" i="29"/>
  <c r="L79" i="29"/>
  <c r="M79" i="29"/>
  <c r="N79" i="29"/>
  <c r="O79" i="29"/>
  <c r="P79" i="29"/>
  <c r="Q79" i="29"/>
  <c r="R79" i="29"/>
  <c r="S79" i="29"/>
  <c r="T79" i="29"/>
  <c r="U79" i="29"/>
  <c r="V79" i="29"/>
  <c r="W79" i="29"/>
  <c r="X79" i="29"/>
  <c r="Y79" i="29"/>
  <c r="Z79" i="29"/>
  <c r="AA79" i="29"/>
  <c r="AB79" i="29"/>
  <c r="AC79" i="29"/>
  <c r="AD79" i="29"/>
  <c r="AE79" i="29"/>
  <c r="AF79" i="29"/>
  <c r="AG79" i="29"/>
  <c r="AH79" i="29"/>
  <c r="AI79" i="29"/>
  <c r="AJ79" i="29"/>
  <c r="AK79" i="29"/>
  <c r="AL79" i="29"/>
  <c r="AM79" i="29"/>
  <c r="AN79" i="29"/>
  <c r="AO79" i="29"/>
  <c r="AP79" i="29"/>
  <c r="AQ79" i="29"/>
  <c r="AR79" i="29"/>
  <c r="S80" i="29"/>
  <c r="W80" i="29"/>
  <c r="X80" i="29"/>
  <c r="Y80" i="29"/>
  <c r="Z80" i="29"/>
  <c r="AA80" i="29"/>
  <c r="AB80" i="29"/>
  <c r="AC80" i="29"/>
  <c r="AD80" i="29"/>
  <c r="AE80" i="29"/>
  <c r="AF80" i="29"/>
  <c r="AG80" i="29"/>
  <c r="AH80" i="29"/>
  <c r="AI80" i="29"/>
  <c r="AJ80" i="29"/>
  <c r="AK80" i="29"/>
  <c r="AL80" i="29"/>
  <c r="AM80" i="29"/>
  <c r="AN80" i="29"/>
  <c r="AO80" i="29"/>
  <c r="AP80" i="29"/>
  <c r="AQ80" i="29"/>
  <c r="AR80" i="29"/>
  <c r="G81" i="29"/>
  <c r="G82" i="29" s="1"/>
  <c r="H81" i="29"/>
  <c r="H82" i="29" s="1"/>
  <c r="I81" i="29"/>
  <c r="I82" i="29" s="1"/>
  <c r="J81" i="29"/>
  <c r="J82" i="29" s="1"/>
  <c r="K81" i="29"/>
  <c r="K82" i="29" s="1"/>
  <c r="L81" i="29"/>
  <c r="L82" i="29" s="1"/>
  <c r="M81" i="29"/>
  <c r="M82" i="29" s="1"/>
  <c r="N81" i="29"/>
  <c r="N82" i="29" s="1"/>
  <c r="O81" i="29"/>
  <c r="P81" i="29"/>
  <c r="P82" i="29" s="1"/>
  <c r="Q81" i="29"/>
  <c r="Q82" i="29" s="1"/>
  <c r="R81" i="29"/>
  <c r="R82" i="29" s="1"/>
  <c r="S81" i="29"/>
  <c r="S82" i="29" s="1"/>
  <c r="T81" i="29"/>
  <c r="T82" i="29" s="1"/>
  <c r="U81" i="29"/>
  <c r="V81" i="29"/>
  <c r="W81" i="29"/>
  <c r="X81" i="29"/>
  <c r="Y81" i="29"/>
  <c r="Z81" i="29"/>
  <c r="AA81" i="29"/>
  <c r="AB81" i="29"/>
  <c r="AC81" i="29"/>
  <c r="AD81" i="29"/>
  <c r="AE81" i="29"/>
  <c r="AF81" i="29"/>
  <c r="AG81" i="29"/>
  <c r="AH81" i="29"/>
  <c r="AI81" i="29"/>
  <c r="AJ81" i="29"/>
  <c r="AK81" i="29"/>
  <c r="AL81" i="29"/>
  <c r="AM81" i="29"/>
  <c r="AN81" i="29"/>
  <c r="AO81" i="29"/>
  <c r="AP81" i="29"/>
  <c r="AQ81" i="29"/>
  <c r="AR81" i="29"/>
  <c r="O82" i="29"/>
  <c r="U82" i="29"/>
  <c r="V82" i="29"/>
  <c r="W82" i="29"/>
  <c r="X82" i="29"/>
  <c r="Y82" i="29"/>
  <c r="Z82" i="29"/>
  <c r="AA82" i="29"/>
  <c r="AB82" i="29"/>
  <c r="AC82" i="29"/>
  <c r="AD82" i="29"/>
  <c r="AE82" i="29"/>
  <c r="AF82" i="29"/>
  <c r="AG82" i="29"/>
  <c r="AH82" i="29"/>
  <c r="AI82" i="29"/>
  <c r="AJ82" i="29"/>
  <c r="AK82" i="29"/>
  <c r="AL82" i="29"/>
  <c r="AM82" i="29"/>
  <c r="AN82" i="29"/>
  <c r="AO82" i="29"/>
  <c r="AP82" i="29"/>
  <c r="AQ82" i="29"/>
  <c r="AR82" i="29"/>
  <c r="G84" i="29"/>
  <c r="H84" i="29"/>
  <c r="I84" i="29"/>
  <c r="J84" i="29"/>
  <c r="K84" i="29"/>
  <c r="L84" i="29"/>
  <c r="M84" i="29"/>
  <c r="N84" i="29"/>
  <c r="O84" i="29"/>
  <c r="P84" i="29"/>
  <c r="Q84" i="29"/>
  <c r="R84" i="29"/>
  <c r="S84" i="29"/>
  <c r="T84" i="29"/>
  <c r="U84" i="29"/>
  <c r="V84" i="29"/>
  <c r="W84" i="29"/>
  <c r="X84" i="29"/>
  <c r="Y84" i="29"/>
  <c r="Z84" i="29"/>
  <c r="AA84" i="29"/>
  <c r="AB84" i="29"/>
  <c r="AC84" i="29"/>
  <c r="AD84" i="29"/>
  <c r="AE84" i="29"/>
  <c r="AF84" i="29"/>
  <c r="AG84" i="29"/>
  <c r="AH84" i="29"/>
  <c r="AI84" i="29"/>
  <c r="AJ84" i="29"/>
  <c r="AK84" i="29"/>
  <c r="AL84" i="29"/>
  <c r="AM84" i="29"/>
  <c r="AN84" i="29"/>
  <c r="AO84" i="29"/>
  <c r="AP84" i="29"/>
  <c r="AQ84" i="29"/>
  <c r="AR84" i="29"/>
  <c r="G103" i="29"/>
  <c r="G85" i="29" s="1"/>
  <c r="H103" i="29"/>
  <c r="H85" i="29" s="1"/>
  <c r="I103" i="29"/>
  <c r="I85" i="29" s="1"/>
  <c r="J103" i="29"/>
  <c r="J85" i="29" s="1"/>
  <c r="K103" i="29"/>
  <c r="K85" i="29" s="1"/>
  <c r="L103" i="29"/>
  <c r="L85" i="29" s="1"/>
  <c r="M103" i="29"/>
  <c r="M85" i="29" s="1"/>
  <c r="N103" i="29"/>
  <c r="N85" i="29" s="1"/>
  <c r="O103" i="29"/>
  <c r="O85" i="29" s="1"/>
  <c r="P103" i="29"/>
  <c r="P85" i="29" s="1"/>
  <c r="Q103" i="29"/>
  <c r="Q85" i="29" s="1"/>
  <c r="R103" i="29"/>
  <c r="R85" i="29" s="1"/>
  <c r="S103" i="29"/>
  <c r="S85" i="29" s="1"/>
  <c r="T103" i="29"/>
  <c r="T85" i="29" s="1"/>
  <c r="U103" i="29"/>
  <c r="U85" i="29" s="1"/>
  <c r="V103" i="29"/>
  <c r="V85" i="29" s="1"/>
  <c r="W103" i="29"/>
  <c r="W85" i="29" s="1"/>
  <c r="X103" i="29"/>
  <c r="X85" i="29" s="1"/>
  <c r="Y103" i="29"/>
  <c r="Y85" i="29" s="1"/>
  <c r="Z103" i="29"/>
  <c r="Z85" i="29" s="1"/>
  <c r="AA103" i="29"/>
  <c r="AA85" i="29" s="1"/>
  <c r="AB103" i="29"/>
  <c r="AB85" i="29" s="1"/>
  <c r="AC103" i="29"/>
  <c r="AC85" i="29" s="1"/>
  <c r="AD103" i="29"/>
  <c r="AD85" i="29" s="1"/>
  <c r="AE103" i="29"/>
  <c r="AE85" i="29" s="1"/>
  <c r="AF103" i="29"/>
  <c r="AF85" i="29" s="1"/>
  <c r="AG103" i="29"/>
  <c r="AG85" i="29" s="1"/>
  <c r="AH103" i="29"/>
  <c r="AH85" i="29" s="1"/>
  <c r="AI103" i="29"/>
  <c r="AI85" i="29" s="1"/>
  <c r="AJ103" i="29"/>
  <c r="AJ85" i="29" s="1"/>
  <c r="AK103" i="29"/>
  <c r="AK85" i="29" s="1"/>
  <c r="AL103" i="29"/>
  <c r="AL85" i="29" s="1"/>
  <c r="AM103" i="29"/>
  <c r="AM85" i="29" s="1"/>
  <c r="AN103" i="29"/>
  <c r="AN85" i="29" s="1"/>
  <c r="AO103" i="29"/>
  <c r="AO85" i="29" s="1"/>
  <c r="AP103" i="29"/>
  <c r="AP85" i="29" s="1"/>
  <c r="AQ103" i="29"/>
  <c r="AQ85" i="29" s="1"/>
  <c r="AR103" i="29"/>
  <c r="AR85" i="29" s="1"/>
  <c r="M104" i="29"/>
  <c r="V104" i="29"/>
  <c r="W104" i="29"/>
  <c r="X104" i="29"/>
  <c r="Y104" i="29"/>
  <c r="Z104" i="29"/>
  <c r="AA104" i="29"/>
  <c r="AB104" i="29"/>
  <c r="AC104" i="29"/>
  <c r="AD104" i="29"/>
  <c r="AE104" i="29"/>
  <c r="AF104" i="29"/>
  <c r="AG104" i="29"/>
  <c r="AH104" i="29"/>
  <c r="AI104" i="29"/>
  <c r="AJ104" i="29"/>
  <c r="AK104" i="29"/>
  <c r="AL104" i="29"/>
  <c r="AM104" i="29"/>
  <c r="AN104" i="29"/>
  <c r="AO104" i="29"/>
  <c r="AP104" i="29"/>
  <c r="AQ104" i="29"/>
  <c r="AR104" i="29"/>
  <c r="G105" i="29"/>
  <c r="H105" i="29"/>
  <c r="I105" i="29"/>
  <c r="J105" i="29"/>
  <c r="K105" i="29"/>
  <c r="L105" i="29"/>
  <c r="M105" i="29"/>
  <c r="N105" i="29"/>
  <c r="O105" i="29"/>
  <c r="P105" i="29"/>
  <c r="Q105" i="29"/>
  <c r="R105" i="29"/>
  <c r="S105" i="29"/>
  <c r="T105" i="29"/>
  <c r="U105" i="29"/>
  <c r="V105" i="29"/>
  <c r="W105" i="29"/>
  <c r="X105" i="29"/>
  <c r="Y105" i="29"/>
  <c r="Z105" i="29"/>
  <c r="AA105" i="29"/>
  <c r="AB105" i="29"/>
  <c r="AC105" i="29"/>
  <c r="AD105" i="29"/>
  <c r="AE105" i="29"/>
  <c r="AF105" i="29"/>
  <c r="AG105" i="29"/>
  <c r="AH105" i="29"/>
  <c r="AI105" i="29"/>
  <c r="AJ105" i="29"/>
  <c r="AK105" i="29"/>
  <c r="AL105" i="29"/>
  <c r="AM105" i="29"/>
  <c r="AN105" i="29"/>
  <c r="AO105" i="29"/>
  <c r="AP105" i="29"/>
  <c r="AQ105" i="29"/>
  <c r="AR105" i="29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AM5" i="27"/>
  <c r="AN5" i="27"/>
  <c r="AO5" i="27"/>
  <c r="AP5" i="27"/>
  <c r="AQ5" i="27"/>
  <c r="AR5" i="27"/>
  <c r="E26" i="27"/>
  <c r="F26" i="27"/>
  <c r="G26" i="27"/>
  <c r="H26" i="27"/>
  <c r="I26" i="27"/>
  <c r="J26" i="27"/>
  <c r="K26" i="27"/>
  <c r="L26" i="27"/>
  <c r="M26" i="27"/>
  <c r="N26" i="27"/>
  <c r="O26" i="27"/>
  <c r="P26" i="27"/>
  <c r="R26" i="27"/>
  <c r="S26" i="27"/>
  <c r="T26" i="27"/>
  <c r="U26" i="27"/>
  <c r="V26" i="27"/>
  <c r="W26" i="27"/>
  <c r="X26" i="27"/>
  <c r="Y26" i="27"/>
  <c r="Z26" i="27"/>
  <c r="AA26" i="27"/>
  <c r="AB26" i="27"/>
  <c r="AC26" i="27"/>
  <c r="AD26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E78" i="27"/>
  <c r="F78" i="27"/>
  <c r="F80" i="27" s="1"/>
  <c r="G78" i="27"/>
  <c r="G80" i="27" s="1"/>
  <c r="H78" i="27"/>
  <c r="H80" i="27" s="1"/>
  <c r="I78" i="27"/>
  <c r="I80" i="27" s="1"/>
  <c r="J78" i="27"/>
  <c r="K78" i="27"/>
  <c r="K80" i="27" s="1"/>
  <c r="L78" i="27"/>
  <c r="L80" i="27" s="1"/>
  <c r="M78" i="27"/>
  <c r="M80" i="27" s="1"/>
  <c r="N78" i="27"/>
  <c r="N80" i="27" s="1"/>
  <c r="O78" i="27"/>
  <c r="O80" i="27" s="1"/>
  <c r="P78" i="27"/>
  <c r="P80" i="27" s="1"/>
  <c r="Q78" i="27"/>
  <c r="Q80" i="27" s="1"/>
  <c r="R78" i="27"/>
  <c r="R80" i="27" s="1"/>
  <c r="S78" i="27"/>
  <c r="S80" i="27" s="1"/>
  <c r="T78" i="27"/>
  <c r="T80" i="27" s="1"/>
  <c r="U78" i="27"/>
  <c r="U80" i="27" s="1"/>
  <c r="V78" i="27"/>
  <c r="V80" i="27" s="1"/>
  <c r="W78" i="27"/>
  <c r="W80" i="27" s="1"/>
  <c r="X78" i="27"/>
  <c r="Y78" i="27"/>
  <c r="Z78" i="27"/>
  <c r="AA78" i="27"/>
  <c r="AB78" i="27"/>
  <c r="AC78" i="27"/>
  <c r="AD78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E79" i="27"/>
  <c r="F79" i="27"/>
  <c r="G79" i="27"/>
  <c r="H79" i="27"/>
  <c r="I79" i="27"/>
  <c r="J79" i="27"/>
  <c r="K79" i="27"/>
  <c r="L79" i="27"/>
  <c r="M79" i="27"/>
  <c r="N79" i="27"/>
  <c r="O79" i="27"/>
  <c r="P79" i="27"/>
  <c r="Q79" i="27"/>
  <c r="R79" i="27"/>
  <c r="S79" i="27"/>
  <c r="T79" i="27"/>
  <c r="U79" i="27"/>
  <c r="V79" i="27"/>
  <c r="W79" i="27"/>
  <c r="X79" i="27"/>
  <c r="Y79" i="27"/>
  <c r="Z79" i="27"/>
  <c r="AA79" i="27"/>
  <c r="AB79" i="27"/>
  <c r="AC79" i="27"/>
  <c r="AD79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E80" i="27"/>
  <c r="J80" i="27"/>
  <c r="X80" i="27"/>
  <c r="Y80" i="27"/>
  <c r="Z80" i="27"/>
  <c r="AA80" i="27"/>
  <c r="AB80" i="27"/>
  <c r="AC80" i="27"/>
  <c r="AD80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E81" i="27"/>
  <c r="F81" i="27"/>
  <c r="F82" i="27" s="1"/>
  <c r="G81" i="27"/>
  <c r="G82" i="27" s="1"/>
  <c r="H81" i="27"/>
  <c r="I81" i="27"/>
  <c r="J81" i="27"/>
  <c r="K81" i="27"/>
  <c r="L81" i="27"/>
  <c r="M81" i="27"/>
  <c r="N81" i="27"/>
  <c r="O81" i="27"/>
  <c r="P81" i="27"/>
  <c r="Q81" i="27"/>
  <c r="Q82" i="27" s="1"/>
  <c r="R81" i="27"/>
  <c r="R82" i="27" s="1"/>
  <c r="S81" i="27"/>
  <c r="S82" i="27" s="1"/>
  <c r="T81" i="27"/>
  <c r="T82" i="27" s="1"/>
  <c r="U81" i="27"/>
  <c r="V81" i="27"/>
  <c r="W81" i="27"/>
  <c r="X81" i="27"/>
  <c r="Y81" i="27"/>
  <c r="Z81" i="27"/>
  <c r="AA81" i="27"/>
  <c r="AB81" i="27"/>
  <c r="AC81" i="27"/>
  <c r="AD81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E82" i="27"/>
  <c r="H82" i="27"/>
  <c r="I82" i="27"/>
  <c r="J82" i="27"/>
  <c r="K82" i="27"/>
  <c r="L82" i="27"/>
  <c r="M82" i="27"/>
  <c r="N82" i="27"/>
  <c r="O82" i="27"/>
  <c r="P82" i="27"/>
  <c r="U82" i="27"/>
  <c r="V82" i="27"/>
  <c r="W82" i="27"/>
  <c r="X82" i="27"/>
  <c r="Y82" i="27"/>
  <c r="Z82" i="27"/>
  <c r="AA82" i="27"/>
  <c r="AB82" i="27"/>
  <c r="AC82" i="27"/>
  <c r="AD82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E84" i="27"/>
  <c r="F84" i="27"/>
  <c r="G84" i="27"/>
  <c r="H84" i="27"/>
  <c r="I84" i="27"/>
  <c r="J84" i="27"/>
  <c r="K84" i="27"/>
  <c r="L84" i="27"/>
  <c r="M84" i="27"/>
  <c r="N84" i="27"/>
  <c r="O84" i="27"/>
  <c r="P84" i="27"/>
  <c r="Q84" i="27"/>
  <c r="R84" i="27"/>
  <c r="S84" i="27"/>
  <c r="T84" i="27"/>
  <c r="U84" i="27"/>
  <c r="V84" i="27"/>
  <c r="W84" i="27"/>
  <c r="X84" i="27"/>
  <c r="Y84" i="27"/>
  <c r="Z84" i="27"/>
  <c r="AA84" i="27"/>
  <c r="AB84" i="27"/>
  <c r="AC84" i="27"/>
  <c r="AD84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E103" i="27"/>
  <c r="E85" i="27" s="1"/>
  <c r="F103" i="27"/>
  <c r="F85" i="27" s="1"/>
  <c r="G103" i="27"/>
  <c r="G85" i="27" s="1"/>
  <c r="H103" i="27"/>
  <c r="H85" i="27" s="1"/>
  <c r="I103" i="27"/>
  <c r="I85" i="27" s="1"/>
  <c r="J103" i="27"/>
  <c r="J85" i="27" s="1"/>
  <c r="K103" i="27"/>
  <c r="K85" i="27" s="1"/>
  <c r="L103" i="27"/>
  <c r="L85" i="27" s="1"/>
  <c r="M103" i="27"/>
  <c r="M85" i="27" s="1"/>
  <c r="N103" i="27"/>
  <c r="N85" i="27" s="1"/>
  <c r="O103" i="27"/>
  <c r="O85" i="27" s="1"/>
  <c r="P103" i="27"/>
  <c r="P85" i="27" s="1"/>
  <c r="Q103" i="27"/>
  <c r="Q85" i="27" s="1"/>
  <c r="R103" i="27"/>
  <c r="R85" i="27" s="1"/>
  <c r="S103" i="27"/>
  <c r="S85" i="27" s="1"/>
  <c r="T103" i="27"/>
  <c r="T85" i="27" s="1"/>
  <c r="U103" i="27"/>
  <c r="U85" i="27" s="1"/>
  <c r="V103" i="27"/>
  <c r="V85" i="27" s="1"/>
  <c r="W103" i="27"/>
  <c r="W85" i="27" s="1"/>
  <c r="X103" i="27"/>
  <c r="X85" i="27" s="1"/>
  <c r="Y103" i="27"/>
  <c r="Y85" i="27" s="1"/>
  <c r="Z103" i="27"/>
  <c r="Z85" i="27" s="1"/>
  <c r="AA103" i="27"/>
  <c r="AA85" i="27" s="1"/>
  <c r="AB103" i="27"/>
  <c r="AB85" i="27" s="1"/>
  <c r="AC103" i="27"/>
  <c r="AC85" i="27" s="1"/>
  <c r="AD103" i="27"/>
  <c r="AD85" i="27" s="1"/>
  <c r="AE103" i="27"/>
  <c r="AE85" i="27" s="1"/>
  <c r="AF103" i="27"/>
  <c r="AF85" i="27" s="1"/>
  <c r="AG103" i="27"/>
  <c r="AG85" i="27" s="1"/>
  <c r="AH103" i="27"/>
  <c r="AH85" i="27" s="1"/>
  <c r="AI103" i="27"/>
  <c r="AI85" i="27" s="1"/>
  <c r="AJ103" i="27"/>
  <c r="AJ85" i="27" s="1"/>
  <c r="AK103" i="27"/>
  <c r="AK85" i="27" s="1"/>
  <c r="AL103" i="27"/>
  <c r="AL85" i="27" s="1"/>
  <c r="AM103" i="27"/>
  <c r="AM85" i="27" s="1"/>
  <c r="AN103" i="27"/>
  <c r="AN85" i="27" s="1"/>
  <c r="AO103" i="27"/>
  <c r="AO85" i="27" s="1"/>
  <c r="AP103" i="27"/>
  <c r="AP85" i="27" s="1"/>
  <c r="AQ103" i="27"/>
  <c r="AQ85" i="27" s="1"/>
  <c r="AR103" i="27"/>
  <c r="AR85" i="27" s="1"/>
  <c r="E104" i="27"/>
  <c r="F104" i="27"/>
  <c r="G104" i="27"/>
  <c r="H104" i="27"/>
  <c r="I104" i="27"/>
  <c r="J104" i="27"/>
  <c r="K104" i="27"/>
  <c r="L104" i="27"/>
  <c r="M104" i="27"/>
  <c r="N104" i="27"/>
  <c r="O104" i="27"/>
  <c r="P104" i="27"/>
  <c r="Q104" i="27"/>
  <c r="V104" i="27"/>
  <c r="W104" i="27"/>
  <c r="X104" i="27"/>
  <c r="Y104" i="27"/>
  <c r="Z104" i="27"/>
  <c r="AA104" i="27"/>
  <c r="AB104" i="27"/>
  <c r="AC104" i="27"/>
  <c r="AD104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E105" i="27"/>
  <c r="F105" i="27"/>
  <c r="G105" i="27"/>
  <c r="H105" i="27"/>
  <c r="I105" i="27"/>
  <c r="J105" i="27"/>
  <c r="K105" i="27"/>
  <c r="L105" i="27"/>
  <c r="M105" i="27"/>
  <c r="N105" i="27"/>
  <c r="O105" i="27"/>
  <c r="P105" i="27"/>
  <c r="Q105" i="27"/>
  <c r="R105" i="27"/>
  <c r="S105" i="27"/>
  <c r="T105" i="27"/>
  <c r="U105" i="27"/>
  <c r="V105" i="27"/>
  <c r="W105" i="27"/>
  <c r="X105" i="27"/>
  <c r="Y105" i="27"/>
  <c r="Z105" i="27"/>
  <c r="AA105" i="27"/>
  <c r="AB105" i="27"/>
  <c r="AC105" i="27"/>
  <c r="AD105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D2" i="2"/>
  <c r="D2" i="27" s="1"/>
  <c r="T104" i="27" l="1"/>
  <c r="U104" i="29"/>
  <c r="T104" i="29"/>
  <c r="P104" i="29"/>
  <c r="S104" i="27"/>
  <c r="O104" i="29"/>
  <c r="G104" i="29"/>
  <c r="K104" i="29"/>
  <c r="L104" i="2"/>
  <c r="K104" i="2"/>
  <c r="E104" i="29"/>
  <c r="D85" i="29"/>
  <c r="E85" i="29"/>
  <c r="I85" i="2"/>
  <c r="J85" i="2"/>
  <c r="H104" i="2"/>
  <c r="L104" i="29"/>
  <c r="U104" i="27"/>
  <c r="I104" i="29"/>
  <c r="R104" i="27"/>
  <c r="S104" i="29"/>
  <c r="H104" i="29"/>
  <c r="Q104" i="29"/>
  <c r="R104" i="29"/>
  <c r="N104" i="29"/>
  <c r="J104" i="29"/>
  <c r="F85" i="29"/>
  <c r="D2" i="29"/>
  <c r="M5" i="2"/>
  <c r="N5" i="2"/>
  <c r="P5" i="2"/>
  <c r="Q5" i="2"/>
  <c r="R5" i="2"/>
  <c r="V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D26" i="27" l="1"/>
  <c r="N103" i="2" l="1"/>
  <c r="O103" i="2"/>
  <c r="P103" i="2"/>
  <c r="Q103" i="2"/>
  <c r="R103" i="2"/>
  <c r="S103" i="2"/>
  <c r="T103" i="2"/>
  <c r="U103" i="2"/>
  <c r="V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M105" i="2"/>
  <c r="M103" i="2"/>
  <c r="M85" i="2" s="1"/>
  <c r="M84" i="2"/>
  <c r="M81" i="2"/>
  <c r="M82" i="2" s="1"/>
  <c r="M79" i="2"/>
  <c r="M80" i="2"/>
  <c r="M104" i="2" l="1"/>
  <c r="AR131" i="29"/>
  <c r="AF131" i="29"/>
  <c r="L131" i="29"/>
  <c r="J131" i="29"/>
  <c r="I131" i="29"/>
  <c r="H131" i="29"/>
  <c r="G131" i="29"/>
  <c r="F131" i="29"/>
  <c r="E131" i="29"/>
  <c r="AR107" i="29"/>
  <c r="AQ107" i="29"/>
  <c r="AF107" i="29"/>
  <c r="L107" i="29"/>
  <c r="K107" i="29"/>
  <c r="J107" i="29"/>
  <c r="I107" i="29"/>
  <c r="H107" i="29"/>
  <c r="G107" i="29"/>
  <c r="F107" i="29"/>
  <c r="E107" i="29"/>
  <c r="D107" i="29"/>
  <c r="AS102" i="29"/>
  <c r="G78" i="19" s="1"/>
  <c r="AS101" i="29"/>
  <c r="G77" i="19" s="1"/>
  <c r="AS100" i="29"/>
  <c r="G76" i="19" s="1"/>
  <c r="AS99" i="29"/>
  <c r="G75" i="19" s="1"/>
  <c r="AS98" i="29"/>
  <c r="G74" i="19" s="1"/>
  <c r="AS97" i="29"/>
  <c r="G73" i="19" s="1"/>
  <c r="AS96" i="29"/>
  <c r="G72" i="19" s="1"/>
  <c r="AS95" i="29"/>
  <c r="G71" i="19" s="1"/>
  <c r="AS94" i="29"/>
  <c r="G70" i="19" s="1"/>
  <c r="AS93" i="29"/>
  <c r="G69" i="19" s="1"/>
  <c r="AS92" i="29"/>
  <c r="G68" i="19" s="1"/>
  <c r="AS91" i="29"/>
  <c r="G67" i="19" s="1"/>
  <c r="AS90" i="29"/>
  <c r="G66" i="19" s="1"/>
  <c r="AS89" i="29"/>
  <c r="G65" i="19" s="1"/>
  <c r="AS88" i="29"/>
  <c r="G64" i="19" s="1"/>
  <c r="AS87" i="29"/>
  <c r="G63" i="19" s="1"/>
  <c r="AS86" i="29"/>
  <c r="G62" i="19" s="1"/>
  <c r="AS83" i="29"/>
  <c r="AS77" i="29"/>
  <c r="G61" i="19" s="1"/>
  <c r="AS76" i="29"/>
  <c r="G60" i="19" s="1"/>
  <c r="AS75" i="29"/>
  <c r="G59" i="19" s="1"/>
  <c r="AS74" i="29"/>
  <c r="G58" i="19" s="1"/>
  <c r="AS73" i="29"/>
  <c r="G57" i="19" s="1"/>
  <c r="AS72" i="29"/>
  <c r="G56" i="19" s="1"/>
  <c r="AS71" i="29"/>
  <c r="G55" i="19" s="1"/>
  <c r="AS70" i="29"/>
  <c r="G54" i="19" s="1"/>
  <c r="AS69" i="29"/>
  <c r="G53" i="19" s="1"/>
  <c r="AS68" i="29"/>
  <c r="G52" i="19" s="1"/>
  <c r="AS67" i="29"/>
  <c r="G51" i="19" s="1"/>
  <c r="AS66" i="29"/>
  <c r="G50" i="19" s="1"/>
  <c r="AS65" i="29"/>
  <c r="G49" i="19" s="1"/>
  <c r="AS64" i="29"/>
  <c r="G48" i="19" s="1"/>
  <c r="AS63" i="29"/>
  <c r="G47" i="19" s="1"/>
  <c r="AS62" i="29"/>
  <c r="G46" i="19" s="1"/>
  <c r="AS61" i="29"/>
  <c r="G45" i="19" s="1"/>
  <c r="AS60" i="29"/>
  <c r="G44" i="19" s="1"/>
  <c r="AS59" i="29"/>
  <c r="G43" i="19" s="1"/>
  <c r="AS58" i="29"/>
  <c r="G42" i="19" s="1"/>
  <c r="AS57" i="29"/>
  <c r="G41" i="19" s="1"/>
  <c r="AS56" i="29"/>
  <c r="G40" i="19" s="1"/>
  <c r="AS55" i="29"/>
  <c r="G39" i="19" s="1"/>
  <c r="AS54" i="29"/>
  <c r="G38" i="19" s="1"/>
  <c r="AS53" i="29"/>
  <c r="G37" i="19" s="1"/>
  <c r="AS52" i="29"/>
  <c r="G36" i="19" s="1"/>
  <c r="AS51" i="29"/>
  <c r="G35" i="19" s="1"/>
  <c r="AS50" i="29"/>
  <c r="G34" i="19" s="1"/>
  <c r="AS49" i="29"/>
  <c r="G33" i="19" s="1"/>
  <c r="AS48" i="29"/>
  <c r="G32" i="19" s="1"/>
  <c r="AS47" i="29"/>
  <c r="G31" i="19" s="1"/>
  <c r="AS46" i="29"/>
  <c r="G30" i="19" s="1"/>
  <c r="AS45" i="29"/>
  <c r="G29" i="19" s="1"/>
  <c r="AS44" i="29"/>
  <c r="G28" i="19" s="1"/>
  <c r="AS43" i="29"/>
  <c r="G27" i="19" s="1"/>
  <c r="AS42" i="29"/>
  <c r="G26" i="19" s="1"/>
  <c r="AS41" i="29"/>
  <c r="G25" i="19" s="1"/>
  <c r="AS40" i="29"/>
  <c r="G24" i="19" s="1"/>
  <c r="AS39" i="29"/>
  <c r="G23" i="19" s="1"/>
  <c r="AS38" i="29"/>
  <c r="G22" i="19" s="1"/>
  <c r="AS37" i="29"/>
  <c r="G21" i="19" s="1"/>
  <c r="AS36" i="29"/>
  <c r="G20" i="19" s="1"/>
  <c r="AS35" i="29"/>
  <c r="G19" i="19" s="1"/>
  <c r="AS34" i="29"/>
  <c r="G18" i="19" s="1"/>
  <c r="AS33" i="29"/>
  <c r="G17" i="19" s="1"/>
  <c r="AS32" i="29"/>
  <c r="G16" i="19" s="1"/>
  <c r="AS31" i="29"/>
  <c r="G15" i="19" s="1"/>
  <c r="AS30" i="29"/>
  <c r="G14" i="19" s="1"/>
  <c r="AS29" i="29"/>
  <c r="G13" i="19" s="1"/>
  <c r="AS28" i="29"/>
  <c r="G12" i="19" s="1"/>
  <c r="AS27" i="29"/>
  <c r="G11" i="19" s="1"/>
  <c r="AS25" i="29"/>
  <c r="G9" i="19" s="1"/>
  <c r="AS24" i="29"/>
  <c r="AS23" i="29"/>
  <c r="G7" i="19" s="1"/>
  <c r="AS7" i="29"/>
  <c r="G6" i="19" s="1"/>
  <c r="B4" i="29"/>
  <c r="B5" i="29" s="1"/>
  <c r="C3" i="29"/>
  <c r="D131" i="29"/>
  <c r="C1" i="29"/>
  <c r="AS78" i="29" l="1"/>
  <c r="AS103" i="29"/>
  <c r="AS104" i="29" s="1"/>
  <c r="AS85" i="29"/>
  <c r="AS84" i="29"/>
  <c r="AS81" i="29"/>
  <c r="AS82" i="29" s="1"/>
  <c r="AS26" i="29"/>
  <c r="G10" i="19" s="1"/>
  <c r="B6" i="29"/>
  <c r="AS105" i="29"/>
  <c r="AS79" i="29"/>
  <c r="T26" i="2"/>
  <c r="AS80" i="29" l="1"/>
  <c r="B7" i="29"/>
  <c r="Q81" i="2"/>
  <c r="B8" i="29" l="1"/>
  <c r="N84" i="2"/>
  <c r="O84" i="2"/>
  <c r="P84" i="2"/>
  <c r="Q84" i="2"/>
  <c r="R84" i="2"/>
  <c r="S84" i="2"/>
  <c r="T84" i="2"/>
  <c r="U84" i="2"/>
  <c r="V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N105" i="2"/>
  <c r="O105" i="2"/>
  <c r="P105" i="2"/>
  <c r="Q105" i="2"/>
  <c r="R105" i="2"/>
  <c r="S105" i="2"/>
  <c r="T105" i="2"/>
  <c r="U105" i="2"/>
  <c r="V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N104" i="2"/>
  <c r="O104" i="2"/>
  <c r="P104" i="2"/>
  <c r="Q104" i="2"/>
  <c r="R104" i="2"/>
  <c r="S104" i="2"/>
  <c r="T104" i="2"/>
  <c r="U104" i="2"/>
  <c r="V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Q26" i="2"/>
  <c r="R26" i="2"/>
  <c r="U26" i="2"/>
  <c r="V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B9" i="29" l="1"/>
  <c r="N80" i="2"/>
  <c r="O80" i="2"/>
  <c r="P80" i="2"/>
  <c r="Q80" i="2"/>
  <c r="N79" i="2"/>
  <c r="O79" i="2"/>
  <c r="P79" i="2"/>
  <c r="Q79" i="2"/>
  <c r="N81" i="2"/>
  <c r="N82" i="2" s="1"/>
  <c r="O81" i="2"/>
  <c r="O82" i="2" s="1"/>
  <c r="P81" i="2"/>
  <c r="P82" i="2" s="1"/>
  <c r="Q82" i="2"/>
  <c r="B10" i="29" l="1"/>
  <c r="B11" i="29" l="1"/>
  <c r="B12" i="29" l="1"/>
  <c r="D105" i="27"/>
  <c r="D103" i="27"/>
  <c r="D104" i="27" s="1"/>
  <c r="D84" i="27"/>
  <c r="D81" i="27"/>
  <c r="D82" i="27" s="1"/>
  <c r="D79" i="27"/>
  <c r="D78" i="27"/>
  <c r="D80" i="27" s="1"/>
  <c r="D5" i="27"/>
  <c r="D2" i="19"/>
  <c r="C3" i="27"/>
  <c r="C3" i="2"/>
  <c r="D2" i="20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D81" i="2"/>
  <c r="AC81" i="2"/>
  <c r="AB81" i="2"/>
  <c r="AA81" i="2"/>
  <c r="Z81" i="2"/>
  <c r="Y81" i="2"/>
  <c r="X81" i="2"/>
  <c r="V81" i="2"/>
  <c r="U81" i="2"/>
  <c r="AO79" i="2"/>
  <c r="AP79" i="2"/>
  <c r="AQ79" i="2"/>
  <c r="AR79" i="2"/>
  <c r="AO80" i="2"/>
  <c r="AP80" i="2"/>
  <c r="AQ80" i="2"/>
  <c r="AR80" i="2"/>
  <c r="AO82" i="2"/>
  <c r="AP82" i="2"/>
  <c r="AQ82" i="2"/>
  <c r="AR82" i="2"/>
  <c r="AO84" i="2"/>
  <c r="AP84" i="2"/>
  <c r="AQ84" i="2"/>
  <c r="AR84" i="2"/>
  <c r="AO85" i="2"/>
  <c r="AP85" i="2"/>
  <c r="AQ85" i="2"/>
  <c r="AR85" i="2"/>
  <c r="AS75" i="2"/>
  <c r="AS86" i="2"/>
  <c r="D131" i="27"/>
  <c r="U80" i="2"/>
  <c r="V80" i="2"/>
  <c r="U79" i="2"/>
  <c r="V79" i="2"/>
  <c r="V82" i="2"/>
  <c r="U82" i="2"/>
  <c r="T85" i="2"/>
  <c r="U85" i="2"/>
  <c r="V85" i="2"/>
  <c r="AS24" i="27"/>
  <c r="G8" i="19" s="1"/>
  <c r="F131" i="27"/>
  <c r="E131" i="27"/>
  <c r="F107" i="27"/>
  <c r="E107" i="27"/>
  <c r="X80" i="2"/>
  <c r="X79" i="2"/>
  <c r="X82" i="2"/>
  <c r="X85" i="2"/>
  <c r="AS25" i="2"/>
  <c r="AS25" i="27"/>
  <c r="F9" i="19" s="1"/>
  <c r="G131" i="2"/>
  <c r="G107" i="2"/>
  <c r="D1" i="19"/>
  <c r="C18" i="10" a="1"/>
  <c r="C18" i="10" s="1"/>
  <c r="AS102" i="27"/>
  <c r="AS101" i="27"/>
  <c r="AS100" i="27"/>
  <c r="AS99" i="27"/>
  <c r="AS98" i="27"/>
  <c r="AS97" i="27"/>
  <c r="AS96" i="27"/>
  <c r="AS95" i="27"/>
  <c r="AS94" i="27"/>
  <c r="AS93" i="27"/>
  <c r="AS92" i="27"/>
  <c r="AS91" i="27"/>
  <c r="AS90" i="27"/>
  <c r="AS89" i="27"/>
  <c r="AS88" i="27"/>
  <c r="AS87" i="27"/>
  <c r="AS83" i="27"/>
  <c r="AS77" i="27"/>
  <c r="AS76" i="27"/>
  <c r="AS75" i="27"/>
  <c r="AS74" i="27"/>
  <c r="F58" i="19" s="1"/>
  <c r="AS73" i="27"/>
  <c r="AS72" i="27"/>
  <c r="AS71" i="27"/>
  <c r="AS70" i="27"/>
  <c r="AS69" i="27"/>
  <c r="AS68" i="27"/>
  <c r="AS67" i="27"/>
  <c r="AS66" i="27"/>
  <c r="AS65" i="27"/>
  <c r="AS64" i="27"/>
  <c r="AS63" i="27"/>
  <c r="AS62" i="27"/>
  <c r="AS61" i="27"/>
  <c r="AS60" i="27"/>
  <c r="AS59" i="27"/>
  <c r="AS58" i="27"/>
  <c r="AS57" i="27"/>
  <c r="AS56" i="27"/>
  <c r="AS55" i="27"/>
  <c r="AS54" i="27"/>
  <c r="AS53" i="27"/>
  <c r="AS52" i="27"/>
  <c r="AS51" i="27"/>
  <c r="AS50" i="27"/>
  <c r="AS49" i="27"/>
  <c r="AS48" i="27"/>
  <c r="AS47" i="27"/>
  <c r="AS46" i="27"/>
  <c r="AS45" i="27"/>
  <c r="AS44" i="27"/>
  <c r="AS43" i="27"/>
  <c r="AS42" i="27"/>
  <c r="AS41" i="27"/>
  <c r="AS40" i="27"/>
  <c r="AS39" i="27"/>
  <c r="AS38" i="27"/>
  <c r="AS37" i="27"/>
  <c r="AS36" i="27"/>
  <c r="AS35" i="27"/>
  <c r="AS34" i="27"/>
  <c r="AS33" i="27"/>
  <c r="AS32" i="27"/>
  <c r="AS31" i="27"/>
  <c r="AS30" i="27"/>
  <c r="AS29" i="27"/>
  <c r="AS28" i="27"/>
  <c r="AS27" i="27"/>
  <c r="AS23" i="27"/>
  <c r="AS7" i="27"/>
  <c r="Y80" i="2"/>
  <c r="Z80" i="2"/>
  <c r="AA80" i="2"/>
  <c r="AB80" i="2"/>
  <c r="AC80" i="2"/>
  <c r="AD80" i="2"/>
  <c r="AF80" i="2"/>
  <c r="AG80" i="2"/>
  <c r="AH80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E80" i="2"/>
  <c r="AI80" i="2"/>
  <c r="AJ80" i="2"/>
  <c r="AK80" i="2"/>
  <c r="AL80" i="2"/>
  <c r="AM80" i="2"/>
  <c r="AN80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J84" i="2"/>
  <c r="AK84" i="2"/>
  <c r="AL84" i="2"/>
  <c r="AM84" i="2"/>
  <c r="AN84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C17" i="10" a="1"/>
  <c r="C17" i="10" s="1"/>
  <c r="C4" i="10" a="1"/>
  <c r="C4" i="10" s="1"/>
  <c r="C3" i="10" a="1"/>
  <c r="C3" i="10" s="1"/>
  <c r="C2" i="10" a="1"/>
  <c r="C2" i="10" s="1"/>
  <c r="C5" i="10" a="1"/>
  <c r="C5" i="10" s="1"/>
  <c r="AS24" i="2"/>
  <c r="AS23" i="2"/>
  <c r="AS101" i="2"/>
  <c r="AS7" i="2"/>
  <c r="AS67" i="2"/>
  <c r="AS68" i="2"/>
  <c r="AS69" i="2"/>
  <c r="AS70" i="2"/>
  <c r="AS71" i="2"/>
  <c r="L10" i="10" a="1"/>
  <c r="L10" i="10" s="1"/>
  <c r="K10" i="10" a="1"/>
  <c r="K10" i="10" s="1"/>
  <c r="J10" i="10" a="1"/>
  <c r="J10" i="10" s="1"/>
  <c r="I10" i="10" a="1"/>
  <c r="I10" i="10" s="1"/>
  <c r="H10" i="10" a="1"/>
  <c r="H10" i="10" s="1"/>
  <c r="G10" i="10" a="1"/>
  <c r="G10" i="10" s="1"/>
  <c r="F10" i="10" a="1"/>
  <c r="F10" i="10" s="1"/>
  <c r="E10" i="10" a="1"/>
  <c r="E10" i="10" s="1"/>
  <c r="D10" i="10" a="1"/>
  <c r="D10" i="10" s="1"/>
  <c r="L9" i="10" a="1"/>
  <c r="L9" i="10" s="1"/>
  <c r="K9" i="10" a="1"/>
  <c r="K9" i="10" s="1"/>
  <c r="J9" i="10" a="1"/>
  <c r="J9" i="10" s="1"/>
  <c r="I9" i="10" a="1"/>
  <c r="I9" i="10" s="1"/>
  <c r="I11" i="10" s="1"/>
  <c r="H9" i="10" a="1"/>
  <c r="H9" i="10" s="1"/>
  <c r="G9" i="10" a="1"/>
  <c r="G9" i="10" s="1"/>
  <c r="G11" i="10" s="1"/>
  <c r="F9" i="10" a="1"/>
  <c r="F9" i="10" s="1"/>
  <c r="E9" i="10" a="1"/>
  <c r="E9" i="10" s="1"/>
  <c r="E11" i="10" s="1"/>
  <c r="D9" i="10" a="1"/>
  <c r="D9" i="10" s="1"/>
  <c r="L8" i="10" a="1"/>
  <c r="L8" i="10" s="1"/>
  <c r="K8" i="10" a="1"/>
  <c r="K8" i="10" s="1"/>
  <c r="J8" i="10" a="1"/>
  <c r="J8" i="10" s="1"/>
  <c r="I8" i="10" a="1"/>
  <c r="I8" i="10" s="1"/>
  <c r="H8" i="10" a="1"/>
  <c r="H8" i="10" s="1"/>
  <c r="G8" i="10" a="1"/>
  <c r="G8" i="10" s="1"/>
  <c r="F8" i="10" a="1"/>
  <c r="F8" i="10" s="1"/>
  <c r="E8" i="10" a="1"/>
  <c r="E8" i="10" s="1"/>
  <c r="D8" i="10" a="1"/>
  <c r="D8" i="10" s="1"/>
  <c r="AR131" i="27"/>
  <c r="AF131" i="27"/>
  <c r="L131" i="27"/>
  <c r="J131" i="27"/>
  <c r="I131" i="27"/>
  <c r="H131" i="27"/>
  <c r="G131" i="27"/>
  <c r="AR107" i="27"/>
  <c r="AQ107" i="27"/>
  <c r="AF107" i="27"/>
  <c r="L107" i="27"/>
  <c r="K107" i="27"/>
  <c r="J107" i="27"/>
  <c r="I107" i="27"/>
  <c r="H107" i="27"/>
  <c r="G107" i="27"/>
  <c r="D107" i="27"/>
  <c r="B4" i="27"/>
  <c r="C1" i="27"/>
  <c r="E5" i="19"/>
  <c r="E4" i="19"/>
  <c r="E3" i="19"/>
  <c r="C1" i="2"/>
  <c r="B4" i="2"/>
  <c r="B5" i="2" s="1"/>
  <c r="B6" i="2" s="1"/>
  <c r="B7" i="2" s="1"/>
  <c r="B8" i="2" s="1"/>
  <c r="B9" i="2" s="1"/>
  <c r="B5" i="26"/>
  <c r="D107" i="2"/>
  <c r="F107" i="2"/>
  <c r="H107" i="2"/>
  <c r="I107" i="2"/>
  <c r="M107" i="2"/>
  <c r="AR107" i="2"/>
  <c r="L107" i="2"/>
  <c r="N107" i="2"/>
  <c r="K107" i="2"/>
  <c r="J107" i="2"/>
  <c r="L4" i="10" a="1"/>
  <c r="L4" i="10" s="1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72" i="2"/>
  <c r="AS73" i="2"/>
  <c r="AS74" i="2"/>
  <c r="AS76" i="2"/>
  <c r="AS77" i="2"/>
  <c r="AS83" i="2"/>
  <c r="AS84" i="2" s="1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2" i="2"/>
  <c r="D4" i="10" a="1"/>
  <c r="D4" i="10" s="1"/>
  <c r="E4" i="10" a="1"/>
  <c r="E4" i="10" s="1"/>
  <c r="F4" i="10" a="1"/>
  <c r="F4" i="10" s="1"/>
  <c r="G4" i="10" a="1"/>
  <c r="G4" i="10" s="1"/>
  <c r="H4" i="10" a="1"/>
  <c r="H4" i="10" s="1"/>
  <c r="I4" i="10" a="1"/>
  <c r="I4" i="10" s="1"/>
  <c r="C64" i="3"/>
  <c r="C9" i="3"/>
  <c r="E9" i="3" s="1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5" i="3"/>
  <c r="C78" i="3"/>
  <c r="D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3" i="3"/>
  <c r="C62" i="3"/>
  <c r="C61" i="3"/>
  <c r="C79" i="3"/>
  <c r="D79" i="3"/>
  <c r="C80" i="3"/>
  <c r="D80" i="3"/>
  <c r="D54" i="3"/>
  <c r="D55" i="3"/>
  <c r="I5" i="10" a="1"/>
  <c r="I5" i="10" s="1"/>
  <c r="H5" i="10" a="1"/>
  <c r="H5" i="10" s="1"/>
  <c r="G5" i="10" a="1"/>
  <c r="G5" i="10" s="1"/>
  <c r="F5" i="10" a="1"/>
  <c r="F5" i="10" s="1"/>
  <c r="E5" i="10" a="1"/>
  <c r="E5" i="10" s="1"/>
  <c r="D5" i="10" a="1"/>
  <c r="D5" i="10" s="1"/>
  <c r="I3" i="10" a="1"/>
  <c r="I3" i="10" s="1"/>
  <c r="H3" i="10" a="1"/>
  <c r="H3" i="10" s="1"/>
  <c r="G3" i="10" a="1"/>
  <c r="G3" i="10" s="1"/>
  <c r="F3" i="10" a="1"/>
  <c r="F3" i="10" s="1"/>
  <c r="E3" i="10" a="1"/>
  <c r="E3" i="10" s="1"/>
  <c r="D3" i="10" a="1"/>
  <c r="D3" i="10" s="1"/>
  <c r="I2" i="10" a="1"/>
  <c r="I2" i="10" s="1"/>
  <c r="H2" i="10" a="1"/>
  <c r="H2" i="10" s="1"/>
  <c r="G2" i="10" a="1"/>
  <c r="G2" i="10" s="1"/>
  <c r="F2" i="10" a="1"/>
  <c r="F2" i="10" s="1"/>
  <c r="E2" i="10" a="1"/>
  <c r="E2" i="10" s="1"/>
  <c r="D2" i="10" a="1"/>
  <c r="D2" i="10" s="1"/>
  <c r="D131" i="2"/>
  <c r="F131" i="2"/>
  <c r="H131" i="2"/>
  <c r="I131" i="2"/>
  <c r="K131" i="2"/>
  <c r="L131" i="2"/>
  <c r="N131" i="2"/>
  <c r="AR131" i="2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C56" i="3"/>
  <c r="C57" i="3"/>
  <c r="D57" i="3"/>
  <c r="C58" i="3"/>
  <c r="D58" i="3"/>
  <c r="C59" i="3"/>
  <c r="D59" i="3"/>
  <c r="C60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K4" i="10" a="1"/>
  <c r="K4" i="10" s="1"/>
  <c r="J4" i="10" a="1"/>
  <c r="J4" i="10" s="1"/>
  <c r="J3" i="10" a="1"/>
  <c r="J3" i="10" s="1"/>
  <c r="L3" i="10" a="1"/>
  <c r="L3" i="10" s="1"/>
  <c r="K2" i="10" a="1"/>
  <c r="K2" i="10" s="1"/>
  <c r="J2" i="10" a="1"/>
  <c r="J2" i="10" s="1"/>
  <c r="L2" i="10" a="1"/>
  <c r="L2" i="10" s="1"/>
  <c r="K3" i="10" a="1"/>
  <c r="K3" i="10" s="1"/>
  <c r="AS86" i="27"/>
  <c r="AT65" i="29" l="1"/>
  <c r="AT61" i="29"/>
  <c r="AT59" i="29"/>
  <c r="AT57" i="29"/>
  <c r="AT53" i="29"/>
  <c r="AT51" i="29"/>
  <c r="AT49" i="29"/>
  <c r="AT43" i="29"/>
  <c r="AT41" i="29"/>
  <c r="AT37" i="29"/>
  <c r="AT29" i="29"/>
  <c r="AT100" i="29"/>
  <c r="AT96" i="29"/>
  <c r="AT92" i="29"/>
  <c r="AT88" i="29"/>
  <c r="AT76" i="29"/>
  <c r="AT33" i="29"/>
  <c r="AT45" i="29"/>
  <c r="AT71" i="29"/>
  <c r="AT67" i="29"/>
  <c r="AT101" i="29"/>
  <c r="AT27" i="29"/>
  <c r="AT35" i="29"/>
  <c r="AT55" i="29"/>
  <c r="AT39" i="29"/>
  <c r="AT31" i="29"/>
  <c r="AT63" i="29"/>
  <c r="AT47" i="29"/>
  <c r="AT98" i="29"/>
  <c r="AT90" i="29"/>
  <c r="AT66" i="29"/>
  <c r="AT58" i="29"/>
  <c r="AT50" i="29"/>
  <c r="AT34" i="29"/>
  <c r="AT69" i="29"/>
  <c r="AT99" i="29"/>
  <c r="AT91" i="29"/>
  <c r="E1" i="20"/>
  <c r="E2" i="20" s="1"/>
  <c r="AT74" i="29"/>
  <c r="AT23" i="29"/>
  <c r="AT95" i="29"/>
  <c r="AT87" i="29"/>
  <c r="AT70" i="29"/>
  <c r="AT94" i="29"/>
  <c r="AT62" i="29"/>
  <c r="AT54" i="29"/>
  <c r="AT46" i="29"/>
  <c r="AT38" i="29"/>
  <c r="AT30" i="29"/>
  <c r="AT60" i="29"/>
  <c r="AT52" i="29"/>
  <c r="AT44" i="29"/>
  <c r="AT36" i="29"/>
  <c r="AT28" i="29"/>
  <c r="AT102" i="29"/>
  <c r="AT97" i="29"/>
  <c r="AT93" i="29"/>
  <c r="AT89" i="29"/>
  <c r="AT77" i="29"/>
  <c r="AT24" i="29"/>
  <c r="AT42" i="29"/>
  <c r="AT86" i="29"/>
  <c r="AT73" i="29"/>
  <c r="AT75" i="29"/>
  <c r="AT72" i="29"/>
  <c r="AT64" i="29"/>
  <c r="AT56" i="29"/>
  <c r="AT48" i="29"/>
  <c r="AT40" i="29"/>
  <c r="AT32" i="29"/>
  <c r="AT68" i="29"/>
  <c r="AT7" i="29"/>
  <c r="D3" i="19"/>
  <c r="C4" i="29"/>
  <c r="AT100" i="27"/>
  <c r="C10" i="10" a="1"/>
  <c r="C10" i="10" s="1"/>
  <c r="M10" i="10" s="1"/>
  <c r="B13" i="29"/>
  <c r="C4" i="27"/>
  <c r="B5" i="27"/>
  <c r="B6" i="27" s="1"/>
  <c r="B7" i="27" s="1"/>
  <c r="F43" i="19"/>
  <c r="F68" i="19"/>
  <c r="F75" i="19"/>
  <c r="F48" i="19"/>
  <c r="AT98" i="27"/>
  <c r="E35" i="19"/>
  <c r="E50" i="19"/>
  <c r="AT95" i="27"/>
  <c r="E74" i="19"/>
  <c r="E10" i="3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AS103" i="2"/>
  <c r="AS105" i="2"/>
  <c r="D85" i="27"/>
  <c r="F8" i="19"/>
  <c r="F14" i="19"/>
  <c r="F22" i="19"/>
  <c r="F35" i="19"/>
  <c r="F47" i="19"/>
  <c r="F54" i="19"/>
  <c r="F61" i="19"/>
  <c r="F74" i="19"/>
  <c r="F12" i="19"/>
  <c r="F52" i="19"/>
  <c r="F15" i="19"/>
  <c r="F23" i="19"/>
  <c r="F30" i="19"/>
  <c r="F36" i="19"/>
  <c r="F42" i="19"/>
  <c r="F55" i="19"/>
  <c r="F20" i="19"/>
  <c r="F28" i="19"/>
  <c r="F59" i="19"/>
  <c r="F72" i="19"/>
  <c r="F16" i="19"/>
  <c r="F24" i="19"/>
  <c r="F31" i="19"/>
  <c r="F37" i="19"/>
  <c r="F56" i="19"/>
  <c r="F63" i="19"/>
  <c r="F69" i="19"/>
  <c r="F6" i="19"/>
  <c r="F17" i="19"/>
  <c r="F25" i="19"/>
  <c r="F32" i="19"/>
  <c r="F38" i="19"/>
  <c r="F49" i="19"/>
  <c r="F57" i="19"/>
  <c r="F64" i="19"/>
  <c r="F70" i="19"/>
  <c r="F76" i="19"/>
  <c r="F7" i="19"/>
  <c r="F18" i="19"/>
  <c r="F26" i="19"/>
  <c r="F39" i="19"/>
  <c r="F44" i="19"/>
  <c r="F50" i="19"/>
  <c r="F77" i="19"/>
  <c r="F40" i="19"/>
  <c r="F11" i="19"/>
  <c r="F19" i="19"/>
  <c r="F27" i="19"/>
  <c r="F33" i="19"/>
  <c r="F45" i="19"/>
  <c r="F51" i="19"/>
  <c r="F65" i="19"/>
  <c r="F71" i="19"/>
  <c r="F78" i="19"/>
  <c r="F66" i="19"/>
  <c r="F13" i="19"/>
  <c r="F21" i="19"/>
  <c r="F29" i="19"/>
  <c r="F34" i="19"/>
  <c r="F41" i="19"/>
  <c r="F46" i="19"/>
  <c r="F53" i="19"/>
  <c r="F60" i="19"/>
  <c r="F67" i="19"/>
  <c r="F73" i="19"/>
  <c r="E72" i="19"/>
  <c r="E77" i="19"/>
  <c r="E71" i="19"/>
  <c r="E63" i="19"/>
  <c r="E42" i="19"/>
  <c r="E27" i="19"/>
  <c r="E19" i="19"/>
  <c r="E11" i="19"/>
  <c r="E7" i="19"/>
  <c r="E43" i="19"/>
  <c r="E12" i="19"/>
  <c r="E78" i="19"/>
  <c r="E49" i="19"/>
  <c r="E41" i="19"/>
  <c r="E34" i="19"/>
  <c r="E26" i="19"/>
  <c r="E18" i="19"/>
  <c r="E55" i="19"/>
  <c r="E8" i="19"/>
  <c r="E76" i="19"/>
  <c r="H76" i="19" s="1"/>
  <c r="E69" i="19"/>
  <c r="E61" i="19"/>
  <c r="H61" i="19" s="1"/>
  <c r="E48" i="19"/>
  <c r="E40" i="19"/>
  <c r="E33" i="19"/>
  <c r="E25" i="19"/>
  <c r="E17" i="19"/>
  <c r="E54" i="19"/>
  <c r="E62" i="19"/>
  <c r="E20" i="19"/>
  <c r="E68" i="19"/>
  <c r="E60" i="19"/>
  <c r="E47" i="19"/>
  <c r="E39" i="19"/>
  <c r="E32" i="19"/>
  <c r="E24" i="19"/>
  <c r="E16" i="19"/>
  <c r="E53" i="19"/>
  <c r="E59" i="19"/>
  <c r="E67" i="19"/>
  <c r="E58" i="19"/>
  <c r="H58" i="19" s="1"/>
  <c r="E46" i="19"/>
  <c r="E38" i="19"/>
  <c r="E31" i="19"/>
  <c r="E23" i="19"/>
  <c r="E15" i="19"/>
  <c r="E52" i="19"/>
  <c r="E64" i="19"/>
  <c r="E28" i="19"/>
  <c r="E66" i="19"/>
  <c r="E57" i="19"/>
  <c r="E45" i="19"/>
  <c r="E37" i="19"/>
  <c r="E30" i="19"/>
  <c r="E22" i="19"/>
  <c r="E14" i="19"/>
  <c r="E51" i="19"/>
  <c r="E73" i="19"/>
  <c r="E65" i="19"/>
  <c r="H65" i="19" s="1"/>
  <c r="E44" i="19"/>
  <c r="E36" i="19"/>
  <c r="E29" i="19"/>
  <c r="E21" i="19"/>
  <c r="E13" i="19"/>
  <c r="E6" i="19"/>
  <c r="AT101" i="27"/>
  <c r="AT96" i="27"/>
  <c r="AT87" i="27"/>
  <c r="AT89" i="27"/>
  <c r="AT92" i="27"/>
  <c r="B10" i="2"/>
  <c r="E75" i="19"/>
  <c r="AT99" i="27"/>
  <c r="AT86" i="27"/>
  <c r="F62" i="19"/>
  <c r="C4" i="2"/>
  <c r="B6" i="26"/>
  <c r="D4" i="20" s="1"/>
  <c r="D3" i="20"/>
  <c r="AT94" i="27"/>
  <c r="E70" i="19"/>
  <c r="AS26" i="2"/>
  <c r="AT97" i="27"/>
  <c r="AT102" i="27"/>
  <c r="AT91" i="27"/>
  <c r="AT88" i="27"/>
  <c r="AT93" i="27"/>
  <c r="AS84" i="27"/>
  <c r="AS85" i="2"/>
  <c r="AT90" i="27"/>
  <c r="AS85" i="27"/>
  <c r="AS26" i="27"/>
  <c r="F10" i="19" s="1"/>
  <c r="AT7" i="27"/>
  <c r="AS103" i="27"/>
  <c r="AT24" i="27"/>
  <c r="AS105" i="27"/>
  <c r="C9" i="10" a="1"/>
  <c r="C9" i="10" s="1"/>
  <c r="C13" i="10" s="1"/>
  <c r="C8" i="10" a="1"/>
  <c r="C8" i="10" s="1"/>
  <c r="M8" i="10" s="1"/>
  <c r="AS79" i="27"/>
  <c r="AT23" i="27"/>
  <c r="AS78" i="27"/>
  <c r="AS80" i="27" s="1"/>
  <c r="AS81" i="27"/>
  <c r="E13" i="10"/>
  <c r="AT27" i="27"/>
  <c r="AS81" i="2"/>
  <c r="C19" i="10"/>
  <c r="AS79" i="2"/>
  <c r="E56" i="19"/>
  <c r="AS78" i="2"/>
  <c r="C6" i="10"/>
  <c r="E6" i="10"/>
  <c r="E12" i="10"/>
  <c r="G12" i="10"/>
  <c r="G6" i="10"/>
  <c r="I6" i="10"/>
  <c r="I12" i="10"/>
  <c r="D12" i="10"/>
  <c r="D6" i="10"/>
  <c r="F6" i="10"/>
  <c r="F12" i="10"/>
  <c r="H12" i="10"/>
  <c r="H6" i="10"/>
  <c r="L12" i="10"/>
  <c r="L6" i="10"/>
  <c r="K6" i="10"/>
  <c r="K12" i="10"/>
  <c r="M3" i="10"/>
  <c r="J12" i="10"/>
  <c r="J6" i="10"/>
  <c r="M2" i="10"/>
  <c r="N2" i="10" s="1"/>
  <c r="M5" i="10"/>
  <c r="N5" i="10" s="1"/>
  <c r="M4" i="10"/>
  <c r="O4" i="10" s="1"/>
  <c r="K11" i="10"/>
  <c r="K13" i="10"/>
  <c r="I13" i="10"/>
  <c r="C7" i="10" a="1"/>
  <c r="C7" i="10" s="1"/>
  <c r="M7" i="10" s="1"/>
  <c r="F11" i="10"/>
  <c r="F13" i="10"/>
  <c r="J13" i="10"/>
  <c r="J11" i="10"/>
  <c r="D13" i="10"/>
  <c r="D11" i="10"/>
  <c r="H13" i="10"/>
  <c r="H11" i="10"/>
  <c r="L13" i="10"/>
  <c r="L11" i="10"/>
  <c r="G13" i="10"/>
  <c r="H36" i="19" l="1"/>
  <c r="I36" i="19" s="1"/>
  <c r="E3" i="20"/>
  <c r="I76" i="19"/>
  <c r="I65" i="19"/>
  <c r="I58" i="19"/>
  <c r="I61" i="19"/>
  <c r="AT85" i="29"/>
  <c r="AT81" i="29"/>
  <c r="AT82" i="29" s="1"/>
  <c r="AT78" i="29"/>
  <c r="AT79" i="29" s="1"/>
  <c r="AT103" i="29"/>
  <c r="AT104" i="29" s="1"/>
  <c r="H67" i="19"/>
  <c r="I67" i="19" s="1"/>
  <c r="H38" i="19"/>
  <c r="I38" i="19" s="1"/>
  <c r="C5" i="29"/>
  <c r="H35" i="19"/>
  <c r="I35" i="19" s="1"/>
  <c r="H75" i="19"/>
  <c r="I75" i="19" s="1"/>
  <c r="H64" i="19"/>
  <c r="I64" i="19" s="1"/>
  <c r="H68" i="19"/>
  <c r="I68" i="19" s="1"/>
  <c r="H15" i="19"/>
  <c r="I15" i="19" s="1"/>
  <c r="B14" i="29"/>
  <c r="H7" i="19"/>
  <c r="H74" i="19"/>
  <c r="I74" i="19" s="1"/>
  <c r="H70" i="19"/>
  <c r="I70" i="19" s="1"/>
  <c r="H13" i="19"/>
  <c r="I13" i="19" s="1"/>
  <c r="H40" i="19"/>
  <c r="I40" i="19" s="1"/>
  <c r="H59" i="19"/>
  <c r="I59" i="19" s="1"/>
  <c r="H62" i="19"/>
  <c r="I62" i="19" s="1"/>
  <c r="H24" i="19"/>
  <c r="I24" i="19" s="1"/>
  <c r="H54" i="19"/>
  <c r="I54" i="19" s="1"/>
  <c r="H78" i="19"/>
  <c r="I78" i="19" s="1"/>
  <c r="H11" i="19"/>
  <c r="H49" i="19"/>
  <c r="I49" i="19" s="1"/>
  <c r="H53" i="19"/>
  <c r="I53" i="19" s="1"/>
  <c r="H25" i="19"/>
  <c r="I25" i="19" s="1"/>
  <c r="H43" i="19"/>
  <c r="I43" i="19" s="1"/>
  <c r="H69" i="19"/>
  <c r="I69" i="19" s="1"/>
  <c r="H71" i="19"/>
  <c r="I71" i="19" s="1"/>
  <c r="H50" i="19"/>
  <c r="I50" i="19" s="1"/>
  <c r="H31" i="19"/>
  <c r="I31" i="19" s="1"/>
  <c r="H16" i="19"/>
  <c r="I16" i="19" s="1"/>
  <c r="H66" i="19"/>
  <c r="I66" i="19" s="1"/>
  <c r="H18" i="19"/>
  <c r="I18" i="19" s="1"/>
  <c r="H60" i="19"/>
  <c r="I60" i="19" s="1"/>
  <c r="H27" i="19"/>
  <c r="I27" i="19" s="1"/>
  <c r="H12" i="19"/>
  <c r="I12" i="19" s="1"/>
  <c r="H48" i="19"/>
  <c r="I48" i="19" s="1"/>
  <c r="H73" i="19"/>
  <c r="I73" i="19" s="1"/>
  <c r="H39" i="19"/>
  <c r="I39" i="19" s="1"/>
  <c r="H20" i="19"/>
  <c r="I20" i="19" s="1"/>
  <c r="H55" i="19"/>
  <c r="I55" i="19" s="1"/>
  <c r="H72" i="19"/>
  <c r="I72" i="19" s="1"/>
  <c r="H63" i="19"/>
  <c r="I63" i="19" s="1"/>
  <c r="H6" i="19"/>
  <c r="H44" i="19"/>
  <c r="I44" i="19" s="1"/>
  <c r="H57" i="19"/>
  <c r="I57" i="19" s="1"/>
  <c r="H29" i="19"/>
  <c r="I29" i="19" s="1"/>
  <c r="H41" i="19"/>
  <c r="I41" i="19" s="1"/>
  <c r="H23" i="19"/>
  <c r="I23" i="19" s="1"/>
  <c r="H45" i="19"/>
  <c r="I45" i="19" s="1"/>
  <c r="H17" i="19"/>
  <c r="I17" i="19" s="1"/>
  <c r="H77" i="19"/>
  <c r="I77" i="19" s="1"/>
  <c r="H22" i="19"/>
  <c r="I22" i="19" s="1"/>
  <c r="H37" i="19"/>
  <c r="I37" i="19" s="1"/>
  <c r="F80" i="19"/>
  <c r="H34" i="19"/>
  <c r="I34" i="19" s="1"/>
  <c r="H33" i="19"/>
  <c r="I33" i="19" s="1"/>
  <c r="H42" i="19"/>
  <c r="I42" i="19" s="1"/>
  <c r="H47" i="19"/>
  <c r="I47" i="19" s="1"/>
  <c r="H28" i="19"/>
  <c r="I28" i="19" s="1"/>
  <c r="H21" i="19"/>
  <c r="I21" i="19" s="1"/>
  <c r="H51" i="19"/>
  <c r="I51" i="19" s="1"/>
  <c r="H32" i="19"/>
  <c r="I32" i="19" s="1"/>
  <c r="H26" i="19"/>
  <c r="I26" i="19" s="1"/>
  <c r="H56" i="19"/>
  <c r="I56" i="19" s="1"/>
  <c r="H30" i="19"/>
  <c r="I30" i="19" s="1"/>
  <c r="H46" i="19"/>
  <c r="I46" i="19" s="1"/>
  <c r="H52" i="19"/>
  <c r="I52" i="19" s="1"/>
  <c r="H19" i="19"/>
  <c r="I19" i="19" s="1"/>
  <c r="H14" i="19"/>
  <c r="I14" i="19" s="1"/>
  <c r="E80" i="19"/>
  <c r="H8" i="19"/>
  <c r="AT66" i="27"/>
  <c r="AS82" i="2"/>
  <c r="AS104" i="2"/>
  <c r="AT85" i="27"/>
  <c r="B8" i="27"/>
  <c r="D4" i="19"/>
  <c r="E4" i="20" s="1"/>
  <c r="C5" i="2"/>
  <c r="C5" i="27"/>
  <c r="B7" i="26"/>
  <c r="B11" i="2"/>
  <c r="M9" i="10"/>
  <c r="M13" i="10" s="1"/>
  <c r="AT81" i="27"/>
  <c r="AS82" i="27"/>
  <c r="AS104" i="27"/>
  <c r="AT103" i="27"/>
  <c r="AT104" i="27" s="1"/>
  <c r="AT64" i="27"/>
  <c r="AT45" i="27"/>
  <c r="AT50" i="27"/>
  <c r="AT39" i="27"/>
  <c r="AT71" i="27"/>
  <c r="AT65" i="27"/>
  <c r="AT49" i="27"/>
  <c r="AT34" i="27"/>
  <c r="AT60" i="27"/>
  <c r="AT68" i="27"/>
  <c r="AT38" i="27"/>
  <c r="AT55" i="27"/>
  <c r="AT30" i="27"/>
  <c r="AT28" i="27"/>
  <c r="AT74" i="27"/>
  <c r="AT70" i="27"/>
  <c r="AT32" i="27"/>
  <c r="AT72" i="27"/>
  <c r="AT41" i="27"/>
  <c r="AT51" i="27"/>
  <c r="AT48" i="27"/>
  <c r="AT77" i="27"/>
  <c r="AT43" i="27"/>
  <c r="AT53" i="27"/>
  <c r="AT63" i="27"/>
  <c r="AT42" i="27"/>
  <c r="AT67" i="27"/>
  <c r="AT73" i="27"/>
  <c r="AT75" i="27"/>
  <c r="AT35" i="27"/>
  <c r="AT47" i="27"/>
  <c r="AT62" i="27"/>
  <c r="AT46" i="27"/>
  <c r="AT40" i="27"/>
  <c r="AT36" i="27"/>
  <c r="AT29" i="27"/>
  <c r="AT31" i="27"/>
  <c r="AT61" i="27"/>
  <c r="AT33" i="27"/>
  <c r="N8" i="10"/>
  <c r="C20" i="10"/>
  <c r="D20" i="10" s="1"/>
  <c r="O8" i="10"/>
  <c r="AT58" i="27"/>
  <c r="AT44" i="27"/>
  <c r="AT59" i="27"/>
  <c r="AT54" i="27"/>
  <c r="AT76" i="27"/>
  <c r="AT57" i="27"/>
  <c r="AT37" i="27"/>
  <c r="AT69" i="27"/>
  <c r="AT56" i="27"/>
  <c r="AT52" i="27"/>
  <c r="N4" i="10"/>
  <c r="AT53" i="2"/>
  <c r="AT70" i="2"/>
  <c r="AT57" i="2"/>
  <c r="AT59" i="2"/>
  <c r="AT71" i="2"/>
  <c r="AT54" i="2"/>
  <c r="AT48" i="2"/>
  <c r="AT64" i="2"/>
  <c r="AT46" i="2"/>
  <c r="AT44" i="2"/>
  <c r="AT76" i="2"/>
  <c r="AT30" i="2"/>
  <c r="AT66" i="2"/>
  <c r="AT35" i="2"/>
  <c r="AT67" i="2"/>
  <c r="AT73" i="2"/>
  <c r="AT36" i="2"/>
  <c r="AT68" i="2"/>
  <c r="AT45" i="2"/>
  <c r="AT77" i="2"/>
  <c r="AT58" i="2"/>
  <c r="AT78" i="27"/>
  <c r="AT80" i="27" s="1"/>
  <c r="AT32" i="2"/>
  <c r="AT34" i="2"/>
  <c r="AT47" i="2"/>
  <c r="AT55" i="2"/>
  <c r="AT65" i="2"/>
  <c r="AT43" i="2"/>
  <c r="AT31" i="2"/>
  <c r="AT40" i="2"/>
  <c r="AT75" i="2"/>
  <c r="AT60" i="2"/>
  <c r="AT50" i="2"/>
  <c r="AT51" i="2"/>
  <c r="AT62" i="2"/>
  <c r="AT33" i="2"/>
  <c r="AT38" i="2"/>
  <c r="AT37" i="2"/>
  <c r="AT39" i="2"/>
  <c r="AT63" i="2"/>
  <c r="AS80" i="2"/>
  <c r="AT29" i="2"/>
  <c r="AT56" i="2"/>
  <c r="AT28" i="2"/>
  <c r="AT69" i="2"/>
  <c r="AT42" i="2"/>
  <c r="AT41" i="2"/>
  <c r="AT52" i="2"/>
  <c r="AT61" i="2"/>
  <c r="AT74" i="2"/>
  <c r="AT49" i="2"/>
  <c r="AT72" i="2"/>
  <c r="M6" i="10"/>
  <c r="O3" i="10"/>
  <c r="N3" i="10"/>
  <c r="C11" i="10"/>
  <c r="M11" i="10" s="1"/>
  <c r="C16" i="10"/>
  <c r="C12" i="10"/>
  <c r="M12" i="10" s="1"/>
  <c r="N7" i="10"/>
  <c r="N12" i="10" s="1"/>
  <c r="N10" i="10"/>
  <c r="AT80" i="29" l="1"/>
  <c r="D5" i="19"/>
  <c r="C6" i="29"/>
  <c r="B15" i="29"/>
  <c r="H80" i="19"/>
  <c r="J26" i="19"/>
  <c r="K26" i="19" s="1"/>
  <c r="C26" i="20" s="1"/>
  <c r="J72" i="19"/>
  <c r="K72" i="19" s="1"/>
  <c r="C72" i="20" s="1"/>
  <c r="J57" i="19"/>
  <c r="K57" i="19" s="1"/>
  <c r="C57" i="20" s="1"/>
  <c r="J31" i="19"/>
  <c r="K31" i="19" s="1"/>
  <c r="C31" i="20" s="1"/>
  <c r="J22" i="19"/>
  <c r="K22" i="19" s="1"/>
  <c r="C22" i="20" s="1"/>
  <c r="J59" i="19"/>
  <c r="K59" i="19" s="1"/>
  <c r="C59" i="20" s="1"/>
  <c r="J52" i="19"/>
  <c r="K52" i="19" s="1"/>
  <c r="C52" i="20" s="1"/>
  <c r="J69" i="19"/>
  <c r="K69" i="19" s="1"/>
  <c r="C69" i="20" s="1"/>
  <c r="J66" i="19"/>
  <c r="K66" i="19" s="1"/>
  <c r="C66" i="20" s="1"/>
  <c r="J68" i="19"/>
  <c r="K68" i="19" s="1"/>
  <c r="C68" i="20" s="1"/>
  <c r="J64" i="19"/>
  <c r="K64" i="19" s="1"/>
  <c r="C64" i="20" s="1"/>
  <c r="J56" i="19"/>
  <c r="K56" i="19" s="1"/>
  <c r="C56" i="20" s="1"/>
  <c r="J58" i="19"/>
  <c r="K58" i="19" s="1"/>
  <c r="C58" i="20" s="1"/>
  <c r="J30" i="19"/>
  <c r="K30" i="19" s="1"/>
  <c r="C30" i="20" s="1"/>
  <c r="J39" i="19"/>
  <c r="K39" i="19" s="1"/>
  <c r="C39" i="20" s="1"/>
  <c r="J37" i="19"/>
  <c r="K37" i="19" s="1"/>
  <c r="C37" i="20" s="1"/>
  <c r="J65" i="19"/>
  <c r="K65" i="19" s="1"/>
  <c r="C65" i="20" s="1"/>
  <c r="J77" i="19"/>
  <c r="K77" i="19" s="1"/>
  <c r="C77" i="20" s="1"/>
  <c r="J54" i="19"/>
  <c r="K54" i="19" s="1"/>
  <c r="C54" i="20" s="1"/>
  <c r="J38" i="19"/>
  <c r="K38" i="19" s="1"/>
  <c r="C38" i="20" s="1"/>
  <c r="J63" i="19"/>
  <c r="K63" i="19" s="1"/>
  <c r="C63" i="20" s="1"/>
  <c r="J28" i="19"/>
  <c r="K28" i="19" s="1"/>
  <c r="C28" i="20" s="1"/>
  <c r="J24" i="19"/>
  <c r="K24" i="19" s="1"/>
  <c r="C24" i="20" s="1"/>
  <c r="J34" i="19"/>
  <c r="K34" i="19" s="1"/>
  <c r="C34" i="20" s="1"/>
  <c r="J18" i="19"/>
  <c r="K18" i="19" s="1"/>
  <c r="C18" i="20" s="1"/>
  <c r="J61" i="19"/>
  <c r="K61" i="19" s="1"/>
  <c r="C61" i="20" s="1"/>
  <c r="J70" i="19"/>
  <c r="K70" i="19" s="1"/>
  <c r="C70" i="20" s="1"/>
  <c r="J62" i="19"/>
  <c r="K62" i="19" s="1"/>
  <c r="C62" i="20" s="1"/>
  <c r="J14" i="19"/>
  <c r="K14" i="19" s="1"/>
  <c r="C14" i="20" s="1"/>
  <c r="J19" i="19"/>
  <c r="K19" i="19" s="1"/>
  <c r="C19" i="20" s="1"/>
  <c r="J44" i="19"/>
  <c r="K44" i="19" s="1"/>
  <c r="C44" i="20" s="1"/>
  <c r="J32" i="19"/>
  <c r="K32" i="19" s="1"/>
  <c r="C32" i="20" s="1"/>
  <c r="J33" i="19"/>
  <c r="K33" i="19" s="1"/>
  <c r="C33" i="20" s="1"/>
  <c r="J51" i="19"/>
  <c r="K51" i="19" s="1"/>
  <c r="C51" i="20" s="1"/>
  <c r="J50" i="19"/>
  <c r="K50" i="19" s="1"/>
  <c r="C50" i="20" s="1"/>
  <c r="J53" i="19"/>
  <c r="K53" i="19" s="1"/>
  <c r="C53" i="20" s="1"/>
  <c r="J45" i="19"/>
  <c r="K45" i="19" s="1"/>
  <c r="C45" i="20" s="1"/>
  <c r="J12" i="19"/>
  <c r="K12" i="19" s="1"/>
  <c r="C12" i="20" s="1"/>
  <c r="J78" i="19"/>
  <c r="K78" i="19" s="1"/>
  <c r="C78" i="20" s="1"/>
  <c r="J15" i="19"/>
  <c r="K15" i="19" s="1"/>
  <c r="C15" i="20" s="1"/>
  <c r="J47" i="19"/>
  <c r="K47" i="19" s="1"/>
  <c r="C47" i="20" s="1"/>
  <c r="J36" i="19"/>
  <c r="K36" i="19" s="1"/>
  <c r="C36" i="20" s="1"/>
  <c r="J16" i="19"/>
  <c r="K16" i="19" s="1"/>
  <c r="C16" i="20" s="1"/>
  <c r="J60" i="19"/>
  <c r="K60" i="19" s="1"/>
  <c r="C60" i="20" s="1"/>
  <c r="J73" i="19"/>
  <c r="K73" i="19" s="1"/>
  <c r="C73" i="20" s="1"/>
  <c r="J40" i="19"/>
  <c r="K40" i="19" s="1"/>
  <c r="C40" i="20" s="1"/>
  <c r="J27" i="19"/>
  <c r="K27" i="19" s="1"/>
  <c r="C27" i="20" s="1"/>
  <c r="J41" i="19"/>
  <c r="K41" i="19" s="1"/>
  <c r="C41" i="20" s="1"/>
  <c r="J21" i="19"/>
  <c r="K21" i="19" s="1"/>
  <c r="C21" i="20" s="1"/>
  <c r="J42" i="19"/>
  <c r="K42" i="19" s="1"/>
  <c r="C42" i="20" s="1"/>
  <c r="J74" i="19"/>
  <c r="K74" i="19" s="1"/>
  <c r="C74" i="20" s="1"/>
  <c r="J20" i="19"/>
  <c r="K20" i="19" s="1"/>
  <c r="C20" i="20" s="1"/>
  <c r="J75" i="19"/>
  <c r="K75" i="19" s="1"/>
  <c r="C75" i="20" s="1"/>
  <c r="J71" i="19"/>
  <c r="K71" i="19" s="1"/>
  <c r="C71" i="20" s="1"/>
  <c r="J46" i="19"/>
  <c r="K46" i="19" s="1"/>
  <c r="C46" i="20" s="1"/>
  <c r="J13" i="19"/>
  <c r="K13" i="19" s="1"/>
  <c r="C13" i="20" s="1"/>
  <c r="J23" i="19"/>
  <c r="K23" i="19" s="1"/>
  <c r="C23" i="20" s="1"/>
  <c r="J43" i="19"/>
  <c r="K43" i="19" s="1"/>
  <c r="C43" i="20" s="1"/>
  <c r="J55" i="19"/>
  <c r="K55" i="19" s="1"/>
  <c r="C55" i="20" s="1"/>
  <c r="J29" i="19"/>
  <c r="K29" i="19" s="1"/>
  <c r="C29" i="20" s="1"/>
  <c r="J67" i="19"/>
  <c r="K67" i="19" s="1"/>
  <c r="C67" i="20" s="1"/>
  <c r="J76" i="19"/>
  <c r="K76" i="19" s="1"/>
  <c r="C76" i="20" s="1"/>
  <c r="J25" i="19"/>
  <c r="K25" i="19" s="1"/>
  <c r="C25" i="20" s="1"/>
  <c r="J48" i="19"/>
  <c r="K48" i="19" s="1"/>
  <c r="C48" i="20" s="1"/>
  <c r="J35" i="19"/>
  <c r="K35" i="19" s="1"/>
  <c r="C35" i="20" s="1"/>
  <c r="J49" i="19"/>
  <c r="K49" i="19" s="1"/>
  <c r="C49" i="20" s="1"/>
  <c r="J17" i="19"/>
  <c r="K17" i="19" s="1"/>
  <c r="C17" i="20" s="1"/>
  <c r="C6" i="2"/>
  <c r="B9" i="27"/>
  <c r="B8" i="26"/>
  <c r="D5" i="20"/>
  <c r="E5" i="20" s="1"/>
  <c r="C6" i="27"/>
  <c r="B12" i="2"/>
  <c r="C21" i="10"/>
  <c r="D21" i="10" s="1"/>
  <c r="O9" i="10"/>
  <c r="N9" i="10"/>
  <c r="N13" i="10" s="1"/>
  <c r="D6" i="19" l="1"/>
  <c r="C7" i="29"/>
  <c r="B16" i="29"/>
  <c r="C7" i="2"/>
  <c r="B9" i="26"/>
  <c r="C8" i="2" s="1"/>
  <c r="D6" i="20"/>
  <c r="C7" i="27"/>
  <c r="B10" i="27"/>
  <c r="D22" i="10"/>
  <c r="B13" i="2"/>
  <c r="E6" i="20" l="1"/>
  <c r="C8" i="29"/>
  <c r="B17" i="29"/>
  <c r="B11" i="27"/>
  <c r="B14" i="2"/>
  <c r="B10" i="26"/>
  <c r="C9" i="2" s="1"/>
  <c r="C8" i="27"/>
  <c r="C9" i="29" l="1"/>
  <c r="B18" i="29"/>
  <c r="B11" i="26"/>
  <c r="C10" i="2" s="1"/>
  <c r="C9" i="27"/>
  <c r="B15" i="2"/>
  <c r="B12" i="27"/>
  <c r="C10" i="27" l="1"/>
  <c r="B19" i="29"/>
  <c r="B13" i="27"/>
  <c r="B16" i="2"/>
  <c r="B12" i="26"/>
  <c r="C11" i="29" s="1"/>
  <c r="C11" i="2" l="1"/>
  <c r="B20" i="29"/>
  <c r="B13" i="26"/>
  <c r="C12" i="27" s="1"/>
  <c r="C11" i="27"/>
  <c r="B17" i="2"/>
  <c r="B14" i="27"/>
  <c r="B21" i="29" l="1"/>
  <c r="B18" i="2"/>
  <c r="C12" i="2"/>
  <c r="B15" i="27"/>
  <c r="B14" i="26"/>
  <c r="C13" i="2" l="1"/>
  <c r="B22" i="29"/>
  <c r="B15" i="26"/>
  <c r="C13" i="27"/>
  <c r="B19" i="2"/>
  <c r="B16" i="27"/>
  <c r="C14" i="2" l="1"/>
  <c r="C14" i="27"/>
  <c r="B23" i="29"/>
  <c r="B17" i="27"/>
  <c r="B20" i="2"/>
  <c r="B16" i="26"/>
  <c r="C15" i="2" s="1"/>
  <c r="B24" i="29" l="1"/>
  <c r="B17" i="26"/>
  <c r="C15" i="27"/>
  <c r="B21" i="2"/>
  <c r="B18" i="27"/>
  <c r="C16" i="27"/>
  <c r="C16" i="2" l="1"/>
  <c r="B25" i="29"/>
  <c r="B22" i="2"/>
  <c r="B19" i="27"/>
  <c r="B18" i="26"/>
  <c r="B26" i="29" l="1"/>
  <c r="B19" i="26"/>
  <c r="C17" i="2"/>
  <c r="C17" i="27"/>
  <c r="B20" i="27"/>
  <c r="B23" i="2"/>
  <c r="C18" i="2" l="1"/>
  <c r="B27" i="29"/>
  <c r="B24" i="2"/>
  <c r="B21" i="27"/>
  <c r="B20" i="26"/>
  <c r="C19" i="29" s="1"/>
  <c r="C18" i="27"/>
  <c r="C19" i="2" l="1"/>
  <c r="B28" i="29"/>
  <c r="B21" i="26"/>
  <c r="C19" i="27"/>
  <c r="B22" i="27"/>
  <c r="B25" i="2"/>
  <c r="B29" i="29" l="1"/>
  <c r="B23" i="27"/>
  <c r="B26" i="2"/>
  <c r="C20" i="2"/>
  <c r="B22" i="26"/>
  <c r="C20" i="27"/>
  <c r="C21" i="27" l="1"/>
  <c r="B30" i="29"/>
  <c r="C21" i="2"/>
  <c r="B27" i="2"/>
  <c r="B23" i="26"/>
  <c r="C22" i="29" s="1"/>
  <c r="B24" i="27"/>
  <c r="B31" i="29" l="1"/>
  <c r="B25" i="27"/>
  <c r="B28" i="2"/>
  <c r="B24" i="26"/>
  <c r="C23" i="29" s="1"/>
  <c r="C22" i="27"/>
  <c r="C22" i="2"/>
  <c r="B32" i="29" l="1"/>
  <c r="B25" i="26"/>
  <c r="C24" i="2" s="1"/>
  <c r="C23" i="2"/>
  <c r="C23" i="27"/>
  <c r="B29" i="2"/>
  <c r="B26" i="27"/>
  <c r="B33" i="29" l="1"/>
  <c r="B30" i="2"/>
  <c r="B27" i="27"/>
  <c r="B26" i="26"/>
  <c r="C25" i="29" s="1"/>
  <c r="C24" i="27"/>
  <c r="B34" i="29" l="1"/>
  <c r="B27" i="26"/>
  <c r="C26" i="2" s="1"/>
  <c r="C25" i="27"/>
  <c r="C25" i="2"/>
  <c r="B28" i="27"/>
  <c r="B31" i="2"/>
  <c r="B35" i="29" l="1"/>
  <c r="B29" i="27"/>
  <c r="B32" i="2"/>
  <c r="B28" i="26"/>
  <c r="C26" i="27"/>
  <c r="B36" i="29" l="1"/>
  <c r="B29" i="26"/>
  <c r="C27" i="27"/>
  <c r="C27" i="2"/>
  <c r="B33" i="2"/>
  <c r="B30" i="27"/>
  <c r="C28" i="2" l="1"/>
  <c r="B37" i="29"/>
  <c r="B34" i="2"/>
  <c r="B31" i="27"/>
  <c r="B30" i="26"/>
  <c r="C28" i="27"/>
  <c r="B38" i="29" l="1"/>
  <c r="B32" i="27"/>
  <c r="B35" i="2"/>
  <c r="B31" i="26"/>
  <c r="C30" i="2" s="1"/>
  <c r="C29" i="27"/>
  <c r="C29" i="2"/>
  <c r="B39" i="29" l="1"/>
  <c r="B32" i="26"/>
  <c r="C31" i="29" s="1"/>
  <c r="C30" i="27"/>
  <c r="B36" i="2"/>
  <c r="B33" i="27"/>
  <c r="C31" i="2" l="1"/>
  <c r="B40" i="29"/>
  <c r="B34" i="27"/>
  <c r="B37" i="2"/>
  <c r="B33" i="26"/>
  <c r="C32" i="29" s="1"/>
  <c r="C31" i="27"/>
  <c r="C32" i="2" l="1"/>
  <c r="B41" i="29"/>
  <c r="B34" i="26"/>
  <c r="C32" i="27"/>
  <c r="B38" i="2"/>
  <c r="B35" i="27"/>
  <c r="C33" i="27"/>
  <c r="C33" i="29" l="1"/>
  <c r="B42" i="29"/>
  <c r="B39" i="2"/>
  <c r="B36" i="27"/>
  <c r="B35" i="26"/>
  <c r="C34" i="2" s="1"/>
  <c r="C33" i="2"/>
  <c r="B43" i="29" l="1"/>
  <c r="B36" i="26"/>
  <c r="C35" i="2" s="1"/>
  <c r="C34" i="27"/>
  <c r="B37" i="27"/>
  <c r="B40" i="2"/>
  <c r="B44" i="29" l="1"/>
  <c r="B41" i="2"/>
  <c r="B38" i="27"/>
  <c r="B37" i="26"/>
  <c r="C36" i="2" s="1"/>
  <c r="C35" i="27"/>
  <c r="C36" i="29" l="1"/>
  <c r="B45" i="29"/>
  <c r="B38" i="26"/>
  <c r="C36" i="27"/>
  <c r="B39" i="27"/>
  <c r="B42" i="2"/>
  <c r="C37" i="2" l="1"/>
  <c r="C37" i="29"/>
  <c r="B46" i="29"/>
  <c r="B40" i="27"/>
  <c r="B43" i="2"/>
  <c r="B39" i="26"/>
  <c r="C38" i="2" s="1"/>
  <c r="C37" i="27"/>
  <c r="C38" i="29" l="1"/>
  <c r="B47" i="29"/>
  <c r="B40" i="26"/>
  <c r="C38" i="27"/>
  <c r="B41" i="27"/>
  <c r="B44" i="2"/>
  <c r="C39" i="2" l="1"/>
  <c r="B48" i="29"/>
  <c r="B42" i="27"/>
  <c r="B45" i="2"/>
  <c r="B41" i="26"/>
  <c r="C39" i="27"/>
  <c r="B49" i="29" l="1"/>
  <c r="B42" i="26"/>
  <c r="C41" i="2" s="1"/>
  <c r="C40" i="27"/>
  <c r="C40" i="2"/>
  <c r="B46" i="2"/>
  <c r="B43" i="27"/>
  <c r="C41" i="27" l="1"/>
  <c r="C41" i="29"/>
  <c r="B50" i="29"/>
  <c r="B47" i="2"/>
  <c r="B44" i="27"/>
  <c r="B43" i="26"/>
  <c r="C42" i="2" s="1"/>
  <c r="B51" i="29" l="1"/>
  <c r="B44" i="26"/>
  <c r="C43" i="27" s="1"/>
  <c r="C42" i="27"/>
  <c r="B48" i="2"/>
  <c r="B45" i="27"/>
  <c r="C43" i="2" l="1"/>
  <c r="B45" i="26"/>
  <c r="C44" i="29" s="1"/>
  <c r="B52" i="29"/>
  <c r="B49" i="2"/>
  <c r="B46" i="27"/>
  <c r="D21" i="19"/>
  <c r="D11" i="19"/>
  <c r="D11" i="20"/>
  <c r="D10" i="19"/>
  <c r="D9" i="19"/>
  <c r="D13" i="19"/>
  <c r="D28" i="19"/>
  <c r="D17" i="19"/>
  <c r="D9" i="20"/>
  <c r="D7" i="19"/>
  <c r="D12" i="19"/>
  <c r="D23" i="19"/>
  <c r="D19" i="19"/>
  <c r="D20" i="19"/>
  <c r="D7" i="20"/>
  <c r="D25" i="19"/>
  <c r="D26" i="19"/>
  <c r="D27" i="19"/>
  <c r="D8" i="19"/>
  <c r="D10" i="20"/>
  <c r="D18" i="19"/>
  <c r="D14" i="19"/>
  <c r="D15" i="19"/>
  <c r="D22" i="19"/>
  <c r="D16" i="19"/>
  <c r="D8" i="20"/>
  <c r="D24" i="19"/>
  <c r="C44" i="2" l="1"/>
  <c r="B46" i="26"/>
  <c r="C45" i="2" s="1"/>
  <c r="C44" i="27"/>
  <c r="E7" i="20"/>
  <c r="B53" i="29"/>
  <c r="D76" i="20"/>
  <c r="E76" i="20" s="1"/>
  <c r="E10" i="20"/>
  <c r="D77" i="20"/>
  <c r="E77" i="20" s="1"/>
  <c r="D78" i="20"/>
  <c r="E78" i="20" s="1"/>
  <c r="D74" i="20"/>
  <c r="E74" i="20" s="1"/>
  <c r="D75" i="20"/>
  <c r="E75" i="20" s="1"/>
  <c r="E8" i="20"/>
  <c r="E79" i="20" s="1"/>
  <c r="E9" i="20"/>
  <c r="B47" i="27"/>
  <c r="E11" i="20"/>
  <c r="B50" i="2"/>
  <c r="B47" i="26" l="1"/>
  <c r="C46" i="29" s="1"/>
  <c r="C45" i="27"/>
  <c r="D29" i="19"/>
  <c r="B54" i="29"/>
  <c r="F77" i="20"/>
  <c r="B48" i="27"/>
  <c r="F76" i="20"/>
  <c r="F74" i="20"/>
  <c r="F75" i="20"/>
  <c r="F78" i="20"/>
  <c r="B51" i="2"/>
  <c r="D30" i="19" l="1"/>
  <c r="B48" i="26"/>
  <c r="C47" i="2" s="1"/>
  <c r="C46" i="2"/>
  <c r="C46" i="27"/>
  <c r="B55" i="29"/>
  <c r="B52" i="2"/>
  <c r="B49" i="27"/>
  <c r="B49" i="26" l="1"/>
  <c r="C48" i="29" s="1"/>
  <c r="D31" i="19"/>
  <c r="C47" i="27"/>
  <c r="B56" i="29"/>
  <c r="B50" i="27"/>
  <c r="B53" i="2"/>
  <c r="C48" i="2" l="1"/>
  <c r="D32" i="19"/>
  <c r="B50" i="26"/>
  <c r="C49" i="2" s="1"/>
  <c r="C48" i="27"/>
  <c r="B57" i="29"/>
  <c r="B54" i="2"/>
  <c r="B51" i="27"/>
  <c r="D73" i="20" l="1"/>
  <c r="E73" i="20" s="1"/>
  <c r="F73" i="20" s="1"/>
  <c r="B51" i="26"/>
  <c r="D34" i="19" s="1"/>
  <c r="C49" i="27"/>
  <c r="C49" i="29"/>
  <c r="D33" i="19"/>
  <c r="D71" i="20" s="1"/>
  <c r="E71" i="20" s="1"/>
  <c r="F71" i="20" s="1"/>
  <c r="B58" i="29"/>
  <c r="B52" i="27"/>
  <c r="B55" i="2"/>
  <c r="C50" i="2" l="1"/>
  <c r="D72" i="20"/>
  <c r="E72" i="20" s="1"/>
  <c r="F72" i="20" s="1"/>
  <c r="B52" i="26"/>
  <c r="C51" i="2" s="1"/>
  <c r="C50" i="27"/>
  <c r="C50" i="29"/>
  <c r="B59" i="29"/>
  <c r="B56" i="2"/>
  <c r="B53" i="27"/>
  <c r="B53" i="26" l="1"/>
  <c r="D36" i="19" s="1"/>
  <c r="D35" i="19"/>
  <c r="D70" i="20" s="1"/>
  <c r="E70" i="20" s="1"/>
  <c r="F70" i="20" s="1"/>
  <c r="C51" i="27"/>
  <c r="C51" i="29"/>
  <c r="B60" i="29"/>
  <c r="B54" i="27"/>
  <c r="B57" i="2"/>
  <c r="D69" i="20" l="1"/>
  <c r="E69" i="20" s="1"/>
  <c r="F69" i="20" s="1"/>
  <c r="C52" i="2"/>
  <c r="B54" i="26"/>
  <c r="C52" i="27"/>
  <c r="C53" i="2"/>
  <c r="C52" i="29"/>
  <c r="B61" i="29"/>
  <c r="B58" i="2"/>
  <c r="B55" i="27"/>
  <c r="B55" i="26" l="1"/>
  <c r="C54" i="2" s="1"/>
  <c r="D37" i="19"/>
  <c r="D38" i="19"/>
  <c r="C53" i="27"/>
  <c r="C53" i="29"/>
  <c r="B62" i="29"/>
  <c r="B56" i="27"/>
  <c r="B59" i="2"/>
  <c r="B56" i="26" l="1"/>
  <c r="C55" i="2" s="1"/>
  <c r="C54" i="27"/>
  <c r="C54" i="29"/>
  <c r="B63" i="29"/>
  <c r="B60" i="2"/>
  <c r="B57" i="27"/>
  <c r="B57" i="26" l="1"/>
  <c r="C56" i="2" s="1"/>
  <c r="C55" i="27"/>
  <c r="C55" i="29"/>
  <c r="B64" i="29"/>
  <c r="B58" i="27"/>
  <c r="B61" i="2"/>
  <c r="B58" i="26" l="1"/>
  <c r="C56" i="27"/>
  <c r="C57" i="2"/>
  <c r="C56" i="29"/>
  <c r="B65" i="29"/>
  <c r="B59" i="27"/>
  <c r="B62" i="2"/>
  <c r="B59" i="26" l="1"/>
  <c r="C58" i="2" s="1"/>
  <c r="C57" i="27"/>
  <c r="C57" i="29"/>
  <c r="B66" i="29"/>
  <c r="B63" i="2"/>
  <c r="B60" i="27"/>
  <c r="B60" i="26" l="1"/>
  <c r="C59" i="2" s="1"/>
  <c r="C58" i="27"/>
  <c r="C58" i="29"/>
  <c r="B67" i="29"/>
  <c r="B61" i="27"/>
  <c r="B64" i="2"/>
  <c r="B61" i="26" l="1"/>
  <c r="C60" i="2" s="1"/>
  <c r="C59" i="27"/>
  <c r="C59" i="29"/>
  <c r="B68" i="29"/>
  <c r="B65" i="2"/>
  <c r="B62" i="27"/>
  <c r="B62" i="26" l="1"/>
  <c r="C61" i="2" s="1"/>
  <c r="C60" i="27"/>
  <c r="C60" i="29"/>
  <c r="B69" i="29"/>
  <c r="B63" i="27"/>
  <c r="B66" i="2"/>
  <c r="B63" i="26" l="1"/>
  <c r="C61" i="27"/>
  <c r="C62" i="2"/>
  <c r="C61" i="29"/>
  <c r="B70" i="29"/>
  <c r="B67" i="2"/>
  <c r="B64" i="27"/>
  <c r="B64" i="26" l="1"/>
  <c r="C63" i="2" s="1"/>
  <c r="C62" i="27"/>
  <c r="C62" i="29"/>
  <c r="B71" i="29"/>
  <c r="B65" i="27"/>
  <c r="B68" i="2"/>
  <c r="B65" i="26" l="1"/>
  <c r="C64" i="2" s="1"/>
  <c r="C63" i="27"/>
  <c r="C63" i="29"/>
  <c r="B72" i="29"/>
  <c r="B69" i="2"/>
  <c r="B66" i="27"/>
  <c r="B66" i="26" l="1"/>
  <c r="C65" i="2" s="1"/>
  <c r="C64" i="27"/>
  <c r="C64" i="29"/>
  <c r="B73" i="29"/>
  <c r="B67" i="27"/>
  <c r="B70" i="2"/>
  <c r="B67" i="26" l="1"/>
  <c r="C66" i="2" s="1"/>
  <c r="C65" i="27"/>
  <c r="C65" i="29"/>
  <c r="B74" i="29"/>
  <c r="B71" i="2"/>
  <c r="B68" i="27"/>
  <c r="B68" i="26" l="1"/>
  <c r="C67" i="2" s="1"/>
  <c r="C66" i="27"/>
  <c r="C66" i="29"/>
  <c r="B75" i="29"/>
  <c r="B69" i="27"/>
  <c r="B72" i="2"/>
  <c r="B69" i="26" l="1"/>
  <c r="C67" i="27"/>
  <c r="C68" i="2"/>
  <c r="C67" i="29"/>
  <c r="B76" i="29"/>
  <c r="B73" i="2"/>
  <c r="B70" i="27"/>
  <c r="B70" i="26" l="1"/>
  <c r="C69" i="2" s="1"/>
  <c r="C68" i="27"/>
  <c r="C68" i="29"/>
  <c r="B77" i="29"/>
  <c r="B71" i="27"/>
  <c r="B74" i="2"/>
  <c r="B71" i="26" l="1"/>
  <c r="C70" i="2" s="1"/>
  <c r="C69" i="29"/>
  <c r="C69" i="27"/>
  <c r="B78" i="29"/>
  <c r="B75" i="2"/>
  <c r="B72" i="27"/>
  <c r="B72" i="26" l="1"/>
  <c r="C71" i="2" s="1"/>
  <c r="C70" i="27"/>
  <c r="C70" i="29"/>
  <c r="B79" i="29"/>
  <c r="B73" i="27"/>
  <c r="B76" i="2"/>
  <c r="B73" i="26" l="1"/>
  <c r="C72" i="2" s="1"/>
  <c r="C71" i="27"/>
  <c r="C71" i="29"/>
  <c r="B80" i="29"/>
  <c r="B77" i="2"/>
  <c r="B74" i="27"/>
  <c r="B74" i="26" l="1"/>
  <c r="C73" i="2" s="1"/>
  <c r="C72" i="27"/>
  <c r="C72" i="29"/>
  <c r="B81" i="29"/>
  <c r="B75" i="27"/>
  <c r="B78" i="2"/>
  <c r="B75" i="26" l="1"/>
  <c r="C74" i="2" s="1"/>
  <c r="C73" i="27"/>
  <c r="C73" i="29"/>
  <c r="B82" i="29"/>
  <c r="B79" i="2"/>
  <c r="B76" i="27"/>
  <c r="B76" i="26" l="1"/>
  <c r="C74" i="27"/>
  <c r="C75" i="2"/>
  <c r="C74" i="29"/>
  <c r="B83" i="29"/>
  <c r="B77" i="27"/>
  <c r="B80" i="2"/>
  <c r="B77" i="26" l="1"/>
  <c r="C75" i="27"/>
  <c r="C76" i="2"/>
  <c r="C75" i="29"/>
  <c r="B84" i="29"/>
  <c r="B81" i="2"/>
  <c r="B78" i="27"/>
  <c r="B78" i="26" l="1"/>
  <c r="C77" i="2" s="1"/>
  <c r="C76" i="27"/>
  <c r="C76" i="29"/>
  <c r="B85" i="29"/>
  <c r="B79" i="27"/>
  <c r="B82" i="2"/>
  <c r="B79" i="26" l="1"/>
  <c r="C77" i="29"/>
  <c r="C78" i="2"/>
  <c r="C77" i="27"/>
  <c r="B86" i="29"/>
  <c r="B83" i="2"/>
  <c r="B80" i="27"/>
  <c r="B80" i="26" l="1"/>
  <c r="C79" i="2" s="1"/>
  <c r="C78" i="27"/>
  <c r="C78" i="29"/>
  <c r="B87" i="29"/>
  <c r="B81" i="27"/>
  <c r="B84" i="2"/>
  <c r="B81" i="26" l="1"/>
  <c r="C80" i="2" s="1"/>
  <c r="C79" i="27"/>
  <c r="C79" i="29"/>
  <c r="B88" i="29"/>
  <c r="B85" i="2"/>
  <c r="B82" i="27"/>
  <c r="B82" i="26" l="1"/>
  <c r="C81" i="2" s="1"/>
  <c r="C80" i="27"/>
  <c r="C80" i="29"/>
  <c r="B89" i="29"/>
  <c r="B83" i="27"/>
  <c r="B86" i="2"/>
  <c r="B83" i="26" l="1"/>
  <c r="C81" i="27"/>
  <c r="C82" i="2"/>
  <c r="C81" i="29"/>
  <c r="B90" i="29"/>
  <c r="B87" i="2"/>
  <c r="B84" i="27"/>
  <c r="B84" i="26" l="1"/>
  <c r="C83" i="2" s="1"/>
  <c r="C82" i="27"/>
  <c r="C82" i="29"/>
  <c r="B91" i="29"/>
  <c r="B85" i="27"/>
  <c r="B88" i="2"/>
  <c r="B85" i="26" l="1"/>
  <c r="C84" i="2" s="1"/>
  <c r="C83" i="29"/>
  <c r="C83" i="27"/>
  <c r="B92" i="29"/>
  <c r="B89" i="2"/>
  <c r="B86" i="27"/>
  <c r="B86" i="26" l="1"/>
  <c r="C85" i="2" s="1"/>
  <c r="C84" i="27"/>
  <c r="C84" i="29"/>
  <c r="B93" i="29"/>
  <c r="B87" i="27"/>
  <c r="B90" i="2"/>
  <c r="B87" i="26" l="1"/>
  <c r="C86" i="2" s="1"/>
  <c r="C85" i="27"/>
  <c r="C85" i="29"/>
  <c r="B94" i="29"/>
  <c r="B91" i="2"/>
  <c r="B88" i="27"/>
  <c r="B88" i="26" l="1"/>
  <c r="C87" i="2" s="1"/>
  <c r="C86" i="27"/>
  <c r="C86" i="29"/>
  <c r="B95" i="29"/>
  <c r="B89" i="27"/>
  <c r="B92" i="2"/>
  <c r="B89" i="26" l="1"/>
  <c r="C88" i="2" s="1"/>
  <c r="C87" i="27"/>
  <c r="C87" i="29"/>
  <c r="B96" i="29"/>
  <c r="B90" i="27"/>
  <c r="B93" i="2"/>
  <c r="B90" i="26" l="1"/>
  <c r="C89" i="2" s="1"/>
  <c r="C88" i="27"/>
  <c r="C88" i="29"/>
  <c r="B97" i="29"/>
  <c r="B94" i="2"/>
  <c r="B91" i="27"/>
  <c r="B91" i="26" l="1"/>
  <c r="C90" i="2" s="1"/>
  <c r="C89" i="27"/>
  <c r="C89" i="29"/>
  <c r="B98" i="29"/>
  <c r="B92" i="27"/>
  <c r="B95" i="2"/>
  <c r="B92" i="26" l="1"/>
  <c r="C90" i="27"/>
  <c r="C91" i="2"/>
  <c r="C90" i="29"/>
  <c r="B99" i="29"/>
  <c r="B96" i="2"/>
  <c r="B93" i="27"/>
  <c r="B93" i="26" l="1"/>
  <c r="C92" i="2" s="1"/>
  <c r="C91" i="27"/>
  <c r="C91" i="29"/>
  <c r="B100" i="29"/>
  <c r="B94" i="27"/>
  <c r="B97" i="2"/>
  <c r="B94" i="26" l="1"/>
  <c r="C93" i="2" s="1"/>
  <c r="C92" i="27"/>
  <c r="C92" i="29"/>
  <c r="B101" i="29"/>
  <c r="B98" i="2"/>
  <c r="B95" i="27"/>
  <c r="B95" i="26" l="1"/>
  <c r="C94" i="2" s="1"/>
  <c r="C93" i="27"/>
  <c r="C93" i="29"/>
  <c r="B102" i="29"/>
  <c r="B96" i="27"/>
  <c r="B99" i="2"/>
  <c r="B96" i="26" l="1"/>
  <c r="C95" i="2" s="1"/>
  <c r="C94" i="27"/>
  <c r="C94" i="29"/>
  <c r="B103" i="29"/>
  <c r="B100" i="2"/>
  <c r="B97" i="27"/>
  <c r="B97" i="26" l="1"/>
  <c r="C96" i="2" s="1"/>
  <c r="C95" i="27"/>
  <c r="C95" i="29"/>
  <c r="B104" i="29"/>
  <c r="B98" i="27"/>
  <c r="B101" i="2"/>
  <c r="B98" i="26" l="1"/>
  <c r="C97" i="2" s="1"/>
  <c r="C96" i="27"/>
  <c r="C96" i="29"/>
  <c r="B105" i="29"/>
  <c r="B102" i="2"/>
  <c r="B99" i="27"/>
  <c r="B99" i="26" l="1"/>
  <c r="C98" i="2" s="1"/>
  <c r="C97" i="29"/>
  <c r="C97" i="27"/>
  <c r="B100" i="27"/>
  <c r="B103" i="2"/>
  <c r="B100" i="26" l="1"/>
  <c r="C99" i="2" s="1"/>
  <c r="C98" i="29"/>
  <c r="C98" i="27"/>
  <c r="B104" i="2"/>
  <c r="B101" i="27"/>
  <c r="B101" i="26" l="1"/>
  <c r="C100" i="2" s="1"/>
  <c r="C99" i="29"/>
  <c r="C99" i="27"/>
  <c r="B102" i="27"/>
  <c r="B105" i="2"/>
  <c r="C100" i="29" l="1"/>
  <c r="B102" i="26"/>
  <c r="C101" i="2" s="1"/>
  <c r="C100" i="27"/>
  <c r="B103" i="27"/>
  <c r="B103" i="26" l="1"/>
  <c r="C102" i="2" s="1"/>
  <c r="C101" i="29"/>
  <c r="C101" i="27"/>
  <c r="B104" i="27"/>
  <c r="B104" i="26" l="1"/>
  <c r="C102" i="27"/>
  <c r="C103" i="2"/>
  <c r="C102" i="29"/>
  <c r="B105" i="27"/>
  <c r="B105" i="26" l="1"/>
  <c r="C104" i="2" s="1"/>
  <c r="C103" i="27"/>
  <c r="C103" i="29"/>
  <c r="B106" i="26" l="1"/>
  <c r="C105" i="2" s="1"/>
  <c r="C104" i="29"/>
  <c r="C104" i="27"/>
  <c r="C10" i="29" l="1"/>
  <c r="C12" i="29"/>
  <c r="C13" i="29"/>
  <c r="C14" i="29"/>
  <c r="C16" i="29"/>
  <c r="C15" i="29"/>
  <c r="C17" i="29"/>
  <c r="C18" i="29"/>
  <c r="C21" i="29"/>
  <c r="C20" i="29"/>
  <c r="C24" i="29"/>
  <c r="C26" i="29"/>
  <c r="C27" i="29"/>
  <c r="C29" i="29"/>
  <c r="C28" i="29"/>
  <c r="C30" i="29"/>
  <c r="C34" i="29"/>
  <c r="C35" i="29"/>
  <c r="C39" i="29"/>
  <c r="C40" i="29"/>
  <c r="C42" i="29"/>
  <c r="C43" i="29"/>
  <c r="C45" i="29"/>
  <c r="C47" i="29"/>
  <c r="D75" i="19"/>
  <c r="D43" i="19"/>
  <c r="D71" i="19"/>
  <c r="D63" i="19"/>
  <c r="D73" i="19"/>
  <c r="D42" i="19"/>
  <c r="D53" i="19"/>
  <c r="D54" i="19"/>
  <c r="D64" i="19"/>
  <c r="D52" i="19"/>
  <c r="D61" i="19"/>
  <c r="D78" i="19"/>
  <c r="D46" i="19"/>
  <c r="D67" i="19"/>
  <c r="D44" i="19"/>
  <c r="D70" i="19"/>
  <c r="D69" i="19"/>
  <c r="D76" i="19"/>
  <c r="D55" i="19"/>
  <c r="D72" i="19"/>
  <c r="D68" i="19"/>
  <c r="D41" i="19"/>
  <c r="D47" i="19"/>
  <c r="D45" i="19"/>
  <c r="D59" i="19"/>
  <c r="D56" i="19"/>
  <c r="D48" i="19"/>
  <c r="D66" i="19"/>
  <c r="D58" i="19"/>
  <c r="D51" i="19"/>
  <c r="D57" i="19"/>
  <c r="D62" i="19"/>
  <c r="D60" i="19"/>
  <c r="D49" i="19"/>
  <c r="D39" i="19"/>
  <c r="D68" i="20" s="1"/>
  <c r="E68" i="20" s="1"/>
  <c r="F68" i="20" s="1"/>
  <c r="D50" i="19"/>
  <c r="D77" i="19"/>
  <c r="D65" i="19"/>
  <c r="D40" i="19"/>
  <c r="D74" i="19"/>
  <c r="C105" i="27"/>
  <c r="C105" i="29"/>
  <c r="D65" i="20" l="1"/>
  <c r="E65" i="20" s="1"/>
  <c r="F65" i="20" s="1"/>
  <c r="D66" i="20"/>
  <c r="E66" i="20" s="1"/>
  <c r="F66" i="20" s="1"/>
  <c r="D64" i="20"/>
  <c r="E64" i="20" s="1"/>
  <c r="F64" i="20" s="1"/>
  <c r="D67" i="20"/>
  <c r="E67" i="20" s="1"/>
  <c r="F67" i="20" s="1"/>
  <c r="D31" i="20"/>
  <c r="E31" i="20" s="1"/>
  <c r="F31" i="20" s="1"/>
  <c r="D12" i="20"/>
  <c r="E12" i="20" s="1"/>
  <c r="D42" i="20"/>
  <c r="E42" i="20" s="1"/>
  <c r="F42" i="20" s="1"/>
  <c r="D49" i="20"/>
  <c r="E49" i="20" s="1"/>
  <c r="F49" i="20" s="1"/>
  <c r="D62" i="20"/>
  <c r="E62" i="20" s="1"/>
  <c r="F62" i="20" s="1"/>
  <c r="D63" i="20"/>
  <c r="E63" i="20" s="1"/>
  <c r="F63" i="20" s="1"/>
  <c r="D13" i="20"/>
  <c r="E13" i="20" s="1"/>
  <c r="D37" i="20"/>
  <c r="E37" i="20" s="1"/>
  <c r="F37" i="20" s="1"/>
  <c r="D21" i="20"/>
  <c r="E21" i="20" s="1"/>
  <c r="F21" i="20" s="1"/>
  <c r="D58" i="20"/>
  <c r="E58" i="20" s="1"/>
  <c r="F58" i="20" s="1"/>
  <c r="D61" i="20"/>
  <c r="E61" i="20" s="1"/>
  <c r="F61" i="20" s="1"/>
  <c r="D41" i="20"/>
  <c r="E41" i="20" s="1"/>
  <c r="F41" i="20" s="1"/>
  <c r="D14" i="20"/>
  <c r="E14" i="20" s="1"/>
  <c r="F14" i="20" s="1"/>
  <c r="D33" i="20"/>
  <c r="E33" i="20" s="1"/>
  <c r="F33" i="20" s="1"/>
  <c r="D45" i="20"/>
  <c r="E45" i="20" s="1"/>
  <c r="F45" i="20" s="1"/>
  <c r="D19" i="20"/>
  <c r="E19" i="20" s="1"/>
  <c r="F19" i="20" s="1"/>
  <c r="D23" i="20"/>
  <c r="E23" i="20" s="1"/>
  <c r="F23" i="20" s="1"/>
  <c r="D16" i="20"/>
  <c r="E16" i="20" s="1"/>
  <c r="F16" i="20" s="1"/>
  <c r="D22" i="20"/>
  <c r="E22" i="20" s="1"/>
  <c r="F22" i="20" s="1"/>
  <c r="D43" i="20"/>
  <c r="E43" i="20" s="1"/>
  <c r="F43" i="20" s="1"/>
  <c r="D54" i="20"/>
  <c r="E54" i="20" s="1"/>
  <c r="F54" i="20" s="1"/>
  <c r="D34" i="20"/>
  <c r="E34" i="20" s="1"/>
  <c r="F34" i="20" s="1"/>
  <c r="D38" i="20"/>
  <c r="E38" i="20" s="1"/>
  <c r="F38" i="20" s="1"/>
  <c r="D44" i="20"/>
  <c r="E44" i="20" s="1"/>
  <c r="F44" i="20" s="1"/>
  <c r="D59" i="20"/>
  <c r="E59" i="20" s="1"/>
  <c r="F59" i="20" s="1"/>
  <c r="D60" i="20"/>
  <c r="E60" i="20" s="1"/>
  <c r="F60" i="20" s="1"/>
  <c r="D46" i="20"/>
  <c r="E46" i="20" s="1"/>
  <c r="F46" i="20" s="1"/>
  <c r="D51" i="20"/>
  <c r="E51" i="20" s="1"/>
  <c r="F51" i="20" s="1"/>
  <c r="D52" i="20"/>
  <c r="E52" i="20" s="1"/>
  <c r="F52" i="20" s="1"/>
  <c r="D50" i="20"/>
  <c r="E50" i="20" s="1"/>
  <c r="F50" i="20" s="1"/>
  <c r="D27" i="20"/>
  <c r="E27" i="20" s="1"/>
  <c r="F27" i="20" s="1"/>
  <c r="D24" i="20"/>
  <c r="E24" i="20" s="1"/>
  <c r="F24" i="20" s="1"/>
  <c r="D40" i="20"/>
  <c r="E40" i="20" s="1"/>
  <c r="F40" i="20" s="1"/>
  <c r="D55" i="20"/>
  <c r="E55" i="20" s="1"/>
  <c r="F55" i="20" s="1"/>
  <c r="D47" i="20"/>
  <c r="E47" i="20" s="1"/>
  <c r="F47" i="20" s="1"/>
  <c r="D48" i="20"/>
  <c r="E48" i="20" s="1"/>
  <c r="F48" i="20" s="1"/>
  <c r="D57" i="20"/>
  <c r="E57" i="20" s="1"/>
  <c r="F57" i="20" s="1"/>
  <c r="D29" i="20"/>
  <c r="E29" i="20" s="1"/>
  <c r="F29" i="20" s="1"/>
  <c r="D26" i="20"/>
  <c r="E26" i="20" s="1"/>
  <c r="F26" i="20" s="1"/>
  <c r="D20" i="20"/>
  <c r="E20" i="20" s="1"/>
  <c r="F20" i="20" s="1"/>
  <c r="D15" i="20"/>
  <c r="E15" i="20" s="1"/>
  <c r="F15" i="20" s="1"/>
  <c r="D56" i="20"/>
  <c r="E56" i="20" s="1"/>
  <c r="F56" i="20" s="1"/>
  <c r="D17" i="20"/>
  <c r="E17" i="20" s="1"/>
  <c r="F17" i="20" s="1"/>
  <c r="D28" i="20"/>
  <c r="E28" i="20" s="1"/>
  <c r="F28" i="20" s="1"/>
  <c r="D25" i="20"/>
  <c r="E25" i="20" s="1"/>
  <c r="F25" i="20" s="1"/>
  <c r="D36" i="20"/>
  <c r="E36" i="20" s="1"/>
  <c r="F36" i="20" s="1"/>
  <c r="D35" i="20"/>
  <c r="E35" i="20" s="1"/>
  <c r="F35" i="20" s="1"/>
  <c r="D18" i="20"/>
  <c r="E18" i="20" s="1"/>
  <c r="F18" i="20" s="1"/>
  <c r="D53" i="20"/>
  <c r="E53" i="20" s="1"/>
  <c r="F53" i="20" s="1"/>
  <c r="D39" i="20"/>
  <c r="E39" i="20" s="1"/>
  <c r="F39" i="20" s="1"/>
  <c r="D32" i="20"/>
  <c r="E32" i="20" s="1"/>
  <c r="F32" i="20" s="1"/>
  <c r="D30" i="20"/>
  <c r="E30" i="20" s="1"/>
  <c r="F30" i="20" s="1"/>
  <c r="F12" i="20" l="1"/>
  <c r="G12" i="20"/>
  <c r="G13" i="20" s="1"/>
  <c r="F13" i="20"/>
  <c r="G14" i="20" l="1"/>
  <c r="G15" i="20" l="1"/>
  <c r="G16" i="20" l="1"/>
  <c r="G17" i="20" l="1"/>
  <c r="G18" i="20" l="1"/>
  <c r="G19" i="20" l="1"/>
  <c r="G20" i="20" l="1"/>
  <c r="G21" i="20" l="1"/>
  <c r="G22" i="20" l="1"/>
  <c r="G23" i="20" l="1"/>
  <c r="G24" i="20" l="1"/>
  <c r="G25" i="20" l="1"/>
  <c r="G26" i="20" l="1"/>
  <c r="G27" i="20" l="1"/>
  <c r="G28" i="20" l="1"/>
  <c r="G29" i="20" l="1"/>
  <c r="G30" i="20" l="1"/>
  <c r="G31" i="20" l="1"/>
  <c r="G32" i="20" l="1"/>
  <c r="G33" i="20" l="1"/>
  <c r="G34" i="20" l="1"/>
  <c r="G35" i="20" l="1"/>
  <c r="G36" i="20" l="1"/>
  <c r="G37" i="20" l="1"/>
  <c r="G38" i="20" l="1"/>
  <c r="G39" i="20" l="1"/>
  <c r="G40" i="20" l="1"/>
  <c r="G41" i="20" l="1"/>
  <c r="G42" i="20" l="1"/>
  <c r="G43" i="20" l="1"/>
  <c r="G44" i="20" l="1"/>
  <c r="G45" i="20" l="1"/>
  <c r="G46" i="20" l="1"/>
  <c r="G47" i="20" l="1"/>
  <c r="G48" i="20" l="1"/>
  <c r="G49" i="20" l="1"/>
  <c r="G50" i="20" l="1"/>
  <c r="G51" i="20" l="1"/>
  <c r="G52" i="20" l="1"/>
  <c r="G53" i="20" l="1"/>
  <c r="G54" i="20" l="1"/>
  <c r="G55" i="20" l="1"/>
  <c r="G56" i="20" l="1"/>
  <c r="G57" i="20" l="1"/>
  <c r="G58" i="20" l="1"/>
  <c r="G59" i="20" l="1"/>
  <c r="G60" i="20" l="1"/>
  <c r="G61" i="20" l="1"/>
  <c r="G62" i="20" l="1"/>
  <c r="G63" i="20" l="1"/>
  <c r="G64" i="20" l="1"/>
  <c r="G65" i="20" l="1"/>
  <c r="G66" i="20" l="1"/>
  <c r="G67" i="20" l="1"/>
  <c r="G68" i="20" l="1"/>
  <c r="G69" i="20" l="1"/>
  <c r="G70" i="20" l="1"/>
  <c r="G71" i="20" l="1"/>
  <c r="G72" i="20" l="1"/>
  <c r="G73" i="20" l="1"/>
  <c r="G74" i="20" l="1"/>
  <c r="G75" i="20" l="1"/>
  <c r="G76" i="20" l="1"/>
  <c r="G77" i="20" l="1"/>
  <c r="G78" i="20" s="1"/>
  <c r="H76" i="20" s="1"/>
  <c r="I76" i="20" s="1"/>
  <c r="H77" i="20" l="1"/>
  <c r="I77" i="20" s="1"/>
  <c r="H78" i="20"/>
  <c r="I78" i="20" s="1"/>
  <c r="H12" i="20"/>
  <c r="I12" i="20" s="1"/>
  <c r="H13" i="20"/>
  <c r="I13" i="20" s="1"/>
  <c r="H14" i="20"/>
  <c r="I14" i="20" s="1"/>
  <c r="H15" i="20"/>
  <c r="I15" i="20" s="1"/>
  <c r="H16" i="20"/>
  <c r="I16" i="20" s="1"/>
  <c r="H17" i="20"/>
  <c r="I17" i="20" s="1"/>
  <c r="H18" i="20"/>
  <c r="I18" i="20" s="1"/>
  <c r="H19" i="20"/>
  <c r="I19" i="20" s="1"/>
  <c r="H20" i="20"/>
  <c r="I20" i="20" s="1"/>
  <c r="H21" i="20"/>
  <c r="I21" i="20" s="1"/>
  <c r="H22" i="20"/>
  <c r="I22" i="20" s="1"/>
  <c r="H23" i="20"/>
  <c r="I23" i="20" s="1"/>
  <c r="H24" i="20"/>
  <c r="I24" i="20" s="1"/>
  <c r="H25" i="20"/>
  <c r="I25" i="20" s="1"/>
  <c r="H26" i="20"/>
  <c r="I26" i="20" s="1"/>
  <c r="H27" i="20"/>
  <c r="I27" i="20" s="1"/>
  <c r="H28" i="20"/>
  <c r="I28" i="20" s="1"/>
  <c r="H29" i="20"/>
  <c r="I29" i="20" s="1"/>
  <c r="H30" i="20"/>
  <c r="I30" i="20" s="1"/>
  <c r="H31" i="20"/>
  <c r="I31" i="20" s="1"/>
  <c r="H32" i="20"/>
  <c r="I32" i="20" s="1"/>
  <c r="H33" i="20"/>
  <c r="I33" i="20" s="1"/>
  <c r="H34" i="20"/>
  <c r="I34" i="20" s="1"/>
  <c r="H35" i="20"/>
  <c r="I35" i="20" s="1"/>
  <c r="H36" i="20"/>
  <c r="I36" i="20" s="1"/>
  <c r="H37" i="20"/>
  <c r="I37" i="20" s="1"/>
  <c r="H38" i="20"/>
  <c r="I38" i="20" s="1"/>
  <c r="H39" i="20"/>
  <c r="I39" i="20" s="1"/>
  <c r="H40" i="20"/>
  <c r="I40" i="20" s="1"/>
  <c r="H41" i="20"/>
  <c r="I41" i="20" s="1"/>
  <c r="H42" i="20"/>
  <c r="I42" i="20" s="1"/>
  <c r="H43" i="20"/>
  <c r="I43" i="20" s="1"/>
  <c r="H44" i="20"/>
  <c r="I44" i="20" s="1"/>
  <c r="H45" i="20"/>
  <c r="I45" i="20" s="1"/>
  <c r="H46" i="20"/>
  <c r="I46" i="20" s="1"/>
  <c r="H47" i="20"/>
  <c r="I47" i="20" s="1"/>
  <c r="H48" i="20"/>
  <c r="I48" i="20" s="1"/>
  <c r="H49" i="20"/>
  <c r="I49" i="20" s="1"/>
  <c r="H50" i="20"/>
  <c r="I50" i="20" s="1"/>
  <c r="H51" i="20"/>
  <c r="I51" i="20" s="1"/>
  <c r="H52" i="20"/>
  <c r="I52" i="20" s="1"/>
  <c r="H53" i="20"/>
  <c r="I53" i="20" s="1"/>
  <c r="H54" i="20"/>
  <c r="I54" i="20" s="1"/>
  <c r="H55" i="20"/>
  <c r="I55" i="20" s="1"/>
  <c r="H56" i="20"/>
  <c r="I56" i="20" s="1"/>
  <c r="H57" i="20"/>
  <c r="I57" i="20" s="1"/>
  <c r="H58" i="20"/>
  <c r="I58" i="20" s="1"/>
  <c r="H59" i="20"/>
  <c r="I59" i="20" s="1"/>
  <c r="H60" i="20"/>
  <c r="I60" i="20" s="1"/>
  <c r="H61" i="20"/>
  <c r="I61" i="20" s="1"/>
  <c r="H62" i="20"/>
  <c r="I62" i="20" s="1"/>
  <c r="H63" i="20"/>
  <c r="I63" i="20" s="1"/>
  <c r="H64" i="20"/>
  <c r="I64" i="20" s="1"/>
  <c r="H65" i="20"/>
  <c r="I65" i="20" s="1"/>
  <c r="H66" i="20"/>
  <c r="I66" i="20" s="1"/>
  <c r="H67" i="20"/>
  <c r="I67" i="20" s="1"/>
  <c r="H68" i="20"/>
  <c r="I68" i="20" s="1"/>
  <c r="H69" i="20"/>
  <c r="I69" i="20" s="1"/>
  <c r="H70" i="20"/>
  <c r="I70" i="20" s="1"/>
  <c r="H71" i="20"/>
  <c r="I71" i="20" s="1"/>
  <c r="H72" i="20"/>
  <c r="I72" i="20" s="1"/>
  <c r="H73" i="20"/>
  <c r="I73" i="20" s="1"/>
  <c r="H74" i="20"/>
  <c r="I74" i="20" s="1"/>
  <c r="H75" i="20"/>
  <c r="I75" i="20" s="1"/>
</calcChain>
</file>

<file path=xl/comments1.xml><?xml version="1.0" encoding="utf-8"?>
<comments xmlns="http://schemas.openxmlformats.org/spreadsheetml/2006/main">
  <authors>
    <author>OTORQUATI</author>
    <author>Panasonic do Brasil LTDA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OTORQUATI:</t>
        </r>
        <r>
          <rPr>
            <sz val="8"/>
            <color indexed="81"/>
            <rFont val="Tahoma"/>
            <family val="2"/>
          </rPr>
          <t xml:space="preserve">
EVEREADY
</t>
        </r>
      </text>
    </comment>
    <comment ref="F15" authorId="1" shapeId="0">
      <text>
        <r>
          <rPr>
            <b/>
            <sz val="8"/>
            <color indexed="81"/>
            <rFont val="Tahoma"/>
            <family val="2"/>
          </rPr>
          <t>Os limite determinados objetivo e o desvio padrão dos ultimos 6 meses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<sst xmlns="http://schemas.openxmlformats.org/spreadsheetml/2006/main" count="520" uniqueCount="368">
  <si>
    <t>Data do Acabamento</t>
  </si>
  <si>
    <t>Aging</t>
  </si>
  <si>
    <t>Qt. Produzida</t>
  </si>
  <si>
    <t>Qt. Testada</t>
  </si>
  <si>
    <t>Defeitos de Voltagem</t>
  </si>
  <si>
    <t>Sem Papel Separador</t>
  </si>
  <si>
    <t>Papel Dobrado Sup.</t>
  </si>
  <si>
    <t>Papel Dobrado Meio</t>
  </si>
  <si>
    <t>Papel Dobrado Inf.</t>
  </si>
  <si>
    <t>Papel Afundado</t>
  </si>
  <si>
    <t>Papel Deslocado</t>
  </si>
  <si>
    <t>Sem Disco</t>
  </si>
  <si>
    <t>Isolador fora de centro</t>
  </si>
  <si>
    <t>Papel sujo</t>
  </si>
  <si>
    <t>Manchado</t>
  </si>
  <si>
    <t>Ferro</t>
  </si>
  <si>
    <t>Cobre</t>
  </si>
  <si>
    <t>Mistura no Tubo</t>
  </si>
  <si>
    <t>Pó de Mistura</t>
  </si>
  <si>
    <t>Bobina Baixa</t>
  </si>
  <si>
    <t>Bobina Alta</t>
  </si>
  <si>
    <t>Bobina Molhada</t>
  </si>
  <si>
    <t>Mistura seca</t>
  </si>
  <si>
    <t>Contem estranho</t>
  </si>
  <si>
    <t>Carvão Quebrado</t>
  </si>
  <si>
    <t>Sem Selante</t>
  </si>
  <si>
    <t>Curto Circuito Externo</t>
  </si>
  <si>
    <t>Total</t>
  </si>
  <si>
    <t>Taxa defeituosa (ppm)</t>
  </si>
  <si>
    <t>Defeitos de Amperagem</t>
  </si>
  <si>
    <t>Amperagem Ajustada</t>
  </si>
  <si>
    <t>Papel Separdor Duplo</t>
  </si>
  <si>
    <t>Pedra de Negro</t>
  </si>
  <si>
    <t>Pedra de Cl de Amônia</t>
  </si>
  <si>
    <t>Bobina Rachada</t>
  </si>
  <si>
    <t>Emenda de Papel</t>
  </si>
  <si>
    <t>Metade do Carvão</t>
  </si>
  <si>
    <t>Carvão Frouxo</t>
  </si>
  <si>
    <t>Tubo de Zinco Sujo</t>
  </si>
  <si>
    <t>Bottom Plate Amassado</t>
  </si>
  <si>
    <t>PVC Comprido</t>
  </si>
  <si>
    <t>Papel Separador Cortado</t>
  </si>
  <si>
    <t>Tubo de Zinco Amassado</t>
  </si>
  <si>
    <t>Turno</t>
  </si>
  <si>
    <t>Turno: Dia</t>
  </si>
  <si>
    <t>TURNO</t>
  </si>
  <si>
    <t>Dados de Falhas de Voltagem e Amperagem</t>
  </si>
  <si>
    <t>Menu Principal</t>
  </si>
  <si>
    <t>TOTAL</t>
  </si>
  <si>
    <t>Tubo com Rebarba</t>
  </si>
  <si>
    <t>%</t>
  </si>
  <si>
    <t>ppm</t>
  </si>
  <si>
    <t>DIA</t>
  </si>
  <si>
    <t>Modelo</t>
  </si>
  <si>
    <t>SH</t>
  </si>
  <si>
    <t>PH</t>
  </si>
  <si>
    <t>NEO</t>
  </si>
  <si>
    <t>GRADIENTE</t>
  </si>
  <si>
    <t>BIC</t>
  </si>
  <si>
    <t>Nº Defeitos V/A</t>
  </si>
  <si>
    <t>Sub-Total</t>
  </si>
  <si>
    <t>NOITE</t>
  </si>
  <si>
    <t>COL</t>
  </si>
  <si>
    <t>Pcs</t>
  </si>
  <si>
    <t>Produzido</t>
  </si>
  <si>
    <t>Testado</t>
  </si>
  <si>
    <t>Defeitos</t>
  </si>
  <si>
    <t>NP</t>
  </si>
  <si>
    <t>Acima de 6,8 ppm</t>
  </si>
  <si>
    <t>Entre 6,8 e 0,58 ppm</t>
  </si>
  <si>
    <t>Igual ou menor que 0,58 ppm</t>
  </si>
  <si>
    <t>R20</t>
  </si>
  <si>
    <t>PY Fora de Centro</t>
  </si>
  <si>
    <t>Disco Dobrado</t>
  </si>
  <si>
    <t>Disco Cortado</t>
  </si>
  <si>
    <t>Isolador afundado</t>
  </si>
  <si>
    <t>Pilha Boa</t>
  </si>
  <si>
    <t>Curto Circ. Externo -  recuperada</t>
  </si>
  <si>
    <t>Tb c/ Boca Amassada - recuperada</t>
  </si>
  <si>
    <t>PPM</t>
  </si>
  <si>
    <t>Limites de Alerta</t>
  </si>
  <si>
    <t>Disco fora de centro / deslocado</t>
  </si>
  <si>
    <t>Analisado (dia)</t>
  </si>
  <si>
    <t>Analisado (Noite)</t>
  </si>
  <si>
    <t>Total Analisado</t>
  </si>
  <si>
    <t>Isolador Inclinado</t>
  </si>
  <si>
    <t>Disco Rasgado</t>
  </si>
  <si>
    <t>Disco Furado</t>
  </si>
  <si>
    <t>CONF.</t>
  </si>
  <si>
    <t>Gráfico de Pareto de Falhas de V/A</t>
  </si>
  <si>
    <t>PY Queimado</t>
  </si>
  <si>
    <t>Pedra de Óxido</t>
  </si>
  <si>
    <t>NHT</t>
  </si>
  <si>
    <t>Papel Separador Rasgado</t>
  </si>
  <si>
    <t>PY c/ Falha de Injeção</t>
  </si>
  <si>
    <t>Total de Falhas</t>
  </si>
  <si>
    <t>Total Analizado</t>
  </si>
  <si>
    <t>Fatores Internos</t>
  </si>
  <si>
    <t>AC.</t>
  </si>
  <si>
    <t>Pelota de Manganês</t>
  </si>
  <si>
    <t>Cod.</t>
  </si>
  <si>
    <t>Outros - Amperagem</t>
  </si>
  <si>
    <t>Outros - Voltagem</t>
  </si>
  <si>
    <t>Papel menor</t>
  </si>
  <si>
    <t>Cálculo</t>
  </si>
  <si>
    <t>Maior</t>
  </si>
  <si>
    <t>Correspondencia</t>
  </si>
  <si>
    <t>Tb c/ Boca Amassada - Câmera</t>
  </si>
  <si>
    <r>
      <t xml:space="preserve">Tb c/ Boca Amassada - </t>
    </r>
    <r>
      <rPr>
        <sz val="10"/>
        <color indexed="10"/>
        <rFont val="Arial"/>
        <family val="2"/>
      </rPr>
      <t>Operador</t>
    </r>
  </si>
  <si>
    <t>Tubo Rachado - Câmera</t>
  </si>
  <si>
    <t>Tb c/ Boca Amassada - Operador</t>
  </si>
  <si>
    <t>Tubo Rachado - Operador</t>
  </si>
  <si>
    <t>Pilha recuperada do Acabamento</t>
  </si>
  <si>
    <t>Instruções</t>
  </si>
  <si>
    <t>CTRL + SHIFT + p -&gt; PROTEGE TODAS AS PLANILHAS</t>
  </si>
  <si>
    <t>CTRL + u -&gt; DESPROTEGE TODAS AS PLANILHAS</t>
  </si>
  <si>
    <t>CTRL + SHIFT + r -&gt; APAGA DADOS DAS PLANILHAS (UTILIZE COM CUIDADO!)</t>
  </si>
  <si>
    <t>Manchado Superior</t>
  </si>
  <si>
    <t>Causa Desconhecida - Amperagem</t>
  </si>
  <si>
    <t>Causa Desconhecida - Voltagem</t>
  </si>
  <si>
    <t>No separator</t>
  </si>
  <si>
    <t>Sliced Separator Paper</t>
  </si>
  <si>
    <t>Ripped Separator Paper</t>
  </si>
  <si>
    <t>Folded Separator (Top)</t>
  </si>
  <si>
    <t>Folded Separator</t>
  </si>
  <si>
    <t>Folded Separator (Bottom)</t>
  </si>
  <si>
    <t xml:space="preserve">Separator pape go down </t>
  </si>
  <si>
    <t>Shifted Separator Paper</t>
  </si>
  <si>
    <t>Smaller Separator Paper</t>
  </si>
  <si>
    <t>No Bottom Insulator</t>
  </si>
  <si>
    <t>Sliced Bottom Insulator</t>
  </si>
  <si>
    <t>Ripped Bottom Insulator</t>
  </si>
  <si>
    <t>Drilled Bottom Insulator</t>
  </si>
  <si>
    <t>Folded Bottom Insulator</t>
  </si>
  <si>
    <t>Shifted Bottom Insulator</t>
  </si>
  <si>
    <t>Bottom Insulator off-center</t>
  </si>
  <si>
    <t>Bottom Insulator sunk</t>
  </si>
  <si>
    <t>Bottom Insulator inclined</t>
  </si>
  <si>
    <t>Dirty Separator Paper</t>
  </si>
  <si>
    <t>Mottled</t>
  </si>
  <si>
    <t>Mottled (top)</t>
  </si>
  <si>
    <t>Iron</t>
  </si>
  <si>
    <t>Copper</t>
  </si>
  <si>
    <t>Mix touch</t>
  </si>
  <si>
    <t>Stranger content</t>
  </si>
  <si>
    <t>Zinc Oxide</t>
  </si>
  <si>
    <t>No Sealant</t>
  </si>
  <si>
    <t>Injecton defect on PY</t>
  </si>
  <si>
    <t>PY off-center</t>
  </si>
  <si>
    <t>PY burned</t>
  </si>
  <si>
    <t>Zinc Can Dent</t>
  </si>
  <si>
    <t>Zinc Can Dent - Camera</t>
  </si>
  <si>
    <t>Zinc Can Dent - Restored</t>
  </si>
  <si>
    <t>Zinc Can Cracked</t>
  </si>
  <si>
    <t>Zinc Can Smashed</t>
  </si>
  <si>
    <t>Zinc Can with Burr</t>
  </si>
  <si>
    <t>Outer Short Circuit</t>
  </si>
  <si>
    <t>Restored Battery from Finishing</t>
  </si>
  <si>
    <t>Unknow Causes</t>
  </si>
  <si>
    <t>No defects</t>
  </si>
  <si>
    <t>Others - Voltage</t>
  </si>
  <si>
    <t>Double Separator Paper</t>
  </si>
  <si>
    <t>Acetylene Black</t>
  </si>
  <si>
    <t>Ammonium Chloride</t>
  </si>
  <si>
    <t>Manganese</t>
  </si>
  <si>
    <t>Cracked Bobbin</t>
  </si>
  <si>
    <t>Separator Paper Emendation</t>
  </si>
  <si>
    <t>Half Carbon Rod</t>
  </si>
  <si>
    <t>Dirty Zinc Can</t>
  </si>
  <si>
    <t>Dry Mix</t>
  </si>
  <si>
    <t>Bottom Plate Smashed</t>
  </si>
  <si>
    <t>Others - Amperage</t>
  </si>
  <si>
    <t>English</t>
  </si>
  <si>
    <t>Portuguese</t>
  </si>
  <si>
    <t>Qty of inner defects</t>
  </si>
  <si>
    <t>Inner Defect Ratio (ppm)</t>
  </si>
  <si>
    <t>Defect Ratio (ppm)</t>
  </si>
  <si>
    <t>Voltage (AVG)</t>
  </si>
  <si>
    <t>Voltage (Setup)</t>
  </si>
  <si>
    <t>Qty of batteries analyzed</t>
  </si>
  <si>
    <t>Overall Defect Ratio (ppm)</t>
  </si>
  <si>
    <t>Long PVC</t>
  </si>
  <si>
    <t>Incompact Carbon Rod</t>
  </si>
  <si>
    <t>Mix Powder</t>
  </si>
  <si>
    <t>High Bobbin</t>
  </si>
  <si>
    <t>Wet Bobbin</t>
  </si>
  <si>
    <t>Checked Qty (pcs)</t>
  </si>
  <si>
    <t>Defect Qty (pcs)</t>
  </si>
  <si>
    <t>Total (pcs)</t>
  </si>
  <si>
    <t>Assembly Date</t>
  </si>
  <si>
    <t>Finishing Date</t>
  </si>
  <si>
    <t>Data da Montagem</t>
  </si>
  <si>
    <t>Descanso:</t>
  </si>
  <si>
    <t>Production Qty (pcs)</t>
  </si>
  <si>
    <t>Qtd de Produção (pçs)</t>
  </si>
  <si>
    <t>Qtd. Retestada (pçs)</t>
  </si>
  <si>
    <t>Defeitos (Qty)</t>
  </si>
  <si>
    <t>Voltagem (Moda)</t>
  </si>
  <si>
    <t>Voltagem (ajustada)</t>
  </si>
  <si>
    <t>Qtd. Analisada (pçs)</t>
  </si>
  <si>
    <t>NMD - Supplier</t>
  </si>
  <si>
    <t>Lot.</t>
  </si>
  <si>
    <t>GCA - Acetylene Black - Supplier</t>
  </si>
  <si>
    <t>Qty</t>
  </si>
  <si>
    <t>Dados de Rastreabilidade da Mistura</t>
  </si>
  <si>
    <t>Inspeção</t>
  </si>
  <si>
    <t>Defeitos de Vlotagem</t>
  </si>
  <si>
    <t>Resultado</t>
  </si>
  <si>
    <t>Cód.</t>
  </si>
  <si>
    <t>GME - Fornecedor</t>
  </si>
  <si>
    <t>Nº Lote</t>
  </si>
  <si>
    <t>Qtd</t>
  </si>
  <si>
    <t>GCA - Fornecedor</t>
  </si>
  <si>
    <t>GZI - Supplier</t>
  </si>
  <si>
    <t>Total (pçs)</t>
  </si>
  <si>
    <t>Qtd. Defeitos internos (pçs)</t>
  </si>
  <si>
    <t>Defeitos Internos - Taxa defeituosa (ppm)</t>
  </si>
  <si>
    <t>Amperage (Avg)</t>
  </si>
  <si>
    <t>Amperage (Setup)</t>
  </si>
  <si>
    <t>Amperagem (Moda)</t>
  </si>
  <si>
    <t>Qtd Baterias analisadas (pçs)</t>
  </si>
  <si>
    <t>Qty Total (pcs)</t>
  </si>
  <si>
    <t>Taxa Defeituosa Total (ppm)</t>
  </si>
  <si>
    <t>Model</t>
  </si>
  <si>
    <t>EMD - Supplier</t>
  </si>
  <si>
    <t>Lot. Nº</t>
  </si>
  <si>
    <t>GMT - Fornecedor</t>
  </si>
  <si>
    <t>Lot Nº</t>
  </si>
  <si>
    <t>GZO - Fornecedor</t>
  </si>
  <si>
    <t>Solution nº 125 - Qty</t>
  </si>
  <si>
    <t>Solução nº 125 Qtd</t>
  </si>
  <si>
    <t>Carbon Rod - Supplier</t>
  </si>
  <si>
    <t>Carvão - Fornecedor</t>
  </si>
  <si>
    <t>No PY</t>
  </si>
  <si>
    <t>Sem PY</t>
  </si>
  <si>
    <t>Descrição\Mês\Turno</t>
  </si>
  <si>
    <t>Dia</t>
  </si>
  <si>
    <t>Taxa Defeituosa 1º Teste</t>
  </si>
  <si>
    <t>Defect Ratio 1st finishing test</t>
  </si>
  <si>
    <t>AS</t>
  </si>
  <si>
    <t>acima de 800 ppm</t>
  </si>
  <si>
    <t>601 a 800 ppm</t>
  </si>
  <si>
    <t>abaixo de 600 ppm</t>
  </si>
  <si>
    <t>Noite</t>
  </si>
  <si>
    <t>Turno: noite</t>
  </si>
  <si>
    <t>TOTAL D+N</t>
  </si>
  <si>
    <t>Tubo descascado</t>
  </si>
  <si>
    <t>Zinc Can peer off</t>
  </si>
  <si>
    <t>Curto Circ. Externo -  Cap sujo</t>
  </si>
  <si>
    <t>Outer Short Circuit - dirty cap</t>
  </si>
  <si>
    <t>LINGUAGEM</t>
  </si>
  <si>
    <t>Inglês</t>
  </si>
  <si>
    <t>Português</t>
  </si>
  <si>
    <t>Problema</t>
  </si>
  <si>
    <t>Ac.</t>
  </si>
  <si>
    <t>Ac. %</t>
  </si>
  <si>
    <t>Broken Cabon Rod V</t>
  </si>
  <si>
    <t>Carvão Quebrado V</t>
  </si>
  <si>
    <t>Broken Cabon Rod A</t>
  </si>
  <si>
    <t>Carvão Quebrado A</t>
  </si>
  <si>
    <t>Lower Bobbin A</t>
  </si>
  <si>
    <t>Bobina Baixa A</t>
  </si>
  <si>
    <t>Lower Bobbin V</t>
  </si>
  <si>
    <t>Bobina Baixa V</t>
  </si>
  <si>
    <t>Dia + Noite</t>
  </si>
  <si>
    <t>Japonês</t>
  </si>
  <si>
    <t>組立日</t>
  </si>
  <si>
    <t>終了日</t>
  </si>
  <si>
    <t>休憩：</t>
  </si>
  <si>
    <t>テンプレート</t>
  </si>
  <si>
    <t>生産数量（個）</t>
  </si>
  <si>
    <t>GME-サプライヤー</t>
  </si>
  <si>
    <t>ロット番号</t>
  </si>
  <si>
    <t>数量</t>
  </si>
  <si>
    <t>GMT-サプライヤー</t>
  </si>
  <si>
    <t>GCA-サプライヤー</t>
  </si>
  <si>
    <t>たくさん</t>
  </si>
  <si>
    <t>GZO-サプライヤー</t>
  </si>
  <si>
    <t>ソリューション＃125数量</t>
  </si>
  <si>
    <t>石炭-サプライヤー</t>
  </si>
  <si>
    <t>再テスト済み数量（個）</t>
  </si>
  <si>
    <t>欠陥（数量）</t>
  </si>
  <si>
    <t>電圧（ファッション）</t>
  </si>
  <si>
    <t>電圧（調整済み）</t>
  </si>
  <si>
    <t>分析された数量（個）</t>
  </si>
  <si>
    <t>紙セパレータなし</t>
  </si>
  <si>
    <t>カット紙セパレーター</t>
  </si>
  <si>
    <t>引き裂かれたセパレータ紙</t>
  </si>
  <si>
    <t>折り畳まれた紙のスープ。</t>
  </si>
  <si>
    <t>二つ折り紙</t>
  </si>
  <si>
    <t>折り畳まれた紙</t>
  </si>
  <si>
    <t>沈んだ紙</t>
  </si>
  <si>
    <t>オフセット紙</t>
  </si>
  <si>
    <t>より小さな役割</t>
  </si>
  <si>
    <t>ディスクレス</t>
  </si>
  <si>
    <t>ディスクカット</t>
  </si>
  <si>
    <t>破れたディスク</t>
  </si>
  <si>
    <t>フラットディスク</t>
  </si>
  <si>
    <t>折り畳まれたディスク</t>
  </si>
  <si>
    <t>中心からずれたディスク/オフセット</t>
  </si>
  <si>
    <t>オフセンター絶縁体</t>
  </si>
  <si>
    <t>沈んだ絶縁体</t>
  </si>
  <si>
    <t>傾斜In子</t>
  </si>
  <si>
    <t>汚れた紙</t>
  </si>
  <si>
    <t>ステンド</t>
  </si>
  <si>
    <t>優れた斑点</t>
  </si>
  <si>
    <t>鉄</t>
  </si>
  <si>
    <t>銅</t>
  </si>
  <si>
    <t>チューブミックス</t>
  </si>
  <si>
    <t>混合粉</t>
  </si>
  <si>
    <t>低コイル</t>
  </si>
  <si>
    <t>ハイコイル</t>
  </si>
  <si>
    <t>ウェットコイル</t>
  </si>
  <si>
    <t>ドライミックス</t>
  </si>
  <si>
    <t>見知らぬ人が含まれています</t>
  </si>
  <si>
    <t>酸化物の石</t>
  </si>
  <si>
    <t>壊れた石炭</t>
  </si>
  <si>
    <t>シーラントなし</t>
  </si>
  <si>
    <t>PY w /インジェクション失敗</t>
  </si>
  <si>
    <t>PYなし</t>
  </si>
  <si>
    <t>中心から外れた</t>
  </si>
  <si>
    <t>PYバーント</t>
  </si>
  <si>
    <t>Tb w /砕いた口-オペレーター</t>
  </si>
  <si>
    <t>Tb w /しわくちゃの口-カメラ</t>
  </si>
  <si>
    <t>Tb w /砕いた口-回復した</t>
  </si>
  <si>
    <t>剥離チューブ</t>
  </si>
  <si>
    <t>割れたチューブ-カメラ</t>
  </si>
  <si>
    <t>しわ亜鉛管</t>
  </si>
  <si>
    <t>バリパイプ</t>
  </si>
  <si>
    <t>短絡外部回路</t>
  </si>
  <si>
    <t>ショートサークル。外部-汚れたキャップ</t>
  </si>
  <si>
    <t>回収された仕上げスタック</t>
  </si>
  <si>
    <t>不明な原因-電圧</t>
  </si>
  <si>
    <t>良い山</t>
  </si>
  <si>
    <t>その他-電圧</t>
  </si>
  <si>
    <t>合計（個）</t>
  </si>
  <si>
    <t>不良率1回目のテスト</t>
  </si>
  <si>
    <t>欠陥率（ppm）</t>
  </si>
  <si>
    <t>数量内部欠陥（個）</t>
  </si>
  <si>
    <t>内部欠陥-欠陥率（ppm）</t>
  </si>
  <si>
    <t>アンペア数（ファッション）</t>
  </si>
  <si>
    <t>調整されたアンペア数</t>
  </si>
  <si>
    <t>数量分析済みバッテリー（個）</t>
  </si>
  <si>
    <t>ダブルセパレーターペーパー</t>
  </si>
  <si>
    <t>黒人の石</t>
  </si>
  <si>
    <t>Clアンモニア石</t>
  </si>
  <si>
    <t>マンガンペレット</t>
  </si>
  <si>
    <t>割れたコイル</t>
  </si>
  <si>
    <t>紙の縫い目</t>
  </si>
  <si>
    <t>石炭の半分</t>
  </si>
  <si>
    <t>緩い石炭</t>
  </si>
  <si>
    <t>汚れた亜鉛管</t>
  </si>
  <si>
    <t>しわくちゃの底板</t>
  </si>
  <si>
    <t>長いPVC</t>
  </si>
  <si>
    <t>不明な原因-アンペア</t>
  </si>
  <si>
    <t>その他-アンペア数</t>
  </si>
  <si>
    <t>合計</t>
  </si>
  <si>
    <t>総不良率（ppm）</t>
  </si>
  <si>
    <t>2º Turno</t>
  </si>
  <si>
    <t>3º Turno</t>
  </si>
  <si>
    <t>Zhongxin</t>
  </si>
  <si>
    <t>2021 0918</t>
  </si>
  <si>
    <t>D. Zhongxin</t>
  </si>
  <si>
    <t>2021 26#  2021 34#</t>
  </si>
  <si>
    <t>JIAOZUO</t>
  </si>
  <si>
    <t>Nexa</t>
  </si>
  <si>
    <t>416L</t>
  </si>
  <si>
    <t>PCIN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</si>
</sst>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"/>
    <numFmt numFmtId="165" formatCode="0.000"/>
    <numFmt numFmtId="166" formatCode="0.00_)"/>
    <numFmt numFmtId="167" formatCode="d/m"/>
    <numFmt numFmtId="168" formatCode="mmmm\-yy"/>
    <numFmt numFmtId="169" formatCode="d/m;@"/>
  </numFmts>
  <fonts count="23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name val="ＭＳ ゴシック"/>
      <family val="3"/>
      <charset val="128"/>
    </font>
    <font>
      <b/>
      <i/>
      <sz val="16"/>
      <name val="Helv"/>
      <family val="2"/>
    </font>
    <font>
      <sz val="10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43"/>
      <name val="Arial"/>
      <family val="2"/>
    </font>
    <font>
      <b/>
      <i/>
      <sz val="14"/>
      <color indexed="62"/>
      <name val="Arial"/>
      <family val="2"/>
    </font>
    <font>
      <b/>
      <sz val="11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rgb="FFFF0000"/>
      <name val="Arial"/>
      <family val="2"/>
    </font>
    <font>
      <sz val="6"/>
      <name val="ＭＳ Ｐゴシック"/>
      <family val="3"/>
      <charset val="128"/>
    </font>
    <font>
      <sz val="10"/>
      <color theme="0" tint="-0.14999847407452621"/>
      <name val="Arial"/>
      <family val="2"/>
    </font>
    <font>
      <sz val="8"/>
      <name val="Arial"/>
      <family val="2"/>
    </font>
    <font>
      <sz val="8"/>
      <color rgb="FF000000"/>
      <name val="Tahoma"/>
      <family val="2"/>
    </font>
    <font>
      <b/>
      <sz val="9"/>
      <color rgb="FF00008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thin">
        <color indexed="64"/>
      </left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0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6" fontId="4" fillId="0" borderId="0"/>
    <xf numFmtId="0" fontId="3" fillId="0" borderId="0"/>
    <xf numFmtId="10" fontId="5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2" fillId="0" borderId="0"/>
    <xf numFmtId="0" fontId="2" fillId="0" borderId="0"/>
    <xf numFmtId="10" fontId="2" fillId="0" borderId="0" applyFont="0" applyFill="0" applyBorder="0" applyAlignment="0" applyProtection="0"/>
  </cellStyleXfs>
  <cellXfs count="279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/>
    </xf>
    <xf numFmtId="0" fontId="8" fillId="4" borderId="0" xfId="0" applyFont="1" applyFill="1"/>
    <xf numFmtId="0" fontId="8" fillId="4" borderId="0" xfId="0" applyFont="1" applyFill="1" applyAlignment="1">
      <alignment horizontal="center"/>
    </xf>
    <xf numFmtId="0" fontId="9" fillId="4" borderId="0" xfId="0" applyFont="1" applyFill="1"/>
    <xf numFmtId="0" fontId="5" fillId="4" borderId="0" xfId="0" applyFont="1" applyFill="1"/>
    <xf numFmtId="0" fontId="10" fillId="4" borderId="0" xfId="0" applyFont="1" applyFill="1"/>
    <xf numFmtId="0" fontId="7" fillId="4" borderId="0" xfId="0" applyFont="1" applyFill="1"/>
    <xf numFmtId="0" fontId="8" fillId="4" borderId="2" xfId="0" applyFont="1" applyFill="1" applyBorder="1"/>
    <xf numFmtId="0" fontId="8" fillId="4" borderId="3" xfId="0" applyFont="1" applyFill="1" applyBorder="1"/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/>
    <xf numFmtId="0" fontId="8" fillId="4" borderId="6" xfId="0" applyFont="1" applyFill="1" applyBorder="1"/>
    <xf numFmtId="0" fontId="8" fillId="4" borderId="7" xfId="0" applyFont="1" applyFill="1" applyBorder="1"/>
    <xf numFmtId="0" fontId="0" fillId="0" borderId="8" xfId="0" applyBorder="1"/>
    <xf numFmtId="0" fontId="0" fillId="0" borderId="1" xfId="0" applyBorder="1"/>
    <xf numFmtId="0" fontId="0" fillId="0" borderId="9" xfId="0" applyBorder="1"/>
    <xf numFmtId="0" fontId="0" fillId="0" borderId="10" xfId="0" applyBorder="1"/>
    <xf numFmtId="0" fontId="0" fillId="0" borderId="0" xfId="0" applyAlignment="1">
      <alignment horizontal="center"/>
    </xf>
    <xf numFmtId="0" fontId="0" fillId="0" borderId="11" xfId="0" applyBorder="1"/>
    <xf numFmtId="1" fontId="0" fillId="0" borderId="12" xfId="0" applyNumberFormat="1" applyBorder="1"/>
    <xf numFmtId="3" fontId="0" fillId="0" borderId="1" xfId="0" applyNumberFormat="1" applyBorder="1"/>
    <xf numFmtId="3" fontId="0" fillId="0" borderId="10" xfId="0" applyNumberFormat="1" applyBorder="1"/>
    <xf numFmtId="0" fontId="8" fillId="0" borderId="8" xfId="0" applyFont="1" applyBorder="1"/>
    <xf numFmtId="0" fontId="0" fillId="0" borderId="13" xfId="0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8" fillId="0" borderId="8" xfId="0" applyFont="1" applyBorder="1" applyAlignment="1">
      <alignment horizontal="center"/>
    </xf>
    <xf numFmtId="0" fontId="6" fillId="0" borderId="0" xfId="4" applyFont="1" applyProtection="1">
      <protection locked="0"/>
    </xf>
    <xf numFmtId="0" fontId="6" fillId="0" borderId="0" xfId="0" applyFont="1"/>
    <xf numFmtId="164" fontId="6" fillId="0" borderId="0" xfId="0" applyNumberFormat="1" applyFont="1"/>
    <xf numFmtId="1" fontId="6" fillId="0" borderId="0" xfId="0" applyNumberFormat="1" applyFont="1"/>
    <xf numFmtId="0" fontId="8" fillId="0" borderId="14" xfId="0" applyFont="1" applyBorder="1" applyAlignment="1">
      <alignment horizontal="center"/>
    </xf>
    <xf numFmtId="3" fontId="0" fillId="0" borderId="15" xfId="0" applyNumberFormat="1" applyBorder="1"/>
    <xf numFmtId="3" fontId="0" fillId="0" borderId="16" xfId="0" applyNumberFormat="1" applyBorder="1"/>
    <xf numFmtId="0" fontId="8" fillId="0" borderId="17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3" fontId="0" fillId="0" borderId="12" xfId="0" applyNumberFormat="1" applyBorder="1"/>
    <xf numFmtId="0" fontId="0" fillId="0" borderId="20" xfId="0" applyBorder="1"/>
    <xf numFmtId="0" fontId="0" fillId="0" borderId="8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0" borderId="21" xfId="0" applyFont="1" applyBorder="1" applyAlignment="1">
      <alignment horizontal="center"/>
    </xf>
    <xf numFmtId="3" fontId="0" fillId="0" borderId="22" xfId="0" applyNumberFormat="1" applyBorder="1"/>
    <xf numFmtId="164" fontId="0" fillId="0" borderId="0" xfId="0" applyNumberFormat="1"/>
    <xf numFmtId="1" fontId="0" fillId="0" borderId="0" xfId="0" applyNumberFormat="1"/>
    <xf numFmtId="3" fontId="0" fillId="0" borderId="23" xfId="0" applyNumberFormat="1" applyBorder="1"/>
    <xf numFmtId="3" fontId="0" fillId="0" borderId="24" xfId="0" applyNumberFormat="1" applyBorder="1"/>
    <xf numFmtId="3" fontId="0" fillId="0" borderId="25" xfId="0" applyNumberFormat="1" applyBorder="1"/>
    <xf numFmtId="3" fontId="0" fillId="0" borderId="26" xfId="0" applyNumberFormat="1" applyBorder="1"/>
    <xf numFmtId="3" fontId="8" fillId="0" borderId="12" xfId="0" applyNumberFormat="1" applyFont="1" applyBorder="1"/>
    <xf numFmtId="0" fontId="0" fillId="0" borderId="27" xfId="0" applyBorder="1"/>
    <xf numFmtId="1" fontId="0" fillId="0" borderId="28" xfId="0" applyNumberFormat="1" applyBorder="1"/>
    <xf numFmtId="1" fontId="0" fillId="0" borderId="13" xfId="0" applyNumberFormat="1" applyBorder="1"/>
    <xf numFmtId="3" fontId="6" fillId="0" borderId="0" xfId="0" applyNumberFormat="1" applyFont="1"/>
    <xf numFmtId="0" fontId="5" fillId="0" borderId="30" xfId="4" applyFont="1" applyBorder="1" applyAlignment="1">
      <alignment horizontal="center"/>
    </xf>
    <xf numFmtId="0" fontId="5" fillId="0" borderId="34" xfId="4" applyFont="1" applyBorder="1" applyAlignment="1">
      <alignment horizontal="center"/>
    </xf>
    <xf numFmtId="0" fontId="5" fillId="0" borderId="36" xfId="4" applyFont="1" applyBorder="1" applyAlignment="1">
      <alignment horizontal="center"/>
    </xf>
    <xf numFmtId="0" fontId="0" fillId="5" borderId="39" xfId="0" applyFill="1" applyBorder="1"/>
    <xf numFmtId="0" fontId="0" fillId="8" borderId="39" xfId="0" applyFill="1" applyBorder="1"/>
    <xf numFmtId="0" fontId="0" fillId="7" borderId="39" xfId="0" applyFill="1" applyBorder="1"/>
    <xf numFmtId="0" fontId="0" fillId="6" borderId="39" xfId="0" applyFill="1" applyBorder="1"/>
    <xf numFmtId="0" fontId="5" fillId="0" borderId="0" xfId="4" applyFont="1"/>
    <xf numFmtId="0" fontId="5" fillId="0" borderId="0" xfId="4" applyFont="1" applyAlignment="1">
      <alignment horizontal="center"/>
    </xf>
    <xf numFmtId="167" fontId="5" fillId="0" borderId="30" xfId="4" applyNumberFormat="1" applyFont="1" applyBorder="1" applyAlignment="1">
      <alignment horizontal="center"/>
    </xf>
    <xf numFmtId="38" fontId="5" fillId="0" borderId="30" xfId="4" applyNumberFormat="1" applyFont="1" applyBorder="1" applyAlignment="1">
      <alignment horizontal="center"/>
    </xf>
    <xf numFmtId="165" fontId="5" fillId="0" borderId="41" xfId="4" applyNumberFormat="1" applyFont="1" applyBorder="1" applyAlignment="1">
      <alignment horizontal="center"/>
    </xf>
    <xf numFmtId="165" fontId="5" fillId="0" borderId="42" xfId="4" applyNumberFormat="1" applyFont="1" applyBorder="1" applyAlignment="1">
      <alignment horizontal="center"/>
    </xf>
    <xf numFmtId="0" fontId="8" fillId="0" borderId="32" xfId="4" applyFont="1" applyBorder="1" applyAlignment="1">
      <alignment horizontal="center"/>
    </xf>
    <xf numFmtId="1" fontId="5" fillId="0" borderId="0" xfId="4" applyNumberFormat="1" applyFont="1"/>
    <xf numFmtId="0" fontId="8" fillId="0" borderId="11" xfId="4" applyFont="1" applyBorder="1" applyAlignment="1">
      <alignment horizontal="center"/>
    </xf>
    <xf numFmtId="0" fontId="8" fillId="0" borderId="0" xfId="4" applyFont="1" applyAlignment="1">
      <alignment horizontal="center" vertical="center" textRotation="90"/>
    </xf>
    <xf numFmtId="0" fontId="8" fillId="0" borderId="0" xfId="4" applyFont="1" applyAlignment="1">
      <alignment horizontal="center" vertical="center"/>
    </xf>
    <xf numFmtId="0" fontId="5" fillId="0" borderId="32" xfId="4" applyFont="1" applyBorder="1" applyAlignment="1">
      <alignment horizontal="left"/>
    </xf>
    <xf numFmtId="0" fontId="5" fillId="0" borderId="32" xfId="4" applyFont="1" applyBorder="1" applyAlignment="1">
      <alignment horizontal="right"/>
    </xf>
    <xf numFmtId="164" fontId="5" fillId="0" borderId="30" xfId="4" applyNumberFormat="1" applyFont="1" applyBorder="1" applyAlignment="1">
      <alignment horizontal="center"/>
    </xf>
    <xf numFmtId="1" fontId="0" fillId="0" borderId="9" xfId="0" applyNumberFormat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48" xfId="0" applyFill="1" applyBorder="1"/>
    <xf numFmtId="0" fontId="0" fillId="4" borderId="7" xfId="0" applyFill="1" applyBorder="1"/>
    <xf numFmtId="0" fontId="15" fillId="9" borderId="29" xfId="0" applyFont="1" applyFill="1" applyBorder="1"/>
    <xf numFmtId="0" fontId="15" fillId="9" borderId="40" xfId="0" applyFont="1" applyFill="1" applyBorder="1"/>
    <xf numFmtId="0" fontId="16" fillId="9" borderId="40" xfId="0" applyFont="1" applyFill="1" applyBorder="1"/>
    <xf numFmtId="0" fontId="16" fillId="9" borderId="49" xfId="0" applyFont="1" applyFill="1" applyBorder="1"/>
    <xf numFmtId="0" fontId="5" fillId="0" borderId="41" xfId="4" applyFont="1" applyBorder="1" applyAlignment="1">
      <alignment horizontal="center"/>
    </xf>
    <xf numFmtId="3" fontId="0" fillId="0" borderId="51" xfId="0" applyNumberFormat="1" applyBorder="1"/>
    <xf numFmtId="3" fontId="0" fillId="0" borderId="52" xfId="0" applyNumberFormat="1" applyBorder="1"/>
    <xf numFmtId="0" fontId="0" fillId="0" borderId="53" xfId="0" applyBorder="1"/>
    <xf numFmtId="3" fontId="0" fillId="0" borderId="35" xfId="0" applyNumberFormat="1" applyBorder="1"/>
    <xf numFmtId="3" fontId="0" fillId="0" borderId="36" xfId="0" applyNumberFormat="1" applyBorder="1"/>
    <xf numFmtId="3" fontId="0" fillId="0" borderId="38" xfId="0" applyNumberFormat="1" applyBorder="1"/>
    <xf numFmtId="3" fontId="0" fillId="0" borderId="54" xfId="0" applyNumberFormat="1" applyBorder="1"/>
    <xf numFmtId="3" fontId="0" fillId="0" borderId="11" xfId="0" applyNumberFormat="1" applyBorder="1"/>
    <xf numFmtId="3" fontId="0" fillId="0" borderId="27" xfId="0" applyNumberFormat="1" applyBorder="1"/>
    <xf numFmtId="3" fontId="0" fillId="0" borderId="44" xfId="0" applyNumberFormat="1" applyBorder="1"/>
    <xf numFmtId="0" fontId="0" fillId="0" borderId="55" xfId="0" applyBorder="1"/>
    <xf numFmtId="3" fontId="0" fillId="0" borderId="8" xfId="0" applyNumberFormat="1" applyBorder="1"/>
    <xf numFmtId="3" fontId="0" fillId="0" borderId="14" xfId="0" applyNumberFormat="1" applyBorder="1"/>
    <xf numFmtId="3" fontId="0" fillId="0" borderId="9" xfId="0" applyNumberFormat="1" applyBorder="1"/>
    <xf numFmtId="3" fontId="0" fillId="0" borderId="45" xfId="0" applyNumberFormat="1" applyBorder="1"/>
    <xf numFmtId="0" fontId="2" fillId="0" borderId="1" xfId="4" applyFont="1" applyBorder="1"/>
    <xf numFmtId="0" fontId="2" fillId="0" borderId="9" xfId="4" applyFont="1" applyBorder="1"/>
    <xf numFmtId="0" fontId="8" fillId="0" borderId="1" xfId="4" applyFont="1" applyBorder="1"/>
    <xf numFmtId="0" fontId="8" fillId="0" borderId="8" xfId="4" applyFont="1" applyBorder="1"/>
    <xf numFmtId="0" fontId="8" fillId="0" borderId="9" xfId="4" applyFont="1" applyBorder="1"/>
    <xf numFmtId="0" fontId="8" fillId="0" borderId="54" xfId="4" applyFont="1" applyBorder="1" applyAlignment="1">
      <alignment horizontal="center"/>
    </xf>
    <xf numFmtId="0" fontId="2" fillId="0" borderId="17" xfId="4" applyFont="1" applyBorder="1"/>
    <xf numFmtId="0" fontId="8" fillId="0" borderId="27" xfId="4" applyFont="1" applyBorder="1" applyAlignment="1">
      <alignment horizontal="center"/>
    </xf>
    <xf numFmtId="0" fontId="2" fillId="0" borderId="12" xfId="4" applyFont="1" applyBorder="1"/>
    <xf numFmtId="0" fontId="2" fillId="0" borderId="8" xfId="4" applyFont="1" applyBorder="1"/>
    <xf numFmtId="0" fontId="2" fillId="0" borderId="28" xfId="4" applyFont="1" applyBorder="1"/>
    <xf numFmtId="0" fontId="8" fillId="0" borderId="17" xfId="4" applyFont="1" applyBorder="1"/>
    <xf numFmtId="0" fontId="8" fillId="0" borderId="12" xfId="4" applyFont="1" applyBorder="1"/>
    <xf numFmtId="0" fontId="8" fillId="0" borderId="28" xfId="4" quotePrefix="1" applyFont="1" applyBorder="1" applyAlignment="1">
      <alignment horizontal="left"/>
    </xf>
    <xf numFmtId="0" fontId="8" fillId="0" borderId="8" xfId="4" quotePrefix="1" applyFont="1" applyBorder="1" applyAlignment="1">
      <alignment horizontal="left"/>
    </xf>
    <xf numFmtId="0" fontId="8" fillId="0" borderId="1" xfId="4" quotePrefix="1" applyFont="1" applyBorder="1" applyAlignment="1">
      <alignment horizontal="left"/>
    </xf>
    <xf numFmtId="0" fontId="8" fillId="0" borderId="28" xfId="4" applyFont="1" applyBorder="1"/>
    <xf numFmtId="0" fontId="8" fillId="0" borderId="17" xfId="4" quotePrefix="1" applyFont="1" applyBorder="1" applyAlignment="1">
      <alignment horizontal="left"/>
    </xf>
    <xf numFmtId="0" fontId="8" fillId="0" borderId="12" xfId="4" quotePrefix="1" applyFont="1" applyBorder="1" applyAlignment="1">
      <alignment horizontal="left"/>
    </xf>
    <xf numFmtId="0" fontId="8" fillId="0" borderId="56" xfId="4" applyFont="1" applyBorder="1"/>
    <xf numFmtId="0" fontId="8" fillId="0" borderId="10" xfId="4" applyFont="1" applyBorder="1"/>
    <xf numFmtId="0" fontId="8" fillId="0" borderId="50" xfId="4" applyFont="1" applyBorder="1"/>
    <xf numFmtId="0" fontId="2" fillId="0" borderId="0" xfId="7"/>
    <xf numFmtId="0" fontId="8" fillId="0" borderId="0" xfId="7" applyFont="1" applyAlignment="1">
      <alignment horizontal="left"/>
    </xf>
    <xf numFmtId="0" fontId="8" fillId="10" borderId="46" xfId="7" applyFont="1" applyFill="1" applyBorder="1" applyAlignment="1">
      <alignment horizontal="center"/>
    </xf>
    <xf numFmtId="0" fontId="8" fillId="10" borderId="57" xfId="7" applyFont="1" applyFill="1" applyBorder="1"/>
    <xf numFmtId="0" fontId="8" fillId="10" borderId="58" xfId="7" applyFont="1" applyFill="1" applyBorder="1"/>
    <xf numFmtId="0" fontId="8" fillId="0" borderId="47" xfId="4" applyFont="1" applyBorder="1" applyAlignment="1">
      <alignment horizontal="center"/>
    </xf>
    <xf numFmtId="0" fontId="2" fillId="0" borderId="1" xfId="4" quotePrefix="1" applyFont="1" applyBorder="1" applyAlignment="1">
      <alignment horizontal="left"/>
    </xf>
    <xf numFmtId="0" fontId="2" fillId="0" borderId="12" xfId="4" quotePrefix="1" applyFont="1" applyBorder="1" applyAlignment="1">
      <alignment horizontal="left"/>
    </xf>
    <xf numFmtId="0" fontId="2" fillId="0" borderId="1" xfId="7" applyBorder="1"/>
    <xf numFmtId="0" fontId="8" fillId="0" borderId="28" xfId="7" applyFont="1" applyBorder="1"/>
    <xf numFmtId="0" fontId="8" fillId="0" borderId="0" xfId="7" applyFont="1" applyAlignment="1">
      <alignment horizontal="center"/>
    </xf>
    <xf numFmtId="0" fontId="8" fillId="0" borderId="1" xfId="4" applyFont="1" applyBorder="1" applyAlignment="1">
      <alignment vertical="center"/>
    </xf>
    <xf numFmtId="0" fontId="8" fillId="0" borderId="64" xfId="4" applyFont="1" applyBorder="1" applyAlignment="1">
      <alignment vertical="center"/>
    </xf>
    <xf numFmtId="0" fontId="8" fillId="0" borderId="8" xfId="4" applyFont="1" applyBorder="1" applyAlignment="1">
      <alignment vertical="center"/>
    </xf>
    <xf numFmtId="0" fontId="8" fillId="0" borderId="9" xfId="4" applyFont="1" applyBorder="1" applyAlignment="1">
      <alignment vertical="center"/>
    </xf>
    <xf numFmtId="0" fontId="2" fillId="0" borderId="62" xfId="4" applyFont="1" applyBorder="1"/>
    <xf numFmtId="0" fontId="2" fillId="0" borderId="60" xfId="4" applyFont="1" applyBorder="1"/>
    <xf numFmtId="0" fontId="2" fillId="0" borderId="63" xfId="4" applyFont="1" applyBorder="1"/>
    <xf numFmtId="0" fontId="2" fillId="0" borderId="14" xfId="4" applyFont="1" applyBorder="1"/>
    <xf numFmtId="0" fontId="2" fillId="0" borderId="15" xfId="4" applyFont="1" applyBorder="1"/>
    <xf numFmtId="0" fontId="2" fillId="0" borderId="59" xfId="4" applyFont="1" applyBorder="1"/>
    <xf numFmtId="167" fontId="2" fillId="0" borderId="3" xfId="4" applyNumberFormat="1" applyFont="1" applyBorder="1" applyAlignment="1">
      <alignment horizontal="center"/>
    </xf>
    <xf numFmtId="0" fontId="2" fillId="0" borderId="36" xfId="4" applyFont="1" applyBorder="1" applyAlignment="1">
      <alignment horizontal="center"/>
    </xf>
    <xf numFmtId="0" fontId="2" fillId="0" borderId="54" xfId="4" applyFont="1" applyBorder="1" applyAlignment="1" applyProtection="1">
      <alignment horizontal="center"/>
      <protection locked="0"/>
    </xf>
    <xf numFmtId="0" fontId="2" fillId="0" borderId="33" xfId="4" applyFont="1" applyBorder="1" applyAlignment="1" applyProtection="1">
      <alignment horizontal="center"/>
      <protection locked="0"/>
    </xf>
    <xf numFmtId="0" fontId="2" fillId="0" borderId="22" xfId="4" applyFont="1" applyBorder="1" applyAlignment="1" applyProtection="1">
      <alignment horizontal="center"/>
      <protection locked="0"/>
    </xf>
    <xf numFmtId="0" fontId="2" fillId="0" borderId="37" xfId="4" applyFont="1" applyBorder="1" applyAlignment="1" applyProtection="1">
      <alignment horizontal="center"/>
      <protection locked="0"/>
    </xf>
    <xf numFmtId="0" fontId="2" fillId="0" borderId="21" xfId="4" applyFont="1" applyBorder="1" applyAlignment="1" applyProtection="1">
      <alignment horizontal="center"/>
      <protection locked="0"/>
    </xf>
    <xf numFmtId="0" fontId="8" fillId="0" borderId="10" xfId="4" applyFont="1" applyBorder="1" applyAlignment="1">
      <alignment vertical="center"/>
    </xf>
    <xf numFmtId="0" fontId="2" fillId="0" borderId="61" xfId="4" applyFont="1" applyBorder="1"/>
    <xf numFmtId="0" fontId="8" fillId="0" borderId="33" xfId="4" applyFont="1" applyBorder="1" applyAlignment="1">
      <alignment horizontal="center"/>
    </xf>
    <xf numFmtId="0" fontId="8" fillId="0" borderId="22" xfId="4" applyFont="1" applyBorder="1" applyAlignment="1">
      <alignment horizontal="center"/>
    </xf>
    <xf numFmtId="0" fontId="8" fillId="0" borderId="37" xfId="4" applyFont="1" applyBorder="1" applyAlignment="1">
      <alignment horizontal="center"/>
    </xf>
    <xf numFmtId="0" fontId="2" fillId="8" borderId="39" xfId="0" applyFont="1" applyFill="1" applyBorder="1"/>
    <xf numFmtId="3" fontId="0" fillId="0" borderId="37" xfId="0" applyNumberFormat="1" applyBorder="1"/>
    <xf numFmtId="167" fontId="2" fillId="0" borderId="35" xfId="4" applyNumberFormat="1" applyFont="1" applyBorder="1" applyAlignment="1">
      <alignment horizontal="center"/>
    </xf>
    <xf numFmtId="167" fontId="5" fillId="0" borderId="36" xfId="4" applyNumberFormat="1" applyFont="1" applyBorder="1" applyAlignment="1">
      <alignment horizontal="center"/>
    </xf>
    <xf numFmtId="167" fontId="2" fillId="0" borderId="67" xfId="4" applyNumberFormat="1" applyFont="1" applyBorder="1" applyAlignment="1">
      <alignment horizontal="center"/>
    </xf>
    <xf numFmtId="0" fontId="2" fillId="0" borderId="41" xfId="4" applyFont="1" applyBorder="1" applyAlignment="1" applyProtection="1">
      <alignment horizontal="center"/>
      <protection locked="0"/>
    </xf>
    <xf numFmtId="0" fontId="2" fillId="0" borderId="36" xfId="4" applyFont="1" applyBorder="1" applyAlignment="1" applyProtection="1">
      <alignment horizontal="center"/>
      <protection locked="0"/>
    </xf>
    <xf numFmtId="0" fontId="2" fillId="0" borderId="38" xfId="4" applyFont="1" applyBorder="1" applyAlignment="1" applyProtection="1">
      <alignment horizontal="center"/>
      <protection locked="0"/>
    </xf>
    <xf numFmtId="3" fontId="2" fillId="0" borderId="36" xfId="0" applyNumberFormat="1" applyFont="1" applyBorder="1" applyAlignment="1" applyProtection="1">
      <alignment horizontal="center" vertical="center" shrinkToFit="1"/>
      <protection locked="0"/>
    </xf>
    <xf numFmtId="38" fontId="5" fillId="0" borderId="0" xfId="4" applyNumberFormat="1" applyFont="1"/>
    <xf numFmtId="0" fontId="2" fillId="0" borderId="38" xfId="4" applyFont="1" applyBorder="1" applyAlignment="1">
      <alignment horizontal="center"/>
    </xf>
    <xf numFmtId="0" fontId="2" fillId="0" borderId="21" xfId="4" applyFont="1" applyBorder="1" applyAlignment="1">
      <alignment horizontal="center"/>
    </xf>
    <xf numFmtId="0" fontId="2" fillId="0" borderId="35" xfId="4" applyFont="1" applyBorder="1" applyAlignment="1">
      <alignment horizontal="center"/>
    </xf>
    <xf numFmtId="0" fontId="2" fillId="0" borderId="41" xfId="4" applyFont="1" applyBorder="1" applyAlignment="1">
      <alignment horizontal="center"/>
    </xf>
    <xf numFmtId="167" fontId="5" fillId="0" borderId="0" xfId="4" applyNumberFormat="1" applyFont="1"/>
    <xf numFmtId="0" fontId="2" fillId="0" borderId="0" xfId="4" applyFont="1" applyAlignment="1">
      <alignment horizontal="center"/>
    </xf>
    <xf numFmtId="0" fontId="2" fillId="0" borderId="2" xfId="4" applyFont="1" applyBorder="1"/>
    <xf numFmtId="0" fontId="2" fillId="0" borderId="2" xfId="4" quotePrefix="1" applyFont="1" applyBorder="1" applyAlignment="1">
      <alignment horizontal="left"/>
    </xf>
    <xf numFmtId="3" fontId="5" fillId="0" borderId="36" xfId="4" applyNumberFormat="1" applyFont="1" applyBorder="1" applyAlignment="1">
      <alignment horizontal="center"/>
    </xf>
    <xf numFmtId="164" fontId="5" fillId="0" borderId="36" xfId="4" applyNumberFormat="1" applyFont="1" applyBorder="1" applyAlignment="1">
      <alignment horizontal="center"/>
    </xf>
    <xf numFmtId="38" fontId="5" fillId="0" borderId="36" xfId="4" applyNumberFormat="1" applyFont="1" applyBorder="1" applyAlignment="1">
      <alignment horizontal="center"/>
    </xf>
    <xf numFmtId="165" fontId="5" fillId="0" borderId="36" xfId="4" applyNumberFormat="1" applyFont="1" applyBorder="1" applyAlignment="1">
      <alignment horizontal="center"/>
    </xf>
    <xf numFmtId="0" fontId="2" fillId="0" borderId="45" xfId="4" applyFont="1" applyBorder="1"/>
    <xf numFmtId="165" fontId="5" fillId="0" borderId="38" xfId="4" applyNumberFormat="1" applyFont="1" applyBorder="1" applyAlignment="1">
      <alignment horizontal="center"/>
    </xf>
    <xf numFmtId="0" fontId="5" fillId="0" borderId="35" xfId="4" applyFont="1" applyBorder="1" applyAlignment="1">
      <alignment horizontal="center"/>
    </xf>
    <xf numFmtId="0" fontId="5" fillId="0" borderId="38" xfId="4" applyFont="1" applyBorder="1" applyAlignment="1">
      <alignment horizontal="center"/>
    </xf>
    <xf numFmtId="1" fontId="5" fillId="0" borderId="35" xfId="4" applyNumberFormat="1" applyFont="1" applyBorder="1" applyAlignment="1">
      <alignment horizontal="center"/>
    </xf>
    <xf numFmtId="1" fontId="2" fillId="0" borderId="41" xfId="4" applyNumberFormat="1" applyFont="1" applyBorder="1" applyAlignment="1">
      <alignment horizontal="center"/>
    </xf>
    <xf numFmtId="1" fontId="5" fillId="0" borderId="36" xfId="4" applyNumberFormat="1" applyFont="1" applyBorder="1" applyAlignment="1">
      <alignment horizontal="center"/>
    </xf>
    <xf numFmtId="1" fontId="2" fillId="0" borderId="36" xfId="4" applyNumberFormat="1" applyFont="1" applyBorder="1" applyAlignment="1">
      <alignment horizontal="center"/>
    </xf>
    <xf numFmtId="1" fontId="2" fillId="0" borderId="38" xfId="4" applyNumberFormat="1" applyFont="1" applyBorder="1" applyAlignment="1">
      <alignment horizontal="center"/>
    </xf>
    <xf numFmtId="1" fontId="5" fillId="0" borderId="38" xfId="4" applyNumberFormat="1" applyFont="1" applyBorder="1" applyAlignment="1">
      <alignment horizontal="center"/>
    </xf>
    <xf numFmtId="164" fontId="5" fillId="0" borderId="35" xfId="4" applyNumberFormat="1" applyFont="1" applyBorder="1" applyAlignment="1">
      <alignment horizontal="center"/>
    </xf>
    <xf numFmtId="164" fontId="2" fillId="0" borderId="11" xfId="4" applyNumberFormat="1" applyFont="1" applyBorder="1" applyAlignment="1">
      <alignment horizontal="center"/>
    </xf>
    <xf numFmtId="0" fontId="2" fillId="0" borderId="11" xfId="4" applyFont="1" applyBorder="1" applyAlignment="1">
      <alignment horizontal="center"/>
    </xf>
    <xf numFmtId="0" fontId="2" fillId="0" borderId="51" xfId="4" applyFont="1" applyBorder="1" applyAlignment="1">
      <alignment horizontal="center"/>
    </xf>
    <xf numFmtId="0" fontId="5" fillId="0" borderId="51" xfId="4" applyFont="1" applyBorder="1" applyAlignment="1">
      <alignment horizontal="center"/>
    </xf>
    <xf numFmtId="0" fontId="5" fillId="0" borderId="66" xfId="4" applyFont="1" applyBorder="1" applyAlignment="1">
      <alignment horizontal="center"/>
    </xf>
    <xf numFmtId="1" fontId="2" fillId="0" borderId="33" xfId="4" applyNumberFormat="1" applyFont="1" applyBorder="1" applyAlignment="1">
      <alignment horizontal="center"/>
    </xf>
    <xf numFmtId="1" fontId="2" fillId="0" borderId="6" xfId="4" applyNumberFormat="1" applyFont="1" applyBorder="1" applyAlignment="1">
      <alignment horizontal="center"/>
    </xf>
    <xf numFmtId="16" fontId="2" fillId="0" borderId="35" xfId="4" applyNumberFormat="1" applyFont="1" applyBorder="1" applyAlignment="1">
      <alignment horizontal="center"/>
    </xf>
    <xf numFmtId="16" fontId="2" fillId="0" borderId="36" xfId="4" applyNumberFormat="1" applyFont="1" applyBorder="1" applyAlignment="1">
      <alignment horizontal="center"/>
    </xf>
    <xf numFmtId="0" fontId="17" fillId="0" borderId="60" xfId="4" applyFont="1" applyBorder="1"/>
    <xf numFmtId="164" fontId="2" fillId="0" borderId="35" xfId="4" applyNumberFormat="1" applyFont="1" applyBorder="1" applyAlignment="1">
      <alignment horizontal="center"/>
    </xf>
    <xf numFmtId="164" fontId="2" fillId="0" borderId="36" xfId="4" applyNumberFormat="1" applyFont="1" applyBorder="1" applyAlignment="1">
      <alignment horizontal="center"/>
    </xf>
    <xf numFmtId="0" fontId="2" fillId="0" borderId="66" xfId="4" applyFont="1" applyBorder="1" applyAlignment="1">
      <alignment horizontal="center"/>
    </xf>
    <xf numFmtId="1" fontId="2" fillId="0" borderId="51" xfId="4" applyNumberFormat="1" applyFont="1" applyBorder="1" applyAlignment="1">
      <alignment horizontal="center"/>
    </xf>
    <xf numFmtId="169" fontId="2" fillId="0" borderId="35" xfId="4" applyNumberFormat="1" applyFont="1" applyBorder="1" applyAlignment="1" applyProtection="1">
      <alignment horizontal="center"/>
      <protection locked="0"/>
    </xf>
    <xf numFmtId="169" fontId="2" fillId="0" borderId="36" xfId="4" applyNumberFormat="1" applyFont="1" applyBorder="1" applyAlignment="1" applyProtection="1">
      <alignment horizontal="center"/>
      <protection locked="0"/>
    </xf>
    <xf numFmtId="1" fontId="2" fillId="0" borderId="36" xfId="6" applyNumberFormat="1" applyFont="1" applyBorder="1" applyAlignment="1" applyProtection="1">
      <alignment horizontal="center" shrinkToFit="1"/>
      <protection locked="0"/>
    </xf>
    <xf numFmtId="0" fontId="2" fillId="0" borderId="36" xfId="6" applyNumberFormat="1" applyFont="1" applyBorder="1" applyAlignment="1" applyProtection="1">
      <alignment horizontal="center"/>
      <protection locked="0"/>
    </xf>
    <xf numFmtId="164" fontId="2" fillId="0" borderId="21" xfId="4" applyNumberFormat="1" applyFont="1" applyBorder="1" applyAlignment="1" applyProtection="1">
      <alignment horizontal="center"/>
      <protection locked="0"/>
    </xf>
    <xf numFmtId="0" fontId="2" fillId="0" borderId="4" xfId="4" applyFont="1" applyBorder="1" applyAlignment="1" applyProtection="1">
      <alignment horizontal="center"/>
      <protection locked="0"/>
    </xf>
    <xf numFmtId="165" fontId="2" fillId="0" borderId="41" xfId="4" applyNumberFormat="1" applyFont="1" applyBorder="1" applyAlignment="1">
      <alignment horizontal="center"/>
    </xf>
    <xf numFmtId="165" fontId="2" fillId="0" borderId="22" xfId="4" applyNumberFormat="1" applyFont="1" applyBorder="1" applyAlignment="1">
      <alignment horizontal="center"/>
    </xf>
    <xf numFmtId="3" fontId="2" fillId="0" borderId="36" xfId="4" applyNumberFormat="1" applyFont="1" applyBorder="1" applyAlignment="1" applyProtection="1">
      <alignment horizontal="center"/>
      <protection locked="0"/>
    </xf>
    <xf numFmtId="165" fontId="2" fillId="0" borderId="22" xfId="4" applyNumberFormat="1" applyFont="1" applyBorder="1" applyAlignment="1" applyProtection="1">
      <alignment horizontal="center"/>
      <protection locked="0"/>
    </xf>
    <xf numFmtId="0" fontId="2" fillId="0" borderId="35" xfId="4" applyFont="1" applyBorder="1" applyAlignment="1" applyProtection="1">
      <alignment horizontal="center"/>
      <protection locked="0"/>
    </xf>
    <xf numFmtId="0" fontId="2" fillId="0" borderId="11" xfId="4" applyFont="1" applyBorder="1" applyAlignment="1" applyProtection="1">
      <alignment horizontal="center"/>
      <protection locked="0"/>
    </xf>
    <xf numFmtId="3" fontId="2" fillId="0" borderId="35" xfId="4" applyNumberFormat="1" applyFont="1" applyBorder="1" applyAlignment="1" applyProtection="1">
      <alignment horizontal="center"/>
      <protection locked="0"/>
    </xf>
    <xf numFmtId="0" fontId="2" fillId="11" borderId="36" xfId="4" applyFont="1" applyFill="1" applyBorder="1" applyAlignment="1" applyProtection="1">
      <alignment horizontal="center"/>
      <protection locked="0"/>
    </xf>
    <xf numFmtId="0" fontId="19" fillId="4" borderId="0" xfId="0" applyFont="1" applyFill="1"/>
    <xf numFmtId="0" fontId="2" fillId="0" borderId="0" xfId="4" applyFont="1"/>
    <xf numFmtId="167" fontId="5" fillId="0" borderId="17" xfId="4" applyNumberFormat="1" applyFont="1" applyBorder="1" applyAlignment="1">
      <alignment horizontal="center"/>
    </xf>
    <xf numFmtId="0" fontId="5" fillId="0" borderId="12" xfId="4" applyFont="1" applyBorder="1" applyAlignment="1">
      <alignment horizontal="center"/>
    </xf>
    <xf numFmtId="0" fontId="5" fillId="0" borderId="17" xfId="4" applyFont="1" applyBorder="1" applyAlignment="1">
      <alignment horizontal="center"/>
    </xf>
    <xf numFmtId="0" fontId="5" fillId="0" borderId="28" xfId="4" applyFont="1" applyBorder="1" applyAlignment="1">
      <alignment horizontal="center"/>
    </xf>
    <xf numFmtId="0" fontId="5" fillId="0" borderId="42" xfId="4" applyFont="1" applyBorder="1" applyAlignment="1">
      <alignment horizontal="center"/>
    </xf>
    <xf numFmtId="0" fontId="2" fillId="0" borderId="36" xfId="6" applyNumberFormat="1" applyFont="1" applyBorder="1" applyAlignment="1" applyProtection="1">
      <alignment horizontal="center"/>
    </xf>
    <xf numFmtId="164" fontId="5" fillId="0" borderId="0" xfId="4" applyNumberFormat="1" applyFont="1"/>
    <xf numFmtId="164" fontId="5" fillId="0" borderId="0" xfId="4" applyNumberFormat="1" applyFont="1" applyAlignment="1">
      <alignment horizontal="center"/>
    </xf>
    <xf numFmtId="0" fontId="8" fillId="0" borderId="0" xfId="4" applyFont="1" applyAlignment="1">
      <alignment vertical="center"/>
    </xf>
    <xf numFmtId="1" fontId="5" fillId="0" borderId="0" xfId="4" applyNumberFormat="1" applyFont="1" applyAlignment="1">
      <alignment horizontal="center"/>
    </xf>
    <xf numFmtId="167" fontId="5" fillId="0" borderId="0" xfId="4" applyNumberFormat="1" applyFont="1" applyAlignment="1">
      <alignment horizontal="center"/>
    </xf>
    <xf numFmtId="168" fontId="5" fillId="0" borderId="0" xfId="4" applyNumberFormat="1" applyFont="1"/>
    <xf numFmtId="3" fontId="5" fillId="0" borderId="0" xfId="4" applyNumberFormat="1" applyFont="1"/>
    <xf numFmtId="0" fontId="2" fillId="0" borderId="36" xfId="4" applyFont="1" applyBorder="1" applyAlignment="1" applyProtection="1">
      <alignment horizontal="center" wrapText="1"/>
      <protection locked="0"/>
    </xf>
    <xf numFmtId="0" fontId="2" fillId="0" borderId="15" xfId="4" applyFont="1" applyBorder="1" applyAlignment="1">
      <alignment vertical="center"/>
    </xf>
    <xf numFmtId="17" fontId="2" fillId="0" borderId="65" xfId="4" applyNumberFormat="1" applyFont="1" applyBorder="1" applyAlignment="1">
      <alignment horizontal="centerContinuous"/>
    </xf>
    <xf numFmtId="17" fontId="2" fillId="0" borderId="2" xfId="4" applyNumberFormat="1" applyFont="1" applyBorder="1" applyAlignment="1">
      <alignment horizontal="centerContinuous"/>
    </xf>
    <xf numFmtId="0" fontId="2" fillId="0" borderId="41" xfId="4" applyFont="1" applyBorder="1" applyAlignment="1" applyProtection="1">
      <alignment horizontal="center"/>
      <protection locked="0"/>
    </xf>
    <xf numFmtId="0" fontId="2" fillId="0" borderId="36" xfId="4" applyFont="1" applyBorder="1" applyAlignment="1" applyProtection="1">
      <alignment horizontal="center"/>
      <protection locked="0"/>
    </xf>
    <xf numFmtId="1" fontId="2" fillId="0" borderId="36" xfId="6" applyNumberFormat="1" applyFont="1" applyBorder="1" applyAlignment="1" applyProtection="1">
      <alignment horizontal="center" shrinkToFit="1"/>
      <protection locked="0"/>
    </xf>
    <xf numFmtId="0" fontId="2" fillId="0" borderId="36" xfId="6" applyNumberFormat="1" applyFont="1" applyBorder="1" applyAlignment="1" applyProtection="1">
      <alignment horizontal="center"/>
      <protection locked="0"/>
    </xf>
    <xf numFmtId="0" fontId="2" fillId="0" borderId="36" xfId="4" applyFont="1" applyBorder="1" applyAlignment="1" applyProtection="1">
      <alignment horizontal="center" wrapText="1"/>
      <protection locked="0"/>
    </xf>
    <xf numFmtId="0" fontId="2" fillId="0" borderId="38" xfId="4" quotePrefix="1" applyFont="1" applyBorder="1" applyAlignment="1" applyProtection="1">
      <alignment horizontal="center"/>
      <protection locked="0"/>
    </xf>
    <xf numFmtId="3" fontId="2" fillId="0" borderId="41" xfId="4" applyNumberFormat="1" applyFont="1" applyBorder="1" applyAlignment="1" applyProtection="1">
      <alignment horizontal="center"/>
      <protection locked="0"/>
    </xf>
    <xf numFmtId="0" fontId="2" fillId="0" borderId="32" xfId="4" applyFont="1" applyBorder="1" applyAlignment="1" applyProtection="1">
      <alignment horizontal="center"/>
      <protection locked="0"/>
    </xf>
    <xf numFmtId="0" fontId="8" fillId="4" borderId="29" xfId="0" applyFont="1" applyFill="1" applyBorder="1" applyAlignment="1">
      <alignment horizontal="center"/>
    </xf>
    <xf numFmtId="0" fontId="8" fillId="4" borderId="49" xfId="0" applyFont="1" applyFill="1" applyBorder="1" applyAlignment="1">
      <alignment horizontal="center"/>
    </xf>
    <xf numFmtId="0" fontId="2" fillId="0" borderId="2" xfId="7" applyBorder="1" applyAlignment="1">
      <alignment horizontal="center" textRotation="90" shrinkToFit="1"/>
    </xf>
    <xf numFmtId="0" fontId="2" fillId="0" borderId="4" xfId="7" applyBorder="1" applyAlignment="1">
      <alignment horizontal="center" textRotation="90" shrinkToFit="1"/>
    </xf>
    <xf numFmtId="0" fontId="2" fillId="0" borderId="6" xfId="7" applyBorder="1" applyAlignment="1">
      <alignment horizontal="center" textRotation="90" shrinkToFit="1"/>
    </xf>
    <xf numFmtId="0" fontId="2" fillId="0" borderId="2" xfId="7" applyBorder="1" applyAlignment="1">
      <alignment horizontal="center" vertical="center" textRotation="90"/>
    </xf>
    <xf numFmtId="0" fontId="2" fillId="0" borderId="4" xfId="7" applyBorder="1" applyAlignment="1">
      <alignment horizontal="center" vertical="center" textRotation="90"/>
    </xf>
    <xf numFmtId="0" fontId="2" fillId="0" borderId="6" xfId="7" applyBorder="1" applyAlignment="1">
      <alignment horizontal="center" vertical="center" textRotation="90"/>
    </xf>
    <xf numFmtId="0" fontId="2" fillId="0" borderId="2" xfId="7" applyBorder="1" applyAlignment="1">
      <alignment horizontal="center" vertical="center" textRotation="90" shrinkToFit="1"/>
    </xf>
    <xf numFmtId="0" fontId="2" fillId="0" borderId="4" xfId="7" applyBorder="1" applyAlignment="1">
      <alignment horizontal="center" vertical="center" textRotation="90" shrinkToFit="1"/>
    </xf>
    <xf numFmtId="0" fontId="2" fillId="0" borderId="6" xfId="7" applyBorder="1" applyAlignment="1">
      <alignment horizontal="center" vertical="center" textRotation="90" shrinkToFit="1"/>
    </xf>
    <xf numFmtId="0" fontId="2" fillId="0" borderId="54" xfId="7" applyBorder="1" applyAlignment="1">
      <alignment horizontal="center" textRotation="90" shrinkToFit="1"/>
    </xf>
    <xf numFmtId="0" fontId="2" fillId="0" borderId="11" xfId="7" applyBorder="1" applyAlignment="1">
      <alignment horizontal="center" textRotation="90" shrinkToFit="1"/>
    </xf>
    <xf numFmtId="0" fontId="2" fillId="0" borderId="27" xfId="7" applyBorder="1" applyAlignment="1">
      <alignment horizontal="center" textRotation="90" shrinkToFit="1"/>
    </xf>
    <xf numFmtId="0" fontId="2" fillId="0" borderId="54" xfId="7" applyBorder="1" applyAlignment="1">
      <alignment horizontal="center" vertical="center" textRotation="90"/>
    </xf>
    <xf numFmtId="0" fontId="2" fillId="0" borderId="11" xfId="7" applyBorder="1" applyAlignment="1">
      <alignment horizontal="center" vertical="center" textRotation="90"/>
    </xf>
    <xf numFmtId="0" fontId="2" fillId="0" borderId="27" xfId="7" applyBorder="1" applyAlignment="1">
      <alignment horizontal="center" vertical="center" textRotation="90"/>
    </xf>
    <xf numFmtId="0" fontId="8" fillId="0" borderId="5" xfId="4" applyFont="1" applyBorder="1" applyAlignment="1">
      <alignment horizontal="center" vertical="center" textRotation="90"/>
    </xf>
    <xf numFmtId="0" fontId="2" fillId="8" borderId="39" xfId="0" applyFont="1" applyFill="1" applyBorder="1" applyAlignment="1">
      <alignment horizontal="left"/>
    </xf>
    <xf numFmtId="0" fontId="0" fillId="8" borderId="39" xfId="0" applyFill="1" applyBorder="1" applyAlignment="1">
      <alignment horizontal="left"/>
    </xf>
    <xf numFmtId="0" fontId="8" fillId="8" borderId="39" xfId="0" applyFont="1" applyFill="1" applyBorder="1" applyAlignment="1">
      <alignment horizontal="center"/>
    </xf>
    <xf numFmtId="0" fontId="0" fillId="0" borderId="54" xfId="0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  <xf numFmtId="0" fontId="0" fillId="0" borderId="47" xfId="0" applyBorder="1" applyAlignment="1">
      <alignment horizontal="center" vertical="center" textRotation="90"/>
    </xf>
    <xf numFmtId="0" fontId="0" fillId="0" borderId="27" xfId="0" applyBorder="1" applyAlignment="1">
      <alignment horizontal="center" vertical="center" textRotation="90"/>
    </xf>
    <xf numFmtId="0" fontId="0" fillId="0" borderId="4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5" xfId="0" applyBorder="1" applyAlignment="1">
      <alignment horizontal="center"/>
    </xf>
    <xf numFmtId="0" fontId="11" fillId="0" borderId="0" xfId="0" applyFont="1" applyAlignment="1">
      <alignment horizontal="center"/>
    </xf>
  </cellXfs>
  <cellStyles count="10">
    <cellStyle name="Grey" xfId="1"/>
    <cellStyle name="Input [yellow]" xfId="2"/>
    <cellStyle name="Normal" xfId="0" builtinId="0"/>
    <cellStyle name="Normal - Style1" xfId="3"/>
    <cellStyle name="Normal 2" xfId="7"/>
    <cellStyle name="Normal 3" xfId="8"/>
    <cellStyle name="Normal_F-7.115 rev 02" xfId="4"/>
    <cellStyle name="Percent [2]" xfId="5"/>
    <cellStyle name="Percent [2] 2" xfId="9"/>
    <cellStyle name="Separador de milhares [0]_F-7.115 rev 02" xfId="6"/>
  </cellStyles>
  <dxfs count="120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ont>
        <b/>
        <i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Pareto de Falhas de V/A - Montagem UM-4</a:t>
            </a:r>
          </a:p>
          <a:p>
            <a:pPr>
              <a:defRPr lang="ja-JP"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pt-BR"/>
              <a:t>Mês: </a:t>
            </a:r>
          </a:p>
        </c:rich>
      </c:tx>
      <c:layout>
        <c:manualLayout>
          <c:xMode val="edge"/>
          <c:yMode val="edge"/>
          <c:x val="0.26640926640926643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637065637065631E-2"/>
          <c:y val="0.16143497757847533"/>
          <c:w val="0.8716216216216216"/>
          <c:h val="0.49177877428998507"/>
        </c:manualLayout>
      </c:layout>
      <c:barChart>
        <c:barDir val="col"/>
        <c:grouping val="clustered"/>
        <c:varyColors val="0"/>
        <c:ser>
          <c:idx val="2"/>
          <c:order val="0"/>
          <c:tx>
            <c:v>Falhas</c:v>
          </c:tx>
          <c:spPr>
            <a:gradFill>
              <a:gsLst>
                <a:gs pos="0">
                  <a:srgbClr val="002060"/>
                </a:gs>
                <a:gs pos="50000">
                  <a:schemeClr val="accent1">
                    <a:lumMod val="60000"/>
                    <a:lumOff val="40000"/>
                  </a:schemeClr>
                </a:gs>
                <a:gs pos="100000">
                  <a:srgbClr val="002060"/>
                </a:gs>
              </a:gsLst>
              <a:lin ang="10800000" scaled="0"/>
            </a:gradFill>
            <a:ln>
              <a:solidFill>
                <a:schemeClr val="tx1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do Gráfico Total'!$D$12:$D$31</c:f>
              <c:strCache>
                <c:ptCount val="20"/>
                <c:pt idx="0">
                  <c:v>Papel Deslocado</c:v>
                </c:pt>
                <c:pt idx="1">
                  <c:v>Carvão Quebrado V</c:v>
                </c:pt>
                <c:pt idx="2">
                  <c:v>Tubo descascado</c:v>
                </c:pt>
                <c:pt idx="3">
                  <c:v>Outros - Amperagem</c:v>
                </c:pt>
                <c:pt idx="4">
                  <c:v>Causa Desconhecida - Amperagem</c:v>
                </c:pt>
                <c:pt idx="5">
                  <c:v>PVC Comprido</c:v>
                </c:pt>
                <c:pt idx="6">
                  <c:v>Bottom Plate Amassado</c:v>
                </c:pt>
                <c:pt idx="7">
                  <c:v>Mistura seca</c:v>
                </c:pt>
                <c:pt idx="8">
                  <c:v>Contem estranho</c:v>
                </c:pt>
                <c:pt idx="9">
                  <c:v>Tubo de Zinco Sujo</c:v>
                </c:pt>
                <c:pt idx="10">
                  <c:v>Carvão Frouxo</c:v>
                </c:pt>
                <c:pt idx="11">
                  <c:v>Metade do Carvão</c:v>
                </c:pt>
                <c:pt idx="12">
                  <c:v>Carvão Quebrado A</c:v>
                </c:pt>
                <c:pt idx="13">
                  <c:v>Emenda de Papel</c:v>
                </c:pt>
                <c:pt idx="14">
                  <c:v>Bobina Rachada</c:v>
                </c:pt>
                <c:pt idx="15">
                  <c:v>Bobina Baixa A</c:v>
                </c:pt>
                <c:pt idx="16">
                  <c:v>Pelota de Manganês</c:v>
                </c:pt>
                <c:pt idx="17">
                  <c:v>Pedra de Cl de Amônia</c:v>
                </c:pt>
                <c:pt idx="18">
                  <c:v>Pedra de Negro</c:v>
                </c:pt>
                <c:pt idx="19">
                  <c:v>Papel Separdor Duplo</c:v>
                </c:pt>
              </c:strCache>
            </c:strRef>
          </c:cat>
          <c:val>
            <c:numRef>
              <c:f>'Dados do Gráfico Total'!$F$12:$F$31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73-41E3-B2F9-DFDA6809CA7E}"/>
            </c:ext>
          </c:extLst>
        </c:ser>
        <c:ser>
          <c:idx val="1"/>
          <c:order val="1"/>
          <c:tx>
            <c:v>Problemas</c:v>
          </c:tx>
          <c:spPr>
            <a:gradFill rotWithShape="0">
              <a:gsLst>
                <a:gs pos="0">
                  <a:srgbClr val="FF0000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rgbClr val="FF0000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045-4E22-9ACD-5B7952C6A3F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045-4E22-9ACD-5B7952C6A3F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045-4E22-9ACD-5B7952C6A3F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045-4E22-9ACD-5B7952C6A3F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045-4E22-9ACD-5B7952C6A3F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045-4E22-9ACD-5B7952C6A3F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045-4E22-9ACD-5B7952C6A3F7}"/>
              </c:ext>
            </c:extLst>
          </c:dPt>
          <c:dLbls>
            <c:delete val="1"/>
          </c:dLbls>
          <c:cat>
            <c:strRef>
              <c:f>'Dados do Gráfico Total'!$D$12:$D$31</c:f>
              <c:strCache>
                <c:ptCount val="20"/>
                <c:pt idx="0">
                  <c:v>Papel Deslocado</c:v>
                </c:pt>
                <c:pt idx="1">
                  <c:v>Carvão Quebrado V</c:v>
                </c:pt>
                <c:pt idx="2">
                  <c:v>Tubo descascado</c:v>
                </c:pt>
                <c:pt idx="3">
                  <c:v>Outros - Amperagem</c:v>
                </c:pt>
                <c:pt idx="4">
                  <c:v>Causa Desconhecida - Amperagem</c:v>
                </c:pt>
                <c:pt idx="5">
                  <c:v>PVC Comprido</c:v>
                </c:pt>
                <c:pt idx="6">
                  <c:v>Bottom Plate Amassado</c:v>
                </c:pt>
                <c:pt idx="7">
                  <c:v>Mistura seca</c:v>
                </c:pt>
                <c:pt idx="8">
                  <c:v>Contem estranho</c:v>
                </c:pt>
                <c:pt idx="9">
                  <c:v>Tubo de Zinco Sujo</c:v>
                </c:pt>
                <c:pt idx="10">
                  <c:v>Carvão Frouxo</c:v>
                </c:pt>
                <c:pt idx="11">
                  <c:v>Metade do Carvão</c:v>
                </c:pt>
                <c:pt idx="12">
                  <c:v>Carvão Quebrado A</c:v>
                </c:pt>
                <c:pt idx="13">
                  <c:v>Emenda de Papel</c:v>
                </c:pt>
                <c:pt idx="14">
                  <c:v>Bobina Rachada</c:v>
                </c:pt>
                <c:pt idx="15">
                  <c:v>Bobina Baixa A</c:v>
                </c:pt>
                <c:pt idx="16">
                  <c:v>Pelota de Manganês</c:v>
                </c:pt>
                <c:pt idx="17">
                  <c:v>Pedra de Cl de Amônia</c:v>
                </c:pt>
                <c:pt idx="18">
                  <c:v>Pedra de Negro</c:v>
                </c:pt>
                <c:pt idx="19">
                  <c:v>Papel Separdor Duplo</c:v>
                </c:pt>
              </c:strCache>
            </c:strRef>
          </c:cat>
          <c:val>
            <c:numRef>
              <c:f>'Dados do Gráfico Total'!$I$12:$I$31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045-4E22-9ACD-5B7952C6A3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100"/>
        <c:axId val="420886904"/>
        <c:axId val="551369176"/>
      </c:barChart>
      <c:lineChart>
        <c:grouping val="standard"/>
        <c:varyColors val="0"/>
        <c:ser>
          <c:idx val="0"/>
          <c:order val="2"/>
          <c:tx>
            <c:v>Acumulado</c:v>
          </c:tx>
          <c:spPr>
            <a:ln w="25400">
              <a:solidFill>
                <a:srgbClr val="7030A0"/>
              </a:solidFill>
              <a:prstDash val="solid"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rgbClr val="7030A0"/>
                    </a:solidFill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do Gráfico Total'!$D$12:$D$31</c:f>
              <c:strCache>
                <c:ptCount val="20"/>
                <c:pt idx="0">
                  <c:v>Papel Deslocado</c:v>
                </c:pt>
                <c:pt idx="1">
                  <c:v>Carvão Quebrado V</c:v>
                </c:pt>
                <c:pt idx="2">
                  <c:v>Tubo descascado</c:v>
                </c:pt>
                <c:pt idx="3">
                  <c:v>Outros - Amperagem</c:v>
                </c:pt>
                <c:pt idx="4">
                  <c:v>Causa Desconhecida - Amperagem</c:v>
                </c:pt>
                <c:pt idx="5">
                  <c:v>PVC Comprido</c:v>
                </c:pt>
                <c:pt idx="6">
                  <c:v>Bottom Plate Amassado</c:v>
                </c:pt>
                <c:pt idx="7">
                  <c:v>Mistura seca</c:v>
                </c:pt>
                <c:pt idx="8">
                  <c:v>Contem estranho</c:v>
                </c:pt>
                <c:pt idx="9">
                  <c:v>Tubo de Zinco Sujo</c:v>
                </c:pt>
                <c:pt idx="10">
                  <c:v>Carvão Frouxo</c:v>
                </c:pt>
                <c:pt idx="11">
                  <c:v>Metade do Carvão</c:v>
                </c:pt>
                <c:pt idx="12">
                  <c:v>Carvão Quebrado A</c:v>
                </c:pt>
                <c:pt idx="13">
                  <c:v>Emenda de Papel</c:v>
                </c:pt>
                <c:pt idx="14">
                  <c:v>Bobina Rachada</c:v>
                </c:pt>
                <c:pt idx="15">
                  <c:v>Bobina Baixa A</c:v>
                </c:pt>
                <c:pt idx="16">
                  <c:v>Pelota de Manganês</c:v>
                </c:pt>
                <c:pt idx="17">
                  <c:v>Pedra de Cl de Amônia</c:v>
                </c:pt>
                <c:pt idx="18">
                  <c:v>Pedra de Negro</c:v>
                </c:pt>
                <c:pt idx="19">
                  <c:v>Papel Separdor Duplo</c:v>
                </c:pt>
              </c:strCache>
            </c:strRef>
          </c:cat>
          <c:val>
            <c:numRef>
              <c:f>'Dados do Gráfico Total'!$H$12:$H$31</c:f>
              <c:numCache>
                <c:formatCode>0</c:formatCode>
                <c:ptCount val="20"/>
                <c:pt idx="0">
                  <c:v>70</c:v>
                </c:pt>
                <c:pt idx="1">
                  <c:v>90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045-4E22-9ACD-5B7952C6A3F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51369560"/>
        <c:axId val="551369944"/>
      </c:lineChart>
      <c:catAx>
        <c:axId val="420886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Tipo de Defeito</a:t>
                </a:r>
              </a:p>
            </c:rich>
          </c:tx>
          <c:layout>
            <c:manualLayout>
              <c:xMode val="edge"/>
              <c:yMode val="edge"/>
              <c:x val="0.45270270270270269"/>
              <c:y val="0.965620328849028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ja-JP"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13691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51369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Frequência (ppm)</a:t>
                </a:r>
              </a:p>
            </c:rich>
          </c:tx>
          <c:layout>
            <c:manualLayout>
              <c:xMode val="edge"/>
              <c:yMode val="edge"/>
              <c:x val="1.1583011583011582E-2"/>
              <c:y val="0.319880418535127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420886904"/>
        <c:crosses val="autoZero"/>
        <c:crossBetween val="between"/>
        <c:majorUnit val="40"/>
      </c:valAx>
      <c:catAx>
        <c:axId val="551369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1369944"/>
        <c:crosses val="autoZero"/>
        <c:auto val="0"/>
        <c:lblAlgn val="ctr"/>
        <c:lblOffset val="100"/>
        <c:noMultiLvlLbl val="0"/>
      </c:catAx>
      <c:valAx>
        <c:axId val="5513699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lang="ja-JP"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pt-BR"/>
                  <a:t>Acumulado (%)</a:t>
                </a:r>
              </a:p>
            </c:rich>
          </c:tx>
          <c:layout>
            <c:manualLayout>
              <c:xMode val="edge"/>
              <c:yMode val="edge"/>
              <c:x val="0.96911196911196906"/>
              <c:y val="0.3333333333333333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55136956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737451737451734"/>
          <c:y val="0.41853512705530643"/>
          <c:w val="8.3768942105377317E-2"/>
          <c:h val="8.3173086654656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/>
    <c:pageMargins b="0.78740157480314965" l="0.51181102362204722" r="0.51181102362204722" t="0.78740157480314965" header="0.31496062992125984" footer="0.31496062992125984"/>
    <c:pageSetup orientation="landscape"/>
  </c:printSettings>
  <c:userShapes r:id="rId1"/>
</c:chartSpace>
</file>

<file path=xl/ctrlProps/ctrlProp1.xml><?xml version="1.0" encoding="utf-8"?>
<formControlPr xmlns="http://schemas.microsoft.com/office/spreadsheetml/2009/9/main" objectType="Radio" checked="Checked" firstButton="1" fmlaLink="$B$22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Drop" dropStyle="combo" dx="22" fmlaLink="$B$23" fmlaRange="$C$23:$C$25" noThreeD="1" sel="2" val="0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76200</xdr:rowOff>
    </xdr:from>
    <xdr:to>
      <xdr:col>11</xdr:col>
      <xdr:colOff>0</xdr:colOff>
      <xdr:row>3</xdr:row>
      <xdr:rowOff>95250</xdr:rowOff>
    </xdr:to>
    <xdr:sp macro="" textlink="">
      <xdr:nvSpPr>
        <xdr:cNvPr id="3078" name="Text Box 6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 txBox="1">
          <a:spLocks noChangeArrowheads="1"/>
        </xdr:cNvSpPr>
      </xdr:nvSpPr>
      <xdr:spPr bwMode="auto">
        <a:xfrm>
          <a:off x="0" y="238125"/>
          <a:ext cx="6705600" cy="342900"/>
        </a:xfrm>
        <a:prstGeom prst="rect">
          <a:avLst/>
        </a:prstGeom>
        <a:gradFill rotWithShape="0">
          <a:gsLst>
            <a:gs pos="0">
              <a:srgbClr val="0000FF">
                <a:gamma/>
                <a:shade val="46275"/>
                <a:invGamma/>
              </a:srgbClr>
            </a:gs>
            <a:gs pos="50000">
              <a:srgbClr val="0000FF"/>
            </a:gs>
            <a:gs pos="100000">
              <a:srgbClr val="0000FF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pt-BR" sz="1000" b="1" i="1" u="none" strike="noStrike" baseline="0">
              <a:solidFill>
                <a:srgbClr val="FFFFFF"/>
              </a:solidFill>
              <a:latin typeface="Arial"/>
              <a:cs typeface="Arial"/>
            </a:rPr>
            <a:t>REGISTRO DE PRODUÇÃO E FALHAS DE VOLTAGEM E AMPERAGEM </a:t>
          </a:r>
        </a:p>
        <a:p>
          <a:pPr algn="l" rtl="0">
            <a:defRPr sz="1000"/>
          </a:pPr>
          <a:r>
            <a:rPr lang="pt-BR" sz="1000" b="1" i="1" u="none" strike="noStrike" baseline="0">
              <a:solidFill>
                <a:srgbClr val="FFFFFF"/>
              </a:solidFill>
              <a:latin typeface="Arial"/>
              <a:cs typeface="Arial"/>
            </a:rPr>
            <a:t> MONTAGEM - UM-1</a:t>
          </a:r>
        </a:p>
      </xdr:txBody>
    </xdr:sp>
    <xdr:clientData/>
  </xdr:twoCellAnchor>
  <xdr:twoCellAnchor>
    <xdr:from>
      <xdr:col>2</xdr:col>
      <xdr:colOff>9525</xdr:colOff>
      <xdr:row>8</xdr:row>
      <xdr:rowOff>0</xdr:rowOff>
    </xdr:from>
    <xdr:to>
      <xdr:col>6</xdr:col>
      <xdr:colOff>561975</xdr:colOff>
      <xdr:row>9</xdr:row>
      <xdr:rowOff>0</xdr:rowOff>
    </xdr:to>
    <xdr:sp macro="[0]!dtnDadosdeFalhas" textlink="">
      <xdr:nvSpPr>
        <xdr:cNvPr id="3098" name="Rectangle 9"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>
          <a:spLocks noChangeArrowheads="1"/>
        </xdr:cNvSpPr>
      </xdr:nvSpPr>
      <xdr:spPr bwMode="auto">
        <a:xfrm>
          <a:off x="1228725" y="1390650"/>
          <a:ext cx="29908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10</xdr:row>
      <xdr:rowOff>0</xdr:rowOff>
    </xdr:from>
    <xdr:to>
      <xdr:col>6</xdr:col>
      <xdr:colOff>133350</xdr:colOff>
      <xdr:row>11</xdr:row>
      <xdr:rowOff>0</xdr:rowOff>
    </xdr:to>
    <xdr:sp macro="" textlink="">
      <xdr:nvSpPr>
        <xdr:cNvPr id="3099" name="Rectangle 10">
          <a:extLs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>
          <a:spLocks noChangeArrowheads="1"/>
        </xdr:cNvSpPr>
      </xdr:nvSpPr>
      <xdr:spPr bwMode="auto">
        <a:xfrm>
          <a:off x="1228725" y="1714500"/>
          <a:ext cx="256222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3175</xdr:colOff>
      <xdr:row>9</xdr:row>
      <xdr:rowOff>152400</xdr:rowOff>
    </xdr:from>
    <xdr:to>
      <xdr:col>5</xdr:col>
      <xdr:colOff>517525</xdr:colOff>
      <xdr:row>13</xdr:row>
      <xdr:rowOff>15875</xdr:rowOff>
    </xdr:to>
    <xdr:sp macro="[0]!mcrGraficoPareto" textlink="">
      <xdr:nvSpPr>
        <xdr:cNvPr id="3100" name="Rectangle 12">
          <a:extLs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>
          <a:spLocks noChangeArrowheads="1"/>
        </xdr:cNvSpPr>
      </xdr:nvSpPr>
      <xdr:spPr bwMode="auto">
        <a:xfrm>
          <a:off x="1222375" y="1727200"/>
          <a:ext cx="2343150" cy="193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7</xdr:row>
          <xdr:rowOff>38100</xdr:rowOff>
        </xdr:from>
        <xdr:to>
          <xdr:col>8</xdr:col>
          <xdr:colOff>523875</xdr:colOff>
          <xdr:row>8</xdr:row>
          <xdr:rowOff>85725</xdr:rowOff>
        </xdr:to>
        <xdr:sp macro="" textlink="">
          <xdr:nvSpPr>
            <xdr:cNvPr id="3079" name="Option Button 7" descr="DIA&#10;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142875</xdr:rowOff>
        </xdr:from>
        <xdr:to>
          <xdr:col>8</xdr:col>
          <xdr:colOff>514350</xdr:colOff>
          <xdr:row>10</xdr:row>
          <xdr:rowOff>28575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2º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8</xdr:row>
          <xdr:rowOff>57150</xdr:rowOff>
        </xdr:from>
        <xdr:to>
          <xdr:col>10</xdr:col>
          <xdr:colOff>876300</xdr:colOff>
          <xdr:row>9</xdr:row>
          <xdr:rowOff>152400</xdr:rowOff>
        </xdr:to>
        <xdr:sp macro="" textlink="">
          <xdr:nvSpPr>
            <xdr:cNvPr id="3081" name="Drop Dow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95250</xdr:rowOff>
        </xdr:from>
        <xdr:to>
          <xdr:col>8</xdr:col>
          <xdr:colOff>514350</xdr:colOff>
          <xdr:row>11</xdr:row>
          <xdr:rowOff>142875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3º TURNO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76200</xdr:rowOff>
        </xdr:from>
        <xdr:to>
          <xdr:col>8</xdr:col>
          <xdr:colOff>514350</xdr:colOff>
          <xdr:row>13</xdr:row>
          <xdr:rowOff>123825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DIA + NOITE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0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324609" name="Button 1" hidden="1">
              <a:extLst>
                <a:ext uri="{63B3BB69-23CF-44E3-9099-C40C66FF867C}">
                  <a14:compatExt spid="_x0000_s324609"/>
                </a:ext>
                <a:ext uri="{FF2B5EF4-FFF2-40B4-BE49-F238E27FC236}">
                  <a16:creationId xmlns:a16="http://schemas.microsoft.com/office/drawing/2014/main" id="{00000000-0008-0000-0600-000001F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0</xdr:colOff>
      <xdr:row>44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0.34475</cdr:x>
      <cdr:y>0.1055</cdr:y>
    </cdr:from>
    <cdr:to>
      <cdr:x>0.702</cdr:x>
      <cdr:y>0.15175</cdr:y>
    </cdr:to>
    <cdr:sp macro="" textlink="">
      <cdr:nvSpPr>
        <cdr:cNvPr id="3143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01959" y="672270"/>
          <a:ext cx="3525307" cy="2947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pt-BR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Taxa defeituosa total:                ppm </a:t>
          </a:r>
        </a:p>
      </cdr:txBody>
    </cdr:sp>
  </cdr:relSizeAnchor>
  <cdr:relSizeAnchor xmlns:cdr="http://schemas.openxmlformats.org/drawingml/2006/chartDrawing">
    <cdr:from>
      <cdr:x>0.50467</cdr:x>
      <cdr:y>0.09618</cdr:y>
    </cdr:from>
    <cdr:to>
      <cdr:x>0.55592</cdr:x>
      <cdr:y>0.14918</cdr:y>
    </cdr:to>
    <cdr:sp macro="" textlink="'Dados do Gráfico Total'!$E$79">
      <cdr:nvSpPr>
        <cdr:cNvPr id="314375" name="Text Box 7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5859122" y="691833"/>
          <a:ext cx="594998" cy="38122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3574C960-EEFA-4B15-AAD1-2AD729396247}" type="TxLink"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pPr algn="ctr" rtl="0">
              <a:defRPr sz="1000"/>
            </a:pPr>
            <a:t>#DIV/0!</a:t>
          </a:fld>
          <a:endParaRPr lang="pt-BR" sz="1400" b="1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0.02595</cdr:x>
      <cdr:y>0.01582</cdr:y>
    </cdr:from>
    <cdr:to>
      <cdr:x>0.14964</cdr:x>
      <cdr:y>0.13131</cdr:y>
    </cdr:to>
    <cdr:pic macro="[0]!btnMenu"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607C78C-F203-4E10-A98C-F97659D7F18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85750" y="95250"/>
          <a:ext cx="1361905" cy="69523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0.75155</cdr:x>
      <cdr:y>0.02705</cdr:y>
    </cdr:from>
    <cdr:to>
      <cdr:x>0.93655</cdr:x>
      <cdr:y>0.07121</cdr:y>
    </cdr:to>
    <cdr:grpSp>
      <cdr:nvGrpSpPr>
        <cdr:cNvPr id="3" name="Agrupar 2">
          <a:extLst xmlns:a="http://schemas.openxmlformats.org/drawingml/2006/main">
            <a:ext uri="{FF2B5EF4-FFF2-40B4-BE49-F238E27FC236}">
              <a16:creationId xmlns:a16="http://schemas.microsoft.com/office/drawing/2014/main" id="{619F8984-27E8-4AAD-B86D-2E3D956127BA}"/>
            </a:ext>
          </a:extLst>
        </cdr:cNvPr>
        <cdr:cNvGrpSpPr/>
      </cdr:nvGrpSpPr>
      <cdr:grpSpPr>
        <a:xfrm xmlns:a="http://schemas.openxmlformats.org/drawingml/2006/main">
          <a:off x="8704753" y="194784"/>
          <a:ext cx="2142744" cy="317992"/>
          <a:chOff x="9432026" y="239503"/>
          <a:chExt cx="1467988" cy="195673"/>
        </a:xfrm>
      </cdr:grpSpPr>
      <cdr:sp macro="" textlink="'Dados do Gráfico Total'!$E$1">
        <cdr:nvSpPr>
          <cdr:cNvPr id="314372" name="Text Box 4"/>
          <cdr:cNvSpPr txBox="1">
            <a:spLocks xmlns:a="http://schemas.openxmlformats.org/drawingml/2006/main" noChangeArrowheads="1" noTextEdit="1"/>
          </cdr:cNvSpPr>
        </cdr:nvSpPr>
        <cdr:spPr bwMode="auto">
          <a:xfrm xmlns:a="http://schemas.openxmlformats.org/drawingml/2006/main">
            <a:off x="10091107" y="242618"/>
            <a:ext cx="808907" cy="192558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1">
            <a:noFill/>
            <a:miter lim="800000"/>
            <a:headEnd/>
            <a:tailEnd/>
          </a:ln>
          <a:effectLst xmlns:a="http://schemas.openxmlformats.org/drawingml/2006/main"/>
        </cdr:spPr>
        <cdr:txBody>
          <a:bodyPr xmlns:a="http://schemas.openxmlformats.org/drawingml/2006/main" vertOverflow="clip" wrap="square" lIns="27432" tIns="22860" rIns="27432" bIns="22860" anchor="ctr" upright="1"/>
          <a:lstStyle xmlns:a="http://schemas.openxmlformats.org/drawingml/2006/main"/>
          <a:p xmlns:a="http://schemas.openxmlformats.org/drawingml/2006/main">
            <a:pPr algn="ctr" rtl="0">
              <a:defRPr sz="1000"/>
            </a:pPr>
            <a:fld id="{A9C5A4E7-D602-4DAB-9F9A-68123011BC65}" type="TxLink"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pPr algn="ctr" rtl="0">
                <a:defRPr sz="1000"/>
              </a:pPr>
              <a:t>Dia</a:t>
            </a:fld>
            <a:endParaRPr lang="pt-BR" sz="14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cdr:txBody>
      </cdr:sp>
      <cdr:sp macro="" textlink="">
        <cdr:nvSpPr>
          <cdr:cNvPr id="6" name="Text Box 4">
            <a:extLst xmlns:a="http://schemas.openxmlformats.org/drawingml/2006/main">
              <a:ext uri="{FF2B5EF4-FFF2-40B4-BE49-F238E27FC236}">
                <a16:creationId xmlns:a16="http://schemas.microsoft.com/office/drawing/2014/main" id="{50350AE4-BD7E-4E44-B2FC-047FE5E7A96A}"/>
              </a:ext>
            </a:extLst>
          </cdr:cNvPr>
          <cdr:cNvSpPr txBox="1">
            <a:spLocks xmlns:a="http://schemas.openxmlformats.org/drawingml/2006/main" noChangeArrowheads="1" noTextEdit="1"/>
          </cdr:cNvSpPr>
        </cdr:nvSpPr>
        <cdr:spPr bwMode="auto">
          <a:xfrm xmlns:a="http://schemas.openxmlformats.org/drawingml/2006/main">
            <a:off x="9432026" y="239503"/>
            <a:ext cx="808907" cy="192558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1">
            <a:noFill/>
            <a:miter lim="800000"/>
            <a:headEnd/>
            <a:tailEnd/>
          </a:ln>
          <a:effectLst xmlns:a="http://schemas.openxmlformats.org/drawingml/2006/main"/>
        </cdr:spPr>
        <cdr:txBody>
          <a:bodyPr xmlns:a="http://schemas.openxmlformats.org/drawingml/2006/main" wrap="square" lIns="27432" tIns="22860" rIns="27432" bIns="22860" anchor="ctr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Turno:</a:t>
            </a:r>
          </a:p>
        </cdr:txBody>
      </cdr:sp>
    </cdr:grpSp>
  </cdr:relSizeAnchor>
  <cdr:relSizeAnchor xmlns:cdr="http://schemas.openxmlformats.org/drawingml/2006/chartDrawing">
    <cdr:from>
      <cdr:x>0.42105</cdr:x>
      <cdr:y>0.05423</cdr:y>
    </cdr:from>
    <cdr:to>
      <cdr:x>0.50082</cdr:x>
      <cdr:y>0.08598</cdr:y>
    </cdr:to>
    <cdr:sp macro="" textlink="">
      <cdr:nvSpPr>
        <cdr:cNvPr id="4" name="CaixaDeTexto 3">
          <a:extLst xmlns:a="http://schemas.openxmlformats.org/drawingml/2006/main">
            <a:ext uri="{FF2B5EF4-FFF2-40B4-BE49-F238E27FC236}">
              <a16:creationId xmlns:a16="http://schemas.microsoft.com/office/drawing/2014/main" id="{2652EA9E-05EE-46C4-BFFE-C25DB0A2E5EA}"/>
            </a:ext>
          </a:extLst>
        </cdr:cNvPr>
        <cdr:cNvSpPr txBox="1"/>
      </cdr:nvSpPr>
      <cdr:spPr>
        <a:xfrm xmlns:a="http://schemas.openxmlformats.org/drawingml/2006/main">
          <a:off x="4876800" y="390525"/>
          <a:ext cx="923925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0.49178</cdr:x>
      <cdr:y>0.03439</cdr:y>
    </cdr:from>
    <cdr:to>
      <cdr:x>0.60444</cdr:x>
      <cdr:y>0.07275</cdr:y>
    </cdr:to>
    <cdr:sp macro="" textlink="'UM-4 - Dia'!$D$2">
      <cdr:nvSpPr>
        <cdr:cNvPr id="5" name="CaixaDeTexto 4">
          <a:extLst xmlns:a="http://schemas.openxmlformats.org/drawingml/2006/main">
            <a:ext uri="{FF2B5EF4-FFF2-40B4-BE49-F238E27FC236}">
              <a16:creationId xmlns:a16="http://schemas.microsoft.com/office/drawing/2014/main" id="{DE929376-4BDB-4FFF-8216-EAA30C979C91}"/>
            </a:ext>
          </a:extLst>
        </cdr:cNvPr>
        <cdr:cNvSpPr txBox="1"/>
      </cdr:nvSpPr>
      <cdr:spPr>
        <a:xfrm xmlns:a="http://schemas.openxmlformats.org/drawingml/2006/main">
          <a:off x="5695951" y="247650"/>
          <a:ext cx="1304924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07DB7C88-4EDD-46B8-A6B6-0D6A210C43D7}" type="TxLink">
            <a:rPr lang="en-US" sz="1400" b="0" i="0" u="none" strike="noStrike">
              <a:solidFill>
                <a:srgbClr val="000000"/>
              </a:solidFill>
              <a:latin typeface="Arial Black" panose="020B0A04020102020204" pitchFamily="34" charset="0"/>
              <a:cs typeface="Arial"/>
            </a:rPr>
            <a:pPr/>
            <a:t>03 / 2022</a:t>
          </a:fld>
          <a:endParaRPr lang="pt-BR" sz="1400">
            <a:latin typeface="Arial Black" panose="020B0A040201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6:K25"/>
  <sheetViews>
    <sheetView topLeftCell="A5" zoomScaleNormal="100" workbookViewId="0">
      <selection activeCell="K20" sqref="K20"/>
    </sheetView>
  </sheetViews>
  <sheetFormatPr defaultColWidth="9.140625" defaultRowHeight="12.75"/>
  <cols>
    <col min="1" max="10" width="9.140625" style="1"/>
    <col min="11" max="11" width="14.140625" style="1" customWidth="1"/>
    <col min="12" max="16384" width="9.140625" style="1"/>
  </cols>
  <sheetData>
    <row r="6" spans="2:11" ht="13.5" thickBot="1"/>
    <row r="7" spans="2:11" ht="19.5" thickBot="1">
      <c r="C7" s="7" t="s">
        <v>47</v>
      </c>
      <c r="D7" s="8"/>
      <c r="G7" s="2"/>
      <c r="H7" s="247" t="s">
        <v>45</v>
      </c>
      <c r="I7" s="248"/>
      <c r="J7" s="247" t="s">
        <v>250</v>
      </c>
      <c r="K7" s="248"/>
    </row>
    <row r="8" spans="2:11">
      <c r="B8" s="6"/>
      <c r="C8" s="6"/>
      <c r="D8" s="6"/>
      <c r="E8" s="6"/>
      <c r="F8" s="6"/>
      <c r="G8" s="6"/>
      <c r="H8" s="9"/>
      <c r="I8" s="10"/>
      <c r="J8" s="79"/>
      <c r="K8" s="80"/>
    </row>
    <row r="9" spans="2:11">
      <c r="B9" s="3"/>
      <c r="C9" s="3" t="s">
        <v>46</v>
      </c>
      <c r="D9" s="3"/>
      <c r="E9" s="3"/>
      <c r="F9" s="3"/>
      <c r="G9" s="4"/>
      <c r="H9" s="11"/>
      <c r="I9" s="12"/>
      <c r="J9" s="79"/>
      <c r="K9" s="80"/>
    </row>
    <row r="10" spans="2:11">
      <c r="B10" s="3"/>
      <c r="C10" s="3"/>
      <c r="D10" s="3"/>
      <c r="E10" s="3"/>
      <c r="F10" s="3"/>
      <c r="G10" s="4"/>
      <c r="H10" s="11"/>
      <c r="I10" s="12"/>
      <c r="J10" s="79"/>
      <c r="K10" s="80"/>
    </row>
    <row r="11" spans="2:11">
      <c r="B11" s="3"/>
      <c r="C11" s="3" t="s">
        <v>89</v>
      </c>
      <c r="D11" s="3"/>
      <c r="E11" s="3"/>
      <c r="F11" s="3"/>
      <c r="G11" s="4"/>
      <c r="H11" s="11"/>
      <c r="I11" s="12"/>
      <c r="J11" s="79"/>
      <c r="K11" s="80"/>
    </row>
    <row r="12" spans="2:11">
      <c r="B12" s="3"/>
      <c r="C12" s="3"/>
      <c r="D12" s="3"/>
      <c r="E12" s="3"/>
      <c r="F12" s="3"/>
      <c r="G12" s="4"/>
      <c r="H12" s="11"/>
      <c r="I12" s="12"/>
      <c r="J12" s="79"/>
      <c r="K12" s="80"/>
    </row>
    <row r="13" spans="2:11">
      <c r="B13" s="3"/>
      <c r="C13" s="3"/>
      <c r="D13" s="3"/>
      <c r="E13" s="3"/>
      <c r="F13" s="3"/>
      <c r="G13" s="4"/>
      <c r="H13" s="11"/>
      <c r="I13" s="12"/>
      <c r="J13" s="79"/>
      <c r="K13" s="80"/>
    </row>
    <row r="14" spans="2:11" ht="13.5" thickBot="1">
      <c r="B14" s="3"/>
      <c r="C14" s="3"/>
      <c r="D14" s="3"/>
      <c r="E14" s="3"/>
      <c r="F14" s="3"/>
      <c r="G14" s="3"/>
      <c r="H14" s="13"/>
      <c r="I14" s="14"/>
      <c r="J14" s="81"/>
      <c r="K14" s="83"/>
    </row>
    <row r="15" spans="2:11">
      <c r="B15" s="3"/>
      <c r="C15" s="3"/>
      <c r="D15" s="3"/>
      <c r="E15" s="3"/>
      <c r="F15" s="3"/>
      <c r="G15" s="3"/>
    </row>
    <row r="16" spans="2:11" ht="13.5" thickBot="1">
      <c r="B16" s="3"/>
      <c r="C16" s="3"/>
      <c r="D16" s="3"/>
      <c r="E16" s="3"/>
      <c r="F16" s="3"/>
      <c r="G16" s="3"/>
    </row>
    <row r="17" spans="1:10" ht="13.5" thickBot="1">
      <c r="B17" s="5"/>
      <c r="C17" s="84" t="s">
        <v>113</v>
      </c>
      <c r="D17" s="85"/>
      <c r="E17" s="85"/>
      <c r="F17" s="85"/>
      <c r="G17" s="85"/>
      <c r="H17" s="86"/>
      <c r="I17" s="86"/>
      <c r="J17" s="87"/>
    </row>
    <row r="18" spans="1:10">
      <c r="C18" s="79" t="s">
        <v>114</v>
      </c>
      <c r="J18" s="80"/>
    </row>
    <row r="19" spans="1:10">
      <c r="C19" s="79" t="s">
        <v>115</v>
      </c>
      <c r="J19" s="80"/>
    </row>
    <row r="20" spans="1:10" ht="13.5" thickBot="1">
      <c r="C20" s="81" t="s">
        <v>116</v>
      </c>
      <c r="D20" s="82"/>
      <c r="E20" s="82"/>
      <c r="F20" s="82"/>
      <c r="G20" s="82"/>
      <c r="H20" s="82"/>
      <c r="I20" s="82"/>
      <c r="J20" s="83"/>
    </row>
    <row r="22" spans="1:10">
      <c r="A22" s="220"/>
      <c r="B22" s="220">
        <v>1</v>
      </c>
      <c r="C22" s="220"/>
      <c r="D22" s="220"/>
    </row>
    <row r="23" spans="1:10">
      <c r="A23" s="220"/>
      <c r="B23" s="220">
        <v>2</v>
      </c>
      <c r="C23" s="220" t="s">
        <v>251</v>
      </c>
      <c r="D23" s="220"/>
    </row>
    <row r="24" spans="1:10">
      <c r="A24" s="220"/>
      <c r="B24" s="220"/>
      <c r="C24" s="220" t="s">
        <v>252</v>
      </c>
      <c r="D24" s="220"/>
    </row>
    <row r="25" spans="1:10">
      <c r="A25" s="220"/>
      <c r="B25" s="220"/>
      <c r="C25" s="220" t="s">
        <v>265</v>
      </c>
      <c r="D25" s="220"/>
    </row>
  </sheetData>
  <sheetProtection selectLockedCells="1"/>
  <mergeCells count="2">
    <mergeCell ref="H7:I7"/>
    <mergeCell ref="J7:K7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Option Button 7">
              <controlPr locked="0" defaultSize="0" print="0" autoFill="0" autoLine="0" autoPict="0" altText="DIA_x000a_">
                <anchor>
                  <from>
                    <xdr:col>7</xdr:col>
                    <xdr:colOff>142875</xdr:colOff>
                    <xdr:row>7</xdr:row>
                    <xdr:rowOff>38100</xdr:rowOff>
                  </from>
                  <to>
                    <xdr:col>8</xdr:col>
                    <xdr:colOff>523875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Option Button 8">
              <controlPr defaultSize="0" autoFill="0" autoLine="0" autoPict="0">
                <anchor moveWithCells="1">
                  <from>
                    <xdr:col>7</xdr:col>
                    <xdr:colOff>133350</xdr:colOff>
                    <xdr:row>8</xdr:row>
                    <xdr:rowOff>142875</xdr:rowOff>
                  </from>
                  <to>
                    <xdr:col>8</xdr:col>
                    <xdr:colOff>514350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Drop Down 9">
              <controlPr defaultSize="0" autoLine="0" autoPict="0">
                <anchor moveWithCells="1">
                  <from>
                    <xdr:col>9</xdr:col>
                    <xdr:colOff>38100</xdr:colOff>
                    <xdr:row>8</xdr:row>
                    <xdr:rowOff>57150</xdr:rowOff>
                  </from>
                  <to>
                    <xdr:col>10</xdr:col>
                    <xdr:colOff>876300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Option Button 10">
              <controlPr defaultSize="0" autoFill="0" autoLine="0" autoPict="0">
                <anchor moveWithCells="1">
                  <from>
                    <xdr:col>7</xdr:col>
                    <xdr:colOff>133350</xdr:colOff>
                    <xdr:row>10</xdr:row>
                    <xdr:rowOff>95250</xdr:rowOff>
                  </from>
                  <to>
                    <xdr:col>8</xdr:col>
                    <xdr:colOff>514350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Option Button 12">
              <controlPr defaultSize="0" autoFill="0" autoLine="0" autoPict="0">
                <anchor moveWithCells="1">
                  <from>
                    <xdr:col>7</xdr:col>
                    <xdr:colOff>133350</xdr:colOff>
                    <xdr:row>12</xdr:row>
                    <xdr:rowOff>76200</xdr:rowOff>
                  </from>
                  <to>
                    <xdr:col>8</xdr:col>
                    <xdr:colOff>514350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E106"/>
  <sheetViews>
    <sheetView zoomScaleNormal="100" workbookViewId="0">
      <selection activeCell="B2" sqref="B2"/>
    </sheetView>
  </sheetViews>
  <sheetFormatPr defaultColWidth="9.140625" defaultRowHeight="12.75"/>
  <cols>
    <col min="1" max="1" width="3.28515625" style="126" bestFit="1" customWidth="1"/>
    <col min="2" max="2" width="9.140625" style="136"/>
    <col min="3" max="3" width="29.28515625" style="126" bestFit="1" customWidth="1"/>
    <col min="4" max="4" width="39.140625" style="126" bestFit="1" customWidth="1"/>
    <col min="5" max="5" width="38.5703125" style="126" bestFit="1" customWidth="1"/>
    <col min="6" max="16384" width="9.140625" style="126"/>
  </cols>
  <sheetData>
    <row r="1" spans="1:5">
      <c r="B1" s="127"/>
    </row>
    <row r="2" spans="1:5" ht="13.5" thickBot="1">
      <c r="B2" s="127"/>
    </row>
    <row r="3" spans="1:5" ht="13.5" thickBot="1">
      <c r="B3" s="128" t="s">
        <v>100</v>
      </c>
      <c r="C3" s="129" t="s">
        <v>172</v>
      </c>
      <c r="D3" s="130" t="s">
        <v>173</v>
      </c>
      <c r="E3" s="130" t="s">
        <v>265</v>
      </c>
    </row>
    <row r="4" spans="1:5" ht="12.75" customHeight="1">
      <c r="A4" s="252" t="s">
        <v>204</v>
      </c>
      <c r="B4" s="109">
        <v>10</v>
      </c>
      <c r="C4" s="107" t="s">
        <v>189</v>
      </c>
      <c r="D4" s="115" t="s">
        <v>191</v>
      </c>
      <c r="E4" s="115" t="s">
        <v>266</v>
      </c>
    </row>
    <row r="5" spans="1:5">
      <c r="A5" s="253"/>
      <c r="B5" s="72">
        <f>(B4/10+1)*10</f>
        <v>20</v>
      </c>
      <c r="C5" s="106" t="s">
        <v>190</v>
      </c>
      <c r="D5" s="116" t="s">
        <v>0</v>
      </c>
      <c r="E5" s="116" t="s">
        <v>267</v>
      </c>
    </row>
    <row r="6" spans="1:5">
      <c r="A6" s="253"/>
      <c r="B6" s="72">
        <f t="shared" ref="B6:B72" si="0">(B5/10+1)*10</f>
        <v>30</v>
      </c>
      <c r="C6" s="106" t="s">
        <v>1</v>
      </c>
      <c r="D6" s="116" t="s">
        <v>192</v>
      </c>
      <c r="E6" s="116" t="s">
        <v>268</v>
      </c>
    </row>
    <row r="7" spans="1:5">
      <c r="A7" s="253"/>
      <c r="B7" s="72">
        <f t="shared" si="0"/>
        <v>40</v>
      </c>
      <c r="C7" s="124" t="s">
        <v>223</v>
      </c>
      <c r="D7" s="125" t="s">
        <v>53</v>
      </c>
      <c r="E7" s="125" t="s">
        <v>269</v>
      </c>
    </row>
    <row r="8" spans="1:5">
      <c r="A8" s="253"/>
      <c r="B8" s="131">
        <f t="shared" si="0"/>
        <v>50</v>
      </c>
      <c r="C8" s="124" t="s">
        <v>193</v>
      </c>
      <c r="D8" s="125" t="s">
        <v>194</v>
      </c>
      <c r="E8" s="125" t="s">
        <v>270</v>
      </c>
    </row>
    <row r="9" spans="1:5" ht="12.75" customHeight="1">
      <c r="A9" s="253"/>
      <c r="B9" s="72">
        <f t="shared" si="0"/>
        <v>60</v>
      </c>
      <c r="C9" s="132" t="s">
        <v>224</v>
      </c>
      <c r="D9" s="112" t="s">
        <v>209</v>
      </c>
      <c r="E9" s="112" t="s">
        <v>271</v>
      </c>
    </row>
    <row r="10" spans="1:5">
      <c r="A10" s="253"/>
      <c r="B10" s="72">
        <f t="shared" si="0"/>
        <v>70</v>
      </c>
      <c r="C10" s="104" t="s">
        <v>225</v>
      </c>
      <c r="D10" s="112" t="s">
        <v>210</v>
      </c>
      <c r="E10" s="112" t="s">
        <v>272</v>
      </c>
    </row>
    <row r="11" spans="1:5">
      <c r="A11" s="253"/>
      <c r="B11" s="72">
        <f t="shared" si="0"/>
        <v>80</v>
      </c>
      <c r="C11" s="104" t="s">
        <v>203</v>
      </c>
      <c r="D11" s="112" t="s">
        <v>211</v>
      </c>
      <c r="E11" s="112" t="s">
        <v>273</v>
      </c>
    </row>
    <row r="12" spans="1:5">
      <c r="A12" s="253"/>
      <c r="B12" s="72">
        <f t="shared" si="0"/>
        <v>90</v>
      </c>
      <c r="C12" s="104" t="s">
        <v>200</v>
      </c>
      <c r="D12" s="133" t="s">
        <v>226</v>
      </c>
      <c r="E12" s="133" t="s">
        <v>274</v>
      </c>
    </row>
    <row r="13" spans="1:5">
      <c r="A13" s="253"/>
      <c r="B13" s="72">
        <f t="shared" si="0"/>
        <v>100</v>
      </c>
      <c r="C13" s="104" t="s">
        <v>225</v>
      </c>
      <c r="D13" s="112" t="s">
        <v>210</v>
      </c>
      <c r="E13" s="112" t="s">
        <v>272</v>
      </c>
    </row>
    <row r="14" spans="1:5">
      <c r="A14" s="253"/>
      <c r="B14" s="72">
        <f t="shared" si="0"/>
        <v>110</v>
      </c>
      <c r="C14" s="104" t="s">
        <v>203</v>
      </c>
      <c r="D14" s="112" t="s">
        <v>211</v>
      </c>
      <c r="E14" s="112" t="s">
        <v>273</v>
      </c>
    </row>
    <row r="15" spans="1:5">
      <c r="A15" s="253"/>
      <c r="B15" s="72">
        <f t="shared" si="0"/>
        <v>120</v>
      </c>
      <c r="C15" s="104" t="s">
        <v>202</v>
      </c>
      <c r="D15" s="112" t="s">
        <v>212</v>
      </c>
      <c r="E15" s="112" t="s">
        <v>275</v>
      </c>
    </row>
    <row r="16" spans="1:5">
      <c r="A16" s="253"/>
      <c r="B16" s="72">
        <f t="shared" si="0"/>
        <v>130</v>
      </c>
      <c r="C16" s="104" t="s">
        <v>227</v>
      </c>
      <c r="D16" s="112" t="s">
        <v>201</v>
      </c>
      <c r="E16" s="112" t="s">
        <v>276</v>
      </c>
    </row>
    <row r="17" spans="1:5">
      <c r="A17" s="253"/>
      <c r="B17" s="72">
        <f t="shared" si="0"/>
        <v>140</v>
      </c>
      <c r="C17" s="104" t="s">
        <v>203</v>
      </c>
      <c r="D17" s="112" t="s">
        <v>211</v>
      </c>
      <c r="E17" s="112" t="s">
        <v>273</v>
      </c>
    </row>
    <row r="18" spans="1:5">
      <c r="A18" s="253"/>
      <c r="B18" s="72">
        <f t="shared" si="0"/>
        <v>150</v>
      </c>
      <c r="C18" s="104" t="s">
        <v>213</v>
      </c>
      <c r="D18" s="133" t="s">
        <v>228</v>
      </c>
      <c r="E18" s="133" t="s">
        <v>277</v>
      </c>
    </row>
    <row r="19" spans="1:5">
      <c r="A19" s="253"/>
      <c r="B19" s="72">
        <f t="shared" si="0"/>
        <v>160</v>
      </c>
      <c r="C19" s="104" t="s">
        <v>201</v>
      </c>
      <c r="D19" s="112" t="s">
        <v>210</v>
      </c>
      <c r="E19" s="112" t="s">
        <v>272</v>
      </c>
    </row>
    <row r="20" spans="1:5">
      <c r="A20" s="253"/>
      <c r="B20" s="72">
        <f t="shared" si="0"/>
        <v>170</v>
      </c>
      <c r="C20" s="104" t="s">
        <v>211</v>
      </c>
      <c r="D20" s="112" t="s">
        <v>211</v>
      </c>
      <c r="E20" s="112" t="s">
        <v>273</v>
      </c>
    </row>
    <row r="21" spans="1:5">
      <c r="A21" s="253"/>
      <c r="B21" s="72">
        <f t="shared" si="0"/>
        <v>180</v>
      </c>
      <c r="C21" s="132" t="s">
        <v>229</v>
      </c>
      <c r="D21" s="133" t="s">
        <v>230</v>
      </c>
      <c r="E21" s="133" t="s">
        <v>278</v>
      </c>
    </row>
    <row r="22" spans="1:5">
      <c r="A22" s="253"/>
      <c r="B22" s="72">
        <f t="shared" si="0"/>
        <v>190</v>
      </c>
      <c r="C22" s="104" t="s">
        <v>231</v>
      </c>
      <c r="D22" s="112" t="s">
        <v>232</v>
      </c>
      <c r="E22" s="112" t="s">
        <v>279</v>
      </c>
    </row>
    <row r="23" spans="1:5" ht="13.5" thickBot="1">
      <c r="A23" s="254"/>
      <c r="B23" s="111">
        <f t="shared" si="0"/>
        <v>200</v>
      </c>
      <c r="C23" s="105" t="s">
        <v>227</v>
      </c>
      <c r="D23" s="114" t="s">
        <v>210</v>
      </c>
      <c r="E23" s="114" t="s">
        <v>272</v>
      </c>
    </row>
    <row r="24" spans="1:5">
      <c r="A24" s="253" t="s">
        <v>205</v>
      </c>
      <c r="B24" s="156">
        <f t="shared" si="0"/>
        <v>210</v>
      </c>
      <c r="C24" s="107" t="s">
        <v>186</v>
      </c>
      <c r="D24" s="123" t="s">
        <v>195</v>
      </c>
      <c r="E24" s="123" t="s">
        <v>280</v>
      </c>
    </row>
    <row r="25" spans="1:5">
      <c r="A25" s="253"/>
      <c r="B25" s="157">
        <f t="shared" si="0"/>
        <v>220</v>
      </c>
      <c r="C25" s="106" t="s">
        <v>187</v>
      </c>
      <c r="D25" s="116" t="s">
        <v>196</v>
      </c>
      <c r="E25" s="116" t="s">
        <v>281</v>
      </c>
    </row>
    <row r="26" spans="1:5">
      <c r="A26" s="253"/>
      <c r="B26" s="157">
        <f t="shared" si="0"/>
        <v>230</v>
      </c>
      <c r="C26" s="106" t="s">
        <v>177</v>
      </c>
      <c r="D26" s="116" t="s">
        <v>197</v>
      </c>
      <c r="E26" s="116" t="s">
        <v>282</v>
      </c>
    </row>
    <row r="27" spans="1:5">
      <c r="A27" s="253"/>
      <c r="B27" s="157">
        <f t="shared" si="0"/>
        <v>240</v>
      </c>
      <c r="C27" s="106" t="s">
        <v>178</v>
      </c>
      <c r="D27" s="116" t="s">
        <v>198</v>
      </c>
      <c r="E27" s="116" t="s">
        <v>283</v>
      </c>
    </row>
    <row r="28" spans="1:5" ht="13.5" thickBot="1">
      <c r="A28" s="254"/>
      <c r="B28" s="158">
        <f t="shared" si="0"/>
        <v>250</v>
      </c>
      <c r="C28" s="108" t="s">
        <v>179</v>
      </c>
      <c r="D28" s="120" t="s">
        <v>199</v>
      </c>
      <c r="E28" s="120" t="s">
        <v>284</v>
      </c>
    </row>
    <row r="29" spans="1:5">
      <c r="A29" s="253" t="s">
        <v>206</v>
      </c>
      <c r="B29" s="109">
        <f t="shared" si="0"/>
        <v>260</v>
      </c>
      <c r="C29" s="113" t="s">
        <v>120</v>
      </c>
      <c r="D29" s="110" t="s">
        <v>5</v>
      </c>
      <c r="E29" s="110" t="s">
        <v>285</v>
      </c>
    </row>
    <row r="30" spans="1:5">
      <c r="A30" s="253"/>
      <c r="B30" s="72">
        <f t="shared" si="0"/>
        <v>270</v>
      </c>
      <c r="C30" s="104" t="s">
        <v>121</v>
      </c>
      <c r="D30" s="112" t="s">
        <v>41</v>
      </c>
      <c r="E30" s="112" t="s">
        <v>286</v>
      </c>
    </row>
    <row r="31" spans="1:5">
      <c r="A31" s="253"/>
      <c r="B31" s="72">
        <f t="shared" si="0"/>
        <v>280</v>
      </c>
      <c r="C31" s="104" t="s">
        <v>122</v>
      </c>
      <c r="D31" s="112" t="s">
        <v>93</v>
      </c>
      <c r="E31" s="112" t="s">
        <v>287</v>
      </c>
    </row>
    <row r="32" spans="1:5">
      <c r="A32" s="253"/>
      <c r="B32" s="72">
        <f t="shared" si="0"/>
        <v>290</v>
      </c>
      <c r="C32" s="104" t="s">
        <v>123</v>
      </c>
      <c r="D32" s="112" t="s">
        <v>6</v>
      </c>
      <c r="E32" s="112" t="s">
        <v>288</v>
      </c>
    </row>
    <row r="33" spans="1:5">
      <c r="A33" s="253"/>
      <c r="B33" s="72">
        <f t="shared" si="0"/>
        <v>300</v>
      </c>
      <c r="C33" s="104" t="s">
        <v>124</v>
      </c>
      <c r="D33" s="112" t="s">
        <v>7</v>
      </c>
      <c r="E33" s="112" t="s">
        <v>289</v>
      </c>
    </row>
    <row r="34" spans="1:5">
      <c r="A34" s="253"/>
      <c r="B34" s="72">
        <f t="shared" si="0"/>
        <v>310</v>
      </c>
      <c r="C34" s="104" t="s">
        <v>125</v>
      </c>
      <c r="D34" s="112" t="s">
        <v>8</v>
      </c>
      <c r="E34" s="112" t="s">
        <v>290</v>
      </c>
    </row>
    <row r="35" spans="1:5">
      <c r="A35" s="253"/>
      <c r="B35" s="72">
        <f t="shared" si="0"/>
        <v>320</v>
      </c>
      <c r="C35" s="104" t="s">
        <v>126</v>
      </c>
      <c r="D35" s="112" t="s">
        <v>9</v>
      </c>
      <c r="E35" s="112" t="s">
        <v>291</v>
      </c>
    </row>
    <row r="36" spans="1:5">
      <c r="A36" s="253"/>
      <c r="B36" s="72">
        <f t="shared" si="0"/>
        <v>330</v>
      </c>
      <c r="C36" s="104" t="s">
        <v>127</v>
      </c>
      <c r="D36" s="112" t="s">
        <v>10</v>
      </c>
      <c r="E36" s="112" t="s">
        <v>292</v>
      </c>
    </row>
    <row r="37" spans="1:5">
      <c r="A37" s="253"/>
      <c r="B37" s="72">
        <f t="shared" si="0"/>
        <v>340</v>
      </c>
      <c r="C37" s="104" t="s">
        <v>128</v>
      </c>
      <c r="D37" s="112" t="s">
        <v>103</v>
      </c>
      <c r="E37" s="112" t="s">
        <v>293</v>
      </c>
    </row>
    <row r="38" spans="1:5">
      <c r="A38" s="253"/>
      <c r="B38" s="72">
        <f t="shared" si="0"/>
        <v>350</v>
      </c>
      <c r="C38" s="104" t="s">
        <v>129</v>
      </c>
      <c r="D38" s="112" t="s">
        <v>11</v>
      </c>
      <c r="E38" s="112" t="s">
        <v>294</v>
      </c>
    </row>
    <row r="39" spans="1:5">
      <c r="A39" s="253"/>
      <c r="B39" s="72">
        <f t="shared" si="0"/>
        <v>360</v>
      </c>
      <c r="C39" s="104" t="s">
        <v>130</v>
      </c>
      <c r="D39" s="112" t="s">
        <v>74</v>
      </c>
      <c r="E39" s="112" t="s">
        <v>295</v>
      </c>
    </row>
    <row r="40" spans="1:5">
      <c r="A40" s="253"/>
      <c r="B40" s="72">
        <f t="shared" si="0"/>
        <v>370</v>
      </c>
      <c r="C40" s="104" t="s">
        <v>131</v>
      </c>
      <c r="D40" s="112" t="s">
        <v>86</v>
      </c>
      <c r="E40" s="112" t="s">
        <v>296</v>
      </c>
    </row>
    <row r="41" spans="1:5">
      <c r="A41" s="253"/>
      <c r="B41" s="72">
        <f t="shared" si="0"/>
        <v>380</v>
      </c>
      <c r="C41" s="104" t="s">
        <v>132</v>
      </c>
      <c r="D41" s="112" t="s">
        <v>87</v>
      </c>
      <c r="E41" s="112" t="s">
        <v>297</v>
      </c>
    </row>
    <row r="42" spans="1:5">
      <c r="A42" s="253"/>
      <c r="B42" s="72">
        <f t="shared" si="0"/>
        <v>390</v>
      </c>
      <c r="C42" s="104" t="s">
        <v>133</v>
      </c>
      <c r="D42" s="112" t="s">
        <v>73</v>
      </c>
      <c r="E42" s="112" t="s">
        <v>298</v>
      </c>
    </row>
    <row r="43" spans="1:5">
      <c r="A43" s="253"/>
      <c r="B43" s="72">
        <f t="shared" si="0"/>
        <v>400</v>
      </c>
      <c r="C43" s="104" t="s">
        <v>134</v>
      </c>
      <c r="D43" s="112" t="s">
        <v>81</v>
      </c>
      <c r="E43" s="112" t="s">
        <v>299</v>
      </c>
    </row>
    <row r="44" spans="1:5">
      <c r="A44" s="253"/>
      <c r="B44" s="72">
        <f t="shared" si="0"/>
        <v>410</v>
      </c>
      <c r="C44" s="104" t="s">
        <v>135</v>
      </c>
      <c r="D44" s="112" t="s">
        <v>12</v>
      </c>
      <c r="E44" s="112" t="s">
        <v>300</v>
      </c>
    </row>
    <row r="45" spans="1:5">
      <c r="A45" s="253"/>
      <c r="B45" s="72">
        <f t="shared" si="0"/>
        <v>420</v>
      </c>
      <c r="C45" s="104" t="s">
        <v>136</v>
      </c>
      <c r="D45" s="112" t="s">
        <v>75</v>
      </c>
      <c r="E45" s="112" t="s">
        <v>301</v>
      </c>
    </row>
    <row r="46" spans="1:5">
      <c r="A46" s="253"/>
      <c r="B46" s="72">
        <f t="shared" si="0"/>
        <v>430</v>
      </c>
      <c r="C46" s="104" t="s">
        <v>137</v>
      </c>
      <c r="D46" s="112" t="s">
        <v>85</v>
      </c>
      <c r="E46" s="112" t="s">
        <v>302</v>
      </c>
    </row>
    <row r="47" spans="1:5">
      <c r="A47" s="253"/>
      <c r="B47" s="72">
        <f t="shared" si="0"/>
        <v>440</v>
      </c>
      <c r="C47" s="104" t="s">
        <v>138</v>
      </c>
      <c r="D47" s="112" t="s">
        <v>13</v>
      </c>
      <c r="E47" s="112" t="s">
        <v>303</v>
      </c>
    </row>
    <row r="48" spans="1:5">
      <c r="A48" s="253"/>
      <c r="B48" s="72">
        <f t="shared" si="0"/>
        <v>450</v>
      </c>
      <c r="C48" s="104" t="s">
        <v>139</v>
      </c>
      <c r="D48" s="112" t="s">
        <v>14</v>
      </c>
      <c r="E48" s="112" t="s">
        <v>304</v>
      </c>
    </row>
    <row r="49" spans="1:5">
      <c r="A49" s="253"/>
      <c r="B49" s="72">
        <f t="shared" si="0"/>
        <v>460</v>
      </c>
      <c r="C49" s="104" t="s">
        <v>140</v>
      </c>
      <c r="D49" s="112" t="s">
        <v>117</v>
      </c>
      <c r="E49" s="112" t="s">
        <v>305</v>
      </c>
    </row>
    <row r="50" spans="1:5">
      <c r="A50" s="253"/>
      <c r="B50" s="72">
        <f t="shared" si="0"/>
        <v>470</v>
      </c>
      <c r="C50" s="104" t="s">
        <v>141</v>
      </c>
      <c r="D50" s="112" t="s">
        <v>15</v>
      </c>
      <c r="E50" s="112" t="s">
        <v>306</v>
      </c>
    </row>
    <row r="51" spans="1:5">
      <c r="A51" s="253"/>
      <c r="B51" s="72">
        <f t="shared" si="0"/>
        <v>480</v>
      </c>
      <c r="C51" s="104" t="s">
        <v>142</v>
      </c>
      <c r="D51" s="112" t="s">
        <v>16</v>
      </c>
      <c r="E51" s="112" t="s">
        <v>307</v>
      </c>
    </row>
    <row r="52" spans="1:5">
      <c r="A52" s="253"/>
      <c r="B52" s="72">
        <f t="shared" si="0"/>
        <v>490</v>
      </c>
      <c r="C52" s="104" t="s">
        <v>143</v>
      </c>
      <c r="D52" s="112" t="s">
        <v>17</v>
      </c>
      <c r="E52" s="112" t="s">
        <v>308</v>
      </c>
    </row>
    <row r="53" spans="1:5">
      <c r="A53" s="253"/>
      <c r="B53" s="72">
        <f t="shared" si="0"/>
        <v>500</v>
      </c>
      <c r="C53" s="104" t="s">
        <v>183</v>
      </c>
      <c r="D53" s="112" t="s">
        <v>18</v>
      </c>
      <c r="E53" s="112" t="s">
        <v>309</v>
      </c>
    </row>
    <row r="54" spans="1:5">
      <c r="A54" s="253"/>
      <c r="B54" s="72">
        <f t="shared" si="0"/>
        <v>510</v>
      </c>
      <c r="C54" s="104" t="s">
        <v>262</v>
      </c>
      <c r="D54" s="112" t="s">
        <v>263</v>
      </c>
      <c r="E54" s="112" t="s">
        <v>310</v>
      </c>
    </row>
    <row r="55" spans="1:5">
      <c r="A55" s="253"/>
      <c r="B55" s="72">
        <f t="shared" si="0"/>
        <v>520</v>
      </c>
      <c r="C55" s="104" t="s">
        <v>184</v>
      </c>
      <c r="D55" s="112" t="s">
        <v>20</v>
      </c>
      <c r="E55" s="112" t="s">
        <v>311</v>
      </c>
    </row>
    <row r="56" spans="1:5">
      <c r="A56" s="253"/>
      <c r="B56" s="72">
        <f t="shared" si="0"/>
        <v>530</v>
      </c>
      <c r="C56" s="104" t="s">
        <v>185</v>
      </c>
      <c r="D56" s="112" t="s">
        <v>21</v>
      </c>
      <c r="E56" s="112" t="s">
        <v>312</v>
      </c>
    </row>
    <row r="57" spans="1:5">
      <c r="A57" s="253"/>
      <c r="B57" s="72">
        <f t="shared" si="0"/>
        <v>540</v>
      </c>
      <c r="C57" s="104" t="s">
        <v>22</v>
      </c>
      <c r="D57" s="112" t="s">
        <v>22</v>
      </c>
      <c r="E57" s="112" t="s">
        <v>313</v>
      </c>
    </row>
    <row r="58" spans="1:5">
      <c r="A58" s="253"/>
      <c r="B58" s="72">
        <f t="shared" si="0"/>
        <v>550</v>
      </c>
      <c r="C58" s="104" t="s">
        <v>144</v>
      </c>
      <c r="D58" s="112" t="s">
        <v>23</v>
      </c>
      <c r="E58" s="112" t="s">
        <v>314</v>
      </c>
    </row>
    <row r="59" spans="1:5">
      <c r="A59" s="253"/>
      <c r="B59" s="72">
        <f t="shared" si="0"/>
        <v>560</v>
      </c>
      <c r="C59" s="104" t="s">
        <v>145</v>
      </c>
      <c r="D59" s="112" t="s">
        <v>91</v>
      </c>
      <c r="E59" s="112" t="s">
        <v>315</v>
      </c>
    </row>
    <row r="60" spans="1:5">
      <c r="A60" s="253"/>
      <c r="B60" s="72">
        <f t="shared" si="0"/>
        <v>570</v>
      </c>
      <c r="C60" s="104" t="s">
        <v>256</v>
      </c>
      <c r="D60" s="112" t="s">
        <v>257</v>
      </c>
      <c r="E60" s="112" t="s">
        <v>316</v>
      </c>
    </row>
    <row r="61" spans="1:5">
      <c r="A61" s="253"/>
      <c r="B61" s="72">
        <f t="shared" si="0"/>
        <v>580</v>
      </c>
      <c r="C61" s="104" t="s">
        <v>146</v>
      </c>
      <c r="D61" s="112" t="s">
        <v>25</v>
      </c>
      <c r="E61" s="112" t="s">
        <v>317</v>
      </c>
    </row>
    <row r="62" spans="1:5">
      <c r="A62" s="253"/>
      <c r="B62" s="72">
        <f t="shared" si="0"/>
        <v>590</v>
      </c>
      <c r="C62" s="104" t="s">
        <v>147</v>
      </c>
      <c r="D62" s="112" t="s">
        <v>94</v>
      </c>
      <c r="E62" s="112" t="s">
        <v>318</v>
      </c>
    </row>
    <row r="63" spans="1:5">
      <c r="A63" s="253"/>
      <c r="B63" s="72">
        <f t="shared" si="0"/>
        <v>600</v>
      </c>
      <c r="C63" s="104" t="s">
        <v>233</v>
      </c>
      <c r="D63" s="112" t="s">
        <v>234</v>
      </c>
      <c r="E63" s="112" t="s">
        <v>319</v>
      </c>
    </row>
    <row r="64" spans="1:5">
      <c r="A64" s="253"/>
      <c r="B64" s="72">
        <f t="shared" si="0"/>
        <v>610</v>
      </c>
      <c r="C64" s="104" t="s">
        <v>148</v>
      </c>
      <c r="D64" s="112" t="s">
        <v>72</v>
      </c>
      <c r="E64" s="112" t="s">
        <v>320</v>
      </c>
    </row>
    <row r="65" spans="1:5">
      <c r="A65" s="253"/>
      <c r="B65" s="72">
        <f t="shared" si="0"/>
        <v>620</v>
      </c>
      <c r="C65" s="104" t="s">
        <v>149</v>
      </c>
      <c r="D65" s="112" t="s">
        <v>90</v>
      </c>
      <c r="E65" s="112" t="s">
        <v>321</v>
      </c>
    </row>
    <row r="66" spans="1:5">
      <c r="A66" s="253"/>
      <c r="B66" s="72">
        <f t="shared" si="0"/>
        <v>630</v>
      </c>
      <c r="C66" s="104" t="s">
        <v>150</v>
      </c>
      <c r="D66" s="112" t="s">
        <v>108</v>
      </c>
      <c r="E66" s="112" t="s">
        <v>322</v>
      </c>
    </row>
    <row r="67" spans="1:5">
      <c r="A67" s="253"/>
      <c r="B67" s="72">
        <f t="shared" si="0"/>
        <v>640</v>
      </c>
      <c r="C67" s="104" t="s">
        <v>151</v>
      </c>
      <c r="D67" s="112" t="s">
        <v>107</v>
      </c>
      <c r="E67" s="112" t="s">
        <v>323</v>
      </c>
    </row>
    <row r="68" spans="1:5">
      <c r="A68" s="253"/>
      <c r="B68" s="72">
        <f t="shared" si="0"/>
        <v>650</v>
      </c>
      <c r="C68" s="104" t="s">
        <v>152</v>
      </c>
      <c r="D68" s="112" t="s">
        <v>78</v>
      </c>
      <c r="E68" s="112" t="s">
        <v>324</v>
      </c>
    </row>
    <row r="69" spans="1:5">
      <c r="A69" s="253"/>
      <c r="B69" s="72">
        <f t="shared" si="0"/>
        <v>660</v>
      </c>
      <c r="C69" s="104" t="s">
        <v>247</v>
      </c>
      <c r="D69" s="112" t="s">
        <v>246</v>
      </c>
      <c r="E69" s="112" t="s">
        <v>325</v>
      </c>
    </row>
    <row r="70" spans="1:5">
      <c r="A70" s="253"/>
      <c r="B70" s="72">
        <f t="shared" si="0"/>
        <v>670</v>
      </c>
      <c r="C70" s="104" t="s">
        <v>153</v>
      </c>
      <c r="D70" s="112" t="s">
        <v>109</v>
      </c>
      <c r="E70" s="112" t="s">
        <v>326</v>
      </c>
    </row>
    <row r="71" spans="1:5">
      <c r="A71" s="253"/>
      <c r="B71" s="72">
        <f t="shared" si="0"/>
        <v>680</v>
      </c>
      <c r="C71" s="104" t="s">
        <v>154</v>
      </c>
      <c r="D71" s="112" t="s">
        <v>42</v>
      </c>
      <c r="E71" s="112" t="s">
        <v>327</v>
      </c>
    </row>
    <row r="72" spans="1:5">
      <c r="A72" s="253"/>
      <c r="B72" s="72">
        <f t="shared" si="0"/>
        <v>690</v>
      </c>
      <c r="C72" s="104" t="s">
        <v>155</v>
      </c>
      <c r="D72" s="112" t="s">
        <v>49</v>
      </c>
      <c r="E72" s="112" t="s">
        <v>328</v>
      </c>
    </row>
    <row r="73" spans="1:5">
      <c r="A73" s="253"/>
      <c r="B73" s="72">
        <f t="shared" ref="B73:B106" si="1">(B72/10+1)*10</f>
        <v>700</v>
      </c>
      <c r="C73" s="104" t="s">
        <v>156</v>
      </c>
      <c r="D73" s="112" t="s">
        <v>26</v>
      </c>
      <c r="E73" s="112" t="s">
        <v>329</v>
      </c>
    </row>
    <row r="74" spans="1:5">
      <c r="A74" s="253"/>
      <c r="B74" s="72">
        <f t="shared" si="1"/>
        <v>710</v>
      </c>
      <c r="C74" s="104" t="s">
        <v>249</v>
      </c>
      <c r="D74" s="112" t="s">
        <v>248</v>
      </c>
      <c r="E74" s="112" t="s">
        <v>330</v>
      </c>
    </row>
    <row r="75" spans="1:5">
      <c r="A75" s="253"/>
      <c r="B75" s="72">
        <f t="shared" si="1"/>
        <v>720</v>
      </c>
      <c r="C75" s="104" t="s">
        <v>157</v>
      </c>
      <c r="D75" s="112" t="s">
        <v>112</v>
      </c>
      <c r="E75" s="112" t="s">
        <v>331</v>
      </c>
    </row>
    <row r="76" spans="1:5">
      <c r="A76" s="253"/>
      <c r="B76" s="72">
        <f t="shared" si="1"/>
        <v>730</v>
      </c>
      <c r="C76" s="104" t="s">
        <v>158</v>
      </c>
      <c r="D76" s="112" t="s">
        <v>119</v>
      </c>
      <c r="E76" s="112" t="s">
        <v>332</v>
      </c>
    </row>
    <row r="77" spans="1:5">
      <c r="A77" s="253"/>
      <c r="B77" s="72">
        <f t="shared" si="1"/>
        <v>740</v>
      </c>
      <c r="C77" s="104" t="s">
        <v>159</v>
      </c>
      <c r="D77" s="112" t="s">
        <v>76</v>
      </c>
      <c r="E77" s="112" t="s">
        <v>333</v>
      </c>
    </row>
    <row r="78" spans="1:5" ht="13.5" thickBot="1">
      <c r="A78" s="253"/>
      <c r="B78" s="111">
        <f t="shared" si="1"/>
        <v>750</v>
      </c>
      <c r="C78" s="105" t="s">
        <v>160</v>
      </c>
      <c r="D78" s="114" t="s">
        <v>102</v>
      </c>
      <c r="E78" s="114" t="s">
        <v>334</v>
      </c>
    </row>
    <row r="79" spans="1:5">
      <c r="A79" s="252" t="s">
        <v>207</v>
      </c>
      <c r="B79" s="109">
        <f t="shared" si="1"/>
        <v>760</v>
      </c>
      <c r="C79" s="107" t="s">
        <v>188</v>
      </c>
      <c r="D79" s="115" t="s">
        <v>214</v>
      </c>
      <c r="E79" s="115" t="s">
        <v>335</v>
      </c>
    </row>
    <row r="80" spans="1:5">
      <c r="A80" s="253"/>
      <c r="B80" s="72">
        <f t="shared" si="1"/>
        <v>770</v>
      </c>
      <c r="C80" s="119" t="s">
        <v>238</v>
      </c>
      <c r="D80" s="122" t="s">
        <v>237</v>
      </c>
      <c r="E80" s="122" t="s">
        <v>336</v>
      </c>
    </row>
    <row r="81" spans="1:5">
      <c r="A81" s="253"/>
      <c r="B81" s="72">
        <f t="shared" si="1"/>
        <v>780</v>
      </c>
      <c r="C81" s="106" t="s">
        <v>176</v>
      </c>
      <c r="D81" s="116" t="s">
        <v>28</v>
      </c>
      <c r="E81" s="116" t="s">
        <v>337</v>
      </c>
    </row>
    <row r="82" spans="1:5">
      <c r="A82" s="253"/>
      <c r="B82" s="72">
        <f t="shared" si="1"/>
        <v>790</v>
      </c>
      <c r="C82" s="106" t="s">
        <v>174</v>
      </c>
      <c r="D82" s="116" t="s">
        <v>215</v>
      </c>
      <c r="E82" s="116" t="s">
        <v>338</v>
      </c>
    </row>
    <row r="83" spans="1:5" ht="13.5" thickBot="1">
      <c r="A83" s="254"/>
      <c r="B83" s="111">
        <f t="shared" si="1"/>
        <v>800</v>
      </c>
      <c r="C83" s="108" t="s">
        <v>175</v>
      </c>
      <c r="D83" s="117" t="s">
        <v>216</v>
      </c>
      <c r="E83" s="117" t="s">
        <v>339</v>
      </c>
    </row>
    <row r="84" spans="1:5">
      <c r="A84" s="255" t="s">
        <v>205</v>
      </c>
      <c r="B84" s="109">
        <f t="shared" si="1"/>
        <v>810</v>
      </c>
      <c r="C84" s="118" t="s">
        <v>217</v>
      </c>
      <c r="D84" s="121" t="s">
        <v>219</v>
      </c>
      <c r="E84" s="121" t="s">
        <v>340</v>
      </c>
    </row>
    <row r="85" spans="1:5">
      <c r="A85" s="256"/>
      <c r="B85" s="72">
        <f t="shared" si="1"/>
        <v>820</v>
      </c>
      <c r="C85" s="119" t="s">
        <v>218</v>
      </c>
      <c r="D85" s="122" t="s">
        <v>30</v>
      </c>
      <c r="E85" s="122" t="s">
        <v>341</v>
      </c>
    </row>
    <row r="86" spans="1:5" ht="13.5" thickBot="1">
      <c r="A86" s="257"/>
      <c r="B86" s="111">
        <f t="shared" si="1"/>
        <v>830</v>
      </c>
      <c r="C86" s="108" t="s">
        <v>179</v>
      </c>
      <c r="D86" s="117" t="s">
        <v>220</v>
      </c>
      <c r="E86" s="117" t="s">
        <v>342</v>
      </c>
    </row>
    <row r="87" spans="1:5">
      <c r="A87" s="252" t="s">
        <v>29</v>
      </c>
      <c r="B87" s="109">
        <f t="shared" si="1"/>
        <v>840</v>
      </c>
      <c r="C87" s="113" t="s">
        <v>161</v>
      </c>
      <c r="D87" s="110" t="s">
        <v>31</v>
      </c>
      <c r="E87" s="110" t="s">
        <v>343</v>
      </c>
    </row>
    <row r="88" spans="1:5">
      <c r="A88" s="253"/>
      <c r="B88" s="72">
        <f t="shared" si="1"/>
        <v>850</v>
      </c>
      <c r="C88" s="104" t="s">
        <v>162</v>
      </c>
      <c r="D88" s="112" t="s">
        <v>32</v>
      </c>
      <c r="E88" s="112" t="s">
        <v>344</v>
      </c>
    </row>
    <row r="89" spans="1:5">
      <c r="A89" s="253"/>
      <c r="B89" s="72">
        <f t="shared" si="1"/>
        <v>860</v>
      </c>
      <c r="C89" s="134" t="s">
        <v>163</v>
      </c>
      <c r="D89" s="112" t="s">
        <v>33</v>
      </c>
      <c r="E89" s="112" t="s">
        <v>345</v>
      </c>
    </row>
    <row r="90" spans="1:5">
      <c r="A90" s="253"/>
      <c r="B90" s="72">
        <f t="shared" si="1"/>
        <v>870</v>
      </c>
      <c r="C90" s="104" t="s">
        <v>164</v>
      </c>
      <c r="D90" s="112" t="s">
        <v>99</v>
      </c>
      <c r="E90" s="112" t="s">
        <v>346</v>
      </c>
    </row>
    <row r="91" spans="1:5">
      <c r="A91" s="253"/>
      <c r="B91" s="72">
        <f t="shared" si="1"/>
        <v>880</v>
      </c>
      <c r="C91" s="104" t="s">
        <v>260</v>
      </c>
      <c r="D91" s="112" t="s">
        <v>261</v>
      </c>
      <c r="E91" s="112" t="s">
        <v>310</v>
      </c>
    </row>
    <row r="92" spans="1:5">
      <c r="A92" s="253"/>
      <c r="B92" s="72">
        <f t="shared" si="1"/>
        <v>890</v>
      </c>
      <c r="C92" s="104" t="s">
        <v>165</v>
      </c>
      <c r="D92" s="112" t="s">
        <v>34</v>
      </c>
      <c r="E92" s="112" t="s">
        <v>347</v>
      </c>
    </row>
    <row r="93" spans="1:5">
      <c r="A93" s="253"/>
      <c r="B93" s="72">
        <f t="shared" si="1"/>
        <v>900</v>
      </c>
      <c r="C93" s="104" t="s">
        <v>166</v>
      </c>
      <c r="D93" s="112" t="s">
        <v>35</v>
      </c>
      <c r="E93" s="112" t="s">
        <v>348</v>
      </c>
    </row>
    <row r="94" spans="1:5">
      <c r="A94" s="253"/>
      <c r="B94" s="72">
        <f t="shared" si="1"/>
        <v>910</v>
      </c>
      <c r="C94" s="104" t="s">
        <v>258</v>
      </c>
      <c r="D94" s="112" t="s">
        <v>259</v>
      </c>
      <c r="E94" s="112" t="s">
        <v>316</v>
      </c>
    </row>
    <row r="95" spans="1:5">
      <c r="A95" s="253"/>
      <c r="B95" s="72">
        <f t="shared" si="1"/>
        <v>920</v>
      </c>
      <c r="C95" s="104" t="s">
        <v>167</v>
      </c>
      <c r="D95" s="112" t="s">
        <v>36</v>
      </c>
      <c r="E95" s="112" t="s">
        <v>349</v>
      </c>
    </row>
    <row r="96" spans="1:5">
      <c r="A96" s="253"/>
      <c r="B96" s="72">
        <f t="shared" si="1"/>
        <v>930</v>
      </c>
      <c r="C96" s="104" t="s">
        <v>182</v>
      </c>
      <c r="D96" s="112" t="s">
        <v>37</v>
      </c>
      <c r="E96" s="112" t="s">
        <v>350</v>
      </c>
    </row>
    <row r="97" spans="1:5">
      <c r="A97" s="253"/>
      <c r="B97" s="72">
        <f t="shared" si="1"/>
        <v>940</v>
      </c>
      <c r="C97" s="104" t="s">
        <v>168</v>
      </c>
      <c r="D97" s="112" t="s">
        <v>38</v>
      </c>
      <c r="E97" s="112" t="s">
        <v>351</v>
      </c>
    </row>
    <row r="98" spans="1:5">
      <c r="A98" s="253"/>
      <c r="B98" s="72">
        <f t="shared" si="1"/>
        <v>950</v>
      </c>
      <c r="C98" s="104" t="s">
        <v>144</v>
      </c>
      <c r="D98" s="112" t="s">
        <v>23</v>
      </c>
      <c r="E98" s="112" t="s">
        <v>314</v>
      </c>
    </row>
    <row r="99" spans="1:5">
      <c r="A99" s="253"/>
      <c r="B99" s="72">
        <f t="shared" si="1"/>
        <v>960</v>
      </c>
      <c r="C99" s="104" t="s">
        <v>169</v>
      </c>
      <c r="D99" s="112" t="s">
        <v>22</v>
      </c>
      <c r="E99" s="112" t="s">
        <v>313</v>
      </c>
    </row>
    <row r="100" spans="1:5">
      <c r="A100" s="253"/>
      <c r="B100" s="72">
        <f t="shared" si="1"/>
        <v>970</v>
      </c>
      <c r="C100" s="104" t="s">
        <v>170</v>
      </c>
      <c r="D100" s="112" t="s">
        <v>39</v>
      </c>
      <c r="E100" s="112" t="s">
        <v>352</v>
      </c>
    </row>
    <row r="101" spans="1:5">
      <c r="A101" s="253"/>
      <c r="B101" s="72">
        <f t="shared" si="1"/>
        <v>980</v>
      </c>
      <c r="C101" s="104" t="s">
        <v>181</v>
      </c>
      <c r="D101" s="112" t="s">
        <v>40</v>
      </c>
      <c r="E101" s="112" t="s">
        <v>353</v>
      </c>
    </row>
    <row r="102" spans="1:5">
      <c r="A102" s="253"/>
      <c r="B102" s="72">
        <f t="shared" si="1"/>
        <v>990</v>
      </c>
      <c r="C102" s="104" t="s">
        <v>158</v>
      </c>
      <c r="D102" s="112" t="s">
        <v>118</v>
      </c>
      <c r="E102" s="112" t="s">
        <v>354</v>
      </c>
    </row>
    <row r="103" spans="1:5" ht="13.5" thickBot="1">
      <c r="A103" s="254"/>
      <c r="B103" s="111">
        <f t="shared" si="1"/>
        <v>1000</v>
      </c>
      <c r="C103" s="105" t="s">
        <v>171</v>
      </c>
      <c r="D103" s="114" t="s">
        <v>101</v>
      </c>
      <c r="E103" s="114" t="s">
        <v>355</v>
      </c>
    </row>
    <row r="104" spans="1:5">
      <c r="A104" s="249" t="s">
        <v>207</v>
      </c>
      <c r="B104" s="109">
        <f t="shared" si="1"/>
        <v>1010</v>
      </c>
      <c r="C104" s="118" t="s">
        <v>221</v>
      </c>
      <c r="D104" s="115" t="s">
        <v>27</v>
      </c>
      <c r="E104" s="115" t="s">
        <v>356</v>
      </c>
    </row>
    <row r="105" spans="1:5">
      <c r="A105" s="250"/>
      <c r="B105" s="72">
        <f t="shared" si="1"/>
        <v>1020</v>
      </c>
      <c r="C105" s="106" t="s">
        <v>176</v>
      </c>
      <c r="D105" s="116" t="s">
        <v>28</v>
      </c>
      <c r="E105" s="116" t="s">
        <v>337</v>
      </c>
    </row>
    <row r="106" spans="1:5" ht="13.5" thickBot="1">
      <c r="A106" s="251"/>
      <c r="B106" s="111">
        <f t="shared" si="1"/>
        <v>1030</v>
      </c>
      <c r="C106" s="108" t="s">
        <v>180</v>
      </c>
      <c r="D106" s="135" t="s">
        <v>222</v>
      </c>
      <c r="E106" s="135" t="s">
        <v>357</v>
      </c>
    </row>
  </sheetData>
  <sheetProtection algorithmName="SHA-512" hashValue="Kambegy4Lz1sNld3LYwtciPXk2o0hpyqvUiqHLHjMt0uP8JqHK7L1kPJS0QSwBjQIFhSQjv6Pif9NTzNZoADgA==" saltValue="Ba/v50hUXZP4KTV6ZwyA3A==" spinCount="100000" sheet="1" objects="1" scenarios="1" selectLockedCells="1"/>
  <mergeCells count="7">
    <mergeCell ref="A104:A106"/>
    <mergeCell ref="A4:A23"/>
    <mergeCell ref="A24:A28"/>
    <mergeCell ref="A29:A78"/>
    <mergeCell ref="A79:A83"/>
    <mergeCell ref="A84:A86"/>
    <mergeCell ref="A87:A103"/>
  </mergeCells>
  <phoneticPr fontId="18"/>
  <conditionalFormatting sqref="B4:D106">
    <cfRule type="expression" dxfId="119" priority="2">
      <formula>MOD(ROW(),2)=0</formula>
    </cfRule>
  </conditionalFormatting>
  <conditionalFormatting sqref="E4:E106">
    <cfRule type="expression" dxfId="118" priority="1">
      <formula>MOD(ROW(),2)=0</formula>
    </cfRule>
  </conditionalFormatting>
  <pageMargins left="0.98425196850393704" right="0.39370078740157483" top="0.39370078740157483" bottom="0.59055118110236227" header="0.31496062992125984" footer="0.31496062992125984"/>
  <pageSetup paperSize="9" scale="57" orientation="portrait" r:id="rId1"/>
  <headerFooter>
    <oddFooter>&amp;R&amp;8&amp;Z&amp;F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U131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86" sqref="D86"/>
    </sheetView>
  </sheetViews>
  <sheetFormatPr defaultColWidth="10.28515625" defaultRowHeight="12.75"/>
  <cols>
    <col min="1" max="1" width="3.28515625" style="64" bestFit="1" customWidth="1"/>
    <col min="2" max="2" width="5" style="64" bestFit="1" customWidth="1"/>
    <col min="3" max="3" width="35.7109375" style="64" bestFit="1" customWidth="1"/>
    <col min="4" max="5" width="11.7109375" style="64" customWidth="1"/>
    <col min="6" max="7" width="11.7109375" style="65" customWidth="1"/>
    <col min="8" max="9" width="11.7109375" style="64" customWidth="1"/>
    <col min="10" max="10" width="11.7109375" style="65" customWidth="1"/>
    <col min="11" max="43" width="11.7109375" style="64" customWidth="1"/>
    <col min="44" max="44" width="11.7109375" style="65" customWidth="1"/>
    <col min="45" max="45" width="12.42578125" style="65" bestFit="1" customWidth="1"/>
    <col min="46" max="46" width="10.28515625" style="64" customWidth="1"/>
    <col min="47" max="47" width="10" style="64" customWidth="1"/>
    <col min="48" max="16384" width="10.28515625" style="64"/>
  </cols>
  <sheetData>
    <row r="1" spans="1:45" ht="13.5" thickBot="1">
      <c r="C1" s="173" t="str">
        <f>AS2</f>
        <v>Dia</v>
      </c>
      <c r="AS1" s="174" t="s">
        <v>239</v>
      </c>
    </row>
    <row r="2" spans="1:45" ht="13.5" thickBot="1">
      <c r="B2" s="175" t="s">
        <v>208</v>
      </c>
      <c r="C2" s="176" t="s">
        <v>235</v>
      </c>
      <c r="D2" s="237" t="str">
        <f ca="1">MID(CELL("nome.arquivo"),SEARCH(".xl",CELL("nome.arquivo"))-2,2)&amp;" / 20"&amp;MID(CELL("nome.arquivo"),SEARCH(".xl",CELL("nome.arquivo"))-4,2)</f>
        <v>03 / 2022</v>
      </c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7"/>
      <c r="AQ2" s="237"/>
      <c r="AR2" s="237"/>
      <c r="AS2" s="147" t="s">
        <v>236</v>
      </c>
    </row>
    <row r="3" spans="1:45" ht="13.5" thickBot="1">
      <c r="A3" s="261" t="s">
        <v>204</v>
      </c>
      <c r="B3" s="139">
        <v>10</v>
      </c>
      <c r="C3" s="144" t="str">
        <f>VLOOKUP(B3,'Tipos de Defeitos'!B$4:E$106,Menu!$B$23+1,)</f>
        <v>Data da Montagem</v>
      </c>
      <c r="D3" s="206">
        <v>44617</v>
      </c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161" t="s">
        <v>27</v>
      </c>
    </row>
    <row r="4" spans="1:45">
      <c r="A4" s="262"/>
      <c r="B4" s="137">
        <f>(B3/10+1)*10</f>
        <v>20</v>
      </c>
      <c r="C4" s="145" t="str">
        <f>VLOOKUP(B4,'Tipos de Defeitos'!B$4:E$106,Menu!$B$23+1,)</f>
        <v>Data do Acabamento</v>
      </c>
      <c r="D4" s="207">
        <v>44617</v>
      </c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6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162"/>
    </row>
    <row r="5" spans="1:45">
      <c r="A5" s="262"/>
      <c r="B5" s="137">
        <f t="shared" ref="B5:B75" si="0">(B4/10+1)*10</f>
        <v>30</v>
      </c>
      <c r="C5" s="145" t="str">
        <f>VLOOKUP(B5,'Tipos de Defeitos'!B$4:E$106,Menu!$B$23+1,)</f>
        <v>Descanso:</v>
      </c>
      <c r="D5" s="148">
        <f t="shared" ref="D5:E5" si="1">IF(D4="","",D4-D3)</f>
        <v>0</v>
      </c>
      <c r="E5" s="148" t="str">
        <f t="shared" si="1"/>
        <v/>
      </c>
      <c r="F5" s="148" t="str">
        <f t="shared" ref="F5" si="2">IF(F4="","",F4-F3)</f>
        <v/>
      </c>
      <c r="G5" s="148" t="str">
        <f>IF(G4="","",G4-G3)</f>
        <v/>
      </c>
      <c r="H5" s="148" t="str">
        <f t="shared" ref="H5:I5" si="3">IF(H4="","",H4-H3)</f>
        <v/>
      </c>
      <c r="I5" s="148" t="str">
        <f t="shared" si="3"/>
        <v/>
      </c>
      <c r="J5" s="148" t="str">
        <f t="shared" ref="J5:K5" si="4">IF(J4="","",J4-J3)</f>
        <v/>
      </c>
      <c r="K5" s="148" t="str">
        <f t="shared" si="4"/>
        <v/>
      </c>
      <c r="L5" s="148" t="str">
        <f t="shared" ref="L5:R5" si="5">IF(M4="","",M4-M3)</f>
        <v/>
      </c>
      <c r="M5" s="148" t="str">
        <f t="shared" si="5"/>
        <v/>
      </c>
      <c r="N5" s="148" t="str">
        <f t="shared" si="5"/>
        <v/>
      </c>
      <c r="O5" s="148" t="str">
        <f t="shared" si="5"/>
        <v/>
      </c>
      <c r="P5" s="148" t="str">
        <f t="shared" si="5"/>
        <v/>
      </c>
      <c r="Q5" s="148" t="str">
        <f t="shared" si="5"/>
        <v/>
      </c>
      <c r="R5" s="148" t="str">
        <f t="shared" si="5"/>
        <v/>
      </c>
      <c r="S5" s="148" t="str">
        <f t="shared" ref="S5" si="6">IF(T4="","",T4-T3)</f>
        <v/>
      </c>
      <c r="T5" s="148" t="str">
        <f t="shared" ref="T5" si="7">IF(U4="","",U4-U3)</f>
        <v/>
      </c>
      <c r="U5" s="148" t="str">
        <f t="shared" ref="U5" si="8">IF(V4="","",V4-V3)</f>
        <v/>
      </c>
      <c r="V5" s="148" t="str">
        <f t="shared" ref="V5:AR5" si="9">IF(V4="","",V4-V3)</f>
        <v/>
      </c>
      <c r="W5" s="148"/>
      <c r="X5" s="148" t="str">
        <f t="shared" si="9"/>
        <v/>
      </c>
      <c r="Y5" s="148" t="str">
        <f t="shared" si="9"/>
        <v/>
      </c>
      <c r="Z5" s="148" t="str">
        <f t="shared" si="9"/>
        <v/>
      </c>
      <c r="AA5" s="148" t="str">
        <f t="shared" si="9"/>
        <v/>
      </c>
      <c r="AB5" s="148" t="str">
        <f t="shared" si="9"/>
        <v/>
      </c>
      <c r="AC5" s="148" t="str">
        <f t="shared" si="9"/>
        <v/>
      </c>
      <c r="AD5" s="148" t="str">
        <f t="shared" si="9"/>
        <v/>
      </c>
      <c r="AE5" s="148" t="str">
        <f t="shared" si="9"/>
        <v/>
      </c>
      <c r="AF5" s="148" t="str">
        <f t="shared" si="9"/>
        <v/>
      </c>
      <c r="AG5" s="148" t="str">
        <f t="shared" si="9"/>
        <v/>
      </c>
      <c r="AH5" s="148" t="str">
        <f t="shared" si="9"/>
        <v/>
      </c>
      <c r="AI5" s="148" t="str">
        <f t="shared" si="9"/>
        <v/>
      </c>
      <c r="AJ5" s="148" t="str">
        <f t="shared" si="9"/>
        <v/>
      </c>
      <c r="AK5" s="148" t="str">
        <f t="shared" si="9"/>
        <v/>
      </c>
      <c r="AL5" s="148" t="str">
        <f t="shared" si="9"/>
        <v/>
      </c>
      <c r="AM5" s="148" t="str">
        <f t="shared" si="9"/>
        <v/>
      </c>
      <c r="AN5" s="148" t="str">
        <f t="shared" si="9"/>
        <v/>
      </c>
      <c r="AO5" s="148" t="str">
        <f t="shared" si="9"/>
        <v/>
      </c>
      <c r="AP5" s="148" t="str">
        <f t="shared" si="9"/>
        <v/>
      </c>
      <c r="AQ5" s="148" t="str">
        <f t="shared" si="9"/>
        <v/>
      </c>
      <c r="AR5" s="148" t="str">
        <f t="shared" si="9"/>
        <v/>
      </c>
      <c r="AS5" s="162"/>
    </row>
    <row r="6" spans="1:45">
      <c r="A6" s="262"/>
      <c r="B6" s="137">
        <f t="shared" si="0"/>
        <v>40</v>
      </c>
      <c r="C6" s="145" t="str">
        <f>VLOOKUP(B6,'Tipos de Defeitos'!B$4:E$106,Menu!$B$23+1,)</f>
        <v>Modelo</v>
      </c>
      <c r="D6" s="240" t="s">
        <v>54</v>
      </c>
      <c r="E6" s="240"/>
      <c r="F6" s="240"/>
      <c r="G6" s="240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48"/>
    </row>
    <row r="7" spans="1:45">
      <c r="A7" s="262"/>
      <c r="B7" s="137">
        <f t="shared" si="0"/>
        <v>50</v>
      </c>
      <c r="C7" s="145" t="str">
        <f>VLOOKUP(B7,'Tipos de Defeitos'!B$4:E$106,Menu!$B$23+1,)</f>
        <v>Qtd de Produção (pçs)</v>
      </c>
      <c r="D7" s="167"/>
      <c r="E7" s="167"/>
      <c r="F7" s="245"/>
      <c r="G7" s="167"/>
      <c r="H7" s="167"/>
      <c r="I7" s="167"/>
      <c r="J7" s="167"/>
      <c r="K7" s="167"/>
      <c r="L7" s="167"/>
      <c r="M7" s="167"/>
      <c r="N7" s="167"/>
      <c r="O7" s="214"/>
      <c r="P7" s="214"/>
      <c r="Q7" s="214"/>
      <c r="R7" s="214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5"/>
      <c r="AJ7" s="165"/>
      <c r="AK7" s="165"/>
      <c r="AL7" s="165"/>
      <c r="AM7" s="165"/>
      <c r="AN7" s="165"/>
      <c r="AO7" s="165"/>
      <c r="AP7" s="165"/>
      <c r="AQ7" s="165"/>
      <c r="AR7" s="165"/>
      <c r="AS7" s="177">
        <f>SUM(D7:AR7)</f>
        <v>0</v>
      </c>
    </row>
    <row r="8" spans="1:45">
      <c r="A8" s="262"/>
      <c r="B8" s="137">
        <f t="shared" si="0"/>
        <v>60</v>
      </c>
      <c r="C8" s="145" t="str">
        <f>VLOOKUP(B8,'Tipos de Defeitos'!B$4:E$106,Menu!$B$23+1,)</f>
        <v>GME - Fornecedor</v>
      </c>
      <c r="D8" s="239" t="s">
        <v>360</v>
      </c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239"/>
      <c r="X8" s="164"/>
      <c r="Y8" s="164"/>
      <c r="Z8" s="164"/>
      <c r="AA8" s="164"/>
      <c r="AB8" s="164"/>
      <c r="AC8" s="164"/>
      <c r="AD8" s="164"/>
      <c r="AE8" s="164"/>
      <c r="AF8" s="239"/>
      <c r="AG8" s="164"/>
      <c r="AH8" s="164"/>
      <c r="AI8" s="165"/>
      <c r="AJ8" s="165"/>
      <c r="AK8" s="165"/>
      <c r="AL8" s="165"/>
      <c r="AM8" s="165"/>
      <c r="AN8" s="165"/>
      <c r="AO8" s="165"/>
      <c r="AP8" s="165"/>
      <c r="AQ8" s="165"/>
      <c r="AR8" s="165"/>
      <c r="AS8" s="178"/>
    </row>
    <row r="9" spans="1:45">
      <c r="A9" s="262"/>
      <c r="B9" s="137">
        <f t="shared" si="0"/>
        <v>70</v>
      </c>
      <c r="C9" s="236" t="str">
        <f>VLOOKUP(B9,'Tipos de Defeitos'!B$4:E$106,Menu!$B$23+1,)</f>
        <v>Nº Lote</v>
      </c>
      <c r="D9" s="240" t="s">
        <v>361</v>
      </c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40"/>
      <c r="X9" s="235"/>
      <c r="Y9" s="235"/>
      <c r="Z9" s="235"/>
      <c r="AA9" s="235"/>
      <c r="AB9" s="235"/>
      <c r="AC9" s="235"/>
      <c r="AD9" s="165"/>
      <c r="AE9" s="165"/>
      <c r="AF9" s="240"/>
      <c r="AG9" s="165"/>
      <c r="AH9" s="165"/>
      <c r="AI9" s="165"/>
      <c r="AJ9" s="165"/>
      <c r="AK9" s="165"/>
      <c r="AL9" s="165"/>
      <c r="AM9" s="165"/>
      <c r="AN9" s="165"/>
      <c r="AO9" s="165"/>
      <c r="AP9" s="165"/>
      <c r="AQ9" s="165"/>
      <c r="AR9" s="165"/>
      <c r="AS9" s="178"/>
    </row>
    <row r="10" spans="1:45">
      <c r="A10" s="262"/>
      <c r="B10" s="137">
        <f t="shared" si="0"/>
        <v>80</v>
      </c>
      <c r="C10" s="145" t="str">
        <f>VLOOKUP(B10,'Tipos de Defeitos'!B$4:E$106,Menu!$B$23+1,)</f>
        <v>Qtd</v>
      </c>
      <c r="D10" s="240">
        <v>600</v>
      </c>
      <c r="E10" s="240"/>
      <c r="F10" s="240"/>
      <c r="G10" s="240"/>
      <c r="H10" s="240"/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0"/>
      <c r="V10" s="240"/>
      <c r="W10" s="240"/>
      <c r="X10" s="165"/>
      <c r="Y10" s="165"/>
      <c r="Z10" s="165"/>
      <c r="AA10" s="165"/>
      <c r="AB10" s="165"/>
      <c r="AC10" s="165"/>
      <c r="AD10" s="165"/>
      <c r="AE10" s="165"/>
      <c r="AF10" s="240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59"/>
    </row>
    <row r="11" spans="1:45">
      <c r="A11" s="262"/>
      <c r="B11" s="137">
        <f t="shared" si="0"/>
        <v>90</v>
      </c>
      <c r="C11" s="145" t="str">
        <f>VLOOKUP(B11,'Tipos de Defeitos'!B$4:E$106,Menu!$B$23+1,)</f>
        <v>GMT - Fornecedor</v>
      </c>
      <c r="D11" s="240" t="s">
        <v>362</v>
      </c>
      <c r="E11" s="240"/>
      <c r="F11" s="240"/>
      <c r="G11" s="240"/>
      <c r="H11" s="240"/>
      <c r="I11" s="240"/>
      <c r="J11" s="240"/>
      <c r="K11" s="240"/>
      <c r="L11" s="240"/>
      <c r="M11" s="240"/>
      <c r="N11" s="240"/>
      <c r="O11" s="240"/>
      <c r="P11" s="240"/>
      <c r="Q11" s="240"/>
      <c r="R11" s="240"/>
      <c r="S11" s="240"/>
      <c r="T11" s="240"/>
      <c r="U11" s="240"/>
      <c r="V11" s="240"/>
      <c r="W11" s="240"/>
      <c r="X11" s="165"/>
      <c r="Y11" s="165"/>
      <c r="Z11" s="165"/>
      <c r="AA11" s="165"/>
      <c r="AB11" s="165"/>
      <c r="AC11" s="165"/>
      <c r="AD11" s="165"/>
      <c r="AE11" s="165"/>
      <c r="AF11" s="240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59"/>
    </row>
    <row r="12" spans="1:45" ht="25.5">
      <c r="A12" s="262"/>
      <c r="B12" s="137">
        <f t="shared" si="0"/>
        <v>100</v>
      </c>
      <c r="C12" s="145" t="str">
        <f>VLOOKUP(B12,'Tipos de Defeitos'!B$4:E$106,Menu!$B$23+1,)</f>
        <v>Nº Lote</v>
      </c>
      <c r="D12" s="243" t="s">
        <v>363</v>
      </c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35"/>
      <c r="Y12" s="235"/>
      <c r="Z12" s="235"/>
      <c r="AA12" s="235"/>
      <c r="AB12" s="235"/>
      <c r="AC12" s="235"/>
      <c r="AD12" s="165"/>
      <c r="AE12" s="165"/>
      <c r="AF12" s="243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59"/>
    </row>
    <row r="13" spans="1:45">
      <c r="A13" s="262"/>
      <c r="B13" s="137">
        <f t="shared" si="0"/>
        <v>110</v>
      </c>
      <c r="C13" s="145" t="str">
        <f>VLOOKUP(B13,'Tipos de Defeitos'!B$4:E$106,Menu!$B$23+1,)</f>
        <v>Qtd</v>
      </c>
      <c r="D13" s="240">
        <v>40</v>
      </c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0"/>
      <c r="P13" s="240"/>
      <c r="Q13" s="240"/>
      <c r="R13" s="240"/>
      <c r="S13" s="240"/>
      <c r="T13" s="240"/>
      <c r="U13" s="240"/>
      <c r="V13" s="240"/>
      <c r="W13" s="240"/>
      <c r="X13" s="165"/>
      <c r="Y13" s="165"/>
      <c r="Z13" s="165"/>
      <c r="AA13" s="165"/>
      <c r="AB13" s="165"/>
      <c r="AC13" s="165"/>
      <c r="AD13" s="165"/>
      <c r="AE13" s="165"/>
      <c r="AF13" s="240"/>
      <c r="AG13" s="165"/>
      <c r="AH13" s="165"/>
      <c r="AI13" s="165"/>
      <c r="AJ13" s="165"/>
      <c r="AK13" s="165"/>
      <c r="AL13" s="165"/>
      <c r="AM13" s="165"/>
      <c r="AN13" s="165"/>
      <c r="AO13" s="165"/>
      <c r="AP13" s="165"/>
      <c r="AQ13" s="165"/>
      <c r="AR13" s="165"/>
      <c r="AS13" s="59"/>
    </row>
    <row r="14" spans="1:45">
      <c r="A14" s="262"/>
      <c r="B14" s="137">
        <f t="shared" si="0"/>
        <v>120</v>
      </c>
      <c r="C14" s="145" t="str">
        <f>VLOOKUP(B14,'Tipos de Defeitos'!B$4:E$106,Menu!$B$23+1,)</f>
        <v>GCA - Fornecedor</v>
      </c>
      <c r="D14" s="240" t="s">
        <v>364</v>
      </c>
      <c r="E14" s="240"/>
      <c r="F14" s="240"/>
      <c r="G14" s="240"/>
      <c r="H14" s="240"/>
      <c r="I14" s="240"/>
      <c r="J14" s="240"/>
      <c r="K14" s="240"/>
      <c r="L14" s="240"/>
      <c r="M14" s="240"/>
      <c r="N14" s="240"/>
      <c r="O14" s="240"/>
      <c r="P14" s="240"/>
      <c r="Q14" s="240"/>
      <c r="R14" s="240"/>
      <c r="S14" s="240"/>
      <c r="T14" s="240"/>
      <c r="U14" s="240"/>
      <c r="V14" s="240"/>
      <c r="W14" s="240"/>
      <c r="X14" s="165"/>
      <c r="Y14" s="165"/>
      <c r="Z14" s="165"/>
      <c r="AA14" s="165"/>
      <c r="AB14" s="165"/>
      <c r="AC14" s="165"/>
      <c r="AD14" s="165"/>
      <c r="AE14" s="165"/>
      <c r="AF14" s="240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59"/>
    </row>
    <row r="15" spans="1:45">
      <c r="A15" s="262"/>
      <c r="B15" s="137">
        <f t="shared" si="0"/>
        <v>130</v>
      </c>
      <c r="C15" s="145" t="str">
        <f>VLOOKUP(B15,'Tipos de Defeitos'!B$4:E$106,Menu!$B$23+1,)</f>
        <v>Lot.</v>
      </c>
      <c r="D15" s="240">
        <v>21092581</v>
      </c>
      <c r="E15" s="240"/>
      <c r="F15" s="240"/>
      <c r="G15" s="240"/>
      <c r="H15" s="240"/>
      <c r="I15" s="240"/>
      <c r="J15" s="240"/>
      <c r="K15" s="240"/>
      <c r="L15" s="240"/>
      <c r="M15" s="240"/>
      <c r="N15" s="240"/>
      <c r="O15" s="240"/>
      <c r="P15" s="240"/>
      <c r="Q15" s="240"/>
      <c r="R15" s="240"/>
      <c r="S15" s="240"/>
      <c r="T15" s="240"/>
      <c r="U15" s="240"/>
      <c r="V15" s="240"/>
      <c r="W15" s="240"/>
      <c r="X15" s="165"/>
      <c r="Y15" s="165"/>
      <c r="Z15" s="165"/>
      <c r="AA15" s="165"/>
      <c r="AB15" s="165"/>
      <c r="AC15" s="165"/>
      <c r="AD15" s="165"/>
      <c r="AE15" s="165"/>
      <c r="AF15" s="240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59"/>
    </row>
    <row r="16" spans="1:45">
      <c r="A16" s="262"/>
      <c r="B16" s="137">
        <f t="shared" si="0"/>
        <v>140</v>
      </c>
      <c r="C16" s="145" t="str">
        <f>VLOOKUP(B16,'Tipos de Defeitos'!B$4:E$106,Menu!$B$23+1,)</f>
        <v>Qtd</v>
      </c>
      <c r="D16" s="240">
        <v>110</v>
      </c>
      <c r="E16" s="240"/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/>
      <c r="T16" s="240"/>
      <c r="U16" s="240"/>
      <c r="V16" s="240"/>
      <c r="W16" s="240"/>
      <c r="X16" s="165"/>
      <c r="Y16" s="165"/>
      <c r="Z16" s="165"/>
      <c r="AA16" s="165"/>
      <c r="AB16" s="165"/>
      <c r="AC16" s="165"/>
      <c r="AD16" s="165"/>
      <c r="AE16" s="165"/>
      <c r="AF16" s="240"/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  <c r="AQ16" s="165"/>
      <c r="AR16" s="165"/>
      <c r="AS16" s="59"/>
    </row>
    <row r="17" spans="1:47">
      <c r="A17" s="262"/>
      <c r="B17" s="137">
        <f t="shared" si="0"/>
        <v>150</v>
      </c>
      <c r="C17" s="145" t="str">
        <f>VLOOKUP(B17,'Tipos de Defeitos'!B$4:E$106,Menu!$B$23+1,)</f>
        <v>GZO - Fornecedor</v>
      </c>
      <c r="D17" s="240" t="s">
        <v>365</v>
      </c>
      <c r="E17" s="240"/>
      <c r="F17" s="240"/>
      <c r="G17" s="240"/>
      <c r="H17" s="240"/>
      <c r="I17" s="240"/>
      <c r="J17" s="240"/>
      <c r="K17" s="240"/>
      <c r="L17" s="240"/>
      <c r="M17" s="240"/>
      <c r="N17" s="240"/>
      <c r="O17" s="240"/>
      <c r="P17" s="240"/>
      <c r="Q17" s="240"/>
      <c r="R17" s="240"/>
      <c r="S17" s="240"/>
      <c r="T17" s="240"/>
      <c r="U17" s="240"/>
      <c r="V17" s="240"/>
      <c r="W17" s="240"/>
      <c r="X17" s="165"/>
      <c r="Y17" s="165"/>
      <c r="Z17" s="165"/>
      <c r="AA17" s="165"/>
      <c r="AB17" s="165"/>
      <c r="AC17" s="165"/>
      <c r="AD17" s="165"/>
      <c r="AE17" s="165"/>
      <c r="AF17" s="240"/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59"/>
    </row>
    <row r="18" spans="1:47">
      <c r="A18" s="262"/>
      <c r="B18" s="137">
        <f t="shared" si="0"/>
        <v>160</v>
      </c>
      <c r="C18" s="145" t="str">
        <f>VLOOKUP(B18,'Tipos de Defeitos'!B$4:E$106,Menu!$B$23+1,)</f>
        <v>Nº Lote</v>
      </c>
      <c r="D18" s="241">
        <v>2112003754</v>
      </c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41"/>
      <c r="U18" s="241"/>
      <c r="V18" s="241"/>
      <c r="W18" s="241"/>
      <c r="X18" s="208"/>
      <c r="Y18" s="208"/>
      <c r="Z18" s="208"/>
      <c r="AA18" s="208"/>
      <c r="AB18" s="208"/>
      <c r="AC18" s="208"/>
      <c r="AD18" s="208"/>
      <c r="AE18" s="208"/>
      <c r="AF18" s="241"/>
      <c r="AG18" s="208"/>
      <c r="AH18" s="208"/>
      <c r="AI18" s="208"/>
      <c r="AJ18" s="208"/>
      <c r="AK18" s="208"/>
      <c r="AL18" s="208"/>
      <c r="AM18" s="208"/>
      <c r="AN18" s="208"/>
      <c r="AO18" s="208"/>
      <c r="AP18" s="208"/>
      <c r="AQ18" s="208"/>
      <c r="AR18" s="208"/>
      <c r="AS18" s="179"/>
    </row>
    <row r="19" spans="1:47">
      <c r="A19" s="262"/>
      <c r="B19" s="137">
        <f t="shared" si="0"/>
        <v>170</v>
      </c>
      <c r="C19" s="145" t="str">
        <f>VLOOKUP(B19,'Tipos de Defeitos'!B$4:E$106,Menu!$B$23+1,)</f>
        <v>Qtd</v>
      </c>
      <c r="D19" s="242">
        <v>9.1</v>
      </c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42"/>
      <c r="W19" s="242"/>
      <c r="X19" s="209"/>
      <c r="Y19" s="209"/>
      <c r="Z19" s="209"/>
      <c r="AA19" s="209"/>
      <c r="AB19" s="209"/>
      <c r="AC19" s="209"/>
      <c r="AD19" s="209"/>
      <c r="AE19" s="209"/>
      <c r="AF19" s="242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179"/>
    </row>
    <row r="20" spans="1:47">
      <c r="A20" s="262"/>
      <c r="B20" s="137">
        <f t="shared" si="0"/>
        <v>180</v>
      </c>
      <c r="C20" s="145" t="str">
        <f>VLOOKUP(B20,'Tipos de Defeitos'!B$4:E$106,Menu!$B$23+1,)</f>
        <v>Solução nº 125 Qtd</v>
      </c>
      <c r="D20" s="240" t="s">
        <v>366</v>
      </c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W20" s="240"/>
      <c r="X20" s="165"/>
      <c r="Y20" s="165"/>
      <c r="Z20" s="165"/>
      <c r="AA20" s="165"/>
      <c r="AB20" s="165"/>
      <c r="AC20" s="165"/>
      <c r="AD20" s="219"/>
      <c r="AE20" s="219"/>
      <c r="AF20" s="240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59"/>
    </row>
    <row r="21" spans="1:47" ht="12.75" customHeight="1">
      <c r="A21" s="262"/>
      <c r="B21" s="137">
        <f t="shared" si="0"/>
        <v>190</v>
      </c>
      <c r="C21" s="145" t="str">
        <f>VLOOKUP(B21,'Tipos de Defeitos'!B$4:E$106,Menu!$B$23+1,)</f>
        <v>Carvão - Fornecedor</v>
      </c>
      <c r="D21" s="240" t="s">
        <v>367</v>
      </c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165"/>
      <c r="Y21" s="165"/>
      <c r="Z21" s="165"/>
      <c r="AA21" s="165"/>
      <c r="AB21" s="165"/>
      <c r="AC21" s="165"/>
      <c r="AD21" s="165"/>
      <c r="AE21" s="165"/>
      <c r="AF21" s="240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80"/>
    </row>
    <row r="22" spans="1:47" ht="13.5" thickBot="1">
      <c r="A22" s="263"/>
      <c r="B22" s="140">
        <f t="shared" si="0"/>
        <v>200</v>
      </c>
      <c r="C22" s="181" t="str">
        <f>VLOOKUP(B22,'Tipos de Defeitos'!B$4:E$106,Menu!$B$23+1,)</f>
        <v>Nº Lote</v>
      </c>
      <c r="D22" s="244">
        <v>50821</v>
      </c>
      <c r="E22" s="244"/>
      <c r="F22" s="244"/>
      <c r="G22" s="244"/>
      <c r="H22" s="244"/>
      <c r="I22" s="244"/>
      <c r="J22" s="244"/>
      <c r="K22" s="244"/>
      <c r="L22" s="244"/>
      <c r="M22" s="244"/>
      <c r="N22" s="244"/>
      <c r="O22" s="244"/>
      <c r="P22" s="244"/>
      <c r="Q22" s="244"/>
      <c r="R22" s="244"/>
      <c r="S22" s="244"/>
      <c r="T22" s="244"/>
      <c r="U22" s="244"/>
      <c r="V22" s="244"/>
      <c r="W22" s="244"/>
      <c r="X22" s="166"/>
      <c r="Y22" s="166"/>
      <c r="Z22" s="166"/>
      <c r="AA22" s="166"/>
      <c r="AB22" s="166"/>
      <c r="AC22" s="166"/>
      <c r="AD22" s="166"/>
      <c r="AE22" s="166"/>
      <c r="AF22" s="244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82"/>
    </row>
    <row r="23" spans="1:47">
      <c r="A23" s="252" t="s">
        <v>205</v>
      </c>
      <c r="B23" s="139">
        <f t="shared" si="0"/>
        <v>210</v>
      </c>
      <c r="C23" s="141" t="str">
        <f>VLOOKUP(B23,'Tipos de Defeitos'!B$4:E$106,Menu!$B$23+1,)</f>
        <v>Qtd. Retestada (pçs)</v>
      </c>
      <c r="D23" s="216"/>
      <c r="E23" s="216"/>
      <c r="F23" s="149"/>
      <c r="G23" s="149"/>
      <c r="H23" s="149"/>
      <c r="I23" s="149"/>
      <c r="J23" s="216"/>
      <c r="K23" s="149"/>
      <c r="L23" s="149"/>
      <c r="M23" s="149"/>
      <c r="N23" s="149"/>
      <c r="O23" s="218"/>
      <c r="P23" s="218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183">
        <f>SUM(D23:AR23)</f>
        <v>0</v>
      </c>
    </row>
    <row r="24" spans="1:47" ht="13.5" customHeight="1">
      <c r="A24" s="253"/>
      <c r="B24" s="137">
        <f t="shared" si="0"/>
        <v>220</v>
      </c>
      <c r="C24" s="142" t="str">
        <f>VLOOKUP(B24,'Tipos de Defeitos'!B$4:E$106,Menu!$B$23+1,)</f>
        <v>Defeitos (Qty)</v>
      </c>
      <c r="D24" s="246"/>
      <c r="E24" s="246"/>
      <c r="F24" s="150"/>
      <c r="G24" s="217"/>
      <c r="H24" s="217"/>
      <c r="I24" s="150"/>
      <c r="J24" s="217"/>
      <c r="K24" s="150"/>
      <c r="L24" s="150"/>
      <c r="M24" s="150"/>
      <c r="N24" s="150"/>
      <c r="O24" s="245"/>
      <c r="P24" s="245"/>
      <c r="Q24" s="246"/>
      <c r="R24" s="246"/>
      <c r="S24" s="246"/>
      <c r="T24" s="246"/>
      <c r="U24" s="246"/>
      <c r="V24" s="246"/>
      <c r="W24" s="246"/>
      <c r="X24" s="246"/>
      <c r="Y24" s="246"/>
      <c r="Z24" s="246"/>
      <c r="AA24" s="246"/>
      <c r="AB24" s="246"/>
      <c r="AC24" s="246"/>
      <c r="AD24" s="246"/>
      <c r="AE24" s="246"/>
      <c r="AF24" s="246"/>
      <c r="AG24" s="246"/>
      <c r="AH24" s="246"/>
      <c r="AI24" s="246"/>
      <c r="AJ24" s="246"/>
      <c r="AK24" s="246"/>
      <c r="AL24" s="246"/>
      <c r="AM24" s="246"/>
      <c r="AN24" s="246"/>
      <c r="AO24" s="246"/>
      <c r="AP24" s="246"/>
      <c r="AQ24" s="246"/>
      <c r="AR24" s="246"/>
      <c r="AS24" s="88">
        <f>SUM(D24:AR24)</f>
        <v>0</v>
      </c>
      <c r="AT24" s="228"/>
    </row>
    <row r="25" spans="1:47">
      <c r="A25" s="253"/>
      <c r="B25" s="137">
        <f t="shared" si="0"/>
        <v>230</v>
      </c>
      <c r="C25" s="142" t="str">
        <f>VLOOKUP(B25,'Tipos de Defeitos'!B$4:E$106,Menu!$B$23+1,)</f>
        <v>Voltagem (Moda)</v>
      </c>
      <c r="D25" s="215">
        <v>1.67</v>
      </c>
      <c r="E25" s="215"/>
      <c r="F25" s="151"/>
      <c r="G25" s="215"/>
      <c r="H25" s="215"/>
      <c r="I25" s="215"/>
      <c r="J25" s="215"/>
      <c r="K25" s="215"/>
      <c r="L25" s="215"/>
      <c r="M25" s="215"/>
      <c r="N25" s="151"/>
      <c r="O25" s="215"/>
      <c r="P25" s="215"/>
      <c r="Q25" s="215"/>
      <c r="R25" s="215"/>
      <c r="S25" s="215"/>
      <c r="T25" s="215"/>
      <c r="U25" s="215"/>
      <c r="V25" s="215"/>
      <c r="W25" s="215"/>
      <c r="X25" s="215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59">
        <f>AVERAGE(D25:AR25)</f>
        <v>1.67</v>
      </c>
      <c r="AT25" s="228"/>
    </row>
    <row r="26" spans="1:47">
      <c r="A26" s="253"/>
      <c r="B26" s="137">
        <f t="shared" si="0"/>
        <v>240</v>
      </c>
      <c r="C26" s="142" t="str">
        <f>VLOOKUP(B26,'Tipos de Defeitos'!B$4:E$106,Menu!$B$23+1,)</f>
        <v>Voltagem (ajustada)</v>
      </c>
      <c r="D26" s="213">
        <f t="shared" ref="D26:E26" si="10">IF(D25&gt;0,D25-0.005," ")</f>
        <v>1.665</v>
      </c>
      <c r="E26" s="213" t="str">
        <f t="shared" si="10"/>
        <v xml:space="preserve"> </v>
      </c>
      <c r="F26" s="213" t="str">
        <f t="shared" ref="F26:G26" si="11">IF(F25&gt;0,F25-0.005," ")</f>
        <v xml:space="preserve"> </v>
      </c>
      <c r="G26" s="213" t="str">
        <f t="shared" si="11"/>
        <v xml:space="preserve"> </v>
      </c>
      <c r="H26" s="213" t="str">
        <f>IF(H25&gt;0,H25-0.005," ")</f>
        <v xml:space="preserve"> </v>
      </c>
      <c r="I26" s="213" t="str">
        <f t="shared" ref="I26:P26" si="12">IF(I25&gt;0,I25-0.005," ")</f>
        <v xml:space="preserve"> </v>
      </c>
      <c r="J26" s="213" t="str">
        <f t="shared" si="12"/>
        <v xml:space="preserve"> </v>
      </c>
      <c r="K26" s="213" t="str">
        <f t="shared" si="12"/>
        <v xml:space="preserve"> </v>
      </c>
      <c r="L26" s="213" t="str">
        <f t="shared" si="12"/>
        <v xml:space="preserve"> </v>
      </c>
      <c r="M26" s="213" t="str">
        <f t="shared" si="12"/>
        <v xml:space="preserve"> </v>
      </c>
      <c r="N26" s="213" t="str">
        <f t="shared" si="12"/>
        <v xml:space="preserve"> </v>
      </c>
      <c r="O26" s="213" t="str">
        <f t="shared" si="12"/>
        <v xml:space="preserve"> </v>
      </c>
      <c r="P26" s="213" t="str">
        <f t="shared" si="12"/>
        <v xml:space="preserve"> </v>
      </c>
      <c r="Q26" s="213" t="str">
        <f t="shared" ref="Q26:S26" si="13">IF(R25&gt;0,R25-0.005," ")</f>
        <v xml:space="preserve"> </v>
      </c>
      <c r="R26" s="213" t="str">
        <f t="shared" si="13"/>
        <v xml:space="preserve"> </v>
      </c>
      <c r="S26" s="213" t="str">
        <f t="shared" si="13"/>
        <v xml:space="preserve"> </v>
      </c>
      <c r="T26" s="213" t="str">
        <f t="shared" ref="T26" si="14">IF(T25&gt;0,T25-0.005," ")</f>
        <v xml:space="preserve"> </v>
      </c>
      <c r="U26" s="213" t="str">
        <f t="shared" ref="U26:AR26" si="15">IF(U25&gt;0,U25-0.005," ")</f>
        <v xml:space="preserve"> </v>
      </c>
      <c r="V26" s="213" t="str">
        <f t="shared" si="15"/>
        <v xml:space="preserve"> </v>
      </c>
      <c r="W26" s="213"/>
      <c r="X26" s="213" t="str">
        <f t="shared" si="15"/>
        <v xml:space="preserve"> </v>
      </c>
      <c r="Y26" s="213" t="str">
        <f t="shared" si="15"/>
        <v xml:space="preserve"> </v>
      </c>
      <c r="Z26" s="213" t="str">
        <f t="shared" si="15"/>
        <v xml:space="preserve"> </v>
      </c>
      <c r="AA26" s="213" t="str">
        <f t="shared" si="15"/>
        <v xml:space="preserve"> </v>
      </c>
      <c r="AB26" s="213" t="str">
        <f t="shared" si="15"/>
        <v xml:space="preserve"> </v>
      </c>
      <c r="AC26" s="213" t="str">
        <f t="shared" si="15"/>
        <v xml:space="preserve"> </v>
      </c>
      <c r="AD26" s="213" t="str">
        <f t="shared" si="15"/>
        <v xml:space="preserve"> </v>
      </c>
      <c r="AE26" s="213" t="str">
        <f t="shared" si="15"/>
        <v xml:space="preserve"> </v>
      </c>
      <c r="AF26" s="213" t="str">
        <f t="shared" si="15"/>
        <v xml:space="preserve"> </v>
      </c>
      <c r="AG26" s="213" t="str">
        <f t="shared" si="15"/>
        <v xml:space="preserve"> </v>
      </c>
      <c r="AH26" s="213" t="str">
        <f t="shared" si="15"/>
        <v xml:space="preserve"> </v>
      </c>
      <c r="AI26" s="213" t="str">
        <f t="shared" si="15"/>
        <v xml:space="preserve"> </v>
      </c>
      <c r="AJ26" s="213" t="str">
        <f t="shared" si="15"/>
        <v xml:space="preserve"> </v>
      </c>
      <c r="AK26" s="213" t="str">
        <f t="shared" si="15"/>
        <v xml:space="preserve"> </v>
      </c>
      <c r="AL26" s="213" t="str">
        <f t="shared" si="15"/>
        <v xml:space="preserve"> </v>
      </c>
      <c r="AM26" s="213" t="str">
        <f t="shared" si="15"/>
        <v xml:space="preserve"> </v>
      </c>
      <c r="AN26" s="213" t="str">
        <f t="shared" si="15"/>
        <v xml:space="preserve"> </v>
      </c>
      <c r="AO26" s="213" t="str">
        <f t="shared" si="15"/>
        <v xml:space="preserve"> </v>
      </c>
      <c r="AP26" s="213" t="str">
        <f t="shared" si="15"/>
        <v xml:space="preserve"> </v>
      </c>
      <c r="AQ26" s="213" t="str">
        <f t="shared" si="15"/>
        <v xml:space="preserve"> </v>
      </c>
      <c r="AR26" s="213" t="str">
        <f t="shared" si="15"/>
        <v xml:space="preserve"> </v>
      </c>
      <c r="AS26" s="59">
        <f>AVERAGE(D26:AR26)</f>
        <v>1.665</v>
      </c>
      <c r="AT26" s="228"/>
    </row>
    <row r="27" spans="1:47" ht="13.5" thickBot="1">
      <c r="A27" s="254"/>
      <c r="B27" s="140">
        <f t="shared" si="0"/>
        <v>250</v>
      </c>
      <c r="C27" s="143" t="str">
        <f>VLOOKUP(B27,'Tipos de Defeitos'!B$4:E$106,Menu!$B$23+1,)</f>
        <v>Qtd. Analisada (pçs)</v>
      </c>
      <c r="D27" s="152">
        <v>10</v>
      </c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/>
      <c r="AD27" s="152"/>
      <c r="AE27" s="152"/>
      <c r="AF27" s="152"/>
      <c r="AG27" s="152"/>
      <c r="AH27" s="152"/>
      <c r="AI27" s="152"/>
      <c r="AJ27" s="152"/>
      <c r="AK27" s="152"/>
      <c r="AL27" s="152"/>
      <c r="AM27" s="152"/>
      <c r="AN27" s="152"/>
      <c r="AO27" s="152"/>
      <c r="AP27" s="152"/>
      <c r="AQ27" s="152"/>
      <c r="AR27" s="152"/>
      <c r="AS27" s="184">
        <f t="shared" ref="AS27:AS58" si="16">SUM(D27:AR27)</f>
        <v>10</v>
      </c>
      <c r="AT27" s="228"/>
      <c r="AU27" s="71"/>
    </row>
    <row r="28" spans="1:47">
      <c r="A28" s="252" t="s">
        <v>206</v>
      </c>
      <c r="B28" s="139">
        <f t="shared" si="0"/>
        <v>260</v>
      </c>
      <c r="C28" s="141" t="str">
        <f>VLOOKUP(B28,'Tipos de Defeitos'!B$4:E$106,Menu!$B$23+1,)</f>
        <v>Sem Papel Separador</v>
      </c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83">
        <f t="shared" si="16"/>
        <v>0</v>
      </c>
      <c r="AT28" s="229">
        <f>(AS28/$AS$78)*100</f>
        <v>0</v>
      </c>
    </row>
    <row r="29" spans="1:47">
      <c r="A29" s="253"/>
      <c r="B29" s="137">
        <f t="shared" si="0"/>
        <v>270</v>
      </c>
      <c r="C29" s="142" t="str">
        <f>VLOOKUP(B29,'Tipos de Defeitos'!B$4:E$106,Menu!$B$23+1,)</f>
        <v>Papel Separador Cortado</v>
      </c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59">
        <f t="shared" si="16"/>
        <v>0</v>
      </c>
      <c r="AT29" s="229">
        <f t="shared" ref="AT29:AT77" si="17">(AS29/$AS$78)*100</f>
        <v>0</v>
      </c>
    </row>
    <row r="30" spans="1:47">
      <c r="A30" s="253"/>
      <c r="B30" s="137">
        <f t="shared" si="0"/>
        <v>280</v>
      </c>
      <c r="C30" s="142" t="str">
        <f>VLOOKUP(B30,'Tipos de Defeitos'!B$4:E$106,Menu!$B$23+1,)</f>
        <v>Papel Separador Rasgado</v>
      </c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59">
        <f t="shared" si="16"/>
        <v>0</v>
      </c>
      <c r="AT30" s="229">
        <f t="shared" si="17"/>
        <v>0</v>
      </c>
    </row>
    <row r="31" spans="1:47">
      <c r="A31" s="253"/>
      <c r="B31" s="137">
        <f t="shared" si="0"/>
        <v>290</v>
      </c>
      <c r="C31" s="142" t="str">
        <f>VLOOKUP(B31,'Tipos de Defeitos'!B$4:E$106,Menu!$B$23+1,)</f>
        <v>Papel Dobrado Sup.</v>
      </c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59">
        <f t="shared" si="16"/>
        <v>0</v>
      </c>
      <c r="AT31" s="229">
        <f t="shared" si="17"/>
        <v>0</v>
      </c>
    </row>
    <row r="32" spans="1:47">
      <c r="A32" s="253"/>
      <c r="B32" s="137">
        <f t="shared" si="0"/>
        <v>300</v>
      </c>
      <c r="C32" s="142" t="str">
        <f>VLOOKUP(B32,'Tipos de Defeitos'!B$4:E$106,Menu!$B$23+1,)</f>
        <v>Papel Dobrado Meio</v>
      </c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59">
        <f t="shared" si="16"/>
        <v>0</v>
      </c>
      <c r="AT32" s="229">
        <f t="shared" si="17"/>
        <v>0</v>
      </c>
    </row>
    <row r="33" spans="1:46">
      <c r="A33" s="253"/>
      <c r="B33" s="137">
        <f t="shared" si="0"/>
        <v>310</v>
      </c>
      <c r="C33" s="142" t="str">
        <f>VLOOKUP(B33,'Tipos de Defeitos'!B$4:E$106,Menu!$B$23+1,)</f>
        <v>Papel Dobrado Inf.</v>
      </c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59">
        <f t="shared" si="16"/>
        <v>0</v>
      </c>
      <c r="AT33" s="229">
        <f t="shared" si="17"/>
        <v>0</v>
      </c>
    </row>
    <row r="34" spans="1:46">
      <c r="A34" s="253"/>
      <c r="B34" s="137">
        <f t="shared" si="0"/>
        <v>320</v>
      </c>
      <c r="C34" s="142" t="str">
        <f>VLOOKUP(B34,'Tipos de Defeitos'!B$4:E$106,Menu!$B$23+1,)</f>
        <v>Papel Afundado</v>
      </c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59">
        <f t="shared" si="16"/>
        <v>0</v>
      </c>
      <c r="AT34" s="229">
        <f t="shared" si="17"/>
        <v>0</v>
      </c>
    </row>
    <row r="35" spans="1:46">
      <c r="A35" s="253"/>
      <c r="B35" s="137">
        <f t="shared" si="0"/>
        <v>330</v>
      </c>
      <c r="C35" s="142" t="str">
        <f>VLOOKUP(B35,'Tipos de Defeitos'!B$4:E$106,Menu!$B$23+1,)</f>
        <v>Papel Deslocado</v>
      </c>
      <c r="D35" s="151">
        <v>7</v>
      </c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59">
        <f t="shared" si="16"/>
        <v>7</v>
      </c>
      <c r="AT35" s="229">
        <f t="shared" si="17"/>
        <v>70</v>
      </c>
    </row>
    <row r="36" spans="1:46" ht="12.75" customHeight="1">
      <c r="A36" s="253"/>
      <c r="B36" s="137">
        <f t="shared" si="0"/>
        <v>340</v>
      </c>
      <c r="C36" s="142" t="str">
        <f>VLOOKUP(B36,'Tipos de Defeitos'!B$4:E$106,Menu!$B$23+1,)</f>
        <v>Papel menor</v>
      </c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59">
        <f t="shared" si="16"/>
        <v>0</v>
      </c>
      <c r="AT36" s="229">
        <f t="shared" si="17"/>
        <v>0</v>
      </c>
    </row>
    <row r="37" spans="1:46">
      <c r="A37" s="253"/>
      <c r="B37" s="137">
        <f t="shared" si="0"/>
        <v>350</v>
      </c>
      <c r="C37" s="142" t="str">
        <f>VLOOKUP(B37,'Tipos de Defeitos'!B$4:E$106,Menu!$B$23+1,)</f>
        <v>Sem Disco</v>
      </c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59">
        <f t="shared" si="16"/>
        <v>0</v>
      </c>
      <c r="AT37" s="229">
        <f t="shared" si="17"/>
        <v>0</v>
      </c>
    </row>
    <row r="38" spans="1:46">
      <c r="A38" s="253"/>
      <c r="B38" s="137">
        <f t="shared" si="0"/>
        <v>360</v>
      </c>
      <c r="C38" s="142" t="str">
        <f>VLOOKUP(B38,'Tipos de Defeitos'!B$4:E$106,Menu!$B$23+1,)</f>
        <v>Disco Cortado</v>
      </c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59">
        <f t="shared" si="16"/>
        <v>0</v>
      </c>
      <c r="AT38" s="229">
        <f t="shared" si="17"/>
        <v>0</v>
      </c>
    </row>
    <row r="39" spans="1:46">
      <c r="A39" s="253"/>
      <c r="B39" s="137">
        <f t="shared" si="0"/>
        <v>370</v>
      </c>
      <c r="C39" s="142" t="str">
        <f>VLOOKUP(B39,'Tipos de Defeitos'!B$4:E$106,Menu!$B$23+1,)</f>
        <v>Disco Rasgado</v>
      </c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59">
        <f t="shared" si="16"/>
        <v>0</v>
      </c>
      <c r="AT39" s="229">
        <f t="shared" si="17"/>
        <v>0</v>
      </c>
    </row>
    <row r="40" spans="1:46">
      <c r="A40" s="253"/>
      <c r="B40" s="137">
        <f t="shared" si="0"/>
        <v>380</v>
      </c>
      <c r="C40" s="142" t="str">
        <f>VLOOKUP(B40,'Tipos de Defeitos'!B$4:E$106,Menu!$B$23+1,)</f>
        <v>Disco Furado</v>
      </c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59">
        <f t="shared" si="16"/>
        <v>0</v>
      </c>
      <c r="AT40" s="229">
        <f t="shared" si="17"/>
        <v>0</v>
      </c>
    </row>
    <row r="41" spans="1:46">
      <c r="A41" s="253"/>
      <c r="B41" s="137">
        <f t="shared" si="0"/>
        <v>390</v>
      </c>
      <c r="C41" s="142" t="str">
        <f>VLOOKUP(B41,'Tipos de Defeitos'!B$4:E$106,Menu!$B$23+1,)</f>
        <v>Disco Dobrado</v>
      </c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59">
        <f t="shared" si="16"/>
        <v>0</v>
      </c>
      <c r="AT41" s="229">
        <f t="shared" si="17"/>
        <v>0</v>
      </c>
    </row>
    <row r="42" spans="1:46">
      <c r="A42" s="253"/>
      <c r="B42" s="137">
        <f t="shared" si="0"/>
        <v>400</v>
      </c>
      <c r="C42" s="142" t="str">
        <f>VLOOKUP(B42,'Tipos de Defeitos'!B$4:E$106,Menu!$B$23+1,)</f>
        <v>Disco fora de centro / deslocado</v>
      </c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59">
        <f t="shared" si="16"/>
        <v>0</v>
      </c>
      <c r="AT42" s="229">
        <f t="shared" si="17"/>
        <v>0</v>
      </c>
    </row>
    <row r="43" spans="1:46">
      <c r="A43" s="253"/>
      <c r="B43" s="137">
        <f t="shared" si="0"/>
        <v>410</v>
      </c>
      <c r="C43" s="142" t="str">
        <f>VLOOKUP(B43,'Tipos de Defeitos'!B$4:E$106,Menu!$B$23+1,)</f>
        <v>Isolador fora de centro</v>
      </c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59">
        <f t="shared" si="16"/>
        <v>0</v>
      </c>
      <c r="AT43" s="229">
        <f t="shared" si="17"/>
        <v>0</v>
      </c>
    </row>
    <row r="44" spans="1:46">
      <c r="A44" s="253"/>
      <c r="B44" s="137">
        <f t="shared" si="0"/>
        <v>420</v>
      </c>
      <c r="C44" s="142" t="str">
        <f>VLOOKUP(B44,'Tipos de Defeitos'!B$4:E$106,Menu!$B$23+1,)</f>
        <v>Isolador afundado</v>
      </c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59">
        <f t="shared" si="16"/>
        <v>0</v>
      </c>
      <c r="AT44" s="229">
        <f t="shared" si="17"/>
        <v>0</v>
      </c>
    </row>
    <row r="45" spans="1:46">
      <c r="A45" s="253"/>
      <c r="B45" s="137">
        <f t="shared" si="0"/>
        <v>430</v>
      </c>
      <c r="C45" s="142" t="str">
        <f>VLOOKUP(B45,'Tipos de Defeitos'!B$4:E$106,Menu!$B$23+1,)</f>
        <v>Isolador Inclinado</v>
      </c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59">
        <f t="shared" si="16"/>
        <v>0</v>
      </c>
      <c r="AT45" s="229">
        <f t="shared" si="17"/>
        <v>0</v>
      </c>
    </row>
    <row r="46" spans="1:46">
      <c r="A46" s="253"/>
      <c r="B46" s="137">
        <f t="shared" si="0"/>
        <v>440</v>
      </c>
      <c r="C46" s="142" t="str">
        <f>VLOOKUP(B46,'Tipos de Defeitos'!B$4:E$106,Menu!$B$23+1,)</f>
        <v>Papel sujo</v>
      </c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59">
        <f t="shared" si="16"/>
        <v>0</v>
      </c>
      <c r="AT46" s="229">
        <f t="shared" si="17"/>
        <v>0</v>
      </c>
    </row>
    <row r="47" spans="1:46">
      <c r="A47" s="253"/>
      <c r="B47" s="137">
        <f t="shared" si="0"/>
        <v>450</v>
      </c>
      <c r="C47" s="142" t="str">
        <f>VLOOKUP(B47,'Tipos de Defeitos'!B$4:E$106,Menu!$B$23+1,)</f>
        <v>Manchado</v>
      </c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59">
        <f t="shared" si="16"/>
        <v>0</v>
      </c>
      <c r="AT47" s="229">
        <f t="shared" si="17"/>
        <v>0</v>
      </c>
    </row>
    <row r="48" spans="1:46">
      <c r="A48" s="253"/>
      <c r="B48" s="137">
        <f t="shared" si="0"/>
        <v>460</v>
      </c>
      <c r="C48" s="142" t="str">
        <f>VLOOKUP(B48,'Tipos de Defeitos'!B$4:E$106,Menu!$B$23+1,)</f>
        <v>Manchado Superior</v>
      </c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59">
        <f t="shared" si="16"/>
        <v>0</v>
      </c>
      <c r="AT48" s="229">
        <f t="shared" si="17"/>
        <v>0</v>
      </c>
    </row>
    <row r="49" spans="1:46">
      <c r="A49" s="253"/>
      <c r="B49" s="137">
        <f t="shared" si="0"/>
        <v>470</v>
      </c>
      <c r="C49" s="142" t="str">
        <f>VLOOKUP(B49,'Tipos de Defeitos'!B$4:E$106,Menu!$B$23+1,)</f>
        <v>Ferro</v>
      </c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59">
        <f t="shared" si="16"/>
        <v>0</v>
      </c>
      <c r="AT49" s="229">
        <f t="shared" si="17"/>
        <v>0</v>
      </c>
    </row>
    <row r="50" spans="1:46">
      <c r="A50" s="253"/>
      <c r="B50" s="137">
        <f t="shared" si="0"/>
        <v>480</v>
      </c>
      <c r="C50" s="142" t="str">
        <f>VLOOKUP(B50,'Tipos de Defeitos'!B$4:E$106,Menu!$B$23+1,)</f>
        <v>Cobre</v>
      </c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59">
        <f t="shared" si="16"/>
        <v>0</v>
      </c>
      <c r="AT50" s="229">
        <f t="shared" si="17"/>
        <v>0</v>
      </c>
    </row>
    <row r="51" spans="1:46">
      <c r="A51" s="253"/>
      <c r="B51" s="137">
        <f t="shared" si="0"/>
        <v>490</v>
      </c>
      <c r="C51" s="142" t="str">
        <f>VLOOKUP(B51,'Tipos de Defeitos'!B$4:E$106,Menu!$B$23+1,)</f>
        <v>Mistura no Tubo</v>
      </c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59">
        <f t="shared" si="16"/>
        <v>0</v>
      </c>
      <c r="AT51" s="229">
        <f t="shared" si="17"/>
        <v>0</v>
      </c>
    </row>
    <row r="52" spans="1:46">
      <c r="A52" s="253"/>
      <c r="B52" s="137">
        <f t="shared" si="0"/>
        <v>500</v>
      </c>
      <c r="C52" s="142" t="str">
        <f>VLOOKUP(B52,'Tipos de Defeitos'!B$4:E$106,Menu!$B$23+1,)</f>
        <v>Pó de Mistura</v>
      </c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59">
        <f t="shared" si="16"/>
        <v>0</v>
      </c>
      <c r="AT52" s="229">
        <f t="shared" si="17"/>
        <v>0</v>
      </c>
    </row>
    <row r="53" spans="1:46">
      <c r="A53" s="253"/>
      <c r="B53" s="137">
        <f t="shared" si="0"/>
        <v>510</v>
      </c>
      <c r="C53" s="142" t="str">
        <f>VLOOKUP(B53,'Tipos de Defeitos'!B$4:E$106,Menu!$B$23+1,)</f>
        <v>Bobina Baixa V</v>
      </c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59">
        <f t="shared" si="16"/>
        <v>0</v>
      </c>
      <c r="AT53" s="229">
        <f t="shared" si="17"/>
        <v>0</v>
      </c>
    </row>
    <row r="54" spans="1:46">
      <c r="A54" s="253"/>
      <c r="B54" s="137">
        <f t="shared" si="0"/>
        <v>520</v>
      </c>
      <c r="C54" s="142" t="str">
        <f>VLOOKUP(B54,'Tipos de Defeitos'!B$4:E$106,Menu!$B$23+1,)</f>
        <v>Bobina Alta</v>
      </c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59">
        <f t="shared" si="16"/>
        <v>0</v>
      </c>
      <c r="AT54" s="229">
        <f t="shared" si="17"/>
        <v>0</v>
      </c>
    </row>
    <row r="55" spans="1:46">
      <c r="A55" s="253"/>
      <c r="B55" s="137">
        <f t="shared" si="0"/>
        <v>530</v>
      </c>
      <c r="C55" s="142" t="str">
        <f>VLOOKUP(B55,'Tipos de Defeitos'!B$4:E$106,Menu!$B$23+1,)</f>
        <v>Bobina Molhada</v>
      </c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59">
        <f t="shared" si="16"/>
        <v>0</v>
      </c>
      <c r="AT55" s="229">
        <f t="shared" si="17"/>
        <v>0</v>
      </c>
    </row>
    <row r="56" spans="1:46">
      <c r="A56" s="253"/>
      <c r="B56" s="137">
        <f t="shared" si="0"/>
        <v>540</v>
      </c>
      <c r="C56" s="142" t="str">
        <f>VLOOKUP(B56,'Tipos de Defeitos'!B$4:E$106,Menu!$B$23+1,)</f>
        <v>Mistura seca</v>
      </c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59">
        <f t="shared" si="16"/>
        <v>0</v>
      </c>
      <c r="AT56" s="229">
        <f t="shared" si="17"/>
        <v>0</v>
      </c>
    </row>
    <row r="57" spans="1:46">
      <c r="A57" s="253"/>
      <c r="B57" s="137">
        <f t="shared" si="0"/>
        <v>550</v>
      </c>
      <c r="C57" s="142" t="str">
        <f>VLOOKUP(B57,'Tipos de Defeitos'!B$4:E$106,Menu!$B$23+1,)</f>
        <v>Contem estranho</v>
      </c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59">
        <f t="shared" si="16"/>
        <v>0</v>
      </c>
      <c r="AT57" s="229">
        <f t="shared" si="17"/>
        <v>0</v>
      </c>
    </row>
    <row r="58" spans="1:46">
      <c r="A58" s="253"/>
      <c r="B58" s="137">
        <f t="shared" si="0"/>
        <v>560</v>
      </c>
      <c r="C58" s="142" t="str">
        <f>VLOOKUP(B58,'Tipos de Defeitos'!B$4:E$106,Menu!$B$23+1,)</f>
        <v>Pedra de Óxido</v>
      </c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59">
        <f t="shared" si="16"/>
        <v>0</v>
      </c>
      <c r="AT58" s="229">
        <f t="shared" si="17"/>
        <v>0</v>
      </c>
    </row>
    <row r="59" spans="1:46">
      <c r="A59" s="253"/>
      <c r="B59" s="137">
        <f t="shared" si="0"/>
        <v>570</v>
      </c>
      <c r="C59" s="142" t="str">
        <f>VLOOKUP(B59,'Tipos de Defeitos'!B$4:E$106,Menu!$B$23+1,)</f>
        <v>Carvão Quebrado V</v>
      </c>
      <c r="D59" s="151">
        <v>2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59">
        <f t="shared" ref="AS59:AS77" si="18">SUM(D59:AR59)</f>
        <v>2</v>
      </c>
      <c r="AT59" s="229">
        <f t="shared" si="17"/>
        <v>20</v>
      </c>
    </row>
    <row r="60" spans="1:46">
      <c r="A60" s="253"/>
      <c r="B60" s="137">
        <f t="shared" si="0"/>
        <v>580</v>
      </c>
      <c r="C60" s="142" t="str">
        <f>VLOOKUP(B60,'Tipos de Defeitos'!B$4:E$106,Menu!$B$23+1,)</f>
        <v>Sem Selante</v>
      </c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59">
        <f t="shared" si="18"/>
        <v>0</v>
      </c>
      <c r="AT60" s="229">
        <f t="shared" si="17"/>
        <v>0</v>
      </c>
    </row>
    <row r="61" spans="1:46">
      <c r="A61" s="253"/>
      <c r="B61" s="137">
        <f t="shared" si="0"/>
        <v>590</v>
      </c>
      <c r="C61" s="142" t="str">
        <f>VLOOKUP(B61,'Tipos de Defeitos'!B$4:E$106,Menu!$B$23+1,)</f>
        <v>PY c/ Falha de Injeção</v>
      </c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59">
        <f t="shared" si="18"/>
        <v>0</v>
      </c>
      <c r="AT61" s="229">
        <f t="shared" si="17"/>
        <v>0</v>
      </c>
    </row>
    <row r="62" spans="1:46">
      <c r="A62" s="253"/>
      <c r="B62" s="137">
        <f t="shared" si="0"/>
        <v>600</v>
      </c>
      <c r="C62" s="142" t="str">
        <f>VLOOKUP(B62,'Tipos de Defeitos'!B$4:E$106,Menu!$B$23+1,)</f>
        <v>Sem PY</v>
      </c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59">
        <f t="shared" si="18"/>
        <v>0</v>
      </c>
      <c r="AT62" s="229">
        <f t="shared" si="17"/>
        <v>0</v>
      </c>
    </row>
    <row r="63" spans="1:46">
      <c r="A63" s="253"/>
      <c r="B63" s="137">
        <f t="shared" si="0"/>
        <v>610</v>
      </c>
      <c r="C63" s="142" t="str">
        <f>VLOOKUP(B63,'Tipos de Defeitos'!B$4:E$106,Menu!$B$23+1,)</f>
        <v>PY Fora de Centro</v>
      </c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59">
        <f t="shared" si="18"/>
        <v>0</v>
      </c>
      <c r="AT63" s="229">
        <f t="shared" si="17"/>
        <v>0</v>
      </c>
    </row>
    <row r="64" spans="1:46">
      <c r="A64" s="253"/>
      <c r="B64" s="137">
        <f t="shared" si="0"/>
        <v>620</v>
      </c>
      <c r="C64" s="142" t="str">
        <f>VLOOKUP(B64,'Tipos de Defeitos'!B$4:E$106,Menu!$B$23+1,)</f>
        <v>PY Queimado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59">
        <f t="shared" si="18"/>
        <v>0</v>
      </c>
      <c r="AT64" s="229">
        <f t="shared" si="17"/>
        <v>0</v>
      </c>
    </row>
    <row r="65" spans="1:46">
      <c r="A65" s="253"/>
      <c r="B65" s="137">
        <f t="shared" si="0"/>
        <v>630</v>
      </c>
      <c r="C65" s="142" t="str">
        <f>VLOOKUP(B65,'Tipos de Defeitos'!B$4:E$106,Menu!$B$23+1,)</f>
        <v>Tb c/ Boca Amassada - Operador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59">
        <f t="shared" si="18"/>
        <v>0</v>
      </c>
      <c r="AT65" s="229">
        <f t="shared" si="17"/>
        <v>0</v>
      </c>
    </row>
    <row r="66" spans="1:46">
      <c r="A66" s="253"/>
      <c r="B66" s="137">
        <f t="shared" si="0"/>
        <v>640</v>
      </c>
      <c r="C66" s="142" t="str">
        <f>VLOOKUP(B66,'Tipos de Defeitos'!B$4:E$106,Menu!$B$23+1,)</f>
        <v>Tb c/ Boca Amassada - Câmera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59">
        <f t="shared" si="18"/>
        <v>0</v>
      </c>
      <c r="AT66" s="229">
        <f t="shared" si="17"/>
        <v>0</v>
      </c>
    </row>
    <row r="67" spans="1:46">
      <c r="A67" s="253"/>
      <c r="B67" s="137">
        <f t="shared" si="0"/>
        <v>650</v>
      </c>
      <c r="C67" s="142" t="str">
        <f>VLOOKUP(B67,'Tipos de Defeitos'!B$4:E$106,Menu!$B$23+1,)</f>
        <v>Tb c/ Boca Amassada - recuperada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59">
        <f t="shared" si="18"/>
        <v>0</v>
      </c>
      <c r="AT67" s="229">
        <f t="shared" si="17"/>
        <v>0</v>
      </c>
    </row>
    <row r="68" spans="1:46">
      <c r="A68" s="253"/>
      <c r="B68" s="137">
        <f t="shared" si="0"/>
        <v>660</v>
      </c>
      <c r="C68" s="142" t="str">
        <f>VLOOKUP(B68,'Tipos de Defeitos'!B$4:E$106,Menu!$B$23+1,)</f>
        <v>Tubo descascado</v>
      </c>
      <c r="D68" s="151">
        <v>1</v>
      </c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59">
        <f t="shared" si="18"/>
        <v>1</v>
      </c>
      <c r="AT68" s="229">
        <f t="shared" si="17"/>
        <v>10</v>
      </c>
    </row>
    <row r="69" spans="1:46">
      <c r="A69" s="253"/>
      <c r="B69" s="137">
        <f t="shared" si="0"/>
        <v>670</v>
      </c>
      <c r="C69" s="142" t="str">
        <f>VLOOKUP(B69,'Tipos de Defeitos'!B$4:E$106,Menu!$B$23+1,)</f>
        <v>Tubo Rachado - Câmera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59">
        <f t="shared" si="18"/>
        <v>0</v>
      </c>
      <c r="AT69" s="229">
        <f t="shared" si="17"/>
        <v>0</v>
      </c>
    </row>
    <row r="70" spans="1:46">
      <c r="A70" s="253"/>
      <c r="B70" s="137">
        <f t="shared" si="0"/>
        <v>680</v>
      </c>
      <c r="C70" s="142" t="str">
        <f>VLOOKUP(B70,'Tipos de Defeitos'!B$4:E$106,Menu!$B$23+1,)</f>
        <v>Tubo de Zinco Amassado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59">
        <f t="shared" si="18"/>
        <v>0</v>
      </c>
      <c r="AT70" s="229">
        <f t="shared" si="17"/>
        <v>0</v>
      </c>
    </row>
    <row r="71" spans="1:46">
      <c r="A71" s="253"/>
      <c r="B71" s="137">
        <f t="shared" si="0"/>
        <v>690</v>
      </c>
      <c r="C71" s="142" t="str">
        <f>VLOOKUP(B71,'Tipos de Defeitos'!B$4:E$106,Menu!$B$23+1,)</f>
        <v>Tubo com Rebarba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59">
        <f t="shared" si="18"/>
        <v>0</v>
      </c>
      <c r="AT71" s="229">
        <f t="shared" si="17"/>
        <v>0</v>
      </c>
    </row>
    <row r="72" spans="1:46">
      <c r="A72" s="253"/>
      <c r="B72" s="137">
        <f t="shared" si="0"/>
        <v>700</v>
      </c>
      <c r="C72" s="142" t="str">
        <f>VLOOKUP(B72,'Tipos de Defeitos'!B$4:E$106,Menu!$B$23+1,)</f>
        <v>Curto Circuito Externo</v>
      </c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59">
        <f t="shared" si="18"/>
        <v>0</v>
      </c>
      <c r="AT72" s="229">
        <f t="shared" si="17"/>
        <v>0</v>
      </c>
    </row>
    <row r="73" spans="1:46">
      <c r="A73" s="253"/>
      <c r="B73" s="137">
        <f t="shared" si="0"/>
        <v>710</v>
      </c>
      <c r="C73" s="142" t="str">
        <f>VLOOKUP(B73,'Tipos de Defeitos'!B$4:E$106,Menu!$B$23+1,)</f>
        <v>Curto Circ. Externo -  Cap sujo</v>
      </c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59">
        <f t="shared" si="18"/>
        <v>0</v>
      </c>
      <c r="AT73" s="229">
        <f t="shared" si="17"/>
        <v>0</v>
      </c>
    </row>
    <row r="74" spans="1:46">
      <c r="A74" s="253"/>
      <c r="B74" s="137">
        <f t="shared" ref="B74" si="19">(B73/10+1)*10</f>
        <v>720</v>
      </c>
      <c r="C74" s="142" t="str">
        <f>VLOOKUP(B74,'Tipos de Defeitos'!B$4:E$106,Menu!$B$23+1,)</f>
        <v>Pilha recuperada do Acabamento</v>
      </c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59">
        <f t="shared" si="18"/>
        <v>0</v>
      </c>
      <c r="AT74" s="229">
        <f t="shared" si="17"/>
        <v>0</v>
      </c>
    </row>
    <row r="75" spans="1:46">
      <c r="A75" s="253"/>
      <c r="B75" s="137">
        <f t="shared" si="0"/>
        <v>730</v>
      </c>
      <c r="C75" s="142" t="str">
        <f>VLOOKUP(B75,'Tipos de Defeitos'!B$4:E$106,Menu!$B$23+1,)</f>
        <v>Causa Desconhecida - Voltagem</v>
      </c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59">
        <f t="shared" si="18"/>
        <v>0</v>
      </c>
      <c r="AT75" s="229">
        <f t="shared" si="17"/>
        <v>0</v>
      </c>
    </row>
    <row r="76" spans="1:46">
      <c r="A76" s="253"/>
      <c r="B76" s="137">
        <f t="shared" ref="B76:B77" si="20">(B75/10+1)*10</f>
        <v>740</v>
      </c>
      <c r="C76" s="142" t="str">
        <f>VLOOKUP(B76,'Tipos de Defeitos'!B$4:E$106,Menu!$B$23+1,)</f>
        <v>Pilha Boa</v>
      </c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59">
        <f t="shared" si="18"/>
        <v>0</v>
      </c>
      <c r="AT76" s="229">
        <f t="shared" si="17"/>
        <v>0</v>
      </c>
    </row>
    <row r="77" spans="1:46" ht="13.5" thickBot="1">
      <c r="A77" s="254"/>
      <c r="B77" s="140">
        <f t="shared" si="20"/>
        <v>750</v>
      </c>
      <c r="C77" s="143" t="str">
        <f>VLOOKUP(B77,'Tipos de Defeitos'!B$4:E$106,Menu!$B$23+1,)</f>
        <v>Outros - Voltagem</v>
      </c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52"/>
      <c r="AD77" s="152"/>
      <c r="AE77" s="152"/>
      <c r="AF77" s="152"/>
      <c r="AG77" s="152"/>
      <c r="AH77" s="152"/>
      <c r="AI77" s="152"/>
      <c r="AJ77" s="152"/>
      <c r="AK77" s="152"/>
      <c r="AL77" s="152"/>
      <c r="AM77" s="152"/>
      <c r="AN77" s="152"/>
      <c r="AO77" s="152"/>
      <c r="AP77" s="152"/>
      <c r="AQ77" s="152"/>
      <c r="AR77" s="152"/>
      <c r="AS77" s="184">
        <f t="shared" si="18"/>
        <v>0</v>
      </c>
      <c r="AT77" s="229">
        <f t="shared" si="17"/>
        <v>0</v>
      </c>
    </row>
    <row r="78" spans="1:46">
      <c r="A78" s="252" t="s">
        <v>207</v>
      </c>
      <c r="B78" s="139">
        <f t="shared" ref="B78:B105" si="21">(B77/10+1)*10</f>
        <v>760</v>
      </c>
      <c r="C78" s="141" t="str">
        <f>VLOOKUP(B78,'Tipos de Defeitos'!B$4:E$106,Menu!$B$23+1,)</f>
        <v>Total (pçs)</v>
      </c>
      <c r="D78" s="171">
        <f t="shared" ref="D78:E78" si="22">SUM(D28:D77)</f>
        <v>10</v>
      </c>
      <c r="E78" s="171">
        <f t="shared" si="22"/>
        <v>0</v>
      </c>
      <c r="F78" s="171">
        <f t="shared" ref="F78:G78" si="23">SUM(F28:F77)</f>
        <v>0</v>
      </c>
      <c r="G78" s="171">
        <f t="shared" si="23"/>
        <v>0</v>
      </c>
      <c r="H78" s="171">
        <f t="shared" ref="H78:AR78" si="24">SUM(H28:H77)</f>
        <v>0</v>
      </c>
      <c r="I78" s="171">
        <f t="shared" si="24"/>
        <v>0</v>
      </c>
      <c r="J78" s="171">
        <f t="shared" si="24"/>
        <v>0</v>
      </c>
      <c r="K78" s="171">
        <f t="shared" si="24"/>
        <v>0</v>
      </c>
      <c r="L78" s="171">
        <f t="shared" si="24"/>
        <v>0</v>
      </c>
      <c r="M78" s="171">
        <f t="shared" si="24"/>
        <v>0</v>
      </c>
      <c r="N78" s="171">
        <f t="shared" si="24"/>
        <v>0</v>
      </c>
      <c r="O78" s="171">
        <f t="shared" si="24"/>
        <v>0</v>
      </c>
      <c r="P78" s="171">
        <f t="shared" si="24"/>
        <v>0</v>
      </c>
      <c r="Q78" s="171">
        <f t="shared" si="24"/>
        <v>0</v>
      </c>
      <c r="R78" s="171">
        <f t="shared" si="24"/>
        <v>0</v>
      </c>
      <c r="S78" s="171">
        <f t="shared" si="24"/>
        <v>0</v>
      </c>
      <c r="T78" s="171">
        <f t="shared" si="24"/>
        <v>0</v>
      </c>
      <c r="U78" s="171">
        <f t="shared" si="24"/>
        <v>0</v>
      </c>
      <c r="V78" s="171">
        <f t="shared" si="24"/>
        <v>0</v>
      </c>
      <c r="W78" s="171">
        <f t="shared" si="24"/>
        <v>0</v>
      </c>
      <c r="X78" s="171">
        <f t="shared" si="24"/>
        <v>0</v>
      </c>
      <c r="Y78" s="171">
        <f t="shared" si="24"/>
        <v>0</v>
      </c>
      <c r="Z78" s="171">
        <f t="shared" si="24"/>
        <v>0</v>
      </c>
      <c r="AA78" s="171">
        <f t="shared" si="24"/>
        <v>0</v>
      </c>
      <c r="AB78" s="171">
        <f t="shared" si="24"/>
        <v>0</v>
      </c>
      <c r="AC78" s="171">
        <f t="shared" si="24"/>
        <v>0</v>
      </c>
      <c r="AD78" s="171">
        <f t="shared" si="24"/>
        <v>0</v>
      </c>
      <c r="AE78" s="171">
        <f t="shared" si="24"/>
        <v>0</v>
      </c>
      <c r="AF78" s="171">
        <f t="shared" si="24"/>
        <v>0</v>
      </c>
      <c r="AG78" s="171">
        <f t="shared" si="24"/>
        <v>0</v>
      </c>
      <c r="AH78" s="171">
        <f t="shared" si="24"/>
        <v>0</v>
      </c>
      <c r="AI78" s="171">
        <f t="shared" si="24"/>
        <v>0</v>
      </c>
      <c r="AJ78" s="171">
        <f t="shared" si="24"/>
        <v>0</v>
      </c>
      <c r="AK78" s="171">
        <f t="shared" si="24"/>
        <v>0</v>
      </c>
      <c r="AL78" s="171">
        <f t="shared" si="24"/>
        <v>0</v>
      </c>
      <c r="AM78" s="171">
        <f t="shared" si="24"/>
        <v>0</v>
      </c>
      <c r="AN78" s="171">
        <f t="shared" si="24"/>
        <v>0</v>
      </c>
      <c r="AO78" s="171">
        <f t="shared" si="24"/>
        <v>0</v>
      </c>
      <c r="AP78" s="171">
        <f t="shared" si="24"/>
        <v>0</v>
      </c>
      <c r="AQ78" s="171">
        <f t="shared" si="24"/>
        <v>0</v>
      </c>
      <c r="AR78" s="171">
        <f t="shared" si="24"/>
        <v>0</v>
      </c>
      <c r="AS78" s="185">
        <f t="shared" ref="AS78" si="25">SUM(AS28:AS77)</f>
        <v>10</v>
      </c>
    </row>
    <row r="79" spans="1:46">
      <c r="A79" s="253"/>
      <c r="B79" s="137">
        <f t="shared" si="21"/>
        <v>770</v>
      </c>
      <c r="C79" s="142" t="str">
        <f>VLOOKUP(B79,'Tipos de Defeitos'!B$4:E$106,Menu!$B$23+1,)</f>
        <v>Taxa Defeituosa 1º Teste</v>
      </c>
      <c r="D79" s="186" t="str">
        <f>IF(D23&gt;0,D23/D7*1000000,"")</f>
        <v/>
      </c>
      <c r="E79" s="186" t="str">
        <f>IF(E23&gt;0,E23/E7*1000000,"")</f>
        <v/>
      </c>
      <c r="F79" s="186" t="str">
        <f t="shared" ref="F79:G79" si="26">IF(F23&gt;0,F23/F7*1000000,"")</f>
        <v/>
      </c>
      <c r="G79" s="186" t="str">
        <f t="shared" si="26"/>
        <v/>
      </c>
      <c r="H79" s="186" t="str">
        <f t="shared" ref="H79" si="27">IF(H23&gt;0,H23/H7*1000000,"")</f>
        <v/>
      </c>
      <c r="I79" s="186" t="str">
        <f>IF(I23&gt;0,I23/I7*1000000,"")</f>
        <v/>
      </c>
      <c r="J79" s="186" t="str">
        <f>IF(J23&gt;0,J23/J7*1000000,"")</f>
        <v/>
      </c>
      <c r="K79" s="186" t="str">
        <f>IF(K23&gt;0,K23/K7*1000000,"")</f>
        <v/>
      </c>
      <c r="L79" s="186" t="str">
        <f t="shared" ref="L79:Q79" si="28">IF(M23&gt;0,M23/M7*1000000,"")</f>
        <v/>
      </c>
      <c r="M79" s="186" t="str">
        <f t="shared" si="28"/>
        <v/>
      </c>
      <c r="N79" s="186" t="str">
        <f t="shared" si="28"/>
        <v/>
      </c>
      <c r="O79" s="186" t="str">
        <f t="shared" si="28"/>
        <v/>
      </c>
      <c r="P79" s="186" t="str">
        <f t="shared" si="28"/>
        <v/>
      </c>
      <c r="Q79" s="186" t="str">
        <f t="shared" si="28"/>
        <v/>
      </c>
      <c r="R79" s="186" t="str">
        <f t="shared" ref="R79" si="29">IF(S23&gt;0,S23/S7*1000000,"")</f>
        <v/>
      </c>
      <c r="S79" s="186" t="str">
        <f t="shared" ref="S79" si="30">IF(T23&gt;0,T23/T7*1000000,"")</f>
        <v/>
      </c>
      <c r="T79" s="186" t="str">
        <f t="shared" ref="T79" si="31">IF(U23&gt;0,U23/U7*1000000,"")</f>
        <v/>
      </c>
      <c r="U79" s="186" t="str">
        <f t="shared" ref="U79" si="32">IF(U23&gt;0,U23/U7*1000000,"")</f>
        <v/>
      </c>
      <c r="V79" s="186" t="str">
        <f>IF(V23&gt;0,V23/V7*1000000,"")</f>
        <v/>
      </c>
      <c r="W79" s="186" t="str">
        <f>IF(W23&gt;0,W23/W7*1000000,"")</f>
        <v/>
      </c>
      <c r="X79" s="186" t="str">
        <f>IF(X23&gt;0,X23/X7*1000000,"")</f>
        <v/>
      </c>
      <c r="Y79" s="186" t="str">
        <f t="shared" ref="Y79:AN79" si="33">IF(Y23&gt;0,Y23/Y7*1000000,"")</f>
        <v/>
      </c>
      <c r="Z79" s="186" t="str">
        <f t="shared" si="33"/>
        <v/>
      </c>
      <c r="AA79" s="186" t="str">
        <f t="shared" si="33"/>
        <v/>
      </c>
      <c r="AB79" s="186" t="str">
        <f t="shared" si="33"/>
        <v/>
      </c>
      <c r="AC79" s="186" t="str">
        <f t="shared" si="33"/>
        <v/>
      </c>
      <c r="AD79" s="186" t="str">
        <f t="shared" si="33"/>
        <v/>
      </c>
      <c r="AE79" s="186" t="str">
        <f t="shared" si="33"/>
        <v/>
      </c>
      <c r="AF79" s="186" t="str">
        <f t="shared" si="33"/>
        <v/>
      </c>
      <c r="AG79" s="186" t="str">
        <f t="shared" si="33"/>
        <v/>
      </c>
      <c r="AH79" s="186" t="str">
        <f t="shared" si="33"/>
        <v/>
      </c>
      <c r="AI79" s="186" t="str">
        <f t="shared" si="33"/>
        <v/>
      </c>
      <c r="AJ79" s="186" t="str">
        <f t="shared" si="33"/>
        <v/>
      </c>
      <c r="AK79" s="186" t="str">
        <f t="shared" si="33"/>
        <v/>
      </c>
      <c r="AL79" s="186" t="str">
        <f t="shared" si="33"/>
        <v/>
      </c>
      <c r="AM79" s="186" t="str">
        <f t="shared" si="33"/>
        <v/>
      </c>
      <c r="AN79" s="186" t="str">
        <f t="shared" si="33"/>
        <v/>
      </c>
      <c r="AO79" s="186" t="str">
        <f t="shared" ref="AO79:AR79" si="34">IF(AO23&gt;0,AO23/AO7*1000000,"")</f>
        <v/>
      </c>
      <c r="AP79" s="186" t="str">
        <f t="shared" si="34"/>
        <v/>
      </c>
      <c r="AQ79" s="186" t="str">
        <f t="shared" si="34"/>
        <v/>
      </c>
      <c r="AR79" s="186" t="str">
        <f t="shared" si="34"/>
        <v/>
      </c>
      <c r="AS79" s="187" t="str">
        <f>IF(AS7&gt;0,AS23/AS7*1000000,"")</f>
        <v/>
      </c>
    </row>
    <row r="80" spans="1:46">
      <c r="A80" s="253"/>
      <c r="B80" s="137">
        <f t="shared" si="21"/>
        <v>780</v>
      </c>
      <c r="C80" s="142" t="str">
        <f>VLOOKUP(B80,'Tipos de Defeitos'!B$4:E$106,Menu!$B$23+1,)</f>
        <v>Taxa defeituosa (ppm)</v>
      </c>
      <c r="D80" s="188" t="e">
        <f>IF(D27&lt;&gt;0,D78/D27*D24/D7*1000000,"")</f>
        <v>#DIV/0!</v>
      </c>
      <c r="E80" s="188" t="str">
        <f>IF(E27&lt;&gt;0,E78/E27*E24/E7*1000000,"")</f>
        <v/>
      </c>
      <c r="F80" s="188" t="str">
        <f t="shared" ref="F80:G80" si="35">IF(F27&lt;&gt;0,F78/F27*F24/F7*1000000,"")</f>
        <v/>
      </c>
      <c r="G80" s="188" t="str">
        <f t="shared" si="35"/>
        <v/>
      </c>
      <c r="H80" s="188" t="str">
        <f t="shared" ref="H80" si="36">IF(H27&lt;&gt;0,H78/H27*H24/H7*1000000,"")</f>
        <v/>
      </c>
      <c r="I80" s="188" t="str">
        <f>IF(I27&lt;&gt;0,I78/I27*I24/I7*1000000,"")</f>
        <v/>
      </c>
      <c r="J80" s="188" t="str">
        <f>IF(J27&lt;&gt;0,J78/J27*J24/J7*1000000,"")</f>
        <v/>
      </c>
      <c r="K80" s="188" t="str">
        <f>IF(K27&lt;&gt;0,K78/K27*K24/K7*1000000,"")</f>
        <v/>
      </c>
      <c r="L80" s="188" t="str">
        <f t="shared" ref="L80:Q80" si="37">IF(M27&lt;&gt;0,L78/M27*M24/M7*1000000,"")</f>
        <v/>
      </c>
      <c r="M80" s="188" t="str">
        <f t="shared" si="37"/>
        <v/>
      </c>
      <c r="N80" s="188" t="str">
        <f t="shared" si="37"/>
        <v/>
      </c>
      <c r="O80" s="188" t="str">
        <f t="shared" si="37"/>
        <v/>
      </c>
      <c r="P80" s="188" t="str">
        <f t="shared" si="37"/>
        <v/>
      </c>
      <c r="Q80" s="188" t="str">
        <f t="shared" si="37"/>
        <v/>
      </c>
      <c r="R80" s="188" t="str">
        <f t="shared" ref="R80" si="38">IF(S27&lt;&gt;0,R78/S27*S24/S7*1000000,"")</f>
        <v/>
      </c>
      <c r="S80" s="188" t="str">
        <f t="shared" ref="S80" si="39">IF(T27&lt;&gt;0,S78/T27*T24/T7*1000000,"")</f>
        <v/>
      </c>
      <c r="T80" s="188" t="str">
        <f t="shared" ref="T80" si="40">IF(U27&lt;&gt;0,T78/U27*U24/U7*1000000,"")</f>
        <v/>
      </c>
      <c r="U80" s="188" t="str">
        <f t="shared" ref="U80" si="41">IF(U27&lt;&gt;0,U78/U27*U24/U7*1000000,"")</f>
        <v/>
      </c>
      <c r="V80" s="188" t="str">
        <f>IF(V27&lt;&gt;0,V78/V27*V24/V7*1000000,"")</f>
        <v/>
      </c>
      <c r="W80" s="188" t="str">
        <f>IF(W27&lt;&gt;0,W78/W27*W24/W7*1000000,"")</f>
        <v/>
      </c>
      <c r="X80" s="188" t="str">
        <f>IF(X27&lt;&gt;0,X78/X27*X24/X7*1000000,"")</f>
        <v/>
      </c>
      <c r="Y80" s="188" t="str">
        <f t="shared" ref="Y80:AN80" si="42">IF(Y27&lt;&gt;0,Y78/Y27*Y24/Y7*1000000,"")</f>
        <v/>
      </c>
      <c r="Z80" s="188" t="str">
        <f t="shared" si="42"/>
        <v/>
      </c>
      <c r="AA80" s="188" t="str">
        <f t="shared" si="42"/>
        <v/>
      </c>
      <c r="AB80" s="188" t="str">
        <f t="shared" si="42"/>
        <v/>
      </c>
      <c r="AC80" s="188" t="str">
        <f t="shared" si="42"/>
        <v/>
      </c>
      <c r="AD80" s="188" t="str">
        <f t="shared" si="42"/>
        <v/>
      </c>
      <c r="AE80" s="188" t="str">
        <f t="shared" si="42"/>
        <v/>
      </c>
      <c r="AF80" s="188" t="str">
        <f t="shared" si="42"/>
        <v/>
      </c>
      <c r="AG80" s="188" t="str">
        <f t="shared" si="42"/>
        <v/>
      </c>
      <c r="AH80" s="188" t="str">
        <f t="shared" si="42"/>
        <v/>
      </c>
      <c r="AI80" s="188" t="str">
        <f t="shared" si="42"/>
        <v/>
      </c>
      <c r="AJ80" s="188" t="str">
        <f t="shared" si="42"/>
        <v/>
      </c>
      <c r="AK80" s="188" t="str">
        <f t="shared" si="42"/>
        <v/>
      </c>
      <c r="AL80" s="188" t="str">
        <f t="shared" si="42"/>
        <v/>
      </c>
      <c r="AM80" s="188" t="str">
        <f t="shared" si="42"/>
        <v/>
      </c>
      <c r="AN80" s="188" t="str">
        <f t="shared" si="42"/>
        <v/>
      </c>
      <c r="AO80" s="188" t="str">
        <f t="shared" ref="AO80:AR80" si="43">IF(AO27&lt;&gt;0,AO78/AO27*AO24/AO7*1000000,"")</f>
        <v/>
      </c>
      <c r="AP80" s="188" t="str">
        <f t="shared" si="43"/>
        <v/>
      </c>
      <c r="AQ80" s="188" t="str">
        <f t="shared" si="43"/>
        <v/>
      </c>
      <c r="AR80" s="188" t="str">
        <f t="shared" si="43"/>
        <v/>
      </c>
      <c r="AS80" s="187" t="str">
        <f>IF((AS27*AS7)&gt;0,AS78/AS27*AS24/AS7*1000000,"")</f>
        <v/>
      </c>
    </row>
    <row r="81" spans="1:45">
      <c r="A81" s="253"/>
      <c r="B81" s="137">
        <f t="shared" si="21"/>
        <v>790</v>
      </c>
      <c r="C81" s="142" t="str">
        <f>VLOOKUP(B81,'Tipos de Defeitos'!B$4:E$106,Menu!$B$23+1,)</f>
        <v>Qtd. Defeitos internos (pçs)</v>
      </c>
      <c r="D81" s="148">
        <f t="shared" ref="D81:E81" si="44">SUM(D28:D67,D86:D98,D69:D71)</f>
        <v>9</v>
      </c>
      <c r="E81" s="148">
        <f t="shared" si="44"/>
        <v>0</v>
      </c>
      <c r="F81" s="148">
        <f t="shared" ref="F81:G81" si="45">SUM(F28:F67,F86:F98,F69:F71)</f>
        <v>0</v>
      </c>
      <c r="G81" s="148">
        <f t="shared" si="45"/>
        <v>0</v>
      </c>
      <c r="H81" s="148">
        <f t="shared" ref="H81:I81" si="46">SUM(H28:H67,H86:H98,H69:H71)</f>
        <v>0</v>
      </c>
      <c r="I81" s="148">
        <f t="shared" si="46"/>
        <v>0</v>
      </c>
      <c r="J81" s="148">
        <f t="shared" ref="J81:K81" si="47">SUM(J28:J67,J86:J98,J69:J71)</f>
        <v>0</v>
      </c>
      <c r="K81" s="148">
        <f t="shared" si="47"/>
        <v>0</v>
      </c>
      <c r="L81" s="148">
        <f t="shared" ref="L81:Q81" si="48">SUM(M28:M67,M86:M98,M69:M71)</f>
        <v>0</v>
      </c>
      <c r="M81" s="148">
        <f t="shared" si="48"/>
        <v>0</v>
      </c>
      <c r="N81" s="148">
        <f t="shared" si="48"/>
        <v>0</v>
      </c>
      <c r="O81" s="148">
        <f t="shared" si="48"/>
        <v>0</v>
      </c>
      <c r="P81" s="148">
        <f t="shared" si="48"/>
        <v>0</v>
      </c>
      <c r="Q81" s="148">
        <f t="shared" si="48"/>
        <v>0</v>
      </c>
      <c r="R81" s="148">
        <f t="shared" ref="R81" si="49">SUM(S28:S67,S86:S98,S69:S71)</f>
        <v>0</v>
      </c>
      <c r="S81" s="148">
        <f t="shared" ref="S81" si="50">SUM(T28:T67,T86:T98,T69:T71)</f>
        <v>0</v>
      </c>
      <c r="T81" s="148">
        <f t="shared" ref="T81" si="51">SUM(U28:U67,U86:U98,U69:U71)</f>
        <v>0</v>
      </c>
      <c r="U81" s="148">
        <f t="shared" ref="U81:AS81" si="52">SUM(U28:U67,U86:U98,U69:U71)</f>
        <v>0</v>
      </c>
      <c r="V81" s="148">
        <f t="shared" si="52"/>
        <v>0</v>
      </c>
      <c r="W81" s="148">
        <f t="shared" si="52"/>
        <v>0</v>
      </c>
      <c r="X81" s="148">
        <f t="shared" si="52"/>
        <v>0</v>
      </c>
      <c r="Y81" s="148">
        <f t="shared" si="52"/>
        <v>0</v>
      </c>
      <c r="Z81" s="148">
        <f t="shared" si="52"/>
        <v>0</v>
      </c>
      <c r="AA81" s="148">
        <f t="shared" si="52"/>
        <v>0</v>
      </c>
      <c r="AB81" s="148">
        <f t="shared" si="52"/>
        <v>0</v>
      </c>
      <c r="AC81" s="148">
        <f t="shared" si="52"/>
        <v>0</v>
      </c>
      <c r="AD81" s="148">
        <f t="shared" si="52"/>
        <v>0</v>
      </c>
      <c r="AE81" s="148">
        <f t="shared" si="52"/>
        <v>0</v>
      </c>
      <c r="AF81" s="148">
        <f t="shared" si="52"/>
        <v>0</v>
      </c>
      <c r="AG81" s="148">
        <f t="shared" si="52"/>
        <v>0</v>
      </c>
      <c r="AH81" s="148">
        <f t="shared" si="52"/>
        <v>0</v>
      </c>
      <c r="AI81" s="148">
        <f t="shared" si="52"/>
        <v>0</v>
      </c>
      <c r="AJ81" s="148">
        <f t="shared" si="52"/>
        <v>0</v>
      </c>
      <c r="AK81" s="148">
        <f t="shared" si="52"/>
        <v>0</v>
      </c>
      <c r="AL81" s="148">
        <f t="shared" si="52"/>
        <v>0</v>
      </c>
      <c r="AM81" s="148">
        <f t="shared" si="52"/>
        <v>0</v>
      </c>
      <c r="AN81" s="148">
        <f t="shared" si="52"/>
        <v>0</v>
      </c>
      <c r="AO81" s="148">
        <f t="shared" si="52"/>
        <v>0</v>
      </c>
      <c r="AP81" s="148">
        <f t="shared" si="52"/>
        <v>0</v>
      </c>
      <c r="AQ81" s="148">
        <f t="shared" si="52"/>
        <v>0</v>
      </c>
      <c r="AR81" s="148">
        <f t="shared" si="52"/>
        <v>0</v>
      </c>
      <c r="AS81" s="187">
        <f t="shared" si="52"/>
        <v>9</v>
      </c>
    </row>
    <row r="82" spans="1:45" ht="13.5" thickBot="1">
      <c r="A82" s="254"/>
      <c r="B82" s="140">
        <f t="shared" si="21"/>
        <v>800</v>
      </c>
      <c r="C82" s="143" t="str">
        <f>VLOOKUP(B82,'Tipos de Defeitos'!B$4:E$106,Menu!$B$23+1,)</f>
        <v>Defeitos Internos - Taxa defeituosa (ppm)</v>
      </c>
      <c r="D82" s="189" t="str">
        <f>IF(D24&gt;0,D81/D27*D24/D7*1000000,"")</f>
        <v/>
      </c>
      <c r="E82" s="189" t="str">
        <f>IF(E24&gt;0,E81/E27*E24/E7*1000000,"")</f>
        <v/>
      </c>
      <c r="F82" s="189" t="str">
        <f t="shared" ref="F82:G82" si="53">IF(F24&gt;0,F81/F27*F24/F7*1000000,"")</f>
        <v/>
      </c>
      <c r="G82" s="189" t="str">
        <f t="shared" si="53"/>
        <v/>
      </c>
      <c r="H82" s="189" t="str">
        <f t="shared" ref="H82" si="54">IF(H24&gt;0,H81/H27*H24/H7*1000000,"")</f>
        <v/>
      </c>
      <c r="I82" s="189" t="str">
        <f>IF(I24&gt;0,I81/I27*I24/I7*1000000,"")</f>
        <v/>
      </c>
      <c r="J82" s="189" t="str">
        <f>IF(J24&gt;0,J81/J27*J24/J7*1000000,"")</f>
        <v/>
      </c>
      <c r="K82" s="189" t="str">
        <f>IF(K24&gt;0,K81/K27*K24/K7*1000000,"")</f>
        <v/>
      </c>
      <c r="L82" s="189" t="str">
        <f t="shared" ref="L82:Q82" si="55">IF(M24&gt;0,L81/M27*M24/M7*1000000,"")</f>
        <v/>
      </c>
      <c r="M82" s="189" t="str">
        <f t="shared" si="55"/>
        <v/>
      </c>
      <c r="N82" s="189" t="str">
        <f t="shared" si="55"/>
        <v/>
      </c>
      <c r="O82" s="189" t="str">
        <f t="shared" si="55"/>
        <v/>
      </c>
      <c r="P82" s="189" t="str">
        <f t="shared" si="55"/>
        <v/>
      </c>
      <c r="Q82" s="189" t="str">
        <f t="shared" si="55"/>
        <v/>
      </c>
      <c r="R82" s="189" t="str">
        <f t="shared" ref="R82" si="56">IF(S24&gt;0,R81/S27*S24/S7*1000000,"")</f>
        <v/>
      </c>
      <c r="S82" s="189" t="str">
        <f t="shared" ref="S82" si="57">IF(T24&gt;0,S81/T27*T24/T7*1000000,"")</f>
        <v/>
      </c>
      <c r="T82" s="189" t="str">
        <f t="shared" ref="T82" si="58">IF(U24&gt;0,T81/U27*U24/U7*1000000,"")</f>
        <v/>
      </c>
      <c r="U82" s="189" t="str">
        <f t="shared" ref="U82" si="59">IF(U24&gt;0,U81/U27*U24/U7*1000000,"")</f>
        <v/>
      </c>
      <c r="V82" s="189" t="str">
        <f>IF(V24&gt;0,V81/V27*V24/V7*1000000,"")</f>
        <v/>
      </c>
      <c r="W82" s="189" t="str">
        <f>IF(W24&gt;0,W81/W27*W24/W7*1000000,"")</f>
        <v/>
      </c>
      <c r="X82" s="189" t="str">
        <f>IF(X24&gt;0,X81/X27*X24/X7*1000000,"")</f>
        <v/>
      </c>
      <c r="Y82" s="189" t="str">
        <f t="shared" ref="Y82:AN82" si="60">IF(Y24&gt;0,Y81/Y27*Y24/Y7*1000000,"")</f>
        <v/>
      </c>
      <c r="Z82" s="189" t="str">
        <f t="shared" si="60"/>
        <v/>
      </c>
      <c r="AA82" s="189" t="str">
        <f t="shared" si="60"/>
        <v/>
      </c>
      <c r="AB82" s="189" t="str">
        <f t="shared" si="60"/>
        <v/>
      </c>
      <c r="AC82" s="189" t="str">
        <f t="shared" si="60"/>
        <v/>
      </c>
      <c r="AD82" s="189" t="str">
        <f t="shared" si="60"/>
        <v/>
      </c>
      <c r="AE82" s="189" t="str">
        <f t="shared" si="60"/>
        <v/>
      </c>
      <c r="AF82" s="189" t="str">
        <f t="shared" si="60"/>
        <v/>
      </c>
      <c r="AG82" s="189" t="str">
        <f t="shared" si="60"/>
        <v/>
      </c>
      <c r="AH82" s="189" t="str">
        <f t="shared" si="60"/>
        <v/>
      </c>
      <c r="AI82" s="189" t="str">
        <f t="shared" si="60"/>
        <v/>
      </c>
      <c r="AJ82" s="189" t="str">
        <f t="shared" si="60"/>
        <v/>
      </c>
      <c r="AK82" s="189" t="str">
        <f t="shared" si="60"/>
        <v/>
      </c>
      <c r="AL82" s="189" t="str">
        <f t="shared" si="60"/>
        <v/>
      </c>
      <c r="AM82" s="189" t="str">
        <f t="shared" si="60"/>
        <v/>
      </c>
      <c r="AN82" s="189" t="str">
        <f t="shared" si="60"/>
        <v/>
      </c>
      <c r="AO82" s="189" t="str">
        <f t="shared" ref="AO82:AR82" si="61">IF(AO24&gt;0,AO81/AO27*AO24/AO7*1000000,"")</f>
        <v/>
      </c>
      <c r="AP82" s="189" t="str">
        <f t="shared" si="61"/>
        <v/>
      </c>
      <c r="AQ82" s="189" t="str">
        <f t="shared" si="61"/>
        <v/>
      </c>
      <c r="AR82" s="189" t="str">
        <f t="shared" si="61"/>
        <v/>
      </c>
      <c r="AS82" s="190" t="str">
        <f>IF((AS27*AS7)&gt;0,AS81/AS27*AS24/AS7*1000000,"")</f>
        <v/>
      </c>
    </row>
    <row r="83" spans="1:45" ht="14.25" customHeight="1">
      <c r="A83" s="255" t="s">
        <v>205</v>
      </c>
      <c r="B83" s="139">
        <f t="shared" si="21"/>
        <v>810</v>
      </c>
      <c r="C83" s="141" t="str">
        <f>VLOOKUP(B83,'Tipos de Defeitos'!B$4:E$106,Menu!$B$23+1,)</f>
        <v>Amperagem (Moda)</v>
      </c>
      <c r="D83" s="210">
        <v>2</v>
      </c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  <c r="Y83" s="210"/>
      <c r="Z83" s="210"/>
      <c r="AA83" s="210"/>
      <c r="AB83" s="210"/>
      <c r="AC83" s="210"/>
      <c r="AD83" s="210"/>
      <c r="AE83" s="210"/>
      <c r="AF83" s="210"/>
      <c r="AG83" s="210"/>
      <c r="AH83" s="210"/>
      <c r="AI83" s="210"/>
      <c r="AJ83" s="210"/>
      <c r="AK83" s="210"/>
      <c r="AL83" s="210"/>
      <c r="AM83" s="210"/>
      <c r="AN83" s="210"/>
      <c r="AO83" s="210"/>
      <c r="AP83" s="210"/>
      <c r="AQ83" s="210"/>
      <c r="AR83" s="210"/>
      <c r="AS83" s="191">
        <f>AVERAGE(D83:AR83)</f>
        <v>2</v>
      </c>
    </row>
    <row r="84" spans="1:45">
      <c r="A84" s="256"/>
      <c r="B84" s="137">
        <f t="shared" si="21"/>
        <v>820</v>
      </c>
      <c r="C84" s="142" t="str">
        <f>VLOOKUP(B84,'Tipos de Defeitos'!B$4:E$106,Menu!$B$23+1,)</f>
        <v>Amperagem Ajustada</v>
      </c>
      <c r="D84" s="192">
        <f t="shared" ref="D84:E84" si="62">IF(D83&gt;0,D83-1," ")</f>
        <v>1</v>
      </c>
      <c r="E84" s="192" t="str">
        <f t="shared" si="62"/>
        <v xml:space="preserve"> </v>
      </c>
      <c r="F84" s="192" t="str">
        <f t="shared" ref="F84:G84" si="63">IF(F83&gt;0,F83-1," ")</f>
        <v xml:space="preserve"> </v>
      </c>
      <c r="G84" s="192" t="str">
        <f t="shared" si="63"/>
        <v xml:space="preserve"> </v>
      </c>
      <c r="H84" s="192" t="str">
        <f t="shared" ref="H84:I84" si="64">IF(H83&gt;0,H83-1," ")</f>
        <v xml:space="preserve"> </v>
      </c>
      <c r="I84" s="192" t="str">
        <f t="shared" si="64"/>
        <v xml:space="preserve"> </v>
      </c>
      <c r="J84" s="192" t="str">
        <f t="shared" ref="J84:L84" si="65">IF(J83&gt;0,J83-1," ")</f>
        <v xml:space="preserve"> </v>
      </c>
      <c r="K84" s="192" t="str">
        <f t="shared" si="65"/>
        <v xml:space="preserve"> </v>
      </c>
      <c r="L84" s="192" t="str">
        <f t="shared" si="65"/>
        <v xml:space="preserve"> </v>
      </c>
      <c r="M84" s="192" t="str">
        <f t="shared" ref="M84" si="66">IF(M83&gt;0,M83-1," ")</f>
        <v xml:space="preserve"> </v>
      </c>
      <c r="N84" s="192" t="str">
        <f t="shared" ref="N84:AI84" si="67">IF(N83&gt;0,N83-1," ")</f>
        <v xml:space="preserve"> </v>
      </c>
      <c r="O84" s="192" t="str">
        <f t="shared" si="67"/>
        <v xml:space="preserve"> </v>
      </c>
      <c r="P84" s="192" t="str">
        <f t="shared" si="67"/>
        <v xml:space="preserve"> </v>
      </c>
      <c r="Q84" s="192" t="str">
        <f t="shared" si="67"/>
        <v xml:space="preserve"> </v>
      </c>
      <c r="R84" s="192" t="str">
        <f t="shared" si="67"/>
        <v xml:space="preserve"> </v>
      </c>
      <c r="S84" s="192" t="str">
        <f t="shared" si="67"/>
        <v xml:space="preserve"> </v>
      </c>
      <c r="T84" s="192" t="str">
        <f t="shared" si="67"/>
        <v xml:space="preserve"> </v>
      </c>
      <c r="U84" s="192" t="str">
        <f t="shared" si="67"/>
        <v xml:space="preserve"> </v>
      </c>
      <c r="V84" s="192" t="str">
        <f t="shared" si="67"/>
        <v xml:space="preserve"> </v>
      </c>
      <c r="W84" s="192" t="str">
        <f t="shared" si="67"/>
        <v xml:space="preserve"> </v>
      </c>
      <c r="X84" s="192" t="str">
        <f t="shared" si="67"/>
        <v xml:space="preserve"> </v>
      </c>
      <c r="Y84" s="192" t="str">
        <f t="shared" si="67"/>
        <v xml:space="preserve"> </v>
      </c>
      <c r="Z84" s="192" t="str">
        <f t="shared" si="67"/>
        <v xml:space="preserve"> </v>
      </c>
      <c r="AA84" s="192" t="str">
        <f t="shared" si="67"/>
        <v xml:space="preserve"> </v>
      </c>
      <c r="AB84" s="192" t="str">
        <f t="shared" si="67"/>
        <v xml:space="preserve"> </v>
      </c>
      <c r="AC84" s="192" t="str">
        <f t="shared" si="67"/>
        <v xml:space="preserve"> </v>
      </c>
      <c r="AD84" s="192" t="str">
        <f t="shared" si="67"/>
        <v xml:space="preserve"> </v>
      </c>
      <c r="AE84" s="192" t="str">
        <f t="shared" si="67"/>
        <v xml:space="preserve"> </v>
      </c>
      <c r="AF84" s="192" t="str">
        <f t="shared" si="67"/>
        <v xml:space="preserve"> </v>
      </c>
      <c r="AG84" s="192" t="str">
        <f t="shared" si="67"/>
        <v xml:space="preserve"> </v>
      </c>
      <c r="AH84" s="192" t="str">
        <f t="shared" si="67"/>
        <v xml:space="preserve"> </v>
      </c>
      <c r="AI84" s="192" t="str">
        <f t="shared" si="67"/>
        <v xml:space="preserve"> </v>
      </c>
      <c r="AJ84" s="192" t="str">
        <f t="shared" ref="AJ84:AN84" si="68">IF(AJ83&gt;0,AJ83-1," ")</f>
        <v xml:space="preserve"> </v>
      </c>
      <c r="AK84" s="192" t="str">
        <f t="shared" si="68"/>
        <v xml:space="preserve"> </v>
      </c>
      <c r="AL84" s="192" t="str">
        <f t="shared" si="68"/>
        <v xml:space="preserve"> </v>
      </c>
      <c r="AM84" s="192" t="str">
        <f t="shared" si="68"/>
        <v xml:space="preserve"> </v>
      </c>
      <c r="AN84" s="192" t="str">
        <f t="shared" si="68"/>
        <v xml:space="preserve"> </v>
      </c>
      <c r="AO84" s="192" t="str">
        <f t="shared" ref="AO84:AS84" si="69">IF(AO83&gt;0,AO83-1," ")</f>
        <v xml:space="preserve"> </v>
      </c>
      <c r="AP84" s="192" t="str">
        <f t="shared" si="69"/>
        <v xml:space="preserve"> </v>
      </c>
      <c r="AQ84" s="192" t="str">
        <f t="shared" si="69"/>
        <v xml:space="preserve"> </v>
      </c>
      <c r="AR84" s="192" t="str">
        <f t="shared" si="69"/>
        <v xml:space="preserve"> </v>
      </c>
      <c r="AS84" s="192">
        <f t="shared" si="69"/>
        <v>1</v>
      </c>
    </row>
    <row r="85" spans="1:45" ht="13.5" thickBot="1">
      <c r="A85" s="257"/>
      <c r="B85" s="140">
        <f t="shared" si="21"/>
        <v>830</v>
      </c>
      <c r="C85" s="143" t="str">
        <f>VLOOKUP(B85,'Tipos de Defeitos'!B$4:E$106,Menu!$B$23+1,)</f>
        <v>Qtd Baterias analisadas (pçs)</v>
      </c>
      <c r="D85" s="194">
        <f t="shared" ref="D85:E85" si="70">D103</f>
        <v>0</v>
      </c>
      <c r="E85" s="194">
        <f t="shared" si="70"/>
        <v>0</v>
      </c>
      <c r="F85" s="194">
        <f t="shared" ref="F85" si="71">F103</f>
        <v>0</v>
      </c>
      <c r="G85" s="194">
        <v>0</v>
      </c>
      <c r="H85" s="194">
        <f t="shared" ref="H85:I85" si="72">H103</f>
        <v>0</v>
      </c>
      <c r="I85" s="194">
        <f t="shared" si="72"/>
        <v>0</v>
      </c>
      <c r="J85" s="194">
        <f t="shared" ref="J85:L85" si="73">J103</f>
        <v>0</v>
      </c>
      <c r="K85" s="194">
        <f t="shared" si="73"/>
        <v>0</v>
      </c>
      <c r="L85" s="194">
        <f t="shared" si="73"/>
        <v>0</v>
      </c>
      <c r="M85" s="194">
        <f t="shared" ref="M85" si="74">M103</f>
        <v>0</v>
      </c>
      <c r="N85" s="194">
        <v>0</v>
      </c>
      <c r="O85" s="194">
        <v>0</v>
      </c>
      <c r="P85" s="194">
        <v>0</v>
      </c>
      <c r="Q85" s="194">
        <v>0</v>
      </c>
      <c r="R85" s="194">
        <v>0</v>
      </c>
      <c r="S85" s="194">
        <v>0</v>
      </c>
      <c r="T85" s="194">
        <f t="shared" ref="T85:V85" si="75">T103</f>
        <v>0</v>
      </c>
      <c r="U85" s="194">
        <f t="shared" si="75"/>
        <v>0</v>
      </c>
      <c r="V85" s="194">
        <f t="shared" si="75"/>
        <v>0</v>
      </c>
      <c r="W85" s="194">
        <f t="shared" ref="W85" si="76">W103</f>
        <v>0</v>
      </c>
      <c r="X85" s="194">
        <f t="shared" ref="X85" si="77">X103</f>
        <v>0</v>
      </c>
      <c r="Y85" s="194">
        <f t="shared" ref="Y85:AN85" si="78">Y103</f>
        <v>0</v>
      </c>
      <c r="Z85" s="194">
        <f t="shared" si="78"/>
        <v>0</v>
      </c>
      <c r="AA85" s="194">
        <f t="shared" si="78"/>
        <v>0</v>
      </c>
      <c r="AB85" s="194">
        <f t="shared" si="78"/>
        <v>0</v>
      </c>
      <c r="AC85" s="194">
        <f t="shared" si="78"/>
        <v>0</v>
      </c>
      <c r="AD85" s="194">
        <f t="shared" si="78"/>
        <v>0</v>
      </c>
      <c r="AE85" s="194">
        <f t="shared" si="78"/>
        <v>0</v>
      </c>
      <c r="AF85" s="194">
        <f t="shared" si="78"/>
        <v>0</v>
      </c>
      <c r="AG85" s="194">
        <f t="shared" si="78"/>
        <v>0</v>
      </c>
      <c r="AH85" s="194">
        <f t="shared" si="78"/>
        <v>0</v>
      </c>
      <c r="AI85" s="194">
        <f t="shared" si="78"/>
        <v>0</v>
      </c>
      <c r="AJ85" s="194">
        <f t="shared" si="78"/>
        <v>0</v>
      </c>
      <c r="AK85" s="194">
        <f t="shared" si="78"/>
        <v>0</v>
      </c>
      <c r="AL85" s="194">
        <f t="shared" si="78"/>
        <v>0</v>
      </c>
      <c r="AM85" s="194">
        <f t="shared" si="78"/>
        <v>0</v>
      </c>
      <c r="AN85" s="194">
        <f t="shared" si="78"/>
        <v>0</v>
      </c>
      <c r="AO85" s="194">
        <f t="shared" ref="AO85:AR85" si="79">AO103</f>
        <v>0</v>
      </c>
      <c r="AP85" s="194">
        <f t="shared" si="79"/>
        <v>0</v>
      </c>
      <c r="AQ85" s="194">
        <f t="shared" si="79"/>
        <v>0</v>
      </c>
      <c r="AR85" s="194">
        <f t="shared" si="79"/>
        <v>0</v>
      </c>
      <c r="AS85" s="195">
        <f>SUM(AS86:AS102)</f>
        <v>0</v>
      </c>
    </row>
    <row r="86" spans="1:45" ht="13.5" customHeight="1">
      <c r="A86" s="253" t="s">
        <v>29</v>
      </c>
      <c r="B86" s="138">
        <f t="shared" si="21"/>
        <v>840</v>
      </c>
      <c r="C86" s="146" t="str">
        <f>VLOOKUP(B86,'Tipos de Defeitos'!B$4:E$106,Menu!$B$23+1,)</f>
        <v>Papel Separdor Duplo</v>
      </c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88">
        <f t="shared" ref="AS86:AS102" si="80">SUM(D86:AR86)</f>
        <v>0</v>
      </c>
    </row>
    <row r="87" spans="1:45">
      <c r="A87" s="253"/>
      <c r="B87" s="137">
        <f t="shared" si="21"/>
        <v>850</v>
      </c>
      <c r="C87" s="142" t="str">
        <f>VLOOKUP(B87,'Tipos de Defeitos'!B$4:E$106,Menu!$B$23+1,)</f>
        <v>Pedra de Negro</v>
      </c>
      <c r="D87" s="150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  <c r="AI87" s="150"/>
      <c r="AJ87" s="150"/>
      <c r="AK87" s="150"/>
      <c r="AL87" s="150"/>
      <c r="AM87" s="150"/>
      <c r="AN87" s="150"/>
      <c r="AO87" s="150"/>
      <c r="AP87" s="150"/>
      <c r="AQ87" s="150"/>
      <c r="AR87" s="150"/>
      <c r="AS87" s="88">
        <f t="shared" si="80"/>
        <v>0</v>
      </c>
    </row>
    <row r="88" spans="1:45">
      <c r="A88" s="253"/>
      <c r="B88" s="137">
        <f t="shared" si="21"/>
        <v>860</v>
      </c>
      <c r="C88" s="142" t="str">
        <f>VLOOKUP(B88,'Tipos de Defeitos'!B$4:E$106,Menu!$B$23+1,)</f>
        <v>Pedra de Cl de Amônia</v>
      </c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88">
        <f t="shared" si="80"/>
        <v>0</v>
      </c>
    </row>
    <row r="89" spans="1:45">
      <c r="A89" s="253"/>
      <c r="B89" s="137">
        <f t="shared" si="21"/>
        <v>870</v>
      </c>
      <c r="C89" s="142" t="str">
        <f>VLOOKUP(B89,'Tipos de Defeitos'!B$4:E$106,Menu!$B$23+1,)</f>
        <v>Pelota de Manganês</v>
      </c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88">
        <f t="shared" si="80"/>
        <v>0</v>
      </c>
    </row>
    <row r="90" spans="1:45">
      <c r="A90" s="253"/>
      <c r="B90" s="137">
        <f t="shared" si="21"/>
        <v>880</v>
      </c>
      <c r="C90" s="142" t="str">
        <f>VLOOKUP(B90,'Tipos de Defeitos'!B$4:E$106,Menu!$B$23+1,)</f>
        <v>Bobina Baixa A</v>
      </c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88">
        <f t="shared" si="80"/>
        <v>0</v>
      </c>
    </row>
    <row r="91" spans="1:45">
      <c r="A91" s="253"/>
      <c r="B91" s="137">
        <f t="shared" si="21"/>
        <v>890</v>
      </c>
      <c r="C91" s="142" t="str">
        <f>VLOOKUP(B91,'Tipos de Defeitos'!B$4:E$106,Menu!$B$23+1,)</f>
        <v>Bobina Rachada</v>
      </c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88">
        <f t="shared" si="80"/>
        <v>0</v>
      </c>
    </row>
    <row r="92" spans="1:45">
      <c r="A92" s="253"/>
      <c r="B92" s="137">
        <f t="shared" si="21"/>
        <v>900</v>
      </c>
      <c r="C92" s="142" t="str">
        <f>VLOOKUP(B92,'Tipos de Defeitos'!B$4:E$106,Menu!$B$23+1,)</f>
        <v>Emenda de Papel</v>
      </c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88">
        <f t="shared" si="80"/>
        <v>0</v>
      </c>
    </row>
    <row r="93" spans="1:45">
      <c r="A93" s="253"/>
      <c r="B93" s="137">
        <f t="shared" si="21"/>
        <v>910</v>
      </c>
      <c r="C93" s="142" t="str">
        <f>VLOOKUP(B93,'Tipos de Defeitos'!B$4:E$106,Menu!$B$23+1,)</f>
        <v>Carvão Quebrado A</v>
      </c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88">
        <f t="shared" si="80"/>
        <v>0</v>
      </c>
    </row>
    <row r="94" spans="1:45">
      <c r="A94" s="253"/>
      <c r="B94" s="137">
        <f t="shared" si="21"/>
        <v>920</v>
      </c>
      <c r="C94" s="142" t="str">
        <f>VLOOKUP(B94,'Tipos de Defeitos'!B$4:E$106,Menu!$B$23+1,)</f>
        <v>Metade do Carvão</v>
      </c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88">
        <f t="shared" si="80"/>
        <v>0</v>
      </c>
    </row>
    <row r="95" spans="1:45">
      <c r="A95" s="253"/>
      <c r="B95" s="137">
        <f t="shared" si="21"/>
        <v>930</v>
      </c>
      <c r="C95" s="142" t="str">
        <f>VLOOKUP(B95,'Tipos de Defeitos'!B$4:E$106,Menu!$B$23+1,)</f>
        <v>Carvão Frouxo</v>
      </c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88">
        <f t="shared" si="80"/>
        <v>0</v>
      </c>
    </row>
    <row r="96" spans="1:45">
      <c r="A96" s="253"/>
      <c r="B96" s="137">
        <f t="shared" si="21"/>
        <v>940</v>
      </c>
      <c r="C96" s="142" t="str">
        <f>VLOOKUP(B96,'Tipos de Defeitos'!B$4:E$106,Menu!$B$23+1,)</f>
        <v>Tubo de Zinco Sujo</v>
      </c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150"/>
      <c r="AO96" s="150"/>
      <c r="AP96" s="150"/>
      <c r="AQ96" s="150"/>
      <c r="AR96" s="150"/>
      <c r="AS96" s="88">
        <f t="shared" si="80"/>
        <v>0</v>
      </c>
    </row>
    <row r="97" spans="1:45">
      <c r="A97" s="253"/>
      <c r="B97" s="137">
        <f t="shared" si="21"/>
        <v>950</v>
      </c>
      <c r="C97" s="142" t="str">
        <f>VLOOKUP(B97,'Tipos de Defeitos'!B$4:E$106,Menu!$B$23+1,)</f>
        <v>Contem estranho</v>
      </c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  <c r="AI97" s="150"/>
      <c r="AJ97" s="150"/>
      <c r="AK97" s="150"/>
      <c r="AL97" s="150"/>
      <c r="AM97" s="150"/>
      <c r="AN97" s="150"/>
      <c r="AO97" s="150"/>
      <c r="AP97" s="150"/>
      <c r="AQ97" s="150"/>
      <c r="AR97" s="150"/>
      <c r="AS97" s="88">
        <f t="shared" si="80"/>
        <v>0</v>
      </c>
    </row>
    <row r="98" spans="1:45">
      <c r="A98" s="253"/>
      <c r="B98" s="137">
        <f t="shared" si="21"/>
        <v>960</v>
      </c>
      <c r="C98" s="142" t="str">
        <f>VLOOKUP(B98,'Tipos de Defeitos'!B$4:E$106,Menu!$B$23+1,)</f>
        <v>Mistura seca</v>
      </c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  <c r="AI98" s="150"/>
      <c r="AJ98" s="150"/>
      <c r="AK98" s="150"/>
      <c r="AL98" s="150"/>
      <c r="AM98" s="150"/>
      <c r="AN98" s="150"/>
      <c r="AO98" s="150"/>
      <c r="AP98" s="150"/>
      <c r="AQ98" s="150"/>
      <c r="AR98" s="150"/>
      <c r="AS98" s="88">
        <f t="shared" si="80"/>
        <v>0</v>
      </c>
    </row>
    <row r="99" spans="1:45">
      <c r="A99" s="253"/>
      <c r="B99" s="137">
        <f t="shared" si="21"/>
        <v>970</v>
      </c>
      <c r="C99" s="142" t="str">
        <f>VLOOKUP(B99,'Tipos de Defeitos'!B$4:E$106,Menu!$B$23+1,)</f>
        <v>Bottom Plate Amassado</v>
      </c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  <c r="AH99" s="150"/>
      <c r="AI99" s="150"/>
      <c r="AJ99" s="150"/>
      <c r="AK99" s="150"/>
      <c r="AL99" s="150"/>
      <c r="AM99" s="150"/>
      <c r="AN99" s="150"/>
      <c r="AO99" s="150"/>
      <c r="AP99" s="150"/>
      <c r="AQ99" s="150"/>
      <c r="AR99" s="150"/>
      <c r="AS99" s="88">
        <f t="shared" si="80"/>
        <v>0</v>
      </c>
    </row>
    <row r="100" spans="1:45">
      <c r="A100" s="253"/>
      <c r="B100" s="137">
        <f t="shared" si="21"/>
        <v>980</v>
      </c>
      <c r="C100" s="142" t="str">
        <f>VLOOKUP(B100,'Tipos de Defeitos'!B$4:E$106,Menu!$B$23+1,)</f>
        <v>PVC Comprido</v>
      </c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150"/>
      <c r="AO100" s="150"/>
      <c r="AP100" s="150"/>
      <c r="AQ100" s="150"/>
      <c r="AR100" s="150"/>
      <c r="AS100" s="88">
        <f t="shared" si="80"/>
        <v>0</v>
      </c>
    </row>
    <row r="101" spans="1:45">
      <c r="A101" s="253"/>
      <c r="B101" s="137">
        <f t="shared" si="21"/>
        <v>990</v>
      </c>
      <c r="C101" s="142" t="str">
        <f>VLOOKUP(B101,'Tipos de Defeitos'!B$4:E$106,Menu!$B$23+1,)</f>
        <v>Causa Desconhecida - Amperagem</v>
      </c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88">
        <f t="shared" si="80"/>
        <v>0</v>
      </c>
    </row>
    <row r="102" spans="1:45" ht="13.5" thickBot="1">
      <c r="A102" s="253"/>
      <c r="B102" s="154">
        <f t="shared" si="21"/>
        <v>1000</v>
      </c>
      <c r="C102" s="155" t="str">
        <f>VLOOKUP(B102,'Tipos de Defeitos'!B$4:E$106,Menu!$B$23+1,)</f>
        <v>Outros - Amperagem</v>
      </c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  <c r="AA102" s="211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1"/>
      <c r="AP102" s="211"/>
      <c r="AQ102" s="211"/>
      <c r="AR102" s="211"/>
      <c r="AS102" s="196">
        <f t="shared" si="80"/>
        <v>0</v>
      </c>
    </row>
    <row r="103" spans="1:45">
      <c r="A103" s="258" t="s">
        <v>207</v>
      </c>
      <c r="B103" s="139">
        <f t="shared" si="21"/>
        <v>1010</v>
      </c>
      <c r="C103" s="113" t="str">
        <f>VLOOKUP(B103,'Tipos de Defeitos'!B$4:E$106,Menu!$B$23+1,)</f>
        <v>Total</v>
      </c>
      <c r="D103" s="170">
        <f t="shared" ref="D103:E103" si="81">SUM(D86:D102)</f>
        <v>0</v>
      </c>
      <c r="E103" s="170">
        <f t="shared" si="81"/>
        <v>0</v>
      </c>
      <c r="F103" s="170">
        <f t="shared" ref="F103:G103" si="82">SUM(F86:F102)</f>
        <v>0</v>
      </c>
      <c r="G103" s="170">
        <f t="shared" si="82"/>
        <v>0</v>
      </c>
      <c r="H103" s="170">
        <f t="shared" ref="H103:I103" si="83">SUM(H86:H102)</f>
        <v>0</v>
      </c>
      <c r="I103" s="170">
        <f t="shared" si="83"/>
        <v>0</v>
      </c>
      <c r="J103" s="170">
        <f t="shared" ref="J103:AR103" si="84">SUM(J86:J102)</f>
        <v>0</v>
      </c>
      <c r="K103" s="170">
        <f t="shared" si="84"/>
        <v>0</v>
      </c>
      <c r="L103" s="170">
        <f t="shared" ref="L103:R103" si="85">SUM(M86:M102)</f>
        <v>0</v>
      </c>
      <c r="M103" s="170">
        <f t="shared" si="85"/>
        <v>0</v>
      </c>
      <c r="N103" s="170">
        <f t="shared" si="85"/>
        <v>0</v>
      </c>
      <c r="O103" s="170">
        <f t="shared" si="85"/>
        <v>0</v>
      </c>
      <c r="P103" s="170">
        <f t="shared" si="85"/>
        <v>0</v>
      </c>
      <c r="Q103" s="170">
        <f t="shared" si="85"/>
        <v>0</v>
      </c>
      <c r="R103" s="170">
        <f t="shared" si="85"/>
        <v>0</v>
      </c>
      <c r="S103" s="170" t="e">
        <f>SUM(#REF!)</f>
        <v>#REF!</v>
      </c>
      <c r="T103" s="170">
        <f t="shared" si="84"/>
        <v>0</v>
      </c>
      <c r="U103" s="170">
        <f t="shared" si="84"/>
        <v>0</v>
      </c>
      <c r="V103" s="170">
        <f t="shared" si="84"/>
        <v>0</v>
      </c>
      <c r="W103" s="170">
        <f t="shared" si="84"/>
        <v>0</v>
      </c>
      <c r="X103" s="170">
        <f t="shared" si="84"/>
        <v>0</v>
      </c>
      <c r="Y103" s="170">
        <f t="shared" si="84"/>
        <v>0</v>
      </c>
      <c r="Z103" s="170">
        <f t="shared" si="84"/>
        <v>0</v>
      </c>
      <c r="AA103" s="170">
        <f t="shared" si="84"/>
        <v>0</v>
      </c>
      <c r="AB103" s="170">
        <f t="shared" si="84"/>
        <v>0</v>
      </c>
      <c r="AC103" s="170">
        <f t="shared" si="84"/>
        <v>0</v>
      </c>
      <c r="AD103" s="170">
        <f t="shared" si="84"/>
        <v>0</v>
      </c>
      <c r="AE103" s="170">
        <f t="shared" si="84"/>
        <v>0</v>
      </c>
      <c r="AF103" s="170">
        <f t="shared" si="84"/>
        <v>0</v>
      </c>
      <c r="AG103" s="170">
        <f t="shared" si="84"/>
        <v>0</v>
      </c>
      <c r="AH103" s="170">
        <f t="shared" si="84"/>
        <v>0</v>
      </c>
      <c r="AI103" s="170">
        <f t="shared" si="84"/>
        <v>0</v>
      </c>
      <c r="AJ103" s="170">
        <f t="shared" si="84"/>
        <v>0</v>
      </c>
      <c r="AK103" s="170">
        <f t="shared" si="84"/>
        <v>0</v>
      </c>
      <c r="AL103" s="170">
        <f t="shared" si="84"/>
        <v>0</v>
      </c>
      <c r="AM103" s="170">
        <f t="shared" si="84"/>
        <v>0</v>
      </c>
      <c r="AN103" s="170">
        <f t="shared" si="84"/>
        <v>0</v>
      </c>
      <c r="AO103" s="170">
        <f t="shared" si="84"/>
        <v>0</v>
      </c>
      <c r="AP103" s="170">
        <f t="shared" si="84"/>
        <v>0</v>
      </c>
      <c r="AQ103" s="170">
        <f t="shared" si="84"/>
        <v>0</v>
      </c>
      <c r="AR103" s="170">
        <f t="shared" si="84"/>
        <v>0</v>
      </c>
      <c r="AS103" s="171">
        <f t="shared" ref="AS103" si="86">SUM(AS86:AS102)</f>
        <v>0</v>
      </c>
    </row>
    <row r="104" spans="1:45">
      <c r="A104" s="259"/>
      <c r="B104" s="137">
        <f t="shared" si="21"/>
        <v>1020</v>
      </c>
      <c r="C104" s="104" t="str">
        <f>VLOOKUP(B104,'Tipos de Defeitos'!B$4:E$106,Menu!$B$23+1,)</f>
        <v>Taxa defeituosa (ppm)</v>
      </c>
      <c r="D104" s="197">
        <f t="shared" ref="D104:E104" si="87">IF(D27&lt;&gt;0,D103/D27*D24/D22*1000000,"")</f>
        <v>0</v>
      </c>
      <c r="E104" s="197" t="str">
        <f t="shared" si="87"/>
        <v/>
      </c>
      <c r="F104" s="197" t="str">
        <f t="shared" ref="F104:G104" si="88">IF(F27&lt;&gt;0,F103/F27*F24/F22*1000000,"")</f>
        <v/>
      </c>
      <c r="G104" s="197" t="str">
        <f t="shared" si="88"/>
        <v/>
      </c>
      <c r="H104" s="197" t="str">
        <f t="shared" ref="H104:I104" si="89">IF(H27&lt;&gt;0,H103/H27*H24/H22*1000000,"")</f>
        <v/>
      </c>
      <c r="I104" s="197" t="str">
        <f t="shared" si="89"/>
        <v/>
      </c>
      <c r="J104" s="197" t="str">
        <f t="shared" ref="J104" si="90">IF(J27&lt;&gt;0,J103/J27*J24/J22*1000000,"")</f>
        <v/>
      </c>
      <c r="K104" s="197" t="str">
        <f>IF(K27&lt;&gt;0,K103/K27*K24/K22*1000000,"")</f>
        <v/>
      </c>
      <c r="L104" s="197" t="str">
        <f t="shared" ref="L104:R104" si="91">IF(M27&lt;&gt;0,L103/M27*M24/M22*1000000,"")</f>
        <v/>
      </c>
      <c r="M104" s="197" t="str">
        <f t="shared" si="91"/>
        <v/>
      </c>
      <c r="N104" s="197" t="str">
        <f t="shared" si="91"/>
        <v/>
      </c>
      <c r="O104" s="197" t="str">
        <f t="shared" si="91"/>
        <v/>
      </c>
      <c r="P104" s="197" t="str">
        <f t="shared" si="91"/>
        <v/>
      </c>
      <c r="Q104" s="197" t="str">
        <f t="shared" si="91"/>
        <v/>
      </c>
      <c r="R104" s="197" t="str">
        <f t="shared" si="91"/>
        <v/>
      </c>
      <c r="S104" s="197" t="e">
        <f>IF(#REF!&lt;&gt;0,S103/#REF!*#REF!/#REF!*1000000,"")</f>
        <v>#REF!</v>
      </c>
      <c r="T104" s="197" t="str">
        <f t="shared" ref="T104:AR104" si="92">IF(T27&lt;&gt;0,T103/T27*T24/T22*1000000,"")</f>
        <v/>
      </c>
      <c r="U104" s="197" t="str">
        <f t="shared" si="92"/>
        <v/>
      </c>
      <c r="V104" s="197" t="str">
        <f t="shared" si="92"/>
        <v/>
      </c>
      <c r="W104" s="197" t="str">
        <f t="shared" si="92"/>
        <v/>
      </c>
      <c r="X104" s="197" t="str">
        <f t="shared" si="92"/>
        <v/>
      </c>
      <c r="Y104" s="197" t="str">
        <f t="shared" si="92"/>
        <v/>
      </c>
      <c r="Z104" s="197" t="str">
        <f t="shared" si="92"/>
        <v/>
      </c>
      <c r="AA104" s="197" t="str">
        <f t="shared" si="92"/>
        <v/>
      </c>
      <c r="AB104" s="197" t="str">
        <f t="shared" si="92"/>
        <v/>
      </c>
      <c r="AC104" s="197" t="str">
        <f t="shared" si="92"/>
        <v/>
      </c>
      <c r="AD104" s="197" t="str">
        <f t="shared" si="92"/>
        <v/>
      </c>
      <c r="AE104" s="197" t="str">
        <f t="shared" si="92"/>
        <v/>
      </c>
      <c r="AF104" s="197" t="str">
        <f t="shared" si="92"/>
        <v/>
      </c>
      <c r="AG104" s="197" t="str">
        <f t="shared" si="92"/>
        <v/>
      </c>
      <c r="AH104" s="197" t="str">
        <f t="shared" si="92"/>
        <v/>
      </c>
      <c r="AI104" s="197" t="str">
        <f t="shared" si="92"/>
        <v/>
      </c>
      <c r="AJ104" s="197" t="str">
        <f t="shared" si="92"/>
        <v/>
      </c>
      <c r="AK104" s="197" t="str">
        <f t="shared" si="92"/>
        <v/>
      </c>
      <c r="AL104" s="197" t="str">
        <f t="shared" si="92"/>
        <v/>
      </c>
      <c r="AM104" s="197" t="str">
        <f t="shared" si="92"/>
        <v/>
      </c>
      <c r="AN104" s="197" t="str">
        <f t="shared" si="92"/>
        <v/>
      </c>
      <c r="AO104" s="197" t="str">
        <f t="shared" si="92"/>
        <v/>
      </c>
      <c r="AP104" s="197" t="str">
        <f t="shared" si="92"/>
        <v/>
      </c>
      <c r="AQ104" s="197" t="str">
        <f t="shared" si="92"/>
        <v/>
      </c>
      <c r="AR104" s="197" t="str">
        <f t="shared" si="92"/>
        <v/>
      </c>
      <c r="AS104" s="186" t="e">
        <f>IF(AS27&lt;&gt;0,AS103/AS27*AS24/AS7*1000000,"")</f>
        <v>#DIV/0!</v>
      </c>
    </row>
    <row r="105" spans="1:45" ht="13.5" thickBot="1">
      <c r="A105" s="260"/>
      <c r="B105" s="140">
        <f t="shared" si="21"/>
        <v>1030</v>
      </c>
      <c r="C105" s="105" t="str">
        <f>VLOOKUP(B105,'Tipos de Defeitos'!B$4:E$106,Menu!$B$23+1,)</f>
        <v>Taxa Defeituosa Total (ppm)</v>
      </c>
      <c r="D105" s="198" t="str">
        <f t="shared" ref="D105:E105" si="93">IF(D24&gt;0,D24/D7*1000000,"")</f>
        <v/>
      </c>
      <c r="E105" s="198" t="str">
        <f t="shared" si="93"/>
        <v/>
      </c>
      <c r="F105" s="198" t="str">
        <f t="shared" ref="F105:G105" si="94">IF(F24&gt;0,F24/F7*1000000,"")</f>
        <v/>
      </c>
      <c r="G105" s="198" t="str">
        <f t="shared" si="94"/>
        <v/>
      </c>
      <c r="H105" s="198" t="str">
        <f t="shared" ref="H105:I105" si="95">IF(H24&gt;0,H24/H7*1000000,"")</f>
        <v/>
      </c>
      <c r="I105" s="198" t="str">
        <f t="shared" si="95"/>
        <v/>
      </c>
      <c r="J105" s="198" t="str">
        <f t="shared" ref="J105:K105" si="96">IF(J24&gt;0,J24/J7*1000000,"")</f>
        <v/>
      </c>
      <c r="K105" s="198" t="str">
        <f t="shared" si="96"/>
        <v/>
      </c>
      <c r="L105" s="198" t="str">
        <f t="shared" ref="L105:R105" si="97">IF(M24&gt;0,M24/M7*1000000,"")</f>
        <v/>
      </c>
      <c r="M105" s="198" t="str">
        <f t="shared" si="97"/>
        <v/>
      </c>
      <c r="N105" s="198" t="str">
        <f t="shared" si="97"/>
        <v/>
      </c>
      <c r="O105" s="198" t="str">
        <f t="shared" si="97"/>
        <v/>
      </c>
      <c r="P105" s="198" t="str">
        <f t="shared" si="97"/>
        <v/>
      </c>
      <c r="Q105" s="198" t="str">
        <f t="shared" si="97"/>
        <v/>
      </c>
      <c r="R105" s="198" t="str">
        <f t="shared" si="97"/>
        <v/>
      </c>
      <c r="S105" s="198" t="e">
        <f>IF(#REF!&gt;0,#REF!/#REF!*1000000,"")</f>
        <v>#REF!</v>
      </c>
      <c r="T105" s="198" t="str">
        <f t="shared" ref="T105:AS105" si="98">IF(T24&gt;0,T24/T7*1000000,"")</f>
        <v/>
      </c>
      <c r="U105" s="198" t="str">
        <f t="shared" si="98"/>
        <v/>
      </c>
      <c r="V105" s="198" t="str">
        <f t="shared" si="98"/>
        <v/>
      </c>
      <c r="W105" s="198" t="str">
        <f t="shared" si="98"/>
        <v/>
      </c>
      <c r="X105" s="198" t="str">
        <f t="shared" si="98"/>
        <v/>
      </c>
      <c r="Y105" s="198" t="str">
        <f t="shared" si="98"/>
        <v/>
      </c>
      <c r="Z105" s="198" t="str">
        <f t="shared" si="98"/>
        <v/>
      </c>
      <c r="AA105" s="198" t="str">
        <f t="shared" si="98"/>
        <v/>
      </c>
      <c r="AB105" s="198" t="str">
        <f t="shared" si="98"/>
        <v/>
      </c>
      <c r="AC105" s="198" t="str">
        <f t="shared" si="98"/>
        <v/>
      </c>
      <c r="AD105" s="198" t="str">
        <f t="shared" si="98"/>
        <v/>
      </c>
      <c r="AE105" s="198" t="str">
        <f t="shared" si="98"/>
        <v/>
      </c>
      <c r="AF105" s="198" t="str">
        <f t="shared" si="98"/>
        <v/>
      </c>
      <c r="AG105" s="198" t="str">
        <f t="shared" si="98"/>
        <v/>
      </c>
      <c r="AH105" s="198" t="str">
        <f t="shared" si="98"/>
        <v/>
      </c>
      <c r="AI105" s="198" t="str">
        <f t="shared" si="98"/>
        <v/>
      </c>
      <c r="AJ105" s="198" t="str">
        <f t="shared" si="98"/>
        <v/>
      </c>
      <c r="AK105" s="198" t="str">
        <f t="shared" si="98"/>
        <v/>
      </c>
      <c r="AL105" s="198" t="str">
        <f t="shared" si="98"/>
        <v/>
      </c>
      <c r="AM105" s="198" t="str">
        <f t="shared" si="98"/>
        <v/>
      </c>
      <c r="AN105" s="198" t="str">
        <f t="shared" si="98"/>
        <v/>
      </c>
      <c r="AO105" s="198" t="str">
        <f t="shared" si="98"/>
        <v/>
      </c>
      <c r="AP105" s="198" t="str">
        <f t="shared" si="98"/>
        <v/>
      </c>
      <c r="AQ105" s="198" t="str">
        <f t="shared" si="98"/>
        <v/>
      </c>
      <c r="AR105" s="198" t="str">
        <f t="shared" si="98"/>
        <v/>
      </c>
      <c r="AS105" s="205" t="str">
        <f t="shared" si="98"/>
        <v/>
      </c>
    </row>
    <row r="106" spans="1:45">
      <c r="A106" s="73"/>
      <c r="B106" s="230"/>
      <c r="D106" s="231"/>
      <c r="E106" s="231"/>
      <c r="F106" s="231"/>
      <c r="G106" s="231"/>
      <c r="H106" s="231"/>
      <c r="I106" s="231"/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  <c r="U106" s="231"/>
      <c r="V106" s="231"/>
      <c r="W106" s="231"/>
      <c r="X106" s="231"/>
      <c r="Y106" s="231"/>
      <c r="Z106" s="231"/>
      <c r="AA106" s="231"/>
      <c r="AB106" s="231"/>
      <c r="AC106" s="231"/>
      <c r="AD106" s="231"/>
      <c r="AE106" s="231"/>
      <c r="AF106" s="231"/>
      <c r="AG106" s="231"/>
      <c r="AH106" s="231"/>
      <c r="AI106" s="231"/>
      <c r="AJ106" s="231"/>
      <c r="AK106" s="231"/>
      <c r="AL106" s="231"/>
      <c r="AM106" s="231"/>
      <c r="AN106" s="231"/>
      <c r="AO106" s="231"/>
      <c r="AP106" s="231"/>
      <c r="AQ106" s="231"/>
      <c r="AR106" s="231"/>
      <c r="AS106" s="231"/>
    </row>
    <row r="107" spans="1:45">
      <c r="A107" s="73"/>
      <c r="B107" s="230"/>
      <c r="C107" s="221"/>
      <c r="D107" s="231" t="e">
        <f t="shared" ref="D107:AR107" si="99">(D74+D73)/D23*D20/D18*1000000</f>
        <v>#DIV/0!</v>
      </c>
      <c r="E107" s="231"/>
      <c r="F107" s="231" t="e">
        <f t="shared" si="99"/>
        <v>#DIV/0!</v>
      </c>
      <c r="G107" s="231" t="e">
        <f t="shared" ref="G107" si="100">(G74+G73)/G23*G20/G18*1000000</f>
        <v>#DIV/0!</v>
      </c>
      <c r="H107" s="231" t="e">
        <f t="shared" si="99"/>
        <v>#DIV/0!</v>
      </c>
      <c r="I107" s="231" t="e">
        <f>(I74+I73)/I23*I20/I18*1000000</f>
        <v>#DIV/0!</v>
      </c>
      <c r="J107" s="231" t="e">
        <f>(J74+J73)/J23*J20/J18*1000000</f>
        <v>#DIV/0!</v>
      </c>
      <c r="K107" s="231" t="e">
        <f t="shared" si="99"/>
        <v>#DIV/0!</v>
      </c>
      <c r="L107" s="231" t="e">
        <f>(M74+M73)/M23*M20/M18*1000000</f>
        <v>#DIV/0!</v>
      </c>
      <c r="M107" s="231" t="e">
        <f>(N74+N73)/N23*N20/N18*1000000</f>
        <v>#DIV/0!</v>
      </c>
      <c r="N107" s="231" t="e">
        <f>(O74+O73)/O23*O20/O18*1000000</f>
        <v>#DIV/0!</v>
      </c>
      <c r="O107" s="231"/>
      <c r="P107" s="231"/>
      <c r="Q107" s="231"/>
      <c r="R107" s="231"/>
      <c r="S107" s="231"/>
      <c r="T107" s="231"/>
      <c r="U107" s="231"/>
      <c r="V107" s="231"/>
      <c r="W107" s="231"/>
      <c r="X107" s="231"/>
      <c r="Y107" s="231"/>
      <c r="Z107" s="231"/>
      <c r="AA107" s="231"/>
      <c r="AB107" s="231"/>
      <c r="AC107" s="231"/>
      <c r="AD107" s="231"/>
      <c r="AE107" s="231"/>
      <c r="AF107" s="231"/>
      <c r="AG107" s="231"/>
      <c r="AH107" s="231"/>
      <c r="AI107" s="231"/>
      <c r="AJ107" s="231"/>
      <c r="AK107" s="231"/>
      <c r="AL107" s="231"/>
      <c r="AM107" s="231"/>
      <c r="AN107" s="231"/>
      <c r="AO107" s="231"/>
      <c r="AP107" s="231"/>
      <c r="AQ107" s="231"/>
      <c r="AR107" s="231" t="e">
        <f t="shared" si="99"/>
        <v>#DIV/0!</v>
      </c>
      <c r="AS107" s="231"/>
    </row>
    <row r="108" spans="1:45">
      <c r="A108" s="73"/>
      <c r="B108" s="230">
        <v>10</v>
      </c>
      <c r="D108" s="231"/>
      <c r="E108" s="231"/>
      <c r="F108" s="231"/>
      <c r="G108" s="231"/>
      <c r="H108" s="231"/>
      <c r="I108" s="231"/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  <c r="U108" s="231"/>
      <c r="V108" s="231"/>
      <c r="W108" s="231"/>
      <c r="X108" s="231"/>
      <c r="Y108" s="231"/>
      <c r="Z108" s="231"/>
      <c r="AA108" s="231"/>
      <c r="AB108" s="231"/>
      <c r="AC108" s="231"/>
      <c r="AD108" s="231"/>
      <c r="AE108" s="231"/>
      <c r="AF108" s="231"/>
      <c r="AG108" s="231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</row>
    <row r="109" spans="1:45">
      <c r="A109" s="73"/>
      <c r="B109" s="230"/>
      <c r="D109" s="231"/>
      <c r="E109" s="231"/>
      <c r="F109" s="231"/>
      <c r="G109" s="231"/>
      <c r="H109" s="231"/>
      <c r="I109" s="231"/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  <c r="U109" s="231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</row>
    <row r="110" spans="1:45">
      <c r="D110" s="65"/>
      <c r="E110" s="65"/>
      <c r="H110" s="65"/>
      <c r="I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</row>
    <row r="111" spans="1:45">
      <c r="D111" s="65"/>
      <c r="E111" s="65"/>
      <c r="H111" s="65"/>
      <c r="I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  <c r="AQ111" s="65"/>
    </row>
    <row r="112" spans="1:45">
      <c r="C112" s="64">
        <v>1</v>
      </c>
    </row>
    <row r="131" spans="4:44" s="65" customFormat="1">
      <c r="D131" s="232" t="str">
        <f t="shared" ref="D131:I131" ca="1" si="101">D2</f>
        <v>03 / 2022</v>
      </c>
      <c r="E131" s="232"/>
      <c r="F131" s="232">
        <f t="shared" si="101"/>
        <v>0</v>
      </c>
      <c r="G131" s="232">
        <f t="shared" si="101"/>
        <v>0</v>
      </c>
      <c r="H131" s="232">
        <f t="shared" si="101"/>
        <v>0</v>
      </c>
      <c r="I131" s="232">
        <f t="shared" si="101"/>
        <v>0</v>
      </c>
      <c r="J131" s="232"/>
      <c r="K131" s="232">
        <f>K2</f>
        <v>0</v>
      </c>
      <c r="L131" s="232">
        <f>L2</f>
        <v>0</v>
      </c>
      <c r="M131" s="232"/>
      <c r="N131" s="232">
        <f>N2</f>
        <v>0</v>
      </c>
      <c r="O131" s="232"/>
      <c r="P131" s="232"/>
      <c r="Q131" s="232"/>
      <c r="R131" s="232"/>
      <c r="S131" s="232"/>
      <c r="T131" s="232"/>
      <c r="U131" s="232"/>
      <c r="V131" s="232"/>
      <c r="W131" s="232"/>
      <c r="X131" s="232"/>
      <c r="Y131" s="232"/>
      <c r="Z131" s="232"/>
      <c r="AA131" s="232"/>
      <c r="AB131" s="232"/>
      <c r="AC131" s="232"/>
      <c r="AD131" s="232"/>
      <c r="AE131" s="232"/>
      <c r="AF131" s="232"/>
      <c r="AG131" s="232"/>
      <c r="AH131" s="232"/>
      <c r="AI131" s="232"/>
      <c r="AJ131" s="232"/>
      <c r="AK131" s="232"/>
      <c r="AL131" s="232"/>
      <c r="AM131" s="232"/>
      <c r="AN131" s="232"/>
      <c r="AO131" s="232"/>
      <c r="AP131" s="232"/>
      <c r="AQ131" s="232"/>
      <c r="AR131" s="232">
        <f>AR2</f>
        <v>0</v>
      </c>
    </row>
  </sheetData>
  <sheetProtection algorithmName="SHA-512" hashValue="8Iyvryvj8z2AQd+ordX+Jp1412kO8g0WPYGo+eWBxQpsmEJDwJqWEcy6jkWB9ZJRl5F53dz/bXEy4yC101ONuw==" saltValue="bVK8ytQJyg0STs5v73jpzA==" spinCount="100000" sheet="1" objects="1" scenarios="1" selectLockedCells="1"/>
  <mergeCells count="7">
    <mergeCell ref="A83:A85"/>
    <mergeCell ref="A86:A102"/>
    <mergeCell ref="A103:A105"/>
    <mergeCell ref="A3:A22"/>
    <mergeCell ref="A23:A27"/>
    <mergeCell ref="A28:A77"/>
    <mergeCell ref="A78:A82"/>
  </mergeCells>
  <phoneticPr fontId="3"/>
  <conditionalFormatting sqref="B2:AS2 B3:C105 X8:AS22 H3:AS7 H23:AS105">
    <cfRule type="expression" dxfId="117" priority="13497">
      <formula>MOD(ROW(),2)</formula>
    </cfRule>
  </conditionalFormatting>
  <conditionalFormatting sqref="H27:AS27">
    <cfRule type="expression" dxfId="116" priority="10063">
      <formula>H$27&lt;&gt;(H$78+H$103)</formula>
    </cfRule>
  </conditionalFormatting>
  <conditionalFormatting sqref="F23:G105 G7 F3:G6">
    <cfRule type="expression" dxfId="115" priority="98">
      <formula>MOD(ROW(),2)</formula>
    </cfRule>
  </conditionalFormatting>
  <conditionalFormatting sqref="F27:G27">
    <cfRule type="expression" dxfId="114" priority="97">
      <formula>F$27&lt;&gt;(F$78+F$103)</formula>
    </cfRule>
  </conditionalFormatting>
  <conditionalFormatting sqref="F7">
    <cfRule type="expression" dxfId="113" priority="96">
      <formula>MOD(ROW(),2)</formula>
    </cfRule>
  </conditionalFormatting>
  <conditionalFormatting sqref="D3:E7 D23:E34 D76:E105 E35:E75">
    <cfRule type="expression" dxfId="112" priority="93">
      <formula>MOD(ROW(),2)</formula>
    </cfRule>
  </conditionalFormatting>
  <conditionalFormatting sqref="D27:E27">
    <cfRule type="expression" dxfId="111" priority="92">
      <formula>D$27&lt;&gt;(D$78+D$103)</formula>
    </cfRule>
  </conditionalFormatting>
  <conditionalFormatting sqref="T22">
    <cfRule type="expression" dxfId="110" priority="67">
      <formula>MOD(ROW(),2)</formula>
    </cfRule>
  </conditionalFormatting>
  <conditionalFormatting sqref="T8:T22">
    <cfRule type="expression" dxfId="109" priority="66">
      <formula>MOD(ROW(),2)</formula>
    </cfRule>
  </conditionalFormatting>
  <conditionalFormatting sqref="U22">
    <cfRule type="expression" dxfId="108" priority="65">
      <formula>MOD(ROW(),2)</formula>
    </cfRule>
  </conditionalFormatting>
  <conditionalFormatting sqref="U8:U22">
    <cfRule type="expression" dxfId="107" priority="64">
      <formula>MOD(ROW(),2)</formula>
    </cfRule>
  </conditionalFormatting>
  <conditionalFormatting sqref="V22">
    <cfRule type="expression" dxfId="106" priority="63">
      <formula>MOD(ROW(),2)</formula>
    </cfRule>
  </conditionalFormatting>
  <conditionalFormatting sqref="V8:V22">
    <cfRule type="expression" dxfId="105" priority="62">
      <formula>MOD(ROW(),2)</formula>
    </cfRule>
  </conditionalFormatting>
  <conditionalFormatting sqref="W22">
    <cfRule type="expression" dxfId="104" priority="61">
      <formula>MOD(ROW(),2)</formula>
    </cfRule>
  </conditionalFormatting>
  <conditionalFormatting sqref="W8:W22">
    <cfRule type="expression" dxfId="103" priority="60">
      <formula>MOD(ROW(),2)</formula>
    </cfRule>
  </conditionalFormatting>
  <conditionalFormatting sqref="E22">
    <cfRule type="expression" dxfId="100" priority="35">
      <formula>MOD(ROW(),2)</formula>
    </cfRule>
  </conditionalFormatting>
  <conditionalFormatting sqref="E8:E22">
    <cfRule type="expression" dxfId="99" priority="34">
      <formula>MOD(ROW(),2)</formula>
    </cfRule>
  </conditionalFormatting>
  <conditionalFormatting sqref="D35:D75">
    <cfRule type="expression" dxfId="98" priority="33">
      <formula>MOD(ROW(),2)</formula>
    </cfRule>
  </conditionalFormatting>
  <conditionalFormatting sqref="F22">
    <cfRule type="expression" dxfId="97" priority="32">
      <formula>MOD(ROW(),2)</formula>
    </cfRule>
  </conditionalFormatting>
  <conditionalFormatting sqref="F8:F22">
    <cfRule type="expression" dxfId="96" priority="31">
      <formula>MOD(ROW(),2)</formula>
    </cfRule>
  </conditionalFormatting>
  <conditionalFormatting sqref="H22">
    <cfRule type="expression" dxfId="95" priority="28">
      <formula>MOD(ROW(),2)</formula>
    </cfRule>
  </conditionalFormatting>
  <conditionalFormatting sqref="H8:H22">
    <cfRule type="expression" dxfId="94" priority="27">
      <formula>MOD(ROW(),2)</formula>
    </cfRule>
  </conditionalFormatting>
  <conditionalFormatting sqref="G22">
    <cfRule type="expression" dxfId="93" priority="26">
      <formula>MOD(ROW(),2)</formula>
    </cfRule>
  </conditionalFormatting>
  <conditionalFormatting sqref="G8:G22">
    <cfRule type="expression" dxfId="92" priority="25">
      <formula>MOD(ROW(),2)</formula>
    </cfRule>
  </conditionalFormatting>
  <conditionalFormatting sqref="I22">
    <cfRule type="expression" dxfId="91" priority="24">
      <formula>MOD(ROW(),2)</formula>
    </cfRule>
  </conditionalFormatting>
  <conditionalFormatting sqref="I8:I22">
    <cfRule type="expression" dxfId="90" priority="23">
      <formula>MOD(ROW(),2)</formula>
    </cfRule>
  </conditionalFormatting>
  <conditionalFormatting sqref="J22">
    <cfRule type="expression" dxfId="89" priority="22">
      <formula>MOD(ROW(),2)</formula>
    </cfRule>
  </conditionalFormatting>
  <conditionalFormatting sqref="J8:J22">
    <cfRule type="expression" dxfId="88" priority="21">
      <formula>MOD(ROW(),2)</formula>
    </cfRule>
  </conditionalFormatting>
  <conditionalFormatting sqref="K22">
    <cfRule type="expression" dxfId="87" priority="20">
      <formula>MOD(ROW(),2)</formula>
    </cfRule>
  </conditionalFormatting>
  <conditionalFormatting sqref="K8:K22">
    <cfRule type="expression" dxfId="86" priority="19">
      <formula>MOD(ROW(),2)</formula>
    </cfRule>
  </conditionalFormatting>
  <conditionalFormatting sqref="L22">
    <cfRule type="expression" dxfId="85" priority="18">
      <formula>MOD(ROW(),2)</formula>
    </cfRule>
  </conditionalFormatting>
  <conditionalFormatting sqref="L8:L22">
    <cfRule type="expression" dxfId="84" priority="17">
      <formula>MOD(ROW(),2)</formula>
    </cfRule>
  </conditionalFormatting>
  <conditionalFormatting sqref="M22">
    <cfRule type="expression" dxfId="83" priority="16">
      <formula>MOD(ROW(),2)</formula>
    </cfRule>
  </conditionalFormatting>
  <conditionalFormatting sqref="M8:M22">
    <cfRule type="expression" dxfId="82" priority="15">
      <formula>MOD(ROW(),2)</formula>
    </cfRule>
  </conditionalFormatting>
  <conditionalFormatting sqref="N22">
    <cfRule type="expression" dxfId="81" priority="14">
      <formula>MOD(ROW(),2)</formula>
    </cfRule>
  </conditionalFormatting>
  <conditionalFormatting sqref="N8:N22">
    <cfRule type="expression" dxfId="80" priority="13">
      <formula>MOD(ROW(),2)</formula>
    </cfRule>
  </conditionalFormatting>
  <conditionalFormatting sqref="O22">
    <cfRule type="expression" dxfId="79" priority="12">
      <formula>MOD(ROW(),2)</formula>
    </cfRule>
  </conditionalFormatting>
  <conditionalFormatting sqref="O8:O22">
    <cfRule type="expression" dxfId="78" priority="11">
      <formula>MOD(ROW(),2)</formula>
    </cfRule>
  </conditionalFormatting>
  <conditionalFormatting sqref="P22">
    <cfRule type="expression" dxfId="77" priority="10">
      <formula>MOD(ROW(),2)</formula>
    </cfRule>
  </conditionalFormatting>
  <conditionalFormatting sqref="P8:P22">
    <cfRule type="expression" dxfId="76" priority="9">
      <formula>MOD(ROW(),2)</formula>
    </cfRule>
  </conditionalFormatting>
  <conditionalFormatting sqref="Q22">
    <cfRule type="expression" dxfId="75" priority="8">
      <formula>MOD(ROW(),2)</formula>
    </cfRule>
  </conditionalFormatting>
  <conditionalFormatting sqref="Q8:Q22">
    <cfRule type="expression" dxfId="74" priority="7">
      <formula>MOD(ROW(),2)</formula>
    </cfRule>
  </conditionalFormatting>
  <conditionalFormatting sqref="R22">
    <cfRule type="expression" dxfId="73" priority="6">
      <formula>MOD(ROW(),2)</formula>
    </cfRule>
  </conditionalFormatting>
  <conditionalFormatting sqref="R8:R22">
    <cfRule type="expression" dxfId="72" priority="5">
      <formula>MOD(ROW(),2)</formula>
    </cfRule>
  </conditionalFormatting>
  <conditionalFormatting sqref="S22">
    <cfRule type="expression" dxfId="71" priority="4">
      <formula>MOD(ROW(),2)</formula>
    </cfRule>
  </conditionalFormatting>
  <conditionalFormatting sqref="S8:S22">
    <cfRule type="expression" dxfId="70" priority="3">
      <formula>MOD(ROW(),2)</formula>
    </cfRule>
  </conditionalFormatting>
  <conditionalFormatting sqref="D22">
    <cfRule type="expression" dxfId="1" priority="2">
      <formula>MOD(ROW(),2)</formula>
    </cfRule>
  </conditionalFormatting>
  <conditionalFormatting sqref="D8:D22">
    <cfRule type="expression" dxfId="0" priority="1">
      <formula>MOD(ROW(),2)</formula>
    </cfRule>
  </conditionalFormatting>
  <dataValidations count="1">
    <dataValidation type="list" allowBlank="1" showInputMessage="1" showErrorMessage="1" sqref="D6:AS6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4" orientation="portrait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T131"/>
  <sheetViews>
    <sheetView zoomScaleNormal="100" workbookViewId="0">
      <pane xSplit="3" topLeftCell="D1" activePane="topRight" state="frozen"/>
      <selection activeCell="AU101" sqref="AU101"/>
      <selection pane="topRight" activeCell="D10" sqref="D10"/>
    </sheetView>
  </sheetViews>
  <sheetFormatPr defaultColWidth="10.28515625" defaultRowHeight="12.75"/>
  <cols>
    <col min="1" max="1" width="3.28515625" style="64" bestFit="1" customWidth="1"/>
    <col min="2" max="2" width="5" style="64" bestFit="1" customWidth="1"/>
    <col min="3" max="3" width="35.7109375" style="64" bestFit="1" customWidth="1"/>
    <col min="4" max="4" width="11.7109375" style="64" customWidth="1"/>
    <col min="5" max="5" width="10.42578125" style="64" customWidth="1"/>
    <col min="6" max="7" width="11.7109375" style="64" customWidth="1"/>
    <col min="8" max="8" width="11.7109375" style="65" customWidth="1"/>
    <col min="9" max="10" width="11.7109375" style="64" customWidth="1"/>
    <col min="11" max="11" width="11.7109375" style="65" customWidth="1"/>
    <col min="12" max="43" width="11.7109375" style="64" customWidth="1"/>
    <col min="44" max="44" width="11.7109375" style="65" customWidth="1"/>
    <col min="45" max="45" width="12" style="65" bestFit="1" customWidth="1"/>
    <col min="46" max="16384" width="10.28515625" style="64"/>
  </cols>
  <sheetData>
    <row r="1" spans="1:46" ht="13.5" thickBot="1">
      <c r="C1" s="173" t="str">
        <f>AS2</f>
        <v>Noite</v>
      </c>
      <c r="D1" s="233"/>
      <c r="E1" s="233"/>
      <c r="F1" s="233"/>
      <c r="AS1" s="174" t="s">
        <v>239</v>
      </c>
    </row>
    <row r="2" spans="1:46" ht="13.5" thickBot="1">
      <c r="B2" s="175" t="s">
        <v>208</v>
      </c>
      <c r="C2" s="176" t="s">
        <v>235</v>
      </c>
      <c r="D2" s="238" t="str">
        <f ca="1">'UM-4 - Dia'!D2</f>
        <v>03 / 2022</v>
      </c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7"/>
      <c r="AQ2" s="237"/>
      <c r="AR2" s="237"/>
      <c r="AS2" s="163" t="s">
        <v>243</v>
      </c>
      <c r="AT2" s="221" t="s">
        <v>245</v>
      </c>
    </row>
    <row r="3" spans="1:46">
      <c r="A3" s="261" t="s">
        <v>204</v>
      </c>
      <c r="B3" s="139">
        <v>10</v>
      </c>
      <c r="C3" s="144" t="str">
        <f>VLOOKUP(B3,'Tipos de Defeitos'!B$4:E$106,Menu!$B$23+1,)</f>
        <v>Data da Montagem</v>
      </c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199"/>
    </row>
    <row r="4" spans="1:46">
      <c r="A4" s="262"/>
      <c r="B4" s="137">
        <f>(B3/10+1)*10</f>
        <v>20</v>
      </c>
      <c r="C4" s="145" t="str">
        <f>VLOOKUP(B4,'Tipos de Defeitos'!B$4:E$106,Menu!$B$23+1,)</f>
        <v>Data do Acabamento</v>
      </c>
      <c r="D4" s="207"/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0"/>
    </row>
    <row r="5" spans="1:46">
      <c r="A5" s="262"/>
      <c r="B5" s="137">
        <f t="shared" ref="B5:B68" si="0">(B4/10+1)*10</f>
        <v>30</v>
      </c>
      <c r="C5" s="145" t="str">
        <f>VLOOKUP(B5,'Tipos de Defeitos'!B$4:E$106,Menu!$B$23+1,)</f>
        <v>Descanso:</v>
      </c>
      <c r="D5" s="148" t="str">
        <f t="shared" ref="D5" si="1">IF(D4="","",D4-D3)</f>
        <v/>
      </c>
      <c r="E5" s="148" t="str">
        <f t="shared" ref="E5:AR5" si="2">IF(E4="","",E4-E3)</f>
        <v/>
      </c>
      <c r="F5" s="148" t="str">
        <f t="shared" si="2"/>
        <v/>
      </c>
      <c r="G5" s="148" t="str">
        <f t="shared" si="2"/>
        <v/>
      </c>
      <c r="H5" s="148" t="str">
        <f t="shared" si="2"/>
        <v/>
      </c>
      <c r="I5" s="148" t="str">
        <f t="shared" si="2"/>
        <v/>
      </c>
      <c r="J5" s="148" t="str">
        <f t="shared" si="2"/>
        <v/>
      </c>
      <c r="K5" s="148" t="str">
        <f t="shared" si="2"/>
        <v/>
      </c>
      <c r="L5" s="148" t="str">
        <f t="shared" si="2"/>
        <v/>
      </c>
      <c r="M5" s="148" t="str">
        <f t="shared" si="2"/>
        <v/>
      </c>
      <c r="N5" s="148" t="str">
        <f t="shared" si="2"/>
        <v/>
      </c>
      <c r="O5" s="148" t="str">
        <f t="shared" si="2"/>
        <v/>
      </c>
      <c r="P5" s="148" t="str">
        <f t="shared" si="2"/>
        <v/>
      </c>
      <c r="Q5" s="148" t="str">
        <f t="shared" si="2"/>
        <v/>
      </c>
      <c r="R5" s="148" t="str">
        <f t="shared" si="2"/>
        <v/>
      </c>
      <c r="S5" s="148" t="str">
        <f t="shared" si="2"/>
        <v/>
      </c>
      <c r="T5" s="148" t="str">
        <f t="shared" si="2"/>
        <v/>
      </c>
      <c r="U5" s="148" t="str">
        <f t="shared" si="2"/>
        <v/>
      </c>
      <c r="V5" s="148" t="str">
        <f t="shared" si="2"/>
        <v/>
      </c>
      <c r="W5" s="148" t="str">
        <f t="shared" si="2"/>
        <v/>
      </c>
      <c r="X5" s="148" t="str">
        <f t="shared" si="2"/>
        <v/>
      </c>
      <c r="Y5" s="148" t="str">
        <f t="shared" si="2"/>
        <v/>
      </c>
      <c r="Z5" s="148" t="str">
        <f t="shared" si="2"/>
        <v/>
      </c>
      <c r="AA5" s="148" t="str">
        <f t="shared" si="2"/>
        <v/>
      </c>
      <c r="AB5" s="148" t="str">
        <f t="shared" si="2"/>
        <v/>
      </c>
      <c r="AC5" s="148" t="str">
        <f t="shared" si="2"/>
        <v/>
      </c>
      <c r="AD5" s="148" t="str">
        <f t="shared" si="2"/>
        <v/>
      </c>
      <c r="AE5" s="148" t="str">
        <f t="shared" si="2"/>
        <v/>
      </c>
      <c r="AF5" s="148" t="str">
        <f t="shared" si="2"/>
        <v/>
      </c>
      <c r="AG5" s="148" t="str">
        <f t="shared" si="2"/>
        <v/>
      </c>
      <c r="AH5" s="148" t="str">
        <f t="shared" si="2"/>
        <v/>
      </c>
      <c r="AI5" s="148" t="str">
        <f t="shared" si="2"/>
        <v/>
      </c>
      <c r="AJ5" s="148" t="str">
        <f t="shared" si="2"/>
        <v/>
      </c>
      <c r="AK5" s="148" t="str">
        <f t="shared" si="2"/>
        <v/>
      </c>
      <c r="AL5" s="148" t="str">
        <f t="shared" si="2"/>
        <v/>
      </c>
      <c r="AM5" s="148" t="str">
        <f t="shared" si="2"/>
        <v/>
      </c>
      <c r="AN5" s="148" t="str">
        <f t="shared" si="2"/>
        <v/>
      </c>
      <c r="AO5" s="148" t="str">
        <f t="shared" si="2"/>
        <v/>
      </c>
      <c r="AP5" s="148" t="str">
        <f t="shared" si="2"/>
        <v/>
      </c>
      <c r="AQ5" s="148" t="str">
        <f t="shared" si="2"/>
        <v/>
      </c>
      <c r="AR5" s="148" t="str">
        <f t="shared" si="2"/>
        <v/>
      </c>
      <c r="AS5" s="148"/>
    </row>
    <row r="6" spans="1:46">
      <c r="A6" s="262"/>
      <c r="B6" s="137">
        <f t="shared" si="0"/>
        <v>40</v>
      </c>
      <c r="C6" s="145" t="str">
        <f>VLOOKUP(B6,'Tipos de Defeitos'!B$4:E$106,Menu!$B$23+1,)</f>
        <v>Modelo</v>
      </c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48"/>
    </row>
    <row r="7" spans="1:46">
      <c r="A7" s="262"/>
      <c r="B7" s="137">
        <f t="shared" si="0"/>
        <v>50</v>
      </c>
      <c r="C7" s="145" t="str">
        <f>VLOOKUP(B7,'Tipos de Defeitos'!B$4:E$106,Menu!$B$23+1,)</f>
        <v>Qtd de Produção (pçs)</v>
      </c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148">
        <f>SUM(D7:AR7)</f>
        <v>0</v>
      </c>
      <c r="AT7" s="234">
        <f>AS7+'UM-4 - Dia'!AS7</f>
        <v>0</v>
      </c>
    </row>
    <row r="8" spans="1:46">
      <c r="A8" s="262"/>
      <c r="B8" s="137">
        <f t="shared" si="0"/>
        <v>60</v>
      </c>
      <c r="C8" s="145" t="str">
        <f>VLOOKUP(B8,'Tipos de Defeitos'!B$4:E$106,Menu!$B$23+1,)</f>
        <v>GME - Fornecedor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48"/>
    </row>
    <row r="9" spans="1:46">
      <c r="A9" s="262"/>
      <c r="B9" s="137">
        <f>(B8/10+1)*10</f>
        <v>70</v>
      </c>
      <c r="C9" s="145" t="str">
        <f>VLOOKUP(B9,'Tipos de Defeitos'!B$4:E$106,Menu!$B$23+1,)</f>
        <v>Nº Lote</v>
      </c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  <c r="AP9" s="165"/>
      <c r="AQ9" s="165"/>
      <c r="AR9" s="165"/>
      <c r="AS9" s="148"/>
    </row>
    <row r="10" spans="1:46">
      <c r="A10" s="262"/>
      <c r="B10" s="137">
        <f t="shared" si="0"/>
        <v>80</v>
      </c>
      <c r="C10" s="145" t="str">
        <f>VLOOKUP(B10,'Tipos de Defeitos'!B$4:E$106,Menu!$B$23+1,)</f>
        <v>Qtd</v>
      </c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0"/>
      <c r="V10" s="240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48"/>
    </row>
    <row r="11" spans="1:46">
      <c r="A11" s="262"/>
      <c r="B11" s="137">
        <f t="shared" si="0"/>
        <v>90</v>
      </c>
      <c r="C11" s="145" t="str">
        <f>VLOOKUP(B11,'Tipos de Defeitos'!B$4:E$106,Menu!$B$23+1,)</f>
        <v>GMT - Fornecedor</v>
      </c>
      <c r="D11" s="240"/>
      <c r="E11" s="240"/>
      <c r="F11" s="240"/>
      <c r="G11" s="240"/>
      <c r="H11" s="240"/>
      <c r="I11" s="240"/>
      <c r="J11" s="240"/>
      <c r="K11" s="240"/>
      <c r="L11" s="240"/>
      <c r="M11" s="240"/>
      <c r="N11" s="240"/>
      <c r="O11" s="240"/>
      <c r="P11" s="240"/>
      <c r="Q11" s="240"/>
      <c r="R11" s="240"/>
      <c r="S11" s="240"/>
      <c r="T11" s="240"/>
      <c r="U11" s="240"/>
      <c r="V11" s="240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48"/>
    </row>
    <row r="12" spans="1:46">
      <c r="A12" s="262"/>
      <c r="B12" s="137">
        <f t="shared" si="0"/>
        <v>100</v>
      </c>
      <c r="C12" s="145" t="str">
        <f>VLOOKUP(B12,'Tipos de Defeitos'!B$4:E$106,Menu!$B$23+1,)</f>
        <v>Nº Lote</v>
      </c>
      <c r="D12" s="243"/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148"/>
    </row>
    <row r="13" spans="1:46">
      <c r="A13" s="262"/>
      <c r="B13" s="137">
        <f t="shared" si="0"/>
        <v>110</v>
      </c>
      <c r="C13" s="145" t="str">
        <f>VLOOKUP(B13,'Tipos de Defeitos'!B$4:E$106,Menu!$B$23+1,)</f>
        <v>Qtd</v>
      </c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0"/>
      <c r="P13" s="240"/>
      <c r="Q13" s="240"/>
      <c r="R13" s="240"/>
      <c r="S13" s="240"/>
      <c r="T13" s="240"/>
      <c r="U13" s="240"/>
      <c r="V13" s="240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  <c r="AP13" s="165"/>
      <c r="AQ13" s="165"/>
      <c r="AR13" s="165"/>
      <c r="AS13" s="148"/>
    </row>
    <row r="14" spans="1:46">
      <c r="A14" s="262"/>
      <c r="B14" s="137">
        <f t="shared" si="0"/>
        <v>120</v>
      </c>
      <c r="C14" s="145" t="str">
        <f>VLOOKUP(B14,'Tipos de Defeitos'!B$4:E$106,Menu!$B$23+1,)</f>
        <v>GCA - Fornecedor</v>
      </c>
      <c r="D14" s="240"/>
      <c r="E14" s="240"/>
      <c r="F14" s="240"/>
      <c r="G14" s="240"/>
      <c r="H14" s="240"/>
      <c r="I14" s="240"/>
      <c r="J14" s="240"/>
      <c r="K14" s="240"/>
      <c r="L14" s="240"/>
      <c r="M14" s="240"/>
      <c r="N14" s="240"/>
      <c r="O14" s="240"/>
      <c r="P14" s="240"/>
      <c r="Q14" s="240"/>
      <c r="R14" s="240"/>
      <c r="S14" s="240"/>
      <c r="T14" s="240"/>
      <c r="U14" s="240"/>
      <c r="V14" s="240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48"/>
    </row>
    <row r="15" spans="1:46">
      <c r="A15" s="262"/>
      <c r="B15" s="137">
        <f t="shared" si="0"/>
        <v>130</v>
      </c>
      <c r="C15" s="145" t="str">
        <f>VLOOKUP(B15,'Tipos de Defeitos'!B$4:E$106,Menu!$B$23+1,)</f>
        <v>Lot.</v>
      </c>
      <c r="D15" s="240"/>
      <c r="E15" s="240"/>
      <c r="F15" s="240"/>
      <c r="G15" s="240"/>
      <c r="H15" s="240"/>
      <c r="I15" s="240"/>
      <c r="J15" s="240"/>
      <c r="K15" s="240"/>
      <c r="L15" s="240"/>
      <c r="M15" s="240"/>
      <c r="N15" s="240"/>
      <c r="O15" s="240"/>
      <c r="P15" s="240"/>
      <c r="Q15" s="240"/>
      <c r="R15" s="240"/>
      <c r="S15" s="240"/>
      <c r="T15" s="240"/>
      <c r="U15" s="240"/>
      <c r="V15" s="240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48"/>
    </row>
    <row r="16" spans="1:46">
      <c r="A16" s="262"/>
      <c r="B16" s="137">
        <f t="shared" si="0"/>
        <v>140</v>
      </c>
      <c r="C16" s="145" t="str">
        <f>VLOOKUP(B16,'Tipos de Defeitos'!B$4:E$106,Menu!$B$23+1,)</f>
        <v>Qtd</v>
      </c>
      <c r="D16" s="240"/>
      <c r="E16" s="240"/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/>
      <c r="T16" s="240"/>
      <c r="U16" s="240"/>
      <c r="V16" s="240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  <c r="AQ16" s="165"/>
      <c r="AR16" s="165"/>
      <c r="AS16" s="148"/>
    </row>
    <row r="17" spans="1:46">
      <c r="A17" s="262"/>
      <c r="B17" s="137">
        <f t="shared" si="0"/>
        <v>150</v>
      </c>
      <c r="C17" s="145" t="str">
        <f>VLOOKUP(B17,'Tipos de Defeitos'!B$4:E$106,Menu!$B$23+1,)</f>
        <v>GZO - Fornecedor</v>
      </c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240"/>
      <c r="O17" s="240"/>
      <c r="P17" s="240"/>
      <c r="Q17" s="240"/>
      <c r="R17" s="240"/>
      <c r="S17" s="240"/>
      <c r="T17" s="240"/>
      <c r="U17" s="240"/>
      <c r="V17" s="240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148"/>
    </row>
    <row r="18" spans="1:46">
      <c r="A18" s="262"/>
      <c r="B18" s="137">
        <f t="shared" si="0"/>
        <v>160</v>
      </c>
      <c r="C18" s="145" t="str">
        <f>VLOOKUP(B18,'Tipos de Defeitos'!B$4:E$106,Menu!$B$23+1,)</f>
        <v>Nº Lote</v>
      </c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41"/>
      <c r="U18" s="241"/>
      <c r="V18" s="241"/>
      <c r="W18" s="208"/>
      <c r="X18" s="208"/>
      <c r="Y18" s="208"/>
      <c r="Z18" s="208"/>
      <c r="AA18" s="208"/>
      <c r="AB18" s="208"/>
      <c r="AC18" s="208"/>
      <c r="AD18" s="208"/>
      <c r="AE18" s="208"/>
      <c r="AF18" s="208"/>
      <c r="AG18" s="208"/>
      <c r="AH18" s="208"/>
      <c r="AI18" s="208"/>
      <c r="AJ18" s="208"/>
      <c r="AK18" s="208"/>
      <c r="AL18" s="208"/>
      <c r="AM18" s="208"/>
      <c r="AN18" s="208"/>
      <c r="AO18" s="208"/>
      <c r="AP18" s="208"/>
      <c r="AQ18" s="208"/>
      <c r="AR18" s="208"/>
      <c r="AS18" s="227"/>
    </row>
    <row r="19" spans="1:46">
      <c r="A19" s="262"/>
      <c r="B19" s="137">
        <f t="shared" si="0"/>
        <v>170</v>
      </c>
      <c r="C19" s="145" t="str">
        <f>VLOOKUP(B19,'Tipos de Defeitos'!B$4:E$106,Menu!$B$23+1,)</f>
        <v>Qtd</v>
      </c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42"/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27"/>
    </row>
    <row r="20" spans="1:46">
      <c r="A20" s="262"/>
      <c r="B20" s="137">
        <f t="shared" si="0"/>
        <v>180</v>
      </c>
      <c r="C20" s="145" t="str">
        <f>VLOOKUP(B20,'Tipos de Defeitos'!B$4:E$106,Menu!$B$23+1,)</f>
        <v>Solução nº 125 Qtd</v>
      </c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48"/>
    </row>
    <row r="21" spans="1:46" ht="12.75" customHeight="1">
      <c r="A21" s="262"/>
      <c r="B21" s="137">
        <f t="shared" si="0"/>
        <v>190</v>
      </c>
      <c r="C21" s="145" t="str">
        <f>VLOOKUP(B21,'Tipos de Defeitos'!B$4:E$106,Menu!$B$23+1,)</f>
        <v>Carvão - Fornecedor</v>
      </c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48"/>
    </row>
    <row r="22" spans="1:46" ht="13.5" thickBot="1">
      <c r="A22" s="263"/>
      <c r="B22" s="140">
        <f t="shared" si="0"/>
        <v>200</v>
      </c>
      <c r="C22" s="181" t="str">
        <f>VLOOKUP(B22,'Tipos de Defeitos'!B$4:E$106,Menu!$B$23+1,)</f>
        <v>Nº Lote</v>
      </c>
      <c r="D22" s="244"/>
      <c r="E22" s="244"/>
      <c r="F22" s="244"/>
      <c r="G22" s="244"/>
      <c r="H22" s="244"/>
      <c r="I22" s="244"/>
      <c r="J22" s="244"/>
      <c r="K22" s="244"/>
      <c r="L22" s="244"/>
      <c r="M22" s="244"/>
      <c r="N22" s="244"/>
      <c r="O22" s="244"/>
      <c r="P22" s="244"/>
      <c r="Q22" s="244"/>
      <c r="R22" s="244"/>
      <c r="S22" s="244"/>
      <c r="T22" s="244"/>
      <c r="U22" s="244"/>
      <c r="V22" s="244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9"/>
    </row>
    <row r="23" spans="1:46">
      <c r="A23" s="252" t="s">
        <v>205</v>
      </c>
      <c r="B23" s="139">
        <f t="shared" si="0"/>
        <v>210</v>
      </c>
      <c r="C23" s="141" t="str">
        <f>VLOOKUP(B23,'Tipos de Defeitos'!B$4:E$106,Menu!$B$23+1,)</f>
        <v>Qtd. Retestada (pçs)</v>
      </c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  <c r="AN23" s="150"/>
      <c r="AO23" s="150"/>
      <c r="AP23" s="150"/>
      <c r="AQ23" s="150"/>
      <c r="AR23" s="150"/>
      <c r="AS23" s="171">
        <f>SUM(D23:AR23)</f>
        <v>0</v>
      </c>
      <c r="AT23" s="234">
        <f>AS23+'UM-4 - Dia'!AS23</f>
        <v>0</v>
      </c>
    </row>
    <row r="24" spans="1:46" ht="13.5" customHeight="1">
      <c r="A24" s="253"/>
      <c r="B24" s="137">
        <f t="shared" si="0"/>
        <v>220</v>
      </c>
      <c r="C24" s="142" t="str">
        <f>VLOOKUP(B24,'Tipos de Defeitos'!B$4:E$106,Menu!$B$23+1,)</f>
        <v>Defeitos (Qty)</v>
      </c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48">
        <f>SUM(D24:AR24)</f>
        <v>0</v>
      </c>
      <c r="AT24" s="234">
        <f>AS24+'UM-4 - Dia'!AS24</f>
        <v>0</v>
      </c>
    </row>
    <row r="25" spans="1:46">
      <c r="A25" s="253"/>
      <c r="B25" s="137">
        <f t="shared" si="0"/>
        <v>230</v>
      </c>
      <c r="C25" s="142" t="str">
        <f>VLOOKUP(B25,'Tipos de Defeitos'!B$4:E$106,Menu!$B$23+1,)</f>
        <v>Voltagem (Moda)</v>
      </c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50"/>
      <c r="AN25" s="150"/>
      <c r="AO25" s="150"/>
      <c r="AP25" s="150"/>
      <c r="AQ25" s="150"/>
      <c r="AR25" s="150"/>
      <c r="AS25" s="212" t="e">
        <f>AVERAGE(D25:AR25)</f>
        <v>#DIV/0!</v>
      </c>
    </row>
    <row r="26" spans="1:46">
      <c r="A26" s="253"/>
      <c r="B26" s="137">
        <f t="shared" si="0"/>
        <v>240</v>
      </c>
      <c r="C26" s="142" t="str">
        <f>VLOOKUP(B26,'Tipos de Defeitos'!B$4:E$106,Menu!$B$23+1,)</f>
        <v>Voltagem (ajustada)</v>
      </c>
      <c r="D26" s="213" t="str">
        <f t="shared" ref="D26:AR26" si="3">IF(D25&gt;0,D25-0.005," ")</f>
        <v xml:space="preserve"> </v>
      </c>
      <c r="E26" s="213" t="str">
        <f t="shared" si="3"/>
        <v xml:space="preserve"> </v>
      </c>
      <c r="F26" s="213" t="str">
        <f t="shared" si="3"/>
        <v xml:space="preserve"> </v>
      </c>
      <c r="G26" s="213" t="str">
        <f t="shared" si="3"/>
        <v xml:space="preserve"> </v>
      </c>
      <c r="H26" s="213" t="str">
        <f t="shared" si="3"/>
        <v xml:space="preserve"> </v>
      </c>
      <c r="I26" s="213" t="str">
        <f t="shared" si="3"/>
        <v xml:space="preserve"> </v>
      </c>
      <c r="J26" s="213" t="str">
        <f t="shared" si="3"/>
        <v xml:space="preserve"> </v>
      </c>
      <c r="K26" s="213" t="str">
        <f t="shared" si="3"/>
        <v xml:space="preserve"> </v>
      </c>
      <c r="L26" s="213" t="str">
        <f t="shared" si="3"/>
        <v xml:space="preserve"> </v>
      </c>
      <c r="M26" s="213" t="str">
        <f t="shared" si="3"/>
        <v xml:space="preserve"> </v>
      </c>
      <c r="N26" s="213" t="str">
        <f t="shared" si="3"/>
        <v xml:space="preserve"> </v>
      </c>
      <c r="O26" s="213" t="str">
        <f t="shared" si="3"/>
        <v xml:space="preserve"> </v>
      </c>
      <c r="P26" s="213" t="str">
        <f t="shared" si="3"/>
        <v xml:space="preserve"> </v>
      </c>
      <c r="Q26" s="213" t="str">
        <f t="shared" si="3"/>
        <v xml:space="preserve"> </v>
      </c>
      <c r="R26" s="213" t="str">
        <f t="shared" si="3"/>
        <v xml:space="preserve"> </v>
      </c>
      <c r="S26" s="213" t="str">
        <f t="shared" si="3"/>
        <v xml:space="preserve"> </v>
      </c>
      <c r="T26" s="213" t="str">
        <f t="shared" si="3"/>
        <v xml:space="preserve"> </v>
      </c>
      <c r="U26" s="213" t="str">
        <f t="shared" si="3"/>
        <v xml:space="preserve"> </v>
      </c>
      <c r="V26" s="213" t="str">
        <f t="shared" si="3"/>
        <v xml:space="preserve"> </v>
      </c>
      <c r="W26" s="213" t="str">
        <f t="shared" si="3"/>
        <v xml:space="preserve"> </v>
      </c>
      <c r="X26" s="213" t="str">
        <f t="shared" si="3"/>
        <v xml:space="preserve"> </v>
      </c>
      <c r="Y26" s="213" t="str">
        <f t="shared" si="3"/>
        <v xml:space="preserve"> </v>
      </c>
      <c r="Z26" s="213" t="str">
        <f t="shared" si="3"/>
        <v xml:space="preserve"> </v>
      </c>
      <c r="AA26" s="213" t="str">
        <f t="shared" si="3"/>
        <v xml:space="preserve"> </v>
      </c>
      <c r="AB26" s="213" t="str">
        <f t="shared" si="3"/>
        <v xml:space="preserve"> </v>
      </c>
      <c r="AC26" s="213" t="str">
        <f t="shared" si="3"/>
        <v xml:space="preserve"> </v>
      </c>
      <c r="AD26" s="213" t="str">
        <f t="shared" si="3"/>
        <v xml:space="preserve"> </v>
      </c>
      <c r="AE26" s="213" t="str">
        <f t="shared" si="3"/>
        <v xml:space="preserve"> </v>
      </c>
      <c r="AF26" s="213" t="str">
        <f t="shared" si="3"/>
        <v xml:space="preserve"> </v>
      </c>
      <c r="AG26" s="213" t="str">
        <f t="shared" si="3"/>
        <v xml:space="preserve"> </v>
      </c>
      <c r="AH26" s="213" t="str">
        <f t="shared" si="3"/>
        <v xml:space="preserve"> </v>
      </c>
      <c r="AI26" s="213" t="str">
        <f t="shared" si="3"/>
        <v xml:space="preserve"> </v>
      </c>
      <c r="AJ26" s="213" t="str">
        <f t="shared" si="3"/>
        <v xml:space="preserve"> </v>
      </c>
      <c r="AK26" s="213" t="str">
        <f t="shared" si="3"/>
        <v xml:space="preserve"> </v>
      </c>
      <c r="AL26" s="213" t="str">
        <f t="shared" si="3"/>
        <v xml:space="preserve"> </v>
      </c>
      <c r="AM26" s="213" t="str">
        <f t="shared" si="3"/>
        <v xml:space="preserve"> </v>
      </c>
      <c r="AN26" s="213" t="str">
        <f t="shared" si="3"/>
        <v xml:space="preserve"> </v>
      </c>
      <c r="AO26" s="213" t="str">
        <f t="shared" si="3"/>
        <v xml:space="preserve"> </v>
      </c>
      <c r="AP26" s="213" t="str">
        <f t="shared" si="3"/>
        <v xml:space="preserve"> </v>
      </c>
      <c r="AQ26" s="213" t="str">
        <f t="shared" si="3"/>
        <v xml:space="preserve"> </v>
      </c>
      <c r="AR26" s="213" t="str">
        <f t="shared" si="3"/>
        <v xml:space="preserve"> </v>
      </c>
      <c r="AS26" s="148" t="e">
        <f>AVERAGE(D26:AR26)</f>
        <v>#DIV/0!</v>
      </c>
    </row>
    <row r="27" spans="1:46" ht="13.5" thickBot="1">
      <c r="A27" s="254"/>
      <c r="B27" s="140">
        <f t="shared" si="0"/>
        <v>250</v>
      </c>
      <c r="C27" s="143" t="str">
        <f>VLOOKUP(B27,'Tipos de Defeitos'!B$4:E$106,Menu!$B$23+1,)</f>
        <v>Qtd. Analisada (pçs)</v>
      </c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/>
      <c r="AD27" s="152"/>
      <c r="AE27" s="152"/>
      <c r="AF27" s="152"/>
      <c r="AG27" s="152"/>
      <c r="AH27" s="152"/>
      <c r="AI27" s="152"/>
      <c r="AJ27" s="152"/>
      <c r="AK27" s="152"/>
      <c r="AL27" s="152"/>
      <c r="AM27" s="152"/>
      <c r="AN27" s="152"/>
      <c r="AO27" s="152"/>
      <c r="AP27" s="152"/>
      <c r="AQ27" s="152"/>
      <c r="AR27" s="152"/>
      <c r="AS27" s="169">
        <f t="shared" ref="AS27:AS58" si="4">SUM(D27:AR27)</f>
        <v>0</v>
      </c>
      <c r="AT27" s="234">
        <f>AS27+'UM-4 - Dia'!AS27</f>
        <v>10</v>
      </c>
    </row>
    <row r="28" spans="1:46">
      <c r="A28" s="252" t="s">
        <v>206</v>
      </c>
      <c r="B28" s="139">
        <f t="shared" si="0"/>
        <v>260</v>
      </c>
      <c r="C28" s="141" t="str">
        <f>VLOOKUP(B28,'Tipos de Defeitos'!B$4:E$106,Menu!$B$23+1,)</f>
        <v>Sem Papel Separador</v>
      </c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71">
        <f t="shared" si="4"/>
        <v>0</v>
      </c>
      <c r="AT28" s="229" t="e">
        <f>(AS28/$AS$78)*100</f>
        <v>#DIV/0!</v>
      </c>
    </row>
    <row r="29" spans="1:46">
      <c r="A29" s="253"/>
      <c r="B29" s="137">
        <f t="shared" si="0"/>
        <v>270</v>
      </c>
      <c r="C29" s="142" t="str">
        <f>VLOOKUP(B29,'Tipos de Defeitos'!B$4:E$106,Menu!$B$23+1,)</f>
        <v>Papel Separador Cortado</v>
      </c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48">
        <f t="shared" si="4"/>
        <v>0</v>
      </c>
      <c r="AT29" s="229" t="e">
        <f t="shared" ref="AT29:AT77" si="5">(AS29/$AS$78)*100</f>
        <v>#DIV/0!</v>
      </c>
    </row>
    <row r="30" spans="1:46">
      <c r="A30" s="253"/>
      <c r="B30" s="137">
        <f t="shared" si="0"/>
        <v>280</v>
      </c>
      <c r="C30" s="142" t="str">
        <f>VLOOKUP(B30,'Tipos de Defeitos'!B$4:E$106,Menu!$B$23+1,)</f>
        <v>Papel Separador Rasgado</v>
      </c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48">
        <f t="shared" si="4"/>
        <v>0</v>
      </c>
      <c r="AT30" s="229" t="e">
        <f t="shared" si="5"/>
        <v>#DIV/0!</v>
      </c>
    </row>
    <row r="31" spans="1:46">
      <c r="A31" s="253"/>
      <c r="B31" s="137">
        <f t="shared" si="0"/>
        <v>290</v>
      </c>
      <c r="C31" s="142" t="str">
        <f>VLOOKUP(B31,'Tipos de Defeitos'!B$4:E$106,Menu!$B$23+1,)</f>
        <v>Papel Dobrado Sup.</v>
      </c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48">
        <f t="shared" si="4"/>
        <v>0</v>
      </c>
      <c r="AT31" s="229" t="e">
        <f t="shared" si="5"/>
        <v>#DIV/0!</v>
      </c>
    </row>
    <row r="32" spans="1:46">
      <c r="A32" s="253"/>
      <c r="B32" s="137">
        <f t="shared" si="0"/>
        <v>300</v>
      </c>
      <c r="C32" s="142" t="str">
        <f>VLOOKUP(B32,'Tipos de Defeitos'!B$4:E$106,Menu!$B$23+1,)</f>
        <v>Papel Dobrado Meio</v>
      </c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48">
        <f t="shared" si="4"/>
        <v>0</v>
      </c>
      <c r="AT32" s="229" t="e">
        <f t="shared" si="5"/>
        <v>#DIV/0!</v>
      </c>
    </row>
    <row r="33" spans="1:46">
      <c r="A33" s="253"/>
      <c r="B33" s="137">
        <f t="shared" si="0"/>
        <v>310</v>
      </c>
      <c r="C33" s="142" t="str">
        <f>VLOOKUP(B33,'Tipos de Defeitos'!B$4:E$106,Menu!$B$23+1,)</f>
        <v>Papel Dobrado Inf.</v>
      </c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48">
        <f t="shared" si="4"/>
        <v>0</v>
      </c>
      <c r="AT33" s="229" t="e">
        <f t="shared" si="5"/>
        <v>#DIV/0!</v>
      </c>
    </row>
    <row r="34" spans="1:46">
      <c r="A34" s="253"/>
      <c r="B34" s="137">
        <f t="shared" si="0"/>
        <v>320</v>
      </c>
      <c r="C34" s="142" t="str">
        <f>VLOOKUP(B34,'Tipos de Defeitos'!B$4:E$106,Menu!$B$23+1,)</f>
        <v>Papel Afundado</v>
      </c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48">
        <f t="shared" si="4"/>
        <v>0</v>
      </c>
      <c r="AT34" s="229" t="e">
        <f t="shared" si="5"/>
        <v>#DIV/0!</v>
      </c>
    </row>
    <row r="35" spans="1:46">
      <c r="A35" s="253"/>
      <c r="B35" s="137">
        <f t="shared" si="0"/>
        <v>330</v>
      </c>
      <c r="C35" s="142" t="str">
        <f>VLOOKUP(B35,'Tipos de Defeitos'!B$4:E$106,Menu!$B$23+1,)</f>
        <v>Papel Deslocado</v>
      </c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48">
        <f t="shared" si="4"/>
        <v>0</v>
      </c>
      <c r="AT35" s="229" t="e">
        <f t="shared" si="5"/>
        <v>#DIV/0!</v>
      </c>
    </row>
    <row r="36" spans="1:46" ht="12.75" customHeight="1">
      <c r="A36" s="253"/>
      <c r="B36" s="137">
        <f t="shared" si="0"/>
        <v>340</v>
      </c>
      <c r="C36" s="142" t="str">
        <f>VLOOKUP(B36,'Tipos de Defeitos'!B$4:E$106,Menu!$B$23+1,)</f>
        <v>Papel menor</v>
      </c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48">
        <f t="shared" si="4"/>
        <v>0</v>
      </c>
      <c r="AT36" s="229" t="e">
        <f t="shared" si="5"/>
        <v>#DIV/0!</v>
      </c>
    </row>
    <row r="37" spans="1:46">
      <c r="A37" s="253"/>
      <c r="B37" s="137">
        <f t="shared" si="0"/>
        <v>350</v>
      </c>
      <c r="C37" s="142" t="str">
        <f>VLOOKUP(B37,'Tipos de Defeitos'!B$4:E$106,Menu!$B$23+1,)</f>
        <v>Sem Disco</v>
      </c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48">
        <f t="shared" si="4"/>
        <v>0</v>
      </c>
      <c r="AT37" s="229" t="e">
        <f t="shared" si="5"/>
        <v>#DIV/0!</v>
      </c>
    </row>
    <row r="38" spans="1:46">
      <c r="A38" s="253"/>
      <c r="B38" s="137">
        <f t="shared" si="0"/>
        <v>360</v>
      </c>
      <c r="C38" s="142" t="str">
        <f>VLOOKUP(B38,'Tipos de Defeitos'!B$4:E$106,Menu!$B$23+1,)</f>
        <v>Disco Cortado</v>
      </c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48">
        <f t="shared" si="4"/>
        <v>0</v>
      </c>
      <c r="AT38" s="229" t="e">
        <f t="shared" si="5"/>
        <v>#DIV/0!</v>
      </c>
    </row>
    <row r="39" spans="1:46">
      <c r="A39" s="253"/>
      <c r="B39" s="137">
        <f t="shared" si="0"/>
        <v>370</v>
      </c>
      <c r="C39" s="142" t="str">
        <f>VLOOKUP(B39,'Tipos de Defeitos'!B$4:E$106,Menu!$B$23+1,)</f>
        <v>Disco Rasgado</v>
      </c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48">
        <f t="shared" si="4"/>
        <v>0</v>
      </c>
      <c r="AT39" s="229" t="e">
        <f t="shared" si="5"/>
        <v>#DIV/0!</v>
      </c>
    </row>
    <row r="40" spans="1:46">
      <c r="A40" s="253"/>
      <c r="B40" s="137">
        <f t="shared" si="0"/>
        <v>380</v>
      </c>
      <c r="C40" s="142" t="str">
        <f>VLOOKUP(B40,'Tipos de Defeitos'!B$4:E$106,Menu!$B$23+1,)</f>
        <v>Disco Furado</v>
      </c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48">
        <f t="shared" si="4"/>
        <v>0</v>
      </c>
      <c r="AT40" s="229" t="e">
        <f t="shared" si="5"/>
        <v>#DIV/0!</v>
      </c>
    </row>
    <row r="41" spans="1:46">
      <c r="A41" s="253"/>
      <c r="B41" s="137">
        <f t="shared" si="0"/>
        <v>390</v>
      </c>
      <c r="C41" s="142" t="str">
        <f>VLOOKUP(B41,'Tipos de Defeitos'!B$4:E$106,Menu!$B$23+1,)</f>
        <v>Disco Dobrado</v>
      </c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48">
        <f t="shared" si="4"/>
        <v>0</v>
      </c>
      <c r="AT41" s="229" t="e">
        <f t="shared" si="5"/>
        <v>#DIV/0!</v>
      </c>
    </row>
    <row r="42" spans="1:46">
      <c r="A42" s="253"/>
      <c r="B42" s="137">
        <f t="shared" si="0"/>
        <v>400</v>
      </c>
      <c r="C42" s="142" t="str">
        <f>VLOOKUP(B42,'Tipos de Defeitos'!B$4:E$106,Menu!$B$23+1,)</f>
        <v>Disco fora de centro / deslocado</v>
      </c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48">
        <f t="shared" si="4"/>
        <v>0</v>
      </c>
      <c r="AT42" s="229" t="e">
        <f t="shared" si="5"/>
        <v>#DIV/0!</v>
      </c>
    </row>
    <row r="43" spans="1:46">
      <c r="A43" s="253"/>
      <c r="B43" s="137">
        <f t="shared" si="0"/>
        <v>410</v>
      </c>
      <c r="C43" s="142" t="str">
        <f>VLOOKUP(B43,'Tipos de Defeitos'!B$4:E$106,Menu!$B$23+1,)</f>
        <v>Isolador fora de centro</v>
      </c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48">
        <f t="shared" si="4"/>
        <v>0</v>
      </c>
      <c r="AT43" s="229" t="e">
        <f t="shared" si="5"/>
        <v>#DIV/0!</v>
      </c>
    </row>
    <row r="44" spans="1:46">
      <c r="A44" s="253"/>
      <c r="B44" s="137">
        <f t="shared" si="0"/>
        <v>420</v>
      </c>
      <c r="C44" s="142" t="str">
        <f>VLOOKUP(B44,'Tipos de Defeitos'!B$4:E$106,Menu!$B$23+1,)</f>
        <v>Isolador afundado</v>
      </c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48">
        <f t="shared" si="4"/>
        <v>0</v>
      </c>
      <c r="AT44" s="229" t="e">
        <f t="shared" si="5"/>
        <v>#DIV/0!</v>
      </c>
    </row>
    <row r="45" spans="1:46">
      <c r="A45" s="253"/>
      <c r="B45" s="137">
        <f t="shared" si="0"/>
        <v>430</v>
      </c>
      <c r="C45" s="142" t="str">
        <f>VLOOKUP(B45,'Tipos de Defeitos'!B$4:E$106,Menu!$B$23+1,)</f>
        <v>Isolador Inclinado</v>
      </c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48">
        <f t="shared" si="4"/>
        <v>0</v>
      </c>
      <c r="AT45" s="229" t="e">
        <f t="shared" si="5"/>
        <v>#DIV/0!</v>
      </c>
    </row>
    <row r="46" spans="1:46">
      <c r="A46" s="253"/>
      <c r="B46" s="137">
        <f t="shared" si="0"/>
        <v>440</v>
      </c>
      <c r="C46" s="142" t="str">
        <f>VLOOKUP(B46,'Tipos de Defeitos'!B$4:E$106,Menu!$B$23+1,)</f>
        <v>Papel sujo</v>
      </c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48">
        <f t="shared" si="4"/>
        <v>0</v>
      </c>
      <c r="AT46" s="229" t="e">
        <f t="shared" si="5"/>
        <v>#DIV/0!</v>
      </c>
    </row>
    <row r="47" spans="1:46">
      <c r="A47" s="253"/>
      <c r="B47" s="137">
        <f t="shared" si="0"/>
        <v>450</v>
      </c>
      <c r="C47" s="142" t="str">
        <f>VLOOKUP(B47,'Tipos de Defeitos'!B$4:E$106,Menu!$B$23+1,)</f>
        <v>Manchado</v>
      </c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48">
        <f t="shared" si="4"/>
        <v>0</v>
      </c>
      <c r="AT47" s="229" t="e">
        <f t="shared" si="5"/>
        <v>#DIV/0!</v>
      </c>
    </row>
    <row r="48" spans="1:46">
      <c r="A48" s="253"/>
      <c r="B48" s="137">
        <f t="shared" si="0"/>
        <v>460</v>
      </c>
      <c r="C48" s="142" t="str">
        <f>VLOOKUP(B48,'Tipos de Defeitos'!B$4:E$106,Menu!$B$23+1,)</f>
        <v>Manchado Superior</v>
      </c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48">
        <f t="shared" si="4"/>
        <v>0</v>
      </c>
      <c r="AT48" s="229" t="e">
        <f t="shared" si="5"/>
        <v>#DIV/0!</v>
      </c>
    </row>
    <row r="49" spans="1:46">
      <c r="A49" s="253"/>
      <c r="B49" s="137">
        <f t="shared" si="0"/>
        <v>470</v>
      </c>
      <c r="C49" s="142" t="str">
        <f>VLOOKUP(B49,'Tipos de Defeitos'!B$4:E$106,Menu!$B$23+1,)</f>
        <v>Ferro</v>
      </c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48">
        <f t="shared" si="4"/>
        <v>0</v>
      </c>
      <c r="AT49" s="229" t="e">
        <f t="shared" si="5"/>
        <v>#DIV/0!</v>
      </c>
    </row>
    <row r="50" spans="1:46">
      <c r="A50" s="253"/>
      <c r="B50" s="137">
        <f t="shared" si="0"/>
        <v>480</v>
      </c>
      <c r="C50" s="142" t="str">
        <f>VLOOKUP(B50,'Tipos de Defeitos'!B$4:E$106,Menu!$B$23+1,)</f>
        <v>Cobre</v>
      </c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48">
        <f t="shared" si="4"/>
        <v>0</v>
      </c>
      <c r="AT50" s="229" t="e">
        <f t="shared" si="5"/>
        <v>#DIV/0!</v>
      </c>
    </row>
    <row r="51" spans="1:46">
      <c r="A51" s="253"/>
      <c r="B51" s="137">
        <f t="shared" si="0"/>
        <v>490</v>
      </c>
      <c r="C51" s="142" t="str">
        <f>VLOOKUP(B51,'Tipos de Defeitos'!B$4:E$106,Menu!$B$23+1,)</f>
        <v>Mistura no Tubo</v>
      </c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48">
        <f t="shared" si="4"/>
        <v>0</v>
      </c>
      <c r="AT51" s="229" t="e">
        <f t="shared" si="5"/>
        <v>#DIV/0!</v>
      </c>
    </row>
    <row r="52" spans="1:46">
      <c r="A52" s="253"/>
      <c r="B52" s="137">
        <f t="shared" si="0"/>
        <v>500</v>
      </c>
      <c r="C52" s="142" t="str">
        <f>VLOOKUP(B52,'Tipos de Defeitos'!B$4:E$106,Menu!$B$23+1,)</f>
        <v>Pó de Mistura</v>
      </c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48">
        <f t="shared" si="4"/>
        <v>0</v>
      </c>
      <c r="AT52" s="229" t="e">
        <f t="shared" si="5"/>
        <v>#DIV/0!</v>
      </c>
    </row>
    <row r="53" spans="1:46">
      <c r="A53" s="253"/>
      <c r="B53" s="137">
        <f t="shared" si="0"/>
        <v>510</v>
      </c>
      <c r="C53" s="142" t="str">
        <f>VLOOKUP(B53,'Tipos de Defeitos'!B$4:E$106,Menu!$B$23+1,)</f>
        <v>Bobina Baixa V</v>
      </c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48">
        <f t="shared" si="4"/>
        <v>0</v>
      </c>
      <c r="AT53" s="229" t="e">
        <f t="shared" si="5"/>
        <v>#DIV/0!</v>
      </c>
    </row>
    <row r="54" spans="1:46">
      <c r="A54" s="253"/>
      <c r="B54" s="137">
        <f t="shared" si="0"/>
        <v>520</v>
      </c>
      <c r="C54" s="142" t="str">
        <f>VLOOKUP(B54,'Tipos de Defeitos'!B$4:E$106,Menu!$B$23+1,)</f>
        <v>Bobina Alta</v>
      </c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48">
        <f t="shared" si="4"/>
        <v>0</v>
      </c>
      <c r="AT54" s="229" t="e">
        <f t="shared" si="5"/>
        <v>#DIV/0!</v>
      </c>
    </row>
    <row r="55" spans="1:46">
      <c r="A55" s="253"/>
      <c r="B55" s="137">
        <f t="shared" si="0"/>
        <v>530</v>
      </c>
      <c r="C55" s="142" t="str">
        <f>VLOOKUP(B55,'Tipos de Defeitos'!B$4:E$106,Menu!$B$23+1,)</f>
        <v>Bobina Molhada</v>
      </c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48">
        <f t="shared" si="4"/>
        <v>0</v>
      </c>
      <c r="AT55" s="229" t="e">
        <f t="shared" si="5"/>
        <v>#DIV/0!</v>
      </c>
    </row>
    <row r="56" spans="1:46">
      <c r="A56" s="253"/>
      <c r="B56" s="137">
        <f t="shared" si="0"/>
        <v>540</v>
      </c>
      <c r="C56" s="142" t="str">
        <f>VLOOKUP(B56,'Tipos de Defeitos'!B$4:E$106,Menu!$B$23+1,)</f>
        <v>Mistura seca</v>
      </c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48">
        <f t="shared" si="4"/>
        <v>0</v>
      </c>
      <c r="AT56" s="229" t="e">
        <f t="shared" si="5"/>
        <v>#DIV/0!</v>
      </c>
    </row>
    <row r="57" spans="1:46">
      <c r="A57" s="253"/>
      <c r="B57" s="137">
        <f t="shared" si="0"/>
        <v>550</v>
      </c>
      <c r="C57" s="142" t="str">
        <f>VLOOKUP(B57,'Tipos de Defeitos'!B$4:E$106,Menu!$B$23+1,)</f>
        <v>Contem estranho</v>
      </c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48">
        <f t="shared" si="4"/>
        <v>0</v>
      </c>
      <c r="AT57" s="229" t="e">
        <f t="shared" si="5"/>
        <v>#DIV/0!</v>
      </c>
    </row>
    <row r="58" spans="1:46">
      <c r="A58" s="253"/>
      <c r="B58" s="137">
        <f t="shared" si="0"/>
        <v>560</v>
      </c>
      <c r="C58" s="142" t="str">
        <f>VLOOKUP(B58,'Tipos de Defeitos'!B$4:E$106,Menu!$B$23+1,)</f>
        <v>Pedra de Óxido</v>
      </c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48">
        <f t="shared" si="4"/>
        <v>0</v>
      </c>
      <c r="AT58" s="229" t="e">
        <f t="shared" si="5"/>
        <v>#DIV/0!</v>
      </c>
    </row>
    <row r="59" spans="1:46">
      <c r="A59" s="253"/>
      <c r="B59" s="137">
        <f t="shared" si="0"/>
        <v>570</v>
      </c>
      <c r="C59" s="142" t="str">
        <f>VLOOKUP(B59,'Tipos de Defeitos'!B$4:E$106,Menu!$B$23+1,)</f>
        <v>Carvão Quebrado V</v>
      </c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48">
        <f t="shared" ref="AS59:AS77" si="6">SUM(D59:AR59)</f>
        <v>0</v>
      </c>
      <c r="AT59" s="229" t="e">
        <f t="shared" si="5"/>
        <v>#DIV/0!</v>
      </c>
    </row>
    <row r="60" spans="1:46">
      <c r="A60" s="253"/>
      <c r="B60" s="137">
        <f t="shared" si="0"/>
        <v>580</v>
      </c>
      <c r="C60" s="142" t="str">
        <f>VLOOKUP(B60,'Tipos de Defeitos'!B$4:E$106,Menu!$B$23+1,)</f>
        <v>Sem Selante</v>
      </c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48">
        <f t="shared" si="6"/>
        <v>0</v>
      </c>
      <c r="AT60" s="229" t="e">
        <f t="shared" si="5"/>
        <v>#DIV/0!</v>
      </c>
    </row>
    <row r="61" spans="1:46">
      <c r="A61" s="253"/>
      <c r="B61" s="137">
        <f t="shared" si="0"/>
        <v>590</v>
      </c>
      <c r="C61" s="142" t="str">
        <f>VLOOKUP(B61,'Tipos de Defeitos'!B$4:E$106,Menu!$B$23+1,)</f>
        <v>PY c/ Falha de Injeção</v>
      </c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48">
        <f t="shared" si="6"/>
        <v>0</v>
      </c>
      <c r="AT61" s="229" t="e">
        <f t="shared" si="5"/>
        <v>#DIV/0!</v>
      </c>
    </row>
    <row r="62" spans="1:46">
      <c r="A62" s="253"/>
      <c r="B62" s="137">
        <f t="shared" si="0"/>
        <v>600</v>
      </c>
      <c r="C62" s="142" t="str">
        <f>VLOOKUP(B62,'Tipos de Defeitos'!B$4:E$106,Menu!$B$23+1,)</f>
        <v>Sem PY</v>
      </c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48">
        <f t="shared" si="6"/>
        <v>0</v>
      </c>
      <c r="AT62" s="229" t="e">
        <f t="shared" si="5"/>
        <v>#DIV/0!</v>
      </c>
    </row>
    <row r="63" spans="1:46">
      <c r="A63" s="253"/>
      <c r="B63" s="137">
        <f t="shared" si="0"/>
        <v>610</v>
      </c>
      <c r="C63" s="142" t="str">
        <f>VLOOKUP(B63,'Tipos de Defeitos'!B$4:E$106,Menu!$B$23+1,)</f>
        <v>PY Fora de Centro</v>
      </c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48">
        <f t="shared" si="6"/>
        <v>0</v>
      </c>
      <c r="AT63" s="229" t="e">
        <f t="shared" si="5"/>
        <v>#DIV/0!</v>
      </c>
    </row>
    <row r="64" spans="1:46">
      <c r="A64" s="253"/>
      <c r="B64" s="137">
        <f t="shared" si="0"/>
        <v>620</v>
      </c>
      <c r="C64" s="142" t="str">
        <f>VLOOKUP(B64,'Tipos de Defeitos'!B$4:E$106,Menu!$B$23+1,)</f>
        <v>PY Queimado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48">
        <f t="shared" si="6"/>
        <v>0</v>
      </c>
      <c r="AT64" s="229" t="e">
        <f t="shared" si="5"/>
        <v>#DIV/0!</v>
      </c>
    </row>
    <row r="65" spans="1:46">
      <c r="A65" s="253"/>
      <c r="B65" s="137">
        <f t="shared" si="0"/>
        <v>630</v>
      </c>
      <c r="C65" s="142" t="str">
        <f>VLOOKUP(B65,'Tipos de Defeitos'!B$4:E$106,Menu!$B$23+1,)</f>
        <v>Tb c/ Boca Amassada - Operador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48">
        <f t="shared" si="6"/>
        <v>0</v>
      </c>
      <c r="AT65" s="229" t="e">
        <f t="shared" si="5"/>
        <v>#DIV/0!</v>
      </c>
    </row>
    <row r="66" spans="1:46">
      <c r="A66" s="253"/>
      <c r="B66" s="137">
        <f t="shared" si="0"/>
        <v>640</v>
      </c>
      <c r="C66" s="142" t="str">
        <f>VLOOKUP(B66,'Tipos de Defeitos'!B$4:E$106,Menu!$B$23+1,)</f>
        <v>Tb c/ Boca Amassada - Câmera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48">
        <f t="shared" si="6"/>
        <v>0</v>
      </c>
      <c r="AT66" s="229" t="e">
        <f t="shared" si="5"/>
        <v>#DIV/0!</v>
      </c>
    </row>
    <row r="67" spans="1:46">
      <c r="A67" s="253"/>
      <c r="B67" s="137">
        <f t="shared" si="0"/>
        <v>650</v>
      </c>
      <c r="C67" s="142" t="str">
        <f>VLOOKUP(B67,'Tipos de Defeitos'!B$4:E$106,Menu!$B$23+1,)</f>
        <v>Tb c/ Boca Amassada - recuperada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48">
        <f t="shared" si="6"/>
        <v>0</v>
      </c>
      <c r="AT67" s="229" t="e">
        <f t="shared" si="5"/>
        <v>#DIV/0!</v>
      </c>
    </row>
    <row r="68" spans="1:46">
      <c r="A68" s="253"/>
      <c r="B68" s="137">
        <f t="shared" si="0"/>
        <v>660</v>
      </c>
      <c r="C68" s="201" t="str">
        <f>VLOOKUP(B68,'Tipos de Defeitos'!B$4:E$106,Menu!$B$23+1,)</f>
        <v>Tubo descascado</v>
      </c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48">
        <f t="shared" si="6"/>
        <v>0</v>
      </c>
      <c r="AT68" s="229" t="e">
        <f>(AS68/$AS$78)*100</f>
        <v>#DIV/0!</v>
      </c>
    </row>
    <row r="69" spans="1:46">
      <c r="A69" s="253"/>
      <c r="B69" s="137">
        <f t="shared" ref="B69:B105" si="7">(B68/10+1)*10</f>
        <v>670</v>
      </c>
      <c r="C69" s="201" t="str">
        <f>VLOOKUP(B69,'Tipos de Defeitos'!B$4:E$106,Menu!$B$23+1,)</f>
        <v>Tubo Rachado - Câmera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48">
        <f t="shared" si="6"/>
        <v>0</v>
      </c>
      <c r="AT69" s="229" t="e">
        <f t="shared" si="5"/>
        <v>#DIV/0!</v>
      </c>
    </row>
    <row r="70" spans="1:46">
      <c r="A70" s="253"/>
      <c r="B70" s="137">
        <f t="shared" si="7"/>
        <v>680</v>
      </c>
      <c r="C70" s="142" t="str">
        <f>VLOOKUP(B70,'Tipos de Defeitos'!B$4:E$106,Menu!$B$23+1,)</f>
        <v>Tubo de Zinco Amassado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48">
        <f t="shared" si="6"/>
        <v>0</v>
      </c>
      <c r="AT70" s="229" t="e">
        <f t="shared" si="5"/>
        <v>#DIV/0!</v>
      </c>
    </row>
    <row r="71" spans="1:46">
      <c r="A71" s="253"/>
      <c r="B71" s="137">
        <f t="shared" si="7"/>
        <v>690</v>
      </c>
      <c r="C71" s="142" t="str">
        <f>VLOOKUP(B71,'Tipos de Defeitos'!B$4:E$106,Menu!$B$23+1,)</f>
        <v>Tubo com Rebarba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48">
        <f t="shared" si="6"/>
        <v>0</v>
      </c>
      <c r="AT71" s="229" t="e">
        <f t="shared" si="5"/>
        <v>#DIV/0!</v>
      </c>
    </row>
    <row r="72" spans="1:46">
      <c r="A72" s="253"/>
      <c r="B72" s="137">
        <f t="shared" si="7"/>
        <v>700</v>
      </c>
      <c r="C72" s="142" t="str">
        <f>VLOOKUP(B72,'Tipos de Defeitos'!B$4:E$106,Menu!$B$23+1,)</f>
        <v>Curto Circuito Externo</v>
      </c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48">
        <f t="shared" si="6"/>
        <v>0</v>
      </c>
      <c r="AT72" s="229" t="e">
        <f t="shared" si="5"/>
        <v>#DIV/0!</v>
      </c>
    </row>
    <row r="73" spans="1:46">
      <c r="A73" s="253"/>
      <c r="B73" s="137">
        <f t="shared" si="7"/>
        <v>710</v>
      </c>
      <c r="C73" s="142" t="str">
        <f>VLOOKUP(B73,'Tipos de Defeitos'!B$4:E$106,Menu!$B$23+1,)</f>
        <v>Curto Circ. Externo -  Cap sujo</v>
      </c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48">
        <f t="shared" si="6"/>
        <v>0</v>
      </c>
      <c r="AT73" s="229" t="e">
        <f t="shared" si="5"/>
        <v>#DIV/0!</v>
      </c>
    </row>
    <row r="74" spans="1:46">
      <c r="A74" s="253"/>
      <c r="B74" s="137">
        <f t="shared" si="7"/>
        <v>720</v>
      </c>
      <c r="C74" s="142" t="str">
        <f>VLOOKUP(B74,'Tipos de Defeitos'!B$4:E$106,Menu!$B$23+1,)</f>
        <v>Pilha recuperada do Acabamento</v>
      </c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48">
        <f t="shared" si="6"/>
        <v>0</v>
      </c>
      <c r="AT74" s="229" t="e">
        <f t="shared" si="5"/>
        <v>#DIV/0!</v>
      </c>
    </row>
    <row r="75" spans="1:46">
      <c r="A75" s="253"/>
      <c r="B75" s="137">
        <f t="shared" si="7"/>
        <v>730</v>
      </c>
      <c r="C75" s="142" t="str">
        <f>VLOOKUP(B75,'Tipos de Defeitos'!B$4:E$106,Menu!$B$23+1,)</f>
        <v>Causa Desconhecida - Voltagem</v>
      </c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48">
        <f t="shared" si="6"/>
        <v>0</v>
      </c>
      <c r="AT75" s="229" t="e">
        <f t="shared" si="5"/>
        <v>#DIV/0!</v>
      </c>
    </row>
    <row r="76" spans="1:46">
      <c r="A76" s="253"/>
      <c r="B76" s="137">
        <f t="shared" si="7"/>
        <v>740</v>
      </c>
      <c r="C76" s="142" t="str">
        <f>VLOOKUP(B76,'Tipos de Defeitos'!B$4:E$106,Menu!$B$23+1,)</f>
        <v>Pilha Boa</v>
      </c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48">
        <f t="shared" si="6"/>
        <v>0</v>
      </c>
      <c r="AT76" s="229" t="e">
        <f t="shared" si="5"/>
        <v>#DIV/0!</v>
      </c>
    </row>
    <row r="77" spans="1:46" ht="13.5" thickBot="1">
      <c r="A77" s="254"/>
      <c r="B77" s="140">
        <f t="shared" si="7"/>
        <v>750</v>
      </c>
      <c r="C77" s="143" t="str">
        <f>VLOOKUP(B77,'Tipos de Defeitos'!B$4:E$106,Menu!$B$23+1,)</f>
        <v>Outros - Voltagem</v>
      </c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52"/>
      <c r="AD77" s="152"/>
      <c r="AE77" s="152"/>
      <c r="AF77" s="152"/>
      <c r="AG77" s="152"/>
      <c r="AH77" s="152"/>
      <c r="AI77" s="152"/>
      <c r="AJ77" s="152"/>
      <c r="AK77" s="152"/>
      <c r="AL77" s="152"/>
      <c r="AM77" s="152"/>
      <c r="AN77" s="152"/>
      <c r="AO77" s="152"/>
      <c r="AP77" s="152"/>
      <c r="AQ77" s="152"/>
      <c r="AR77" s="152"/>
      <c r="AS77" s="169">
        <f t="shared" si="6"/>
        <v>0</v>
      </c>
      <c r="AT77" s="229" t="e">
        <f t="shared" si="5"/>
        <v>#DIV/0!</v>
      </c>
    </row>
    <row r="78" spans="1:46">
      <c r="A78" s="252" t="s">
        <v>207</v>
      </c>
      <c r="B78" s="139">
        <f t="shared" si="7"/>
        <v>760</v>
      </c>
      <c r="C78" s="141" t="str">
        <f>VLOOKUP(B78,'Tipos de Defeitos'!B$4:E$106,Menu!$B$23+1,)</f>
        <v>Total (pçs)</v>
      </c>
      <c r="D78" s="171">
        <f t="shared" ref="D78" si="8">SUM(D28:D77)</f>
        <v>0</v>
      </c>
      <c r="E78" s="171">
        <f t="shared" ref="E78:AR78" si="9">SUM(E28:E77)</f>
        <v>0</v>
      </c>
      <c r="F78" s="171">
        <f t="shared" si="9"/>
        <v>0</v>
      </c>
      <c r="G78" s="171">
        <f t="shared" si="9"/>
        <v>0</v>
      </c>
      <c r="H78" s="171">
        <f t="shared" si="9"/>
        <v>0</v>
      </c>
      <c r="I78" s="171">
        <f t="shared" si="9"/>
        <v>0</v>
      </c>
      <c r="J78" s="171">
        <f t="shared" si="9"/>
        <v>0</v>
      </c>
      <c r="K78" s="171">
        <f t="shared" si="9"/>
        <v>0</v>
      </c>
      <c r="L78" s="171">
        <f t="shared" si="9"/>
        <v>0</v>
      </c>
      <c r="M78" s="171">
        <f t="shared" si="9"/>
        <v>0</v>
      </c>
      <c r="N78" s="171">
        <f t="shared" si="9"/>
        <v>0</v>
      </c>
      <c r="O78" s="171">
        <f t="shared" si="9"/>
        <v>0</v>
      </c>
      <c r="P78" s="171">
        <f t="shared" si="9"/>
        <v>0</v>
      </c>
      <c r="Q78" s="171">
        <f t="shared" si="9"/>
        <v>0</v>
      </c>
      <c r="R78" s="171">
        <f t="shared" si="9"/>
        <v>0</v>
      </c>
      <c r="S78" s="171">
        <f t="shared" si="9"/>
        <v>0</v>
      </c>
      <c r="T78" s="171">
        <f t="shared" si="9"/>
        <v>0</v>
      </c>
      <c r="U78" s="171">
        <f t="shared" si="9"/>
        <v>0</v>
      </c>
      <c r="V78" s="171">
        <f t="shared" si="9"/>
        <v>0</v>
      </c>
      <c r="W78" s="171">
        <f t="shared" si="9"/>
        <v>0</v>
      </c>
      <c r="X78" s="171">
        <f t="shared" si="9"/>
        <v>0</v>
      </c>
      <c r="Y78" s="171">
        <f t="shared" si="9"/>
        <v>0</v>
      </c>
      <c r="Z78" s="171">
        <f t="shared" si="9"/>
        <v>0</v>
      </c>
      <c r="AA78" s="171">
        <f t="shared" si="9"/>
        <v>0</v>
      </c>
      <c r="AB78" s="171">
        <f t="shared" si="9"/>
        <v>0</v>
      </c>
      <c r="AC78" s="171">
        <f t="shared" si="9"/>
        <v>0</v>
      </c>
      <c r="AD78" s="171">
        <f t="shared" si="9"/>
        <v>0</v>
      </c>
      <c r="AE78" s="171">
        <f t="shared" si="9"/>
        <v>0</v>
      </c>
      <c r="AF78" s="171">
        <f t="shared" si="9"/>
        <v>0</v>
      </c>
      <c r="AG78" s="171">
        <f t="shared" si="9"/>
        <v>0</v>
      </c>
      <c r="AH78" s="171">
        <f t="shared" si="9"/>
        <v>0</v>
      </c>
      <c r="AI78" s="171">
        <f t="shared" si="9"/>
        <v>0</v>
      </c>
      <c r="AJ78" s="171">
        <f t="shared" si="9"/>
        <v>0</v>
      </c>
      <c r="AK78" s="171">
        <f t="shared" si="9"/>
        <v>0</v>
      </c>
      <c r="AL78" s="171">
        <f t="shared" si="9"/>
        <v>0</v>
      </c>
      <c r="AM78" s="171">
        <f t="shared" si="9"/>
        <v>0</v>
      </c>
      <c r="AN78" s="171">
        <f t="shared" si="9"/>
        <v>0</v>
      </c>
      <c r="AO78" s="171">
        <f t="shared" si="9"/>
        <v>0</v>
      </c>
      <c r="AP78" s="171">
        <f t="shared" si="9"/>
        <v>0</v>
      </c>
      <c r="AQ78" s="171">
        <f t="shared" si="9"/>
        <v>0</v>
      </c>
      <c r="AR78" s="171">
        <f t="shared" si="9"/>
        <v>0</v>
      </c>
      <c r="AS78" s="171">
        <f t="shared" ref="AS78" si="10">SUM(AS28:AS77)</f>
        <v>0</v>
      </c>
      <c r="AT78" s="234">
        <f>AS78+'UM-4 - Dia'!AS78</f>
        <v>10</v>
      </c>
    </row>
    <row r="79" spans="1:46">
      <c r="A79" s="253"/>
      <c r="B79" s="137">
        <f t="shared" si="7"/>
        <v>770</v>
      </c>
      <c r="C79" s="142" t="str">
        <f>VLOOKUP(B79,'Tipos de Defeitos'!B$4:E$106,Menu!$B$23+1,)</f>
        <v>Taxa Defeituosa 1º Teste</v>
      </c>
      <c r="D79" s="186" t="str">
        <f>IF(D23&gt;0,D23/D7*1000000,"")</f>
        <v/>
      </c>
      <c r="E79" s="186" t="str">
        <f t="shared" ref="E79:AR79" si="11">IF(E23&gt;0,E23/E7*1000000,"")</f>
        <v/>
      </c>
      <c r="F79" s="186" t="str">
        <f t="shared" si="11"/>
        <v/>
      </c>
      <c r="G79" s="186" t="str">
        <f t="shared" si="11"/>
        <v/>
      </c>
      <c r="H79" s="186" t="str">
        <f t="shared" si="11"/>
        <v/>
      </c>
      <c r="I79" s="186" t="str">
        <f t="shared" si="11"/>
        <v/>
      </c>
      <c r="J79" s="186" t="str">
        <f t="shared" si="11"/>
        <v/>
      </c>
      <c r="K79" s="186" t="str">
        <f t="shared" si="11"/>
        <v/>
      </c>
      <c r="L79" s="186" t="str">
        <f t="shared" si="11"/>
        <v/>
      </c>
      <c r="M79" s="186" t="str">
        <f t="shared" si="11"/>
        <v/>
      </c>
      <c r="N79" s="186" t="str">
        <f t="shared" si="11"/>
        <v/>
      </c>
      <c r="O79" s="186" t="str">
        <f t="shared" si="11"/>
        <v/>
      </c>
      <c r="P79" s="186" t="str">
        <f t="shared" si="11"/>
        <v/>
      </c>
      <c r="Q79" s="186" t="str">
        <f t="shared" si="11"/>
        <v/>
      </c>
      <c r="R79" s="186" t="str">
        <f t="shared" si="11"/>
        <v/>
      </c>
      <c r="S79" s="186" t="str">
        <f t="shared" si="11"/>
        <v/>
      </c>
      <c r="T79" s="186" t="str">
        <f t="shared" si="11"/>
        <v/>
      </c>
      <c r="U79" s="186" t="str">
        <f t="shared" si="11"/>
        <v/>
      </c>
      <c r="V79" s="186" t="str">
        <f t="shared" si="11"/>
        <v/>
      </c>
      <c r="W79" s="186" t="str">
        <f t="shared" si="11"/>
        <v/>
      </c>
      <c r="X79" s="186" t="str">
        <f t="shared" si="11"/>
        <v/>
      </c>
      <c r="Y79" s="186" t="str">
        <f t="shared" si="11"/>
        <v/>
      </c>
      <c r="Z79" s="186" t="str">
        <f t="shared" si="11"/>
        <v/>
      </c>
      <c r="AA79" s="186" t="str">
        <f t="shared" si="11"/>
        <v/>
      </c>
      <c r="AB79" s="186" t="str">
        <f t="shared" si="11"/>
        <v/>
      </c>
      <c r="AC79" s="186" t="str">
        <f t="shared" si="11"/>
        <v/>
      </c>
      <c r="AD79" s="186" t="str">
        <f t="shared" si="11"/>
        <v/>
      </c>
      <c r="AE79" s="186" t="str">
        <f t="shared" si="11"/>
        <v/>
      </c>
      <c r="AF79" s="186" t="str">
        <f t="shared" si="11"/>
        <v/>
      </c>
      <c r="AG79" s="186" t="str">
        <f t="shared" si="11"/>
        <v/>
      </c>
      <c r="AH79" s="186" t="str">
        <f t="shared" si="11"/>
        <v/>
      </c>
      <c r="AI79" s="186" t="str">
        <f t="shared" si="11"/>
        <v/>
      </c>
      <c r="AJ79" s="186" t="str">
        <f t="shared" si="11"/>
        <v/>
      </c>
      <c r="AK79" s="186" t="str">
        <f t="shared" si="11"/>
        <v/>
      </c>
      <c r="AL79" s="186" t="str">
        <f t="shared" si="11"/>
        <v/>
      </c>
      <c r="AM79" s="186" t="str">
        <f t="shared" si="11"/>
        <v/>
      </c>
      <c r="AN79" s="186" t="str">
        <f t="shared" si="11"/>
        <v/>
      </c>
      <c r="AO79" s="186" t="str">
        <f t="shared" si="11"/>
        <v/>
      </c>
      <c r="AP79" s="186" t="str">
        <f t="shared" si="11"/>
        <v/>
      </c>
      <c r="AQ79" s="186" t="str">
        <f t="shared" si="11"/>
        <v/>
      </c>
      <c r="AR79" s="186" t="str">
        <f t="shared" si="11"/>
        <v/>
      </c>
      <c r="AS79" s="186" t="str">
        <f>IF(AS7&gt;0,AS23/AS7*1000000,"")</f>
        <v/>
      </c>
    </row>
    <row r="80" spans="1:46">
      <c r="A80" s="253"/>
      <c r="B80" s="137">
        <f t="shared" si="7"/>
        <v>780</v>
      </c>
      <c r="C80" s="142" t="str">
        <f>VLOOKUP(B80,'Tipos de Defeitos'!B$4:E$106,Menu!$B$23+1,)</f>
        <v>Taxa defeituosa (ppm)</v>
      </c>
      <c r="D80" s="188" t="str">
        <f t="shared" ref="D80" si="12">IF(D27&lt;&gt;0,D78/D27*D24/D7*1000000,"")</f>
        <v/>
      </c>
      <c r="E80" s="188" t="str">
        <f t="shared" ref="E80:AR80" si="13">IF(E27&lt;&gt;0,E78/E27*E24/E7*1000000,"")</f>
        <v/>
      </c>
      <c r="F80" s="188" t="str">
        <f t="shared" si="13"/>
        <v/>
      </c>
      <c r="G80" s="188" t="str">
        <f t="shared" si="13"/>
        <v/>
      </c>
      <c r="H80" s="188" t="str">
        <f t="shared" si="13"/>
        <v/>
      </c>
      <c r="I80" s="188" t="str">
        <f t="shared" si="13"/>
        <v/>
      </c>
      <c r="J80" s="188" t="str">
        <f t="shared" si="13"/>
        <v/>
      </c>
      <c r="K80" s="188" t="str">
        <f t="shared" si="13"/>
        <v/>
      </c>
      <c r="L80" s="188" t="str">
        <f t="shared" si="13"/>
        <v/>
      </c>
      <c r="M80" s="188" t="str">
        <f t="shared" si="13"/>
        <v/>
      </c>
      <c r="N80" s="188" t="str">
        <f t="shared" si="13"/>
        <v/>
      </c>
      <c r="O80" s="188" t="str">
        <f t="shared" si="13"/>
        <v/>
      </c>
      <c r="P80" s="188" t="str">
        <f t="shared" si="13"/>
        <v/>
      </c>
      <c r="Q80" s="188" t="str">
        <f t="shared" si="13"/>
        <v/>
      </c>
      <c r="R80" s="188" t="str">
        <f t="shared" si="13"/>
        <v/>
      </c>
      <c r="S80" s="188" t="str">
        <f t="shared" si="13"/>
        <v/>
      </c>
      <c r="T80" s="188" t="str">
        <f t="shared" si="13"/>
        <v/>
      </c>
      <c r="U80" s="188" t="str">
        <f t="shared" si="13"/>
        <v/>
      </c>
      <c r="V80" s="188" t="str">
        <f t="shared" si="13"/>
        <v/>
      </c>
      <c r="W80" s="188" t="str">
        <f t="shared" si="13"/>
        <v/>
      </c>
      <c r="X80" s="188" t="str">
        <f t="shared" si="13"/>
        <v/>
      </c>
      <c r="Y80" s="188" t="str">
        <f t="shared" si="13"/>
        <v/>
      </c>
      <c r="Z80" s="188" t="str">
        <f t="shared" si="13"/>
        <v/>
      </c>
      <c r="AA80" s="188" t="str">
        <f t="shared" si="13"/>
        <v/>
      </c>
      <c r="AB80" s="188" t="str">
        <f t="shared" si="13"/>
        <v/>
      </c>
      <c r="AC80" s="188" t="str">
        <f t="shared" si="13"/>
        <v/>
      </c>
      <c r="AD80" s="188" t="str">
        <f t="shared" si="13"/>
        <v/>
      </c>
      <c r="AE80" s="188" t="str">
        <f t="shared" si="13"/>
        <v/>
      </c>
      <c r="AF80" s="188" t="str">
        <f t="shared" si="13"/>
        <v/>
      </c>
      <c r="AG80" s="188" t="str">
        <f t="shared" si="13"/>
        <v/>
      </c>
      <c r="AH80" s="188" t="str">
        <f t="shared" si="13"/>
        <v/>
      </c>
      <c r="AI80" s="188" t="str">
        <f t="shared" si="13"/>
        <v/>
      </c>
      <c r="AJ80" s="188" t="str">
        <f t="shared" si="13"/>
        <v/>
      </c>
      <c r="AK80" s="188" t="str">
        <f t="shared" si="13"/>
        <v/>
      </c>
      <c r="AL80" s="188" t="str">
        <f t="shared" si="13"/>
        <v/>
      </c>
      <c r="AM80" s="188" t="str">
        <f t="shared" si="13"/>
        <v/>
      </c>
      <c r="AN80" s="188" t="str">
        <f t="shared" si="13"/>
        <v/>
      </c>
      <c r="AO80" s="188" t="str">
        <f t="shared" si="13"/>
        <v/>
      </c>
      <c r="AP80" s="188" t="str">
        <f t="shared" si="13"/>
        <v/>
      </c>
      <c r="AQ80" s="188" t="str">
        <f t="shared" si="13"/>
        <v/>
      </c>
      <c r="AR80" s="188" t="str">
        <f t="shared" si="13"/>
        <v/>
      </c>
      <c r="AS80" s="188" t="str">
        <f>IF((AS27*AS7)&gt;0,AS78/AS27*AS24/AS7*1000000,"")</f>
        <v/>
      </c>
      <c r="AT80" s="71" t="e">
        <f>AT78/AT27*AT24/AT7*1000000</f>
        <v>#DIV/0!</v>
      </c>
    </row>
    <row r="81" spans="1:46">
      <c r="A81" s="253"/>
      <c r="B81" s="137">
        <f t="shared" si="7"/>
        <v>790</v>
      </c>
      <c r="C81" s="142" t="str">
        <f>VLOOKUP(B81,'Tipos de Defeitos'!B$4:E$106,Menu!$B$23+1,)</f>
        <v>Qtd. Defeitos internos (pçs)</v>
      </c>
      <c r="D81" s="148">
        <f t="shared" ref="D81" si="14">SUM(D28:D67,D86:D98,D69:D71)</f>
        <v>0</v>
      </c>
      <c r="E81" s="148">
        <f t="shared" ref="E81:AR81" si="15">SUM(E28:E67,E86:E98,E69:E71)</f>
        <v>0</v>
      </c>
      <c r="F81" s="148">
        <f t="shared" si="15"/>
        <v>0</v>
      </c>
      <c r="G81" s="148">
        <f t="shared" si="15"/>
        <v>0</v>
      </c>
      <c r="H81" s="148">
        <f t="shared" si="15"/>
        <v>0</v>
      </c>
      <c r="I81" s="148">
        <f t="shared" si="15"/>
        <v>0</v>
      </c>
      <c r="J81" s="148">
        <f t="shared" si="15"/>
        <v>0</v>
      </c>
      <c r="K81" s="148">
        <f t="shared" si="15"/>
        <v>0</v>
      </c>
      <c r="L81" s="148">
        <f t="shared" si="15"/>
        <v>0</v>
      </c>
      <c r="M81" s="148">
        <f t="shared" si="15"/>
        <v>0</v>
      </c>
      <c r="N81" s="148">
        <f t="shared" si="15"/>
        <v>0</v>
      </c>
      <c r="O81" s="148">
        <f t="shared" si="15"/>
        <v>0</v>
      </c>
      <c r="P81" s="148">
        <f t="shared" si="15"/>
        <v>0</v>
      </c>
      <c r="Q81" s="148">
        <f t="shared" si="15"/>
        <v>0</v>
      </c>
      <c r="R81" s="148">
        <f t="shared" si="15"/>
        <v>0</v>
      </c>
      <c r="S81" s="148">
        <f t="shared" si="15"/>
        <v>0</v>
      </c>
      <c r="T81" s="148">
        <f t="shared" si="15"/>
        <v>0</v>
      </c>
      <c r="U81" s="148">
        <f t="shared" si="15"/>
        <v>0</v>
      </c>
      <c r="V81" s="148">
        <f t="shared" si="15"/>
        <v>0</v>
      </c>
      <c r="W81" s="148">
        <f t="shared" si="15"/>
        <v>0</v>
      </c>
      <c r="X81" s="148">
        <f t="shared" si="15"/>
        <v>0</v>
      </c>
      <c r="Y81" s="148">
        <f t="shared" si="15"/>
        <v>0</v>
      </c>
      <c r="Z81" s="148">
        <f t="shared" si="15"/>
        <v>0</v>
      </c>
      <c r="AA81" s="148">
        <f t="shared" si="15"/>
        <v>0</v>
      </c>
      <c r="AB81" s="148">
        <f t="shared" si="15"/>
        <v>0</v>
      </c>
      <c r="AC81" s="148">
        <f t="shared" si="15"/>
        <v>0</v>
      </c>
      <c r="AD81" s="148">
        <f t="shared" si="15"/>
        <v>0</v>
      </c>
      <c r="AE81" s="148">
        <f t="shared" si="15"/>
        <v>0</v>
      </c>
      <c r="AF81" s="148">
        <f t="shared" si="15"/>
        <v>0</v>
      </c>
      <c r="AG81" s="148">
        <f t="shared" si="15"/>
        <v>0</v>
      </c>
      <c r="AH81" s="148">
        <f t="shared" si="15"/>
        <v>0</v>
      </c>
      <c r="AI81" s="148">
        <f t="shared" si="15"/>
        <v>0</v>
      </c>
      <c r="AJ81" s="148">
        <f t="shared" si="15"/>
        <v>0</v>
      </c>
      <c r="AK81" s="148">
        <f t="shared" si="15"/>
        <v>0</v>
      </c>
      <c r="AL81" s="148">
        <f t="shared" si="15"/>
        <v>0</v>
      </c>
      <c r="AM81" s="148">
        <f t="shared" si="15"/>
        <v>0</v>
      </c>
      <c r="AN81" s="148">
        <f t="shared" si="15"/>
        <v>0</v>
      </c>
      <c r="AO81" s="148">
        <f t="shared" si="15"/>
        <v>0</v>
      </c>
      <c r="AP81" s="148">
        <f t="shared" si="15"/>
        <v>0</v>
      </c>
      <c r="AQ81" s="148">
        <f t="shared" si="15"/>
        <v>0</v>
      </c>
      <c r="AR81" s="148">
        <f t="shared" si="15"/>
        <v>0</v>
      </c>
      <c r="AS81" s="148">
        <f t="shared" ref="AS81" si="16">SUM(AS28:AS67,AS86:AS98,AS69:AS71)</f>
        <v>0</v>
      </c>
      <c r="AT81" s="234">
        <f>AS81+'UM-4 - Dia'!AS81</f>
        <v>9</v>
      </c>
    </row>
    <row r="82" spans="1:46" ht="13.5" thickBot="1">
      <c r="A82" s="254"/>
      <c r="B82" s="140">
        <f t="shared" si="7"/>
        <v>800</v>
      </c>
      <c r="C82" s="143" t="str">
        <f>VLOOKUP(B82,'Tipos de Defeitos'!B$4:E$106,Menu!$B$23+1,)</f>
        <v>Defeitos Internos - Taxa defeituosa (ppm)</v>
      </c>
      <c r="D82" s="189" t="str">
        <f>IF(D24&gt;0,D81/D27*D24/D7*1000000,"")</f>
        <v/>
      </c>
      <c r="E82" s="189" t="str">
        <f t="shared" ref="E82:AR82" si="17">IF(E24&gt;0,E81/E27*E24/E7*1000000,"")</f>
        <v/>
      </c>
      <c r="F82" s="189" t="str">
        <f t="shared" si="17"/>
        <v/>
      </c>
      <c r="G82" s="189" t="str">
        <f t="shared" si="17"/>
        <v/>
      </c>
      <c r="H82" s="189" t="str">
        <f t="shared" si="17"/>
        <v/>
      </c>
      <c r="I82" s="189" t="str">
        <f t="shared" si="17"/>
        <v/>
      </c>
      <c r="J82" s="189" t="str">
        <f t="shared" si="17"/>
        <v/>
      </c>
      <c r="K82" s="189" t="str">
        <f t="shared" si="17"/>
        <v/>
      </c>
      <c r="L82" s="189" t="str">
        <f t="shared" si="17"/>
        <v/>
      </c>
      <c r="M82" s="189" t="str">
        <f t="shared" si="17"/>
        <v/>
      </c>
      <c r="N82" s="189" t="str">
        <f t="shared" si="17"/>
        <v/>
      </c>
      <c r="O82" s="189" t="str">
        <f t="shared" si="17"/>
        <v/>
      </c>
      <c r="P82" s="189" t="str">
        <f t="shared" si="17"/>
        <v/>
      </c>
      <c r="Q82" s="189" t="str">
        <f t="shared" si="17"/>
        <v/>
      </c>
      <c r="R82" s="189" t="str">
        <f t="shared" si="17"/>
        <v/>
      </c>
      <c r="S82" s="189" t="str">
        <f t="shared" si="17"/>
        <v/>
      </c>
      <c r="T82" s="189" t="str">
        <f t="shared" si="17"/>
        <v/>
      </c>
      <c r="U82" s="189" t="str">
        <f t="shared" si="17"/>
        <v/>
      </c>
      <c r="V82" s="189" t="str">
        <f t="shared" si="17"/>
        <v/>
      </c>
      <c r="W82" s="189" t="str">
        <f t="shared" si="17"/>
        <v/>
      </c>
      <c r="X82" s="189" t="str">
        <f t="shared" si="17"/>
        <v/>
      </c>
      <c r="Y82" s="189" t="str">
        <f t="shared" si="17"/>
        <v/>
      </c>
      <c r="Z82" s="189" t="str">
        <f t="shared" si="17"/>
        <v/>
      </c>
      <c r="AA82" s="189" t="str">
        <f t="shared" si="17"/>
        <v/>
      </c>
      <c r="AB82" s="189" t="str">
        <f t="shared" si="17"/>
        <v/>
      </c>
      <c r="AC82" s="189" t="str">
        <f t="shared" si="17"/>
        <v/>
      </c>
      <c r="AD82" s="189" t="str">
        <f t="shared" si="17"/>
        <v/>
      </c>
      <c r="AE82" s="189" t="str">
        <f t="shared" si="17"/>
        <v/>
      </c>
      <c r="AF82" s="189" t="str">
        <f t="shared" si="17"/>
        <v/>
      </c>
      <c r="AG82" s="189" t="str">
        <f t="shared" si="17"/>
        <v/>
      </c>
      <c r="AH82" s="189" t="str">
        <f t="shared" si="17"/>
        <v/>
      </c>
      <c r="AI82" s="189" t="str">
        <f t="shared" si="17"/>
        <v/>
      </c>
      <c r="AJ82" s="189" t="str">
        <f t="shared" si="17"/>
        <v/>
      </c>
      <c r="AK82" s="189" t="str">
        <f t="shared" si="17"/>
        <v/>
      </c>
      <c r="AL82" s="189" t="str">
        <f t="shared" si="17"/>
        <v/>
      </c>
      <c r="AM82" s="189" t="str">
        <f t="shared" si="17"/>
        <v/>
      </c>
      <c r="AN82" s="189" t="str">
        <f t="shared" si="17"/>
        <v/>
      </c>
      <c r="AO82" s="189" t="str">
        <f t="shared" si="17"/>
        <v/>
      </c>
      <c r="AP82" s="189" t="str">
        <f t="shared" si="17"/>
        <v/>
      </c>
      <c r="AQ82" s="189" t="str">
        <f t="shared" si="17"/>
        <v/>
      </c>
      <c r="AR82" s="189" t="str">
        <f t="shared" si="17"/>
        <v/>
      </c>
      <c r="AS82" s="189" t="str">
        <f>IF((AS27*AS7)&gt;0,AS81/AS27*AS24/AS7*1000000,"")</f>
        <v/>
      </c>
    </row>
    <row r="83" spans="1:46" ht="14.25" customHeight="1">
      <c r="A83" s="255" t="s">
        <v>205</v>
      </c>
      <c r="B83" s="139">
        <f t="shared" si="7"/>
        <v>810</v>
      </c>
      <c r="C83" s="141" t="str">
        <f>VLOOKUP(B83,'Tipos de Defeitos'!B$4:E$106,Menu!$B$23+1,)</f>
        <v>Amperagem (Moda)</v>
      </c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  <c r="Y83" s="210"/>
      <c r="Z83" s="210"/>
      <c r="AA83" s="210"/>
      <c r="AB83" s="210"/>
      <c r="AC83" s="210"/>
      <c r="AD83" s="210"/>
      <c r="AE83" s="210"/>
      <c r="AF83" s="210"/>
      <c r="AG83" s="210"/>
      <c r="AH83" s="210"/>
      <c r="AI83" s="210"/>
      <c r="AJ83" s="210"/>
      <c r="AK83" s="210"/>
      <c r="AL83" s="210"/>
      <c r="AM83" s="210"/>
      <c r="AN83" s="210"/>
      <c r="AO83" s="210"/>
      <c r="AP83" s="210"/>
      <c r="AQ83" s="210"/>
      <c r="AR83" s="210"/>
      <c r="AS83" s="202" t="e">
        <f>AVERAGE(D83:AR83)</f>
        <v>#DIV/0!</v>
      </c>
    </row>
    <row r="84" spans="1:46">
      <c r="A84" s="256"/>
      <c r="B84" s="137">
        <f t="shared" si="7"/>
        <v>820</v>
      </c>
      <c r="C84" s="142" t="str">
        <f>VLOOKUP(B84,'Tipos de Defeitos'!B$4:E$106,Menu!$B$23+1,)</f>
        <v>Amperagem Ajustada</v>
      </c>
      <c r="D84" s="193" t="str">
        <f t="shared" ref="D84" si="18">IF(D83&gt;0,D83-1," ")</f>
        <v xml:space="preserve"> </v>
      </c>
      <c r="E84" s="193" t="str">
        <f t="shared" ref="E84:AR84" si="19">IF(E83&gt;0,E83-1," ")</f>
        <v xml:space="preserve"> </v>
      </c>
      <c r="F84" s="193" t="str">
        <f t="shared" si="19"/>
        <v xml:space="preserve"> </v>
      </c>
      <c r="G84" s="193" t="str">
        <f t="shared" si="19"/>
        <v xml:space="preserve"> </v>
      </c>
      <c r="H84" s="193" t="str">
        <f t="shared" si="19"/>
        <v xml:space="preserve"> </v>
      </c>
      <c r="I84" s="193" t="str">
        <f t="shared" si="19"/>
        <v xml:space="preserve"> </v>
      </c>
      <c r="J84" s="193" t="str">
        <f t="shared" si="19"/>
        <v xml:space="preserve"> </v>
      </c>
      <c r="K84" s="193" t="str">
        <f t="shared" si="19"/>
        <v xml:space="preserve"> </v>
      </c>
      <c r="L84" s="193" t="str">
        <f t="shared" si="19"/>
        <v xml:space="preserve"> </v>
      </c>
      <c r="M84" s="193" t="str">
        <f t="shared" si="19"/>
        <v xml:space="preserve"> </v>
      </c>
      <c r="N84" s="193" t="str">
        <f t="shared" si="19"/>
        <v xml:space="preserve"> </v>
      </c>
      <c r="O84" s="193" t="str">
        <f t="shared" si="19"/>
        <v xml:space="preserve"> </v>
      </c>
      <c r="P84" s="193" t="str">
        <f t="shared" si="19"/>
        <v xml:space="preserve"> </v>
      </c>
      <c r="Q84" s="193" t="str">
        <f t="shared" si="19"/>
        <v xml:space="preserve"> </v>
      </c>
      <c r="R84" s="193" t="str">
        <f t="shared" si="19"/>
        <v xml:space="preserve"> </v>
      </c>
      <c r="S84" s="193" t="str">
        <f t="shared" si="19"/>
        <v xml:space="preserve"> </v>
      </c>
      <c r="T84" s="193" t="str">
        <f t="shared" si="19"/>
        <v xml:space="preserve"> </v>
      </c>
      <c r="U84" s="193" t="str">
        <f t="shared" si="19"/>
        <v xml:space="preserve"> </v>
      </c>
      <c r="V84" s="193" t="str">
        <f t="shared" si="19"/>
        <v xml:space="preserve"> </v>
      </c>
      <c r="W84" s="193" t="str">
        <f t="shared" si="19"/>
        <v xml:space="preserve"> </v>
      </c>
      <c r="X84" s="193" t="str">
        <f t="shared" si="19"/>
        <v xml:space="preserve"> </v>
      </c>
      <c r="Y84" s="193" t="str">
        <f t="shared" si="19"/>
        <v xml:space="preserve"> </v>
      </c>
      <c r="Z84" s="193" t="str">
        <f t="shared" si="19"/>
        <v xml:space="preserve"> </v>
      </c>
      <c r="AA84" s="193" t="str">
        <f t="shared" si="19"/>
        <v xml:space="preserve"> </v>
      </c>
      <c r="AB84" s="193" t="str">
        <f t="shared" si="19"/>
        <v xml:space="preserve"> </v>
      </c>
      <c r="AC84" s="193" t="str">
        <f t="shared" si="19"/>
        <v xml:space="preserve"> </v>
      </c>
      <c r="AD84" s="193" t="str">
        <f t="shared" si="19"/>
        <v xml:space="preserve"> </v>
      </c>
      <c r="AE84" s="193" t="str">
        <f t="shared" si="19"/>
        <v xml:space="preserve"> </v>
      </c>
      <c r="AF84" s="193" t="str">
        <f t="shared" si="19"/>
        <v xml:space="preserve"> </v>
      </c>
      <c r="AG84" s="193" t="str">
        <f t="shared" si="19"/>
        <v xml:space="preserve"> </v>
      </c>
      <c r="AH84" s="193" t="str">
        <f t="shared" si="19"/>
        <v xml:space="preserve"> </v>
      </c>
      <c r="AI84" s="193" t="str">
        <f t="shared" si="19"/>
        <v xml:space="preserve"> </v>
      </c>
      <c r="AJ84" s="193" t="str">
        <f t="shared" si="19"/>
        <v xml:space="preserve"> </v>
      </c>
      <c r="AK84" s="193" t="str">
        <f t="shared" si="19"/>
        <v xml:space="preserve"> </v>
      </c>
      <c r="AL84" s="193" t="str">
        <f t="shared" si="19"/>
        <v xml:space="preserve"> </v>
      </c>
      <c r="AM84" s="193" t="str">
        <f t="shared" si="19"/>
        <v xml:space="preserve"> </v>
      </c>
      <c r="AN84" s="193" t="str">
        <f t="shared" si="19"/>
        <v xml:space="preserve"> </v>
      </c>
      <c r="AO84" s="193" t="str">
        <f t="shared" si="19"/>
        <v xml:space="preserve"> </v>
      </c>
      <c r="AP84" s="193" t="str">
        <f t="shared" si="19"/>
        <v xml:space="preserve"> </v>
      </c>
      <c r="AQ84" s="193" t="str">
        <f t="shared" si="19"/>
        <v xml:space="preserve"> </v>
      </c>
      <c r="AR84" s="193" t="str">
        <f t="shared" si="19"/>
        <v xml:space="preserve"> </v>
      </c>
      <c r="AS84" s="203" t="e">
        <f>AVERAGE(D84:AR84)</f>
        <v>#DIV/0!</v>
      </c>
    </row>
    <row r="85" spans="1:46" ht="13.5" thickBot="1">
      <c r="A85" s="257"/>
      <c r="B85" s="140">
        <f t="shared" si="7"/>
        <v>830</v>
      </c>
      <c r="C85" s="143" t="str">
        <f>VLOOKUP(B85,'Tipos de Defeitos'!B$4:E$106,Menu!$B$23+1,)</f>
        <v>Qtd Baterias analisadas (pçs)</v>
      </c>
      <c r="D85" s="194">
        <f t="shared" ref="D85" si="20">D103</f>
        <v>0</v>
      </c>
      <c r="E85" s="194">
        <f t="shared" ref="E85:AR85" si="21">E103</f>
        <v>0</v>
      </c>
      <c r="F85" s="194">
        <f t="shared" si="21"/>
        <v>0</v>
      </c>
      <c r="G85" s="194">
        <f t="shared" si="21"/>
        <v>0</v>
      </c>
      <c r="H85" s="194">
        <f t="shared" si="21"/>
        <v>0</v>
      </c>
      <c r="I85" s="194">
        <f t="shared" si="21"/>
        <v>0</v>
      </c>
      <c r="J85" s="194">
        <f t="shared" si="21"/>
        <v>0</v>
      </c>
      <c r="K85" s="194">
        <f t="shared" si="21"/>
        <v>0</v>
      </c>
      <c r="L85" s="194">
        <f t="shared" si="21"/>
        <v>0</v>
      </c>
      <c r="M85" s="194">
        <f t="shared" si="21"/>
        <v>0</v>
      </c>
      <c r="N85" s="194">
        <f t="shared" si="21"/>
        <v>0</v>
      </c>
      <c r="O85" s="194">
        <f t="shared" si="21"/>
        <v>0</v>
      </c>
      <c r="P85" s="194">
        <f t="shared" si="21"/>
        <v>0</v>
      </c>
      <c r="Q85" s="194">
        <f t="shared" si="21"/>
        <v>0</v>
      </c>
      <c r="R85" s="194">
        <f t="shared" si="21"/>
        <v>0</v>
      </c>
      <c r="S85" s="194">
        <f t="shared" si="21"/>
        <v>0</v>
      </c>
      <c r="T85" s="194">
        <f t="shared" si="21"/>
        <v>0</v>
      </c>
      <c r="U85" s="194">
        <f t="shared" si="21"/>
        <v>0</v>
      </c>
      <c r="V85" s="194">
        <f t="shared" si="21"/>
        <v>0</v>
      </c>
      <c r="W85" s="194">
        <f t="shared" si="21"/>
        <v>0</v>
      </c>
      <c r="X85" s="194">
        <f t="shared" si="21"/>
        <v>0</v>
      </c>
      <c r="Y85" s="194">
        <f t="shared" si="21"/>
        <v>0</v>
      </c>
      <c r="Z85" s="194">
        <f t="shared" si="21"/>
        <v>0</v>
      </c>
      <c r="AA85" s="194">
        <f t="shared" si="21"/>
        <v>0</v>
      </c>
      <c r="AB85" s="194">
        <f t="shared" si="21"/>
        <v>0</v>
      </c>
      <c r="AC85" s="194">
        <f t="shared" si="21"/>
        <v>0</v>
      </c>
      <c r="AD85" s="194">
        <f t="shared" si="21"/>
        <v>0</v>
      </c>
      <c r="AE85" s="194">
        <f t="shared" si="21"/>
        <v>0</v>
      </c>
      <c r="AF85" s="194">
        <f t="shared" si="21"/>
        <v>0</v>
      </c>
      <c r="AG85" s="194">
        <f t="shared" si="21"/>
        <v>0</v>
      </c>
      <c r="AH85" s="194">
        <f t="shared" si="21"/>
        <v>0</v>
      </c>
      <c r="AI85" s="194">
        <f t="shared" si="21"/>
        <v>0</v>
      </c>
      <c r="AJ85" s="194">
        <f t="shared" si="21"/>
        <v>0</v>
      </c>
      <c r="AK85" s="194">
        <f t="shared" si="21"/>
        <v>0</v>
      </c>
      <c r="AL85" s="194">
        <f t="shared" si="21"/>
        <v>0</v>
      </c>
      <c r="AM85" s="194">
        <f t="shared" si="21"/>
        <v>0</v>
      </c>
      <c r="AN85" s="194">
        <f t="shared" si="21"/>
        <v>0</v>
      </c>
      <c r="AO85" s="194">
        <f t="shared" si="21"/>
        <v>0</v>
      </c>
      <c r="AP85" s="194">
        <f t="shared" si="21"/>
        <v>0</v>
      </c>
      <c r="AQ85" s="194">
        <f t="shared" si="21"/>
        <v>0</v>
      </c>
      <c r="AR85" s="194">
        <f t="shared" si="21"/>
        <v>0</v>
      </c>
      <c r="AS85" s="194">
        <f>SUM(AS86:AS102)</f>
        <v>0</v>
      </c>
      <c r="AT85" s="234">
        <f>AS85+'UM-4 - Dia'!AS85</f>
        <v>0</v>
      </c>
    </row>
    <row r="86" spans="1:46" ht="13.5" customHeight="1">
      <c r="A86" s="253" t="s">
        <v>29</v>
      </c>
      <c r="B86" s="138">
        <f t="shared" si="7"/>
        <v>840</v>
      </c>
      <c r="C86" s="146" t="str">
        <f>VLOOKUP(B86,'Tipos de Defeitos'!B$4:E$106,Menu!$B$23+1,)</f>
        <v>Papel Separdor Duplo</v>
      </c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72">
        <f t="shared" ref="AS86:AS103" si="22">SUM(D86:AR86)</f>
        <v>0</v>
      </c>
      <c r="AT86" s="234">
        <f>AS86+'UM-4 - Dia'!AS86</f>
        <v>0</v>
      </c>
    </row>
    <row r="87" spans="1:46">
      <c r="A87" s="253"/>
      <c r="B87" s="137">
        <f t="shared" si="7"/>
        <v>850</v>
      </c>
      <c r="C87" s="142" t="str">
        <f>VLOOKUP(B87,'Tipos de Defeitos'!B$4:E$106,Menu!$B$23+1,)</f>
        <v>Pedra de Negro</v>
      </c>
      <c r="D87" s="150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  <c r="AI87" s="150"/>
      <c r="AJ87" s="150"/>
      <c r="AK87" s="150"/>
      <c r="AL87" s="150"/>
      <c r="AM87" s="150"/>
      <c r="AN87" s="150"/>
      <c r="AO87" s="150"/>
      <c r="AP87" s="150"/>
      <c r="AQ87" s="150"/>
      <c r="AR87" s="150"/>
      <c r="AS87" s="172">
        <f t="shared" si="22"/>
        <v>0</v>
      </c>
      <c r="AT87" s="234">
        <f>AS87+'UM-4 - Dia'!AS87</f>
        <v>0</v>
      </c>
    </row>
    <row r="88" spans="1:46">
      <c r="A88" s="253"/>
      <c r="B88" s="137">
        <f t="shared" si="7"/>
        <v>860</v>
      </c>
      <c r="C88" s="142" t="str">
        <f>VLOOKUP(B88,'Tipos de Defeitos'!B$4:E$106,Menu!$B$23+1,)</f>
        <v>Pedra de Cl de Amônia</v>
      </c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72">
        <f t="shared" si="22"/>
        <v>0</v>
      </c>
      <c r="AT88" s="234">
        <f>AS88+'UM-4 - Dia'!AS88</f>
        <v>0</v>
      </c>
    </row>
    <row r="89" spans="1:46">
      <c r="A89" s="253"/>
      <c r="B89" s="137">
        <f t="shared" si="7"/>
        <v>870</v>
      </c>
      <c r="C89" s="142" t="str">
        <f>VLOOKUP(B89,'Tipos de Defeitos'!B$4:E$106,Menu!$B$23+1,)</f>
        <v>Pelota de Manganês</v>
      </c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72">
        <f t="shared" si="22"/>
        <v>0</v>
      </c>
      <c r="AT89" s="234">
        <f>AS89+'UM-4 - Dia'!AS89</f>
        <v>0</v>
      </c>
    </row>
    <row r="90" spans="1:46">
      <c r="A90" s="253"/>
      <c r="B90" s="137">
        <f t="shared" si="7"/>
        <v>880</v>
      </c>
      <c r="C90" s="142" t="str">
        <f>VLOOKUP(B90,'Tipos de Defeitos'!B$4:E$106,Menu!$B$23+1,)</f>
        <v>Bobina Baixa A</v>
      </c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72">
        <f t="shared" si="22"/>
        <v>0</v>
      </c>
      <c r="AT90" s="234">
        <f>AS90+'UM-4 - Dia'!AS90</f>
        <v>0</v>
      </c>
    </row>
    <row r="91" spans="1:46">
      <c r="A91" s="253"/>
      <c r="B91" s="137">
        <f t="shared" si="7"/>
        <v>890</v>
      </c>
      <c r="C91" s="142" t="str">
        <f>VLOOKUP(B91,'Tipos de Defeitos'!B$4:E$106,Menu!$B$23+1,)</f>
        <v>Bobina Rachada</v>
      </c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172">
        <f t="shared" si="22"/>
        <v>0</v>
      </c>
      <c r="AT91" s="234">
        <f>AS91+'UM-4 - Dia'!AS91</f>
        <v>0</v>
      </c>
    </row>
    <row r="92" spans="1:46">
      <c r="A92" s="253"/>
      <c r="B92" s="137">
        <f t="shared" si="7"/>
        <v>900</v>
      </c>
      <c r="C92" s="142" t="str">
        <f>VLOOKUP(B92,'Tipos de Defeitos'!B$4:E$106,Menu!$B$23+1,)</f>
        <v>Emenda de Papel</v>
      </c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72">
        <f t="shared" si="22"/>
        <v>0</v>
      </c>
      <c r="AT92" s="234">
        <f>AS92+'UM-4 - Dia'!AS92</f>
        <v>0</v>
      </c>
    </row>
    <row r="93" spans="1:46">
      <c r="A93" s="253"/>
      <c r="B93" s="137">
        <f t="shared" si="7"/>
        <v>910</v>
      </c>
      <c r="C93" s="142" t="str">
        <f>VLOOKUP(B93,'Tipos de Defeitos'!B$4:E$106,Menu!$B$23+1,)</f>
        <v>Carvão Quebrado A</v>
      </c>
      <c r="D93" s="150"/>
      <c r="E93" s="151"/>
      <c r="F93" s="151"/>
      <c r="G93" s="151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72">
        <f t="shared" si="22"/>
        <v>0</v>
      </c>
      <c r="AT93" s="234">
        <f>AS93+'UM-4 - Dia'!AS93</f>
        <v>0</v>
      </c>
    </row>
    <row r="94" spans="1:46">
      <c r="A94" s="253"/>
      <c r="B94" s="137">
        <f t="shared" si="7"/>
        <v>920</v>
      </c>
      <c r="C94" s="142" t="str">
        <f>VLOOKUP(B94,'Tipos de Defeitos'!B$4:E$106,Menu!$B$23+1,)</f>
        <v>Metade do Carvão</v>
      </c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72">
        <f t="shared" si="22"/>
        <v>0</v>
      </c>
      <c r="AT94" s="234">
        <f>AS94+'UM-4 - Dia'!AS94</f>
        <v>0</v>
      </c>
    </row>
    <row r="95" spans="1:46">
      <c r="A95" s="253"/>
      <c r="B95" s="137">
        <f t="shared" si="7"/>
        <v>930</v>
      </c>
      <c r="C95" s="142" t="str">
        <f>VLOOKUP(B95,'Tipos de Defeitos'!B$4:E$106,Menu!$B$23+1,)</f>
        <v>Carvão Frouxo</v>
      </c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172">
        <f t="shared" si="22"/>
        <v>0</v>
      </c>
      <c r="AT95" s="234">
        <f>AS95+'UM-4 - Dia'!AS95</f>
        <v>0</v>
      </c>
    </row>
    <row r="96" spans="1:46">
      <c r="A96" s="253"/>
      <c r="B96" s="137">
        <f t="shared" si="7"/>
        <v>940</v>
      </c>
      <c r="C96" s="142" t="str">
        <f>VLOOKUP(B96,'Tipos de Defeitos'!B$4:E$106,Menu!$B$23+1,)</f>
        <v>Tubo de Zinco Sujo</v>
      </c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150"/>
      <c r="AO96" s="150"/>
      <c r="AP96" s="150"/>
      <c r="AQ96" s="150"/>
      <c r="AR96" s="150"/>
      <c r="AS96" s="172">
        <f t="shared" si="22"/>
        <v>0</v>
      </c>
      <c r="AT96" s="234">
        <f>AS96+'UM-4 - Dia'!AS96</f>
        <v>0</v>
      </c>
    </row>
    <row r="97" spans="1:46">
      <c r="A97" s="253"/>
      <c r="B97" s="137">
        <f t="shared" si="7"/>
        <v>950</v>
      </c>
      <c r="C97" s="142" t="str">
        <f>VLOOKUP(B97,'Tipos de Defeitos'!B$4:E$106,Menu!$B$23+1,)</f>
        <v>Contem estranho</v>
      </c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  <c r="AI97" s="150"/>
      <c r="AJ97" s="150"/>
      <c r="AK97" s="150"/>
      <c r="AL97" s="150"/>
      <c r="AM97" s="150"/>
      <c r="AN97" s="150"/>
      <c r="AO97" s="150"/>
      <c r="AP97" s="150"/>
      <c r="AQ97" s="150"/>
      <c r="AR97" s="150"/>
      <c r="AS97" s="172">
        <f t="shared" si="22"/>
        <v>0</v>
      </c>
      <c r="AT97" s="234">
        <f>AS97+'UM-4 - Dia'!AS97</f>
        <v>0</v>
      </c>
    </row>
    <row r="98" spans="1:46">
      <c r="A98" s="253"/>
      <c r="B98" s="137">
        <f t="shared" si="7"/>
        <v>960</v>
      </c>
      <c r="C98" s="142" t="str">
        <f>VLOOKUP(B98,'Tipos de Defeitos'!B$4:E$106,Menu!$B$23+1,)</f>
        <v>Mistura seca</v>
      </c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  <c r="AI98" s="150"/>
      <c r="AJ98" s="150"/>
      <c r="AK98" s="150"/>
      <c r="AL98" s="150"/>
      <c r="AM98" s="150"/>
      <c r="AN98" s="150"/>
      <c r="AO98" s="150"/>
      <c r="AP98" s="150"/>
      <c r="AQ98" s="150"/>
      <c r="AR98" s="150"/>
      <c r="AS98" s="172">
        <f t="shared" si="22"/>
        <v>0</v>
      </c>
      <c r="AT98" s="234">
        <f>AS98+'UM-4 - Dia'!AS98</f>
        <v>0</v>
      </c>
    </row>
    <row r="99" spans="1:46">
      <c r="A99" s="253"/>
      <c r="B99" s="137">
        <f t="shared" si="7"/>
        <v>970</v>
      </c>
      <c r="C99" s="142" t="str">
        <f>VLOOKUP(B99,'Tipos de Defeitos'!B$4:E$106,Menu!$B$23+1,)</f>
        <v>Bottom Plate Amassado</v>
      </c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  <c r="AH99" s="150"/>
      <c r="AI99" s="150"/>
      <c r="AJ99" s="150"/>
      <c r="AK99" s="150"/>
      <c r="AL99" s="150"/>
      <c r="AM99" s="150"/>
      <c r="AN99" s="150"/>
      <c r="AO99" s="150"/>
      <c r="AP99" s="150"/>
      <c r="AQ99" s="150"/>
      <c r="AR99" s="150"/>
      <c r="AS99" s="172">
        <f t="shared" si="22"/>
        <v>0</v>
      </c>
      <c r="AT99" s="234">
        <f>AS99+'UM-4 - Dia'!AS99</f>
        <v>0</v>
      </c>
    </row>
    <row r="100" spans="1:46">
      <c r="A100" s="253"/>
      <c r="B100" s="137">
        <f t="shared" si="7"/>
        <v>980</v>
      </c>
      <c r="C100" s="142" t="str">
        <f>VLOOKUP(B100,'Tipos de Defeitos'!B$4:E$106,Menu!$B$23+1,)</f>
        <v>PVC Comprido</v>
      </c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150"/>
      <c r="AO100" s="150"/>
      <c r="AP100" s="150"/>
      <c r="AQ100" s="150"/>
      <c r="AR100" s="150"/>
      <c r="AS100" s="172">
        <f t="shared" si="22"/>
        <v>0</v>
      </c>
      <c r="AT100" s="234">
        <f>AS100+'UM-4 - Dia'!AS100</f>
        <v>0</v>
      </c>
    </row>
    <row r="101" spans="1:46">
      <c r="A101" s="253"/>
      <c r="B101" s="137">
        <f t="shared" si="7"/>
        <v>990</v>
      </c>
      <c r="C101" s="142" t="str">
        <f>VLOOKUP(B101,'Tipos de Defeitos'!B$4:E$106,Menu!$B$23+1,)</f>
        <v>Causa Desconhecida - Amperagem</v>
      </c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172">
        <f t="shared" si="22"/>
        <v>0</v>
      </c>
      <c r="AT101" s="234">
        <f>AS101+'UM-4 - Dia'!AS101</f>
        <v>0</v>
      </c>
    </row>
    <row r="102" spans="1:46" ht="13.5" thickBot="1">
      <c r="A102" s="253"/>
      <c r="B102" s="154">
        <f t="shared" si="7"/>
        <v>1000</v>
      </c>
      <c r="C102" s="155" t="str">
        <f>VLOOKUP(B102,'Tipos de Defeitos'!B$4:E$106,Menu!$B$23+1,)</f>
        <v>Outros - Amperagem</v>
      </c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  <c r="AA102" s="211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1"/>
      <c r="AP102" s="211"/>
      <c r="AQ102" s="211"/>
      <c r="AR102" s="211"/>
      <c r="AS102" s="204">
        <f t="shared" si="22"/>
        <v>0</v>
      </c>
      <c r="AT102" s="234">
        <f>AS102+'UM-4 - Dia'!AS102</f>
        <v>0</v>
      </c>
    </row>
    <row r="103" spans="1:46">
      <c r="A103" s="258" t="s">
        <v>207</v>
      </c>
      <c r="B103" s="139">
        <f t="shared" si="7"/>
        <v>1010</v>
      </c>
      <c r="C103" s="113" t="str">
        <f>VLOOKUP(B103,'Tipos de Defeitos'!B$4:E$106,Menu!$B$23+1,)</f>
        <v>Total</v>
      </c>
      <c r="D103" s="170">
        <f t="shared" ref="D103" si="23">SUM(D86:D102)</f>
        <v>0</v>
      </c>
      <c r="E103" s="170">
        <f t="shared" ref="E103:AR103" si="24">SUM(E86:E102)</f>
        <v>0</v>
      </c>
      <c r="F103" s="170">
        <f t="shared" si="24"/>
        <v>0</v>
      </c>
      <c r="G103" s="170">
        <f t="shared" si="24"/>
        <v>0</v>
      </c>
      <c r="H103" s="170">
        <f t="shared" si="24"/>
        <v>0</v>
      </c>
      <c r="I103" s="170">
        <f t="shared" si="24"/>
        <v>0</v>
      </c>
      <c r="J103" s="170">
        <f t="shared" si="24"/>
        <v>0</v>
      </c>
      <c r="K103" s="170">
        <f t="shared" si="24"/>
        <v>0</v>
      </c>
      <c r="L103" s="170">
        <f t="shared" si="24"/>
        <v>0</v>
      </c>
      <c r="M103" s="170">
        <f t="shared" si="24"/>
        <v>0</v>
      </c>
      <c r="N103" s="170">
        <f t="shared" si="24"/>
        <v>0</v>
      </c>
      <c r="O103" s="170">
        <f t="shared" si="24"/>
        <v>0</v>
      </c>
      <c r="P103" s="170">
        <f t="shared" si="24"/>
        <v>0</v>
      </c>
      <c r="Q103" s="170">
        <f t="shared" si="24"/>
        <v>0</v>
      </c>
      <c r="R103" s="170">
        <f t="shared" si="24"/>
        <v>0</v>
      </c>
      <c r="S103" s="170">
        <f t="shared" si="24"/>
        <v>0</v>
      </c>
      <c r="T103" s="170">
        <f t="shared" si="24"/>
        <v>0</v>
      </c>
      <c r="U103" s="170">
        <f t="shared" si="24"/>
        <v>0</v>
      </c>
      <c r="V103" s="170">
        <f t="shared" si="24"/>
        <v>0</v>
      </c>
      <c r="W103" s="170">
        <f t="shared" si="24"/>
        <v>0</v>
      </c>
      <c r="X103" s="170">
        <f t="shared" si="24"/>
        <v>0</v>
      </c>
      <c r="Y103" s="170">
        <f t="shared" si="24"/>
        <v>0</v>
      </c>
      <c r="Z103" s="170">
        <f t="shared" si="24"/>
        <v>0</v>
      </c>
      <c r="AA103" s="170">
        <f t="shared" si="24"/>
        <v>0</v>
      </c>
      <c r="AB103" s="170">
        <f t="shared" si="24"/>
        <v>0</v>
      </c>
      <c r="AC103" s="170">
        <f t="shared" si="24"/>
        <v>0</v>
      </c>
      <c r="AD103" s="170">
        <f t="shared" si="24"/>
        <v>0</v>
      </c>
      <c r="AE103" s="170">
        <f t="shared" si="24"/>
        <v>0</v>
      </c>
      <c r="AF103" s="170">
        <f t="shared" si="24"/>
        <v>0</v>
      </c>
      <c r="AG103" s="170">
        <f t="shared" si="24"/>
        <v>0</v>
      </c>
      <c r="AH103" s="170">
        <f t="shared" si="24"/>
        <v>0</v>
      </c>
      <c r="AI103" s="170">
        <f t="shared" si="24"/>
        <v>0</v>
      </c>
      <c r="AJ103" s="170">
        <f t="shared" si="24"/>
        <v>0</v>
      </c>
      <c r="AK103" s="170">
        <f t="shared" si="24"/>
        <v>0</v>
      </c>
      <c r="AL103" s="170">
        <f t="shared" si="24"/>
        <v>0</v>
      </c>
      <c r="AM103" s="170">
        <f t="shared" si="24"/>
        <v>0</v>
      </c>
      <c r="AN103" s="170">
        <f t="shared" si="24"/>
        <v>0</v>
      </c>
      <c r="AO103" s="170">
        <f t="shared" si="24"/>
        <v>0</v>
      </c>
      <c r="AP103" s="170">
        <f t="shared" si="24"/>
        <v>0</v>
      </c>
      <c r="AQ103" s="170">
        <f t="shared" si="24"/>
        <v>0</v>
      </c>
      <c r="AR103" s="170">
        <f t="shared" si="24"/>
        <v>0</v>
      </c>
      <c r="AS103" s="171">
        <f t="shared" si="22"/>
        <v>0</v>
      </c>
      <c r="AT103" s="234">
        <f>AS103+'UM-4 - Dia'!AS103</f>
        <v>0</v>
      </c>
    </row>
    <row r="104" spans="1:46">
      <c r="A104" s="259"/>
      <c r="B104" s="137">
        <f t="shared" si="7"/>
        <v>1020</v>
      </c>
      <c r="C104" s="104" t="str">
        <f>VLOOKUP(B104,'Tipos de Defeitos'!B$4:E$106,Menu!$B$23+1,)</f>
        <v>Taxa defeituosa (ppm)</v>
      </c>
      <c r="D104" s="197" t="str">
        <f t="shared" ref="D104" si="25">IF(D27&lt;&gt;0,D103/D27*D24/D22*1000000,"")</f>
        <v/>
      </c>
      <c r="E104" s="197" t="str">
        <f t="shared" ref="E104:AR104" si="26">IF(E27&lt;&gt;0,E103/E27*E24/E22*1000000,"")</f>
        <v/>
      </c>
      <c r="F104" s="197" t="str">
        <f t="shared" si="26"/>
        <v/>
      </c>
      <c r="G104" s="197" t="str">
        <f t="shared" si="26"/>
        <v/>
      </c>
      <c r="H104" s="197" t="str">
        <f t="shared" si="26"/>
        <v/>
      </c>
      <c r="I104" s="197" t="str">
        <f t="shared" si="26"/>
        <v/>
      </c>
      <c r="J104" s="197" t="str">
        <f t="shared" si="26"/>
        <v/>
      </c>
      <c r="K104" s="197" t="str">
        <f t="shared" si="26"/>
        <v/>
      </c>
      <c r="L104" s="197" t="str">
        <f t="shared" si="26"/>
        <v/>
      </c>
      <c r="M104" s="197" t="str">
        <f t="shared" si="26"/>
        <v/>
      </c>
      <c r="N104" s="197" t="str">
        <f t="shared" si="26"/>
        <v/>
      </c>
      <c r="O104" s="197" t="str">
        <f t="shared" si="26"/>
        <v/>
      </c>
      <c r="P104" s="197" t="str">
        <f t="shared" si="26"/>
        <v/>
      </c>
      <c r="Q104" s="197" t="str">
        <f t="shared" si="26"/>
        <v/>
      </c>
      <c r="R104" s="197" t="str">
        <f t="shared" si="26"/>
        <v/>
      </c>
      <c r="S104" s="197" t="str">
        <f t="shared" si="26"/>
        <v/>
      </c>
      <c r="T104" s="197" t="str">
        <f t="shared" si="26"/>
        <v/>
      </c>
      <c r="U104" s="197" t="str">
        <f t="shared" si="26"/>
        <v/>
      </c>
      <c r="V104" s="197" t="str">
        <f t="shared" si="26"/>
        <v/>
      </c>
      <c r="W104" s="197" t="str">
        <f t="shared" si="26"/>
        <v/>
      </c>
      <c r="X104" s="197" t="str">
        <f t="shared" si="26"/>
        <v/>
      </c>
      <c r="Y104" s="197" t="str">
        <f t="shared" si="26"/>
        <v/>
      </c>
      <c r="Z104" s="197" t="str">
        <f t="shared" si="26"/>
        <v/>
      </c>
      <c r="AA104" s="197" t="str">
        <f t="shared" si="26"/>
        <v/>
      </c>
      <c r="AB104" s="197" t="str">
        <f t="shared" si="26"/>
        <v/>
      </c>
      <c r="AC104" s="197" t="str">
        <f t="shared" si="26"/>
        <v/>
      </c>
      <c r="AD104" s="197" t="str">
        <f t="shared" si="26"/>
        <v/>
      </c>
      <c r="AE104" s="197" t="str">
        <f t="shared" si="26"/>
        <v/>
      </c>
      <c r="AF104" s="197" t="str">
        <f t="shared" si="26"/>
        <v/>
      </c>
      <c r="AG104" s="197" t="str">
        <f t="shared" si="26"/>
        <v/>
      </c>
      <c r="AH104" s="197" t="str">
        <f t="shared" si="26"/>
        <v/>
      </c>
      <c r="AI104" s="197" t="str">
        <f t="shared" si="26"/>
        <v/>
      </c>
      <c r="AJ104" s="197" t="str">
        <f t="shared" si="26"/>
        <v/>
      </c>
      <c r="AK104" s="197" t="str">
        <f t="shared" si="26"/>
        <v/>
      </c>
      <c r="AL104" s="197" t="str">
        <f t="shared" si="26"/>
        <v/>
      </c>
      <c r="AM104" s="197" t="str">
        <f t="shared" si="26"/>
        <v/>
      </c>
      <c r="AN104" s="197" t="str">
        <f t="shared" si="26"/>
        <v/>
      </c>
      <c r="AO104" s="197" t="str">
        <f t="shared" si="26"/>
        <v/>
      </c>
      <c r="AP104" s="197" t="str">
        <f t="shared" si="26"/>
        <v/>
      </c>
      <c r="AQ104" s="197" t="str">
        <f t="shared" si="26"/>
        <v/>
      </c>
      <c r="AR104" s="197" t="str">
        <f t="shared" si="26"/>
        <v/>
      </c>
      <c r="AS104" s="186" t="str">
        <f>IF(AS27&lt;&gt;0,AS103/AS27*AS24/AS7*1000000,"")</f>
        <v/>
      </c>
      <c r="AT104" s="71" t="e">
        <f>AT103/AT27*AT24/AT7*1000000</f>
        <v>#DIV/0!</v>
      </c>
    </row>
    <row r="105" spans="1:46" ht="13.5" thickBot="1">
      <c r="A105" s="260"/>
      <c r="B105" s="140">
        <f t="shared" si="7"/>
        <v>1030</v>
      </c>
      <c r="C105" s="105" t="str">
        <f>VLOOKUP(B105,'Tipos de Defeitos'!B$4:E$106,Menu!$B$23+1,)</f>
        <v>Taxa Defeituosa Total (ppm)</v>
      </c>
      <c r="D105" s="198" t="str">
        <f t="shared" ref="D105" si="27">IF(D24&gt;0,D24/D7*1000000,"")</f>
        <v/>
      </c>
      <c r="E105" s="198" t="str">
        <f t="shared" ref="E105:AR105" si="28">IF(E24&gt;0,E24/E7*1000000,"")</f>
        <v/>
      </c>
      <c r="F105" s="198" t="str">
        <f t="shared" si="28"/>
        <v/>
      </c>
      <c r="G105" s="198" t="str">
        <f t="shared" si="28"/>
        <v/>
      </c>
      <c r="H105" s="198" t="str">
        <f t="shared" si="28"/>
        <v/>
      </c>
      <c r="I105" s="198" t="str">
        <f t="shared" si="28"/>
        <v/>
      </c>
      <c r="J105" s="198" t="str">
        <f t="shared" si="28"/>
        <v/>
      </c>
      <c r="K105" s="198" t="str">
        <f t="shared" si="28"/>
        <v/>
      </c>
      <c r="L105" s="198" t="str">
        <f t="shared" si="28"/>
        <v/>
      </c>
      <c r="M105" s="198" t="str">
        <f t="shared" si="28"/>
        <v/>
      </c>
      <c r="N105" s="198" t="str">
        <f t="shared" si="28"/>
        <v/>
      </c>
      <c r="O105" s="198" t="str">
        <f t="shared" si="28"/>
        <v/>
      </c>
      <c r="P105" s="198" t="str">
        <f t="shared" si="28"/>
        <v/>
      </c>
      <c r="Q105" s="198" t="str">
        <f t="shared" si="28"/>
        <v/>
      </c>
      <c r="R105" s="198" t="str">
        <f t="shared" si="28"/>
        <v/>
      </c>
      <c r="S105" s="198" t="str">
        <f t="shared" si="28"/>
        <v/>
      </c>
      <c r="T105" s="198" t="str">
        <f t="shared" si="28"/>
        <v/>
      </c>
      <c r="U105" s="198" t="str">
        <f t="shared" si="28"/>
        <v/>
      </c>
      <c r="V105" s="198" t="str">
        <f t="shared" si="28"/>
        <v/>
      </c>
      <c r="W105" s="198" t="str">
        <f t="shared" si="28"/>
        <v/>
      </c>
      <c r="X105" s="198" t="str">
        <f t="shared" si="28"/>
        <v/>
      </c>
      <c r="Y105" s="198" t="str">
        <f t="shared" si="28"/>
        <v/>
      </c>
      <c r="Z105" s="198" t="str">
        <f t="shared" si="28"/>
        <v/>
      </c>
      <c r="AA105" s="198" t="str">
        <f t="shared" si="28"/>
        <v/>
      </c>
      <c r="AB105" s="198" t="str">
        <f t="shared" si="28"/>
        <v/>
      </c>
      <c r="AC105" s="198" t="str">
        <f t="shared" si="28"/>
        <v/>
      </c>
      <c r="AD105" s="198" t="str">
        <f t="shared" si="28"/>
        <v/>
      </c>
      <c r="AE105" s="198" t="str">
        <f t="shared" si="28"/>
        <v/>
      </c>
      <c r="AF105" s="198" t="str">
        <f t="shared" si="28"/>
        <v/>
      </c>
      <c r="AG105" s="198" t="str">
        <f t="shared" si="28"/>
        <v/>
      </c>
      <c r="AH105" s="198" t="str">
        <f t="shared" si="28"/>
        <v/>
      </c>
      <c r="AI105" s="198" t="str">
        <f t="shared" si="28"/>
        <v/>
      </c>
      <c r="AJ105" s="198" t="str">
        <f t="shared" si="28"/>
        <v/>
      </c>
      <c r="AK105" s="198" t="str">
        <f t="shared" si="28"/>
        <v/>
      </c>
      <c r="AL105" s="198" t="str">
        <f t="shared" si="28"/>
        <v/>
      </c>
      <c r="AM105" s="198" t="str">
        <f t="shared" si="28"/>
        <v/>
      </c>
      <c r="AN105" s="198" t="str">
        <f t="shared" si="28"/>
        <v/>
      </c>
      <c r="AO105" s="198" t="str">
        <f t="shared" si="28"/>
        <v/>
      </c>
      <c r="AP105" s="198" t="str">
        <f t="shared" si="28"/>
        <v/>
      </c>
      <c r="AQ105" s="198" t="str">
        <f t="shared" si="28"/>
        <v/>
      </c>
      <c r="AR105" s="198" t="str">
        <f t="shared" si="28"/>
        <v/>
      </c>
      <c r="AS105" s="205" t="str">
        <f>IF(AS24&gt;0,AS24/AS7*1000000,"")</f>
        <v/>
      </c>
    </row>
    <row r="106" spans="1:46">
      <c r="A106" s="73"/>
      <c r="B106" s="230"/>
      <c r="D106" s="231"/>
      <c r="E106" s="231"/>
      <c r="F106" s="231"/>
      <c r="G106" s="231"/>
      <c r="H106" s="231"/>
      <c r="I106" s="231"/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  <c r="U106" s="231"/>
      <c r="V106" s="231"/>
      <c r="W106" s="231"/>
      <c r="X106" s="231"/>
      <c r="Y106" s="231"/>
      <c r="Z106" s="231"/>
      <c r="AA106" s="231"/>
      <c r="AB106" s="231"/>
      <c r="AC106" s="231"/>
      <c r="AD106" s="231"/>
      <c r="AE106" s="231"/>
      <c r="AF106" s="231"/>
      <c r="AG106" s="231"/>
      <c r="AH106" s="231"/>
      <c r="AI106" s="231"/>
      <c r="AJ106" s="231"/>
      <c r="AK106" s="231"/>
      <c r="AL106" s="231"/>
      <c r="AM106" s="231"/>
      <c r="AN106" s="231"/>
      <c r="AO106" s="231"/>
      <c r="AP106" s="231"/>
      <c r="AQ106" s="231"/>
      <c r="AR106" s="231"/>
      <c r="AS106" s="231"/>
    </row>
    <row r="107" spans="1:46">
      <c r="A107" s="73"/>
      <c r="B107" s="230"/>
      <c r="C107" s="221"/>
      <c r="D107" s="231" t="e">
        <f>(D74+D73)/D23*D20/D18*1000000</f>
        <v>#DIV/0!</v>
      </c>
      <c r="E107" s="231" t="e">
        <f t="shared" ref="E107:F107" si="29">(E74+E73)/E23*E20/E18*1000000</f>
        <v>#DIV/0!</v>
      </c>
      <c r="F107" s="231" t="e">
        <f t="shared" si="29"/>
        <v>#DIV/0!</v>
      </c>
      <c r="G107" s="231" t="e">
        <f>(G74+G73)/G23*G20/G18*1000000</f>
        <v>#DIV/0!</v>
      </c>
      <c r="H107" s="231" t="e">
        <f>(H74+H73)/H23*H20/H18*1000000</f>
        <v>#DIV/0!</v>
      </c>
      <c r="I107" s="231" t="e">
        <f t="shared" ref="I107:AR107" si="30">(I74+I73)/I23*I20/I18*1000000</f>
        <v>#DIV/0!</v>
      </c>
      <c r="J107" s="231" t="e">
        <f t="shared" si="30"/>
        <v>#DIV/0!</v>
      </c>
      <c r="K107" s="231" t="e">
        <f t="shared" si="30"/>
        <v>#DIV/0!</v>
      </c>
      <c r="L107" s="231" t="e">
        <f t="shared" si="30"/>
        <v>#DIV/0!</v>
      </c>
      <c r="M107" s="231"/>
      <c r="N107" s="231"/>
      <c r="O107" s="231"/>
      <c r="P107" s="231"/>
      <c r="Q107" s="231"/>
      <c r="R107" s="231"/>
      <c r="S107" s="231"/>
      <c r="T107" s="231"/>
      <c r="U107" s="231"/>
      <c r="V107" s="231"/>
      <c r="W107" s="231"/>
      <c r="X107" s="231"/>
      <c r="Y107" s="231"/>
      <c r="Z107" s="231"/>
      <c r="AA107" s="231"/>
      <c r="AB107" s="231"/>
      <c r="AC107" s="231"/>
      <c r="AD107" s="231"/>
      <c r="AE107" s="231"/>
      <c r="AF107" s="231" t="e">
        <f t="shared" si="30"/>
        <v>#DIV/0!</v>
      </c>
      <c r="AG107" s="231"/>
      <c r="AH107" s="231"/>
      <c r="AI107" s="231"/>
      <c r="AJ107" s="231"/>
      <c r="AK107" s="231"/>
      <c r="AL107" s="231"/>
      <c r="AM107" s="231"/>
      <c r="AN107" s="231"/>
      <c r="AO107" s="231"/>
      <c r="AP107" s="231"/>
      <c r="AQ107" s="231" t="e">
        <f t="shared" si="30"/>
        <v>#DIV/0!</v>
      </c>
      <c r="AR107" s="231" t="e">
        <f t="shared" si="30"/>
        <v>#DIV/0!</v>
      </c>
      <c r="AS107" s="231"/>
    </row>
    <row r="108" spans="1:46">
      <c r="A108" s="73"/>
      <c r="B108" s="230">
        <v>10</v>
      </c>
      <c r="D108" s="231"/>
      <c r="E108" s="231"/>
      <c r="F108" s="231"/>
      <c r="G108" s="231"/>
      <c r="H108" s="231"/>
      <c r="I108" s="231"/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  <c r="U108" s="231"/>
      <c r="V108" s="231"/>
      <c r="W108" s="231"/>
      <c r="X108" s="231"/>
      <c r="Y108" s="231"/>
      <c r="Z108" s="231"/>
      <c r="AA108" s="231"/>
      <c r="AB108" s="231"/>
      <c r="AC108" s="231"/>
      <c r="AD108" s="231"/>
      <c r="AE108" s="231"/>
      <c r="AF108" s="231"/>
      <c r="AG108" s="231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</row>
    <row r="109" spans="1:46">
      <c r="A109" s="73"/>
      <c r="B109" s="230"/>
      <c r="D109" s="231"/>
      <c r="E109" s="231"/>
      <c r="F109" s="231"/>
      <c r="G109" s="231"/>
      <c r="H109" s="231"/>
      <c r="I109" s="231"/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  <c r="U109" s="231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</row>
    <row r="110" spans="1:46">
      <c r="D110" s="65"/>
      <c r="E110" s="65"/>
      <c r="F110" s="65"/>
      <c r="G110" s="65"/>
      <c r="I110" s="65"/>
      <c r="J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</row>
    <row r="111" spans="1:46">
      <c r="D111" s="65"/>
      <c r="E111" s="65"/>
      <c r="F111" s="65"/>
      <c r="G111" s="65"/>
      <c r="I111" s="65"/>
      <c r="J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  <c r="AQ111" s="65"/>
    </row>
    <row r="112" spans="1:46">
      <c r="C112" s="64">
        <v>1</v>
      </c>
    </row>
    <row r="131" spans="4:44" s="65" customFormat="1">
      <c r="D131" s="232" t="str">
        <f ca="1">D2</f>
        <v>03 / 2022</v>
      </c>
      <c r="E131" s="232">
        <f t="shared" ref="E131:F131" si="31">E2</f>
        <v>0</v>
      </c>
      <c r="F131" s="232">
        <f t="shared" si="31"/>
        <v>0</v>
      </c>
      <c r="G131" s="232">
        <f>G2</f>
        <v>0</v>
      </c>
      <c r="H131" s="232">
        <f>H2</f>
        <v>0</v>
      </c>
      <c r="I131" s="232">
        <f>I2</f>
        <v>0</v>
      </c>
      <c r="J131" s="232">
        <f>J2</f>
        <v>0</v>
      </c>
      <c r="K131" s="232"/>
      <c r="L131" s="232">
        <f>L2</f>
        <v>0</v>
      </c>
      <c r="M131" s="232"/>
      <c r="N131" s="232"/>
      <c r="O131" s="232"/>
      <c r="P131" s="232"/>
      <c r="Q131" s="232"/>
      <c r="R131" s="232"/>
      <c r="S131" s="232"/>
      <c r="T131" s="232"/>
      <c r="U131" s="232"/>
      <c r="V131" s="232"/>
      <c r="W131" s="232"/>
      <c r="X131" s="232"/>
      <c r="Y131" s="232"/>
      <c r="Z131" s="232"/>
      <c r="AA131" s="232"/>
      <c r="AB131" s="232"/>
      <c r="AC131" s="232"/>
      <c r="AD131" s="232"/>
      <c r="AE131" s="232"/>
      <c r="AF131" s="232">
        <f>AF2</f>
        <v>0</v>
      </c>
      <c r="AG131" s="232"/>
      <c r="AH131" s="232"/>
      <c r="AI131" s="232"/>
      <c r="AJ131" s="232"/>
      <c r="AK131" s="232"/>
      <c r="AL131" s="232"/>
      <c r="AM131" s="232"/>
      <c r="AN131" s="232"/>
      <c r="AO131" s="232"/>
      <c r="AP131" s="232"/>
      <c r="AQ131" s="232"/>
      <c r="AR131" s="232">
        <f>AR2</f>
        <v>0</v>
      </c>
    </row>
  </sheetData>
  <sheetProtection algorithmName="SHA-512" hashValue="pinYapXzZIHuVMXUcWzKrIH5/WaZDXKkg3UUCuuy0AylF4wJfbxMgzTGZmMIgOzL8CaWW1s/g5yJCvgcBNhGlg==" saltValue="D5X4/B8zIDoWsAh4I11Tsg==" spinCount="100000" sheet="1" objects="1" scenarios="1" selectLockedCells="1"/>
  <mergeCells count="7">
    <mergeCell ref="A86:A102"/>
    <mergeCell ref="A103:A105"/>
    <mergeCell ref="A3:A22"/>
    <mergeCell ref="A23:A27"/>
    <mergeCell ref="A28:A77"/>
    <mergeCell ref="A78:A82"/>
    <mergeCell ref="A83:A85"/>
  </mergeCells>
  <phoneticPr fontId="18"/>
  <conditionalFormatting sqref="D27:AS27">
    <cfRule type="expression" dxfId="69" priority="2614">
      <formula>D$27&lt;&gt;(D$78+D$103)</formula>
    </cfRule>
  </conditionalFormatting>
  <conditionalFormatting sqref="B2:AS7 B8:C22 W8:AS22 B23:AS105">
    <cfRule type="expression" dxfId="68" priority="2615">
      <formula>MOD(ROW(),2)</formula>
    </cfRule>
  </conditionalFormatting>
  <conditionalFormatting sqref="T8:T17 T19:T22">
    <cfRule type="expression" dxfId="67" priority="54">
      <formula>MOD(ROW(),2)</formula>
    </cfRule>
  </conditionalFormatting>
  <conditionalFormatting sqref="T18">
    <cfRule type="expression" dxfId="66" priority="53">
      <formula>MOD(ROW(),2)</formula>
    </cfRule>
  </conditionalFormatting>
  <conditionalFormatting sqref="U8:U17 U19:U22">
    <cfRule type="expression" dxfId="65" priority="52">
      <formula>MOD(ROW(),2)</formula>
    </cfRule>
  </conditionalFormatting>
  <conditionalFormatting sqref="U18">
    <cfRule type="expression" dxfId="64" priority="51">
      <formula>MOD(ROW(),2)</formula>
    </cfRule>
  </conditionalFormatting>
  <conditionalFormatting sqref="V8:V17 V19:V22">
    <cfRule type="expression" dxfId="63" priority="50">
      <formula>MOD(ROW(),2)</formula>
    </cfRule>
  </conditionalFormatting>
  <conditionalFormatting sqref="V18">
    <cfRule type="expression" dxfId="62" priority="49">
      <formula>MOD(ROW(),2)</formula>
    </cfRule>
  </conditionalFormatting>
  <conditionalFormatting sqref="D8:D17 D19:D22">
    <cfRule type="expression" dxfId="61" priority="30">
      <formula>MOD(ROW(),2)</formula>
    </cfRule>
  </conditionalFormatting>
  <conditionalFormatting sqref="D18">
    <cfRule type="expression" dxfId="60" priority="29">
      <formula>MOD(ROW(),2)</formula>
    </cfRule>
  </conditionalFormatting>
  <conditionalFormatting sqref="E8:E17 E19:E22">
    <cfRule type="expression" dxfId="59" priority="28">
      <formula>MOD(ROW(),2)</formula>
    </cfRule>
  </conditionalFormatting>
  <conditionalFormatting sqref="E18">
    <cfRule type="expression" dxfId="58" priority="27">
      <formula>MOD(ROW(),2)</formula>
    </cfRule>
  </conditionalFormatting>
  <conditionalFormatting sqref="F8:F17 F19:F22">
    <cfRule type="expression" dxfId="57" priority="26">
      <formula>MOD(ROW(),2)</formula>
    </cfRule>
  </conditionalFormatting>
  <conditionalFormatting sqref="F18">
    <cfRule type="expression" dxfId="56" priority="25">
      <formula>MOD(ROW(),2)</formula>
    </cfRule>
  </conditionalFormatting>
  <conditionalFormatting sqref="G8:G17 G19:G22">
    <cfRule type="expression" dxfId="55" priority="24">
      <formula>MOD(ROW(),2)</formula>
    </cfRule>
  </conditionalFormatting>
  <conditionalFormatting sqref="G18">
    <cfRule type="expression" dxfId="54" priority="23">
      <formula>MOD(ROW(),2)</formula>
    </cfRule>
  </conditionalFormatting>
  <conditionalFormatting sqref="H8:H17 H19:H22">
    <cfRule type="expression" dxfId="53" priority="22">
      <formula>MOD(ROW(),2)</formula>
    </cfRule>
  </conditionalFormatting>
  <conditionalFormatting sqref="H18">
    <cfRule type="expression" dxfId="52" priority="21">
      <formula>MOD(ROW(),2)</formula>
    </cfRule>
  </conditionalFormatting>
  <conditionalFormatting sqref="I8:I17 I19:I22">
    <cfRule type="expression" dxfId="51" priority="20">
      <formula>MOD(ROW(),2)</formula>
    </cfRule>
  </conditionalFormatting>
  <conditionalFormatting sqref="I18">
    <cfRule type="expression" dxfId="50" priority="19">
      <formula>MOD(ROW(),2)</formula>
    </cfRule>
  </conditionalFormatting>
  <conditionalFormatting sqref="J8:J17 J19:J22">
    <cfRule type="expression" dxfId="49" priority="18">
      <formula>MOD(ROW(),2)</formula>
    </cfRule>
  </conditionalFormatting>
  <conditionalFormatting sqref="J18">
    <cfRule type="expression" dxfId="48" priority="17">
      <formula>MOD(ROW(),2)</formula>
    </cfRule>
  </conditionalFormatting>
  <conditionalFormatting sqref="K8:K17 K19:K22">
    <cfRule type="expression" dxfId="47" priority="16">
      <formula>MOD(ROW(),2)</formula>
    </cfRule>
  </conditionalFormatting>
  <conditionalFormatting sqref="K18">
    <cfRule type="expression" dxfId="46" priority="15">
      <formula>MOD(ROW(),2)</formula>
    </cfRule>
  </conditionalFormatting>
  <conditionalFormatting sqref="L8:M17 L19:M22">
    <cfRule type="expression" dxfId="45" priority="14">
      <formula>MOD(ROW(),2)</formula>
    </cfRule>
  </conditionalFormatting>
  <conditionalFormatting sqref="L18:M18">
    <cfRule type="expression" dxfId="44" priority="13">
      <formula>MOD(ROW(),2)</formula>
    </cfRule>
  </conditionalFormatting>
  <conditionalFormatting sqref="N8:N17 N19:N22">
    <cfRule type="expression" dxfId="43" priority="12">
      <formula>MOD(ROW(),2)</formula>
    </cfRule>
  </conditionalFormatting>
  <conditionalFormatting sqref="N18">
    <cfRule type="expression" dxfId="42" priority="11">
      <formula>MOD(ROW(),2)</formula>
    </cfRule>
  </conditionalFormatting>
  <conditionalFormatting sqref="O8:O17 O19:O22">
    <cfRule type="expression" dxfId="41" priority="10">
      <formula>MOD(ROW(),2)</formula>
    </cfRule>
  </conditionalFormatting>
  <conditionalFormatting sqref="O18">
    <cfRule type="expression" dxfId="40" priority="9">
      <formula>MOD(ROW(),2)</formula>
    </cfRule>
  </conditionalFormatting>
  <conditionalFormatting sqref="P8:P17 P19:P22">
    <cfRule type="expression" dxfId="39" priority="8">
      <formula>MOD(ROW(),2)</formula>
    </cfRule>
  </conditionalFormatting>
  <conditionalFormatting sqref="P18">
    <cfRule type="expression" dxfId="38" priority="7">
      <formula>MOD(ROW(),2)</formula>
    </cfRule>
  </conditionalFormatting>
  <conditionalFormatting sqref="Q8:Q17 Q19:Q22">
    <cfRule type="expression" dxfId="37" priority="6">
      <formula>MOD(ROW(),2)</formula>
    </cfRule>
  </conditionalFormatting>
  <conditionalFormatting sqref="Q18">
    <cfRule type="expression" dxfId="36" priority="5">
      <formula>MOD(ROW(),2)</formula>
    </cfRule>
  </conditionalFormatting>
  <conditionalFormatting sqref="R8:R17 R19:R22">
    <cfRule type="expression" dxfId="35" priority="4">
      <formula>MOD(ROW(),2)</formula>
    </cfRule>
  </conditionalFormatting>
  <conditionalFormatting sqref="R18">
    <cfRule type="expression" dxfId="34" priority="3">
      <formula>MOD(ROW(),2)</formula>
    </cfRule>
  </conditionalFormatting>
  <conditionalFormatting sqref="S8:S17 S19:S22">
    <cfRule type="expression" dxfId="33" priority="2">
      <formula>MOD(ROW(),2)</formula>
    </cfRule>
  </conditionalFormatting>
  <conditionalFormatting sqref="S18">
    <cfRule type="expression" dxfId="32" priority="1">
      <formula>MOD(ROW(),2)</formula>
    </cfRule>
  </conditionalFormatting>
  <dataValidations count="1">
    <dataValidation type="list" allowBlank="1" showInputMessage="1" showErrorMessage="1" sqref="D6:AS6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T131"/>
  <sheetViews>
    <sheetView zoomScaleNormal="100" workbookViewId="0">
      <pane xSplit="3" topLeftCell="D1" activePane="topRight" state="frozen"/>
      <selection activeCell="D27" sqref="D27:AR27"/>
      <selection pane="topRight" activeCell="D10" sqref="D10"/>
    </sheetView>
  </sheetViews>
  <sheetFormatPr defaultColWidth="10.28515625" defaultRowHeight="12.75"/>
  <cols>
    <col min="1" max="1" width="3.28515625" style="64" bestFit="1" customWidth="1"/>
    <col min="2" max="2" width="5" style="64" bestFit="1" customWidth="1"/>
    <col min="3" max="3" width="35.7109375" style="64" bestFit="1" customWidth="1"/>
    <col min="4" max="4" width="11.7109375" style="64" customWidth="1"/>
    <col min="5" max="5" width="10.42578125" style="64" customWidth="1"/>
    <col min="6" max="7" width="11.7109375" style="64" customWidth="1"/>
    <col min="8" max="8" width="11.7109375" style="65" customWidth="1"/>
    <col min="9" max="10" width="11.7109375" style="64" customWidth="1"/>
    <col min="11" max="11" width="11.7109375" style="65" customWidth="1"/>
    <col min="12" max="43" width="11.7109375" style="64" customWidth="1"/>
    <col min="44" max="44" width="11.7109375" style="65" customWidth="1"/>
    <col min="45" max="45" width="12" style="65" bestFit="1" customWidth="1"/>
    <col min="46" max="46" width="12.7109375" style="64" bestFit="1" customWidth="1"/>
    <col min="47" max="16384" width="10.28515625" style="64"/>
  </cols>
  <sheetData>
    <row r="1" spans="1:46" ht="13.5" thickBot="1">
      <c r="C1" s="173" t="str">
        <f>AS2</f>
        <v>Noite</v>
      </c>
      <c r="D1" s="233"/>
      <c r="E1" s="233"/>
      <c r="F1" s="233"/>
      <c r="AS1" s="174" t="s">
        <v>239</v>
      </c>
    </row>
    <row r="2" spans="1:46" ht="13.5" thickBot="1">
      <c r="B2" s="175" t="s">
        <v>208</v>
      </c>
      <c r="C2" s="176" t="s">
        <v>235</v>
      </c>
      <c r="D2" s="238" t="str">
        <f ca="1">'UM-4 - Dia'!D2</f>
        <v>03 / 2022</v>
      </c>
      <c r="E2" s="237"/>
      <c r="F2" s="237"/>
      <c r="G2" s="237"/>
      <c r="H2" s="237"/>
      <c r="I2" s="237"/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  <c r="W2" s="237"/>
      <c r="X2" s="237"/>
      <c r="Y2" s="237"/>
      <c r="Z2" s="237"/>
      <c r="AA2" s="237"/>
      <c r="AB2" s="237"/>
      <c r="AC2" s="237"/>
      <c r="AD2" s="237"/>
      <c r="AE2" s="237"/>
      <c r="AF2" s="237"/>
      <c r="AG2" s="237"/>
      <c r="AH2" s="237"/>
      <c r="AI2" s="237"/>
      <c r="AJ2" s="237"/>
      <c r="AK2" s="237"/>
      <c r="AL2" s="237"/>
      <c r="AM2" s="237"/>
      <c r="AN2" s="237"/>
      <c r="AO2" s="237"/>
      <c r="AP2" s="237"/>
      <c r="AQ2" s="237"/>
      <c r="AR2" s="237"/>
      <c r="AS2" s="163" t="s">
        <v>243</v>
      </c>
      <c r="AT2" s="221" t="s">
        <v>245</v>
      </c>
    </row>
    <row r="3" spans="1:46">
      <c r="A3" s="261" t="s">
        <v>204</v>
      </c>
      <c r="B3" s="139">
        <v>10</v>
      </c>
      <c r="C3" s="144" t="str">
        <f>VLOOKUP(B3,'Tipos de Defeitos'!B$4:E$106,Menu!$B$23+1,)</f>
        <v>Data da Montagem</v>
      </c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199"/>
    </row>
    <row r="4" spans="1:46">
      <c r="A4" s="262"/>
      <c r="B4" s="137">
        <f>(B3/10+1)*10</f>
        <v>20</v>
      </c>
      <c r="C4" s="145" t="str">
        <f>VLOOKUP(B4,'Tipos de Defeitos'!B$4:E$106,Menu!$B$23+1,)</f>
        <v>Data do Acabamento</v>
      </c>
      <c r="D4" s="207"/>
      <c r="E4" s="207"/>
      <c r="F4" s="207"/>
      <c r="G4" s="207"/>
      <c r="H4" s="207"/>
      <c r="I4" s="207"/>
      <c r="J4" s="207"/>
      <c r="K4" s="207"/>
      <c r="L4" s="207"/>
      <c r="M4" s="207"/>
      <c r="N4" s="207"/>
      <c r="O4" s="207"/>
      <c r="P4" s="207"/>
      <c r="Q4" s="207"/>
      <c r="R4" s="207"/>
      <c r="S4" s="207"/>
      <c r="T4" s="207"/>
      <c r="U4" s="207"/>
      <c r="V4" s="207"/>
      <c r="W4" s="207"/>
      <c r="X4" s="207"/>
      <c r="Y4" s="207"/>
      <c r="Z4" s="207"/>
      <c r="AA4" s="207"/>
      <c r="AB4" s="207"/>
      <c r="AC4" s="207"/>
      <c r="AD4" s="207"/>
      <c r="AE4" s="207"/>
      <c r="AF4" s="207"/>
      <c r="AG4" s="207"/>
      <c r="AH4" s="207"/>
      <c r="AI4" s="207"/>
      <c r="AJ4" s="207"/>
      <c r="AK4" s="207"/>
      <c r="AL4" s="207"/>
      <c r="AM4" s="207"/>
      <c r="AN4" s="207"/>
      <c r="AO4" s="207"/>
      <c r="AP4" s="207"/>
      <c r="AQ4" s="207"/>
      <c r="AR4" s="207"/>
      <c r="AS4" s="200"/>
    </row>
    <row r="5" spans="1:46">
      <c r="A5" s="262"/>
      <c r="B5" s="137">
        <f t="shared" ref="B5:B68" si="0">(B4/10+1)*10</f>
        <v>30</v>
      </c>
      <c r="C5" s="145" t="str">
        <f>VLOOKUP(B5,'Tipos de Defeitos'!B$4:E$106,Menu!$B$23+1,)</f>
        <v>Descanso:</v>
      </c>
      <c r="D5" s="148" t="str">
        <f t="shared" ref="D5" si="1">IF(D4="","",D4-D3)</f>
        <v/>
      </c>
      <c r="E5" s="148" t="str">
        <f t="shared" ref="E5" si="2">IF(E4="","",E4-E3)</f>
        <v/>
      </c>
      <c r="F5" s="148" t="str">
        <f t="shared" ref="F5" si="3">IF(F4="","",F4-F3)</f>
        <v/>
      </c>
      <c r="G5" s="148" t="str">
        <f t="shared" ref="G5:AR5" si="4">IF(G4="","",G4-G3)</f>
        <v/>
      </c>
      <c r="H5" s="148" t="str">
        <f t="shared" si="4"/>
        <v/>
      </c>
      <c r="I5" s="148" t="str">
        <f t="shared" si="4"/>
        <v/>
      </c>
      <c r="J5" s="148" t="str">
        <f t="shared" si="4"/>
        <v/>
      </c>
      <c r="K5" s="148" t="str">
        <f t="shared" si="4"/>
        <v/>
      </c>
      <c r="L5" s="148" t="str">
        <f t="shared" si="4"/>
        <v/>
      </c>
      <c r="M5" s="148" t="str">
        <f t="shared" si="4"/>
        <v/>
      </c>
      <c r="N5" s="148" t="str">
        <f t="shared" si="4"/>
        <v/>
      </c>
      <c r="O5" s="148" t="str">
        <f t="shared" si="4"/>
        <v/>
      </c>
      <c r="P5" s="148" t="str">
        <f t="shared" si="4"/>
        <v/>
      </c>
      <c r="Q5" s="148" t="str">
        <f t="shared" si="4"/>
        <v/>
      </c>
      <c r="R5" s="148" t="str">
        <f t="shared" si="4"/>
        <v/>
      </c>
      <c r="S5" s="148" t="str">
        <f t="shared" si="4"/>
        <v/>
      </c>
      <c r="T5" s="148" t="str">
        <f t="shared" si="4"/>
        <v/>
      </c>
      <c r="U5" s="148" t="str">
        <f t="shared" si="4"/>
        <v/>
      </c>
      <c r="V5" s="148" t="str">
        <f t="shared" si="4"/>
        <v/>
      </c>
      <c r="W5" s="148" t="str">
        <f t="shared" si="4"/>
        <v/>
      </c>
      <c r="X5" s="148" t="str">
        <f t="shared" si="4"/>
        <v/>
      </c>
      <c r="Y5" s="148" t="str">
        <f t="shared" si="4"/>
        <v/>
      </c>
      <c r="Z5" s="148" t="str">
        <f t="shared" si="4"/>
        <v/>
      </c>
      <c r="AA5" s="148" t="str">
        <f t="shared" si="4"/>
        <v/>
      </c>
      <c r="AB5" s="148" t="str">
        <f t="shared" si="4"/>
        <v/>
      </c>
      <c r="AC5" s="148" t="str">
        <f t="shared" si="4"/>
        <v/>
      </c>
      <c r="AD5" s="148" t="str">
        <f t="shared" si="4"/>
        <v/>
      </c>
      <c r="AE5" s="148" t="str">
        <f t="shared" si="4"/>
        <v/>
      </c>
      <c r="AF5" s="148" t="str">
        <f t="shared" si="4"/>
        <v/>
      </c>
      <c r="AG5" s="148" t="str">
        <f t="shared" si="4"/>
        <v/>
      </c>
      <c r="AH5" s="148" t="str">
        <f t="shared" si="4"/>
        <v/>
      </c>
      <c r="AI5" s="148" t="str">
        <f t="shared" si="4"/>
        <v/>
      </c>
      <c r="AJ5" s="148" t="str">
        <f t="shared" si="4"/>
        <v/>
      </c>
      <c r="AK5" s="148" t="str">
        <f t="shared" si="4"/>
        <v/>
      </c>
      <c r="AL5" s="148" t="str">
        <f t="shared" si="4"/>
        <v/>
      </c>
      <c r="AM5" s="148" t="str">
        <f t="shared" si="4"/>
        <v/>
      </c>
      <c r="AN5" s="148" t="str">
        <f t="shared" si="4"/>
        <v/>
      </c>
      <c r="AO5" s="148" t="str">
        <f t="shared" si="4"/>
        <v/>
      </c>
      <c r="AP5" s="148" t="str">
        <f t="shared" si="4"/>
        <v/>
      </c>
      <c r="AQ5" s="148" t="str">
        <f t="shared" si="4"/>
        <v/>
      </c>
      <c r="AR5" s="148" t="str">
        <f t="shared" si="4"/>
        <v/>
      </c>
      <c r="AS5" s="148"/>
    </row>
    <row r="6" spans="1:46">
      <c r="A6" s="262"/>
      <c r="B6" s="137">
        <f t="shared" si="0"/>
        <v>40</v>
      </c>
      <c r="C6" s="145" t="str">
        <f>VLOOKUP(B6,'Tipos de Defeitos'!B$4:E$106,Menu!$B$23+1,)</f>
        <v>Modelo</v>
      </c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  <c r="AG6" s="165"/>
      <c r="AH6" s="165"/>
      <c r="AI6" s="165"/>
      <c r="AJ6" s="165"/>
      <c r="AK6" s="165"/>
      <c r="AL6" s="165"/>
      <c r="AM6" s="165"/>
      <c r="AN6" s="165"/>
      <c r="AO6" s="165"/>
      <c r="AP6" s="165"/>
      <c r="AQ6" s="165"/>
      <c r="AR6" s="165"/>
      <c r="AS6" s="148"/>
    </row>
    <row r="7" spans="1:46">
      <c r="A7" s="262"/>
      <c r="B7" s="137">
        <f t="shared" si="0"/>
        <v>50</v>
      </c>
      <c r="C7" s="145" t="str">
        <f>VLOOKUP(B7,'Tipos de Defeitos'!B$4:E$106,Menu!$B$23+1,)</f>
        <v>Qtd de Produção (pçs)</v>
      </c>
      <c r="D7" s="214"/>
      <c r="E7" s="214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148">
        <f>SUM(D7:AR7)</f>
        <v>0</v>
      </c>
      <c r="AT7" s="234">
        <f>AS7+'UM-4 - 2T'!AS7+'UM-4 - Dia'!AS7</f>
        <v>0</v>
      </c>
    </row>
    <row r="8" spans="1:46">
      <c r="A8" s="262"/>
      <c r="B8" s="137">
        <f t="shared" si="0"/>
        <v>60</v>
      </c>
      <c r="C8" s="145" t="str">
        <f>VLOOKUP(B8,'Tipos de Defeitos'!B$4:E$106,Menu!$B$23+1,)</f>
        <v>GME - Fornecedor</v>
      </c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  <c r="V8" s="239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4"/>
      <c r="AN8" s="164"/>
      <c r="AO8" s="164"/>
      <c r="AP8" s="164"/>
      <c r="AQ8" s="164"/>
      <c r="AR8" s="164"/>
      <c r="AS8" s="148"/>
    </row>
    <row r="9" spans="1:46">
      <c r="A9" s="262"/>
      <c r="B9" s="137">
        <f>(B8/10+1)*10</f>
        <v>70</v>
      </c>
      <c r="C9" s="145" t="str">
        <f>VLOOKUP(B9,'Tipos de Defeitos'!B$4:E$106,Menu!$B$23+1,)</f>
        <v>Nº Lote</v>
      </c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165"/>
      <c r="X9" s="165"/>
      <c r="Y9" s="165"/>
      <c r="Z9" s="165"/>
      <c r="AA9" s="165"/>
      <c r="AB9" s="165"/>
      <c r="AC9" s="165"/>
      <c r="AD9" s="165"/>
      <c r="AE9" s="165"/>
      <c r="AF9" s="165"/>
      <c r="AG9" s="165"/>
      <c r="AH9" s="165"/>
      <c r="AI9" s="165"/>
      <c r="AJ9" s="165"/>
      <c r="AK9" s="165"/>
      <c r="AL9" s="165"/>
      <c r="AM9" s="165"/>
      <c r="AN9" s="165"/>
      <c r="AO9" s="165"/>
      <c r="AP9" s="165"/>
      <c r="AQ9" s="165"/>
      <c r="AR9" s="165"/>
      <c r="AS9" s="148"/>
    </row>
    <row r="10" spans="1:46">
      <c r="A10" s="262"/>
      <c r="B10" s="137">
        <f t="shared" si="0"/>
        <v>80</v>
      </c>
      <c r="C10" s="145" t="str">
        <f>VLOOKUP(B10,'Tipos de Defeitos'!B$4:E$106,Menu!$B$23+1,)</f>
        <v>Qtd</v>
      </c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0"/>
      <c r="V10" s="240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48"/>
    </row>
    <row r="11" spans="1:46">
      <c r="A11" s="262"/>
      <c r="B11" s="137">
        <f t="shared" si="0"/>
        <v>90</v>
      </c>
      <c r="C11" s="145" t="str">
        <f>VLOOKUP(B11,'Tipos de Defeitos'!B$4:E$106,Menu!$B$23+1,)</f>
        <v>GMT - Fornecedor</v>
      </c>
      <c r="D11" s="240"/>
      <c r="E11" s="240"/>
      <c r="F11" s="240"/>
      <c r="G11" s="240"/>
      <c r="H11" s="240"/>
      <c r="I11" s="240"/>
      <c r="J11" s="240"/>
      <c r="K11" s="240"/>
      <c r="L11" s="240"/>
      <c r="M11" s="240"/>
      <c r="N11" s="240"/>
      <c r="O11" s="240"/>
      <c r="P11" s="240"/>
      <c r="Q11" s="240"/>
      <c r="R11" s="240"/>
      <c r="S11" s="240"/>
      <c r="T11" s="240"/>
      <c r="U11" s="240"/>
      <c r="V11" s="240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48"/>
    </row>
    <row r="12" spans="1:46">
      <c r="A12" s="262"/>
      <c r="B12" s="137">
        <f t="shared" si="0"/>
        <v>100</v>
      </c>
      <c r="C12" s="145" t="str">
        <f>VLOOKUP(B12,'Tipos de Defeitos'!B$4:E$106,Menu!$B$23+1,)</f>
        <v>Nº Lote</v>
      </c>
      <c r="D12" s="243"/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148"/>
    </row>
    <row r="13" spans="1:46">
      <c r="A13" s="262"/>
      <c r="B13" s="137">
        <f t="shared" si="0"/>
        <v>110</v>
      </c>
      <c r="C13" s="145" t="str">
        <f>VLOOKUP(B13,'Tipos de Defeitos'!B$4:E$106,Menu!$B$23+1,)</f>
        <v>Qtd</v>
      </c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0"/>
      <c r="P13" s="240"/>
      <c r="Q13" s="240"/>
      <c r="R13" s="240"/>
      <c r="S13" s="240"/>
      <c r="T13" s="240"/>
      <c r="U13" s="240"/>
      <c r="V13" s="240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  <c r="AG13" s="165"/>
      <c r="AH13" s="165"/>
      <c r="AI13" s="165"/>
      <c r="AJ13" s="165"/>
      <c r="AK13" s="165"/>
      <c r="AL13" s="165"/>
      <c r="AM13" s="165"/>
      <c r="AN13" s="165"/>
      <c r="AO13" s="165"/>
      <c r="AP13" s="165"/>
      <c r="AQ13" s="165"/>
      <c r="AR13" s="165"/>
      <c r="AS13" s="148"/>
    </row>
    <row r="14" spans="1:46">
      <c r="A14" s="262"/>
      <c r="B14" s="137">
        <f t="shared" si="0"/>
        <v>120</v>
      </c>
      <c r="C14" s="145" t="str">
        <f>VLOOKUP(B14,'Tipos de Defeitos'!B$4:E$106,Menu!$B$23+1,)</f>
        <v>GCA - Fornecedor</v>
      </c>
      <c r="D14" s="240"/>
      <c r="E14" s="240"/>
      <c r="F14" s="240"/>
      <c r="G14" s="240"/>
      <c r="H14" s="240"/>
      <c r="I14" s="240"/>
      <c r="J14" s="240"/>
      <c r="K14" s="240"/>
      <c r="L14" s="240"/>
      <c r="M14" s="240"/>
      <c r="N14" s="240"/>
      <c r="O14" s="240"/>
      <c r="P14" s="240"/>
      <c r="Q14" s="240"/>
      <c r="R14" s="240"/>
      <c r="S14" s="240"/>
      <c r="T14" s="240"/>
      <c r="U14" s="240"/>
      <c r="V14" s="240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  <c r="AG14" s="165"/>
      <c r="AH14" s="165"/>
      <c r="AI14" s="165"/>
      <c r="AJ14" s="165"/>
      <c r="AK14" s="165"/>
      <c r="AL14" s="165"/>
      <c r="AM14" s="165"/>
      <c r="AN14" s="165"/>
      <c r="AO14" s="165"/>
      <c r="AP14" s="165"/>
      <c r="AQ14" s="165"/>
      <c r="AR14" s="165"/>
      <c r="AS14" s="148"/>
    </row>
    <row r="15" spans="1:46">
      <c r="A15" s="262"/>
      <c r="B15" s="137">
        <f t="shared" si="0"/>
        <v>130</v>
      </c>
      <c r="C15" s="145" t="str">
        <f>VLOOKUP(B15,'Tipos de Defeitos'!B$4:E$106,Menu!$B$23+1,)</f>
        <v>Lot.</v>
      </c>
      <c r="D15" s="240"/>
      <c r="E15" s="240"/>
      <c r="F15" s="240"/>
      <c r="G15" s="240"/>
      <c r="H15" s="240"/>
      <c r="I15" s="240"/>
      <c r="J15" s="240"/>
      <c r="K15" s="240"/>
      <c r="L15" s="240"/>
      <c r="M15" s="240"/>
      <c r="N15" s="240"/>
      <c r="O15" s="240"/>
      <c r="P15" s="240"/>
      <c r="Q15" s="240"/>
      <c r="R15" s="240"/>
      <c r="S15" s="240"/>
      <c r="T15" s="240"/>
      <c r="U15" s="240"/>
      <c r="V15" s="240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  <c r="AG15" s="165"/>
      <c r="AH15" s="165"/>
      <c r="AI15" s="165"/>
      <c r="AJ15" s="165"/>
      <c r="AK15" s="165"/>
      <c r="AL15" s="165"/>
      <c r="AM15" s="165"/>
      <c r="AN15" s="165"/>
      <c r="AO15" s="165"/>
      <c r="AP15" s="165"/>
      <c r="AQ15" s="165"/>
      <c r="AR15" s="165"/>
      <c r="AS15" s="148"/>
    </row>
    <row r="16" spans="1:46">
      <c r="A16" s="262"/>
      <c r="B16" s="137">
        <f t="shared" si="0"/>
        <v>140</v>
      </c>
      <c r="C16" s="145" t="str">
        <f>VLOOKUP(B16,'Tipos de Defeitos'!B$4:E$106,Menu!$B$23+1,)</f>
        <v>Qtd</v>
      </c>
      <c r="D16" s="240"/>
      <c r="E16" s="240"/>
      <c r="F16" s="240"/>
      <c r="G16" s="240"/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/>
      <c r="T16" s="240"/>
      <c r="U16" s="240"/>
      <c r="V16" s="240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  <c r="AG16" s="165"/>
      <c r="AH16" s="165"/>
      <c r="AI16" s="165"/>
      <c r="AJ16" s="165"/>
      <c r="AK16" s="165"/>
      <c r="AL16" s="165"/>
      <c r="AM16" s="165"/>
      <c r="AN16" s="165"/>
      <c r="AO16" s="165"/>
      <c r="AP16" s="165"/>
      <c r="AQ16" s="165"/>
      <c r="AR16" s="165"/>
      <c r="AS16" s="148"/>
    </row>
    <row r="17" spans="1:46">
      <c r="A17" s="262"/>
      <c r="B17" s="137">
        <f t="shared" si="0"/>
        <v>150</v>
      </c>
      <c r="C17" s="145" t="str">
        <f>VLOOKUP(B17,'Tipos de Defeitos'!B$4:E$106,Menu!$B$23+1,)</f>
        <v>GZO - Fornecedor</v>
      </c>
      <c r="D17" s="240"/>
      <c r="E17" s="240"/>
      <c r="F17" s="240"/>
      <c r="G17" s="240"/>
      <c r="H17" s="240"/>
      <c r="I17" s="240"/>
      <c r="J17" s="240"/>
      <c r="K17" s="240"/>
      <c r="L17" s="240"/>
      <c r="M17" s="240"/>
      <c r="N17" s="240"/>
      <c r="O17" s="240"/>
      <c r="P17" s="240"/>
      <c r="Q17" s="240"/>
      <c r="R17" s="240"/>
      <c r="S17" s="240"/>
      <c r="T17" s="240"/>
      <c r="U17" s="240"/>
      <c r="V17" s="240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  <c r="AG17" s="165"/>
      <c r="AH17" s="165"/>
      <c r="AI17" s="165"/>
      <c r="AJ17" s="165"/>
      <c r="AK17" s="165"/>
      <c r="AL17" s="165"/>
      <c r="AM17" s="165"/>
      <c r="AN17" s="165"/>
      <c r="AO17" s="165"/>
      <c r="AP17" s="165"/>
      <c r="AQ17" s="165"/>
      <c r="AR17" s="165"/>
      <c r="AS17" s="148"/>
    </row>
    <row r="18" spans="1:46">
      <c r="A18" s="262"/>
      <c r="B18" s="137">
        <f t="shared" si="0"/>
        <v>160</v>
      </c>
      <c r="C18" s="145" t="str">
        <f>VLOOKUP(B18,'Tipos de Defeitos'!B$4:E$106,Menu!$B$23+1,)</f>
        <v>Nº Lote</v>
      </c>
      <c r="D18" s="241"/>
      <c r="E18" s="241"/>
      <c r="F18" s="241"/>
      <c r="G18" s="241"/>
      <c r="H18" s="241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41"/>
      <c r="U18" s="241"/>
      <c r="V18" s="241"/>
      <c r="W18" s="208"/>
      <c r="X18" s="208"/>
      <c r="Y18" s="208"/>
      <c r="Z18" s="208"/>
      <c r="AA18" s="208"/>
      <c r="AB18" s="208"/>
      <c r="AC18" s="208"/>
      <c r="AD18" s="208"/>
      <c r="AE18" s="208"/>
      <c r="AF18" s="208"/>
      <c r="AG18" s="208"/>
      <c r="AH18" s="208"/>
      <c r="AI18" s="208"/>
      <c r="AJ18" s="208"/>
      <c r="AK18" s="208"/>
      <c r="AL18" s="208"/>
      <c r="AM18" s="208"/>
      <c r="AN18" s="208"/>
      <c r="AO18" s="208"/>
      <c r="AP18" s="208"/>
      <c r="AQ18" s="208"/>
      <c r="AR18" s="208"/>
      <c r="AS18" s="227"/>
    </row>
    <row r="19" spans="1:46">
      <c r="A19" s="262"/>
      <c r="B19" s="137">
        <f t="shared" si="0"/>
        <v>170</v>
      </c>
      <c r="C19" s="145" t="str">
        <f>VLOOKUP(B19,'Tipos de Defeitos'!B$4:E$106,Menu!$B$23+1,)</f>
        <v>Qtd</v>
      </c>
      <c r="D19" s="242"/>
      <c r="E19" s="242"/>
      <c r="F19" s="242"/>
      <c r="G19" s="242"/>
      <c r="H19" s="242"/>
      <c r="I19" s="242"/>
      <c r="J19" s="242"/>
      <c r="K19" s="242"/>
      <c r="L19" s="242"/>
      <c r="M19" s="242"/>
      <c r="N19" s="242"/>
      <c r="O19" s="242"/>
      <c r="P19" s="242"/>
      <c r="Q19" s="242"/>
      <c r="R19" s="242"/>
      <c r="S19" s="242"/>
      <c r="T19" s="242"/>
      <c r="U19" s="242"/>
      <c r="V19" s="242"/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G19" s="209"/>
      <c r="AH19" s="209"/>
      <c r="AI19" s="209"/>
      <c r="AJ19" s="209"/>
      <c r="AK19" s="209"/>
      <c r="AL19" s="209"/>
      <c r="AM19" s="209"/>
      <c r="AN19" s="209"/>
      <c r="AO19" s="209"/>
      <c r="AP19" s="209"/>
      <c r="AQ19" s="209"/>
      <c r="AR19" s="209"/>
      <c r="AS19" s="227"/>
    </row>
    <row r="20" spans="1:46">
      <c r="A20" s="262"/>
      <c r="B20" s="137">
        <f t="shared" si="0"/>
        <v>180</v>
      </c>
      <c r="C20" s="145" t="str">
        <f>VLOOKUP(B20,'Tipos de Defeitos'!B$4:E$106,Menu!$B$23+1,)</f>
        <v>Solução nº 125 Qtd</v>
      </c>
      <c r="D20" s="240"/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  <c r="AG20" s="165"/>
      <c r="AH20" s="165"/>
      <c r="AI20" s="165"/>
      <c r="AJ20" s="165"/>
      <c r="AK20" s="165"/>
      <c r="AL20" s="165"/>
      <c r="AM20" s="165"/>
      <c r="AN20" s="165"/>
      <c r="AO20" s="165"/>
      <c r="AP20" s="165"/>
      <c r="AQ20" s="165"/>
      <c r="AR20" s="165"/>
      <c r="AS20" s="148"/>
    </row>
    <row r="21" spans="1:46" ht="12.75" customHeight="1">
      <c r="A21" s="262"/>
      <c r="B21" s="137">
        <f t="shared" si="0"/>
        <v>190</v>
      </c>
      <c r="C21" s="145" t="str">
        <f>VLOOKUP(B21,'Tipos de Defeitos'!B$4:E$106,Menu!$B$23+1,)</f>
        <v>Carvão - Fornecedor</v>
      </c>
      <c r="D21" s="240"/>
      <c r="E21" s="240"/>
      <c r="F21" s="240"/>
      <c r="G21" s="240"/>
      <c r="H21" s="240"/>
      <c r="I21" s="240"/>
      <c r="J21" s="240"/>
      <c r="K21" s="240"/>
      <c r="L21" s="240"/>
      <c r="M21" s="240"/>
      <c r="N21" s="240"/>
      <c r="O21" s="240"/>
      <c r="P21" s="240"/>
      <c r="Q21" s="240"/>
      <c r="R21" s="240"/>
      <c r="S21" s="240"/>
      <c r="T21" s="240"/>
      <c r="U21" s="240"/>
      <c r="V21" s="240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  <c r="AG21" s="165"/>
      <c r="AH21" s="165"/>
      <c r="AI21" s="165"/>
      <c r="AJ21" s="165"/>
      <c r="AK21" s="165"/>
      <c r="AL21" s="165"/>
      <c r="AM21" s="165"/>
      <c r="AN21" s="165"/>
      <c r="AO21" s="165"/>
      <c r="AP21" s="165"/>
      <c r="AQ21" s="165"/>
      <c r="AR21" s="165"/>
      <c r="AS21" s="148"/>
    </row>
    <row r="22" spans="1:46" ht="13.5" thickBot="1">
      <c r="A22" s="263"/>
      <c r="B22" s="140">
        <f t="shared" si="0"/>
        <v>200</v>
      </c>
      <c r="C22" s="181" t="str">
        <f>VLOOKUP(B22,'Tipos de Defeitos'!B$4:E$106,Menu!$B$23+1,)</f>
        <v>Nº Lote</v>
      </c>
      <c r="D22" s="166"/>
      <c r="E22" s="166"/>
      <c r="F22" s="166"/>
      <c r="G22" s="166"/>
      <c r="H22" s="166"/>
      <c r="I22" s="166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9"/>
    </row>
    <row r="23" spans="1:46">
      <c r="A23" s="252" t="s">
        <v>205</v>
      </c>
      <c r="B23" s="139">
        <f t="shared" si="0"/>
        <v>210</v>
      </c>
      <c r="C23" s="141" t="str">
        <f>VLOOKUP(B23,'Tipos de Defeitos'!B$4:E$106,Menu!$B$23+1,)</f>
        <v>Qtd. Retestada (pçs)</v>
      </c>
      <c r="D23" s="150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0"/>
      <c r="P23" s="150"/>
      <c r="Q23" s="150"/>
      <c r="R23" s="150"/>
      <c r="S23" s="150"/>
      <c r="T23" s="150"/>
      <c r="U23" s="150"/>
      <c r="V23" s="150"/>
      <c r="W23" s="150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  <c r="AN23" s="150"/>
      <c r="AO23" s="150"/>
      <c r="AP23" s="150"/>
      <c r="AQ23" s="150"/>
      <c r="AR23" s="150"/>
      <c r="AS23" s="171">
        <f>SUM(D23:AR23)</f>
        <v>0</v>
      </c>
      <c r="AT23" s="234">
        <f>AS23+'UM-4 - 2T'!AS23+'UM-4 - Dia'!AS23</f>
        <v>0</v>
      </c>
    </row>
    <row r="24" spans="1:46" ht="13.5" customHeight="1">
      <c r="A24" s="253"/>
      <c r="B24" s="137">
        <f t="shared" si="0"/>
        <v>220</v>
      </c>
      <c r="C24" s="142" t="str">
        <f>VLOOKUP(B24,'Tipos de Defeitos'!B$4:E$106,Menu!$B$23+1,)</f>
        <v>Defeitos (Qty)</v>
      </c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  <c r="AN24" s="150"/>
      <c r="AO24" s="150"/>
      <c r="AP24" s="150"/>
      <c r="AQ24" s="150"/>
      <c r="AR24" s="150"/>
      <c r="AS24" s="148">
        <f>SUM(D24:AR24)</f>
        <v>0</v>
      </c>
      <c r="AT24" s="234">
        <f>AS24+'UM-4 - 2T'!AS24+'UM-4 - Dia'!AS24</f>
        <v>0</v>
      </c>
    </row>
    <row r="25" spans="1:46">
      <c r="A25" s="253"/>
      <c r="B25" s="137">
        <f t="shared" si="0"/>
        <v>230</v>
      </c>
      <c r="C25" s="142" t="str">
        <f>VLOOKUP(B25,'Tipos de Defeitos'!B$4:E$106,Menu!$B$23+1,)</f>
        <v>Voltagem (Moda)</v>
      </c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50"/>
      <c r="AN25" s="150"/>
      <c r="AO25" s="150"/>
      <c r="AP25" s="150"/>
      <c r="AQ25" s="150"/>
      <c r="AR25" s="150"/>
      <c r="AS25" s="212" t="e">
        <f>AVERAGE(D25:AR25)</f>
        <v>#DIV/0!</v>
      </c>
    </row>
    <row r="26" spans="1:46">
      <c r="A26" s="253"/>
      <c r="B26" s="137">
        <f t="shared" si="0"/>
        <v>240</v>
      </c>
      <c r="C26" s="142" t="str">
        <f>VLOOKUP(B26,'Tipos de Defeitos'!B$4:E$106,Menu!$B$23+1,)</f>
        <v>Voltagem (ajustada)</v>
      </c>
      <c r="D26" s="213" t="str">
        <f t="shared" ref="D26" si="5">IF(D25&gt;0,D25-0.005," ")</f>
        <v xml:space="preserve"> </v>
      </c>
      <c r="E26" s="213" t="str">
        <f t="shared" ref="E26" si="6">IF(E25&gt;0,E25-0.005," ")</f>
        <v xml:space="preserve"> </v>
      </c>
      <c r="F26" s="213" t="str">
        <f t="shared" ref="F26" si="7">IF(F25&gt;0,F25-0.005," ")</f>
        <v xml:space="preserve"> </v>
      </c>
      <c r="G26" s="213" t="str">
        <f t="shared" ref="G26:AR26" si="8">IF(G25&gt;0,G25-0.005," ")</f>
        <v xml:space="preserve"> </v>
      </c>
      <c r="H26" s="213" t="str">
        <f t="shared" si="8"/>
        <v xml:space="preserve"> </v>
      </c>
      <c r="I26" s="213" t="str">
        <f t="shared" si="8"/>
        <v xml:space="preserve"> </v>
      </c>
      <c r="J26" s="213" t="str">
        <f t="shared" si="8"/>
        <v xml:space="preserve"> </v>
      </c>
      <c r="K26" s="213" t="str">
        <f t="shared" si="8"/>
        <v xml:space="preserve"> </v>
      </c>
      <c r="L26" s="213" t="str">
        <f t="shared" si="8"/>
        <v xml:space="preserve"> </v>
      </c>
      <c r="M26" s="213" t="str">
        <f t="shared" si="8"/>
        <v xml:space="preserve"> </v>
      </c>
      <c r="N26" s="213" t="str">
        <f t="shared" si="8"/>
        <v xml:space="preserve"> </v>
      </c>
      <c r="O26" s="213" t="str">
        <f t="shared" si="8"/>
        <v xml:space="preserve"> </v>
      </c>
      <c r="P26" s="213" t="str">
        <f t="shared" si="8"/>
        <v xml:space="preserve"> </v>
      </c>
      <c r="Q26" s="213" t="str">
        <f t="shared" si="8"/>
        <v xml:space="preserve"> </v>
      </c>
      <c r="R26" s="213" t="str">
        <f t="shared" si="8"/>
        <v xml:space="preserve"> </v>
      </c>
      <c r="S26" s="213" t="str">
        <f t="shared" si="8"/>
        <v xml:space="preserve"> </v>
      </c>
      <c r="T26" s="213" t="str">
        <f t="shared" si="8"/>
        <v xml:space="preserve"> </v>
      </c>
      <c r="U26" s="213" t="str">
        <f t="shared" si="8"/>
        <v xml:space="preserve"> </v>
      </c>
      <c r="V26" s="213" t="str">
        <f t="shared" si="8"/>
        <v xml:space="preserve"> </v>
      </c>
      <c r="W26" s="213" t="str">
        <f t="shared" si="8"/>
        <v xml:space="preserve"> </v>
      </c>
      <c r="X26" s="213" t="str">
        <f t="shared" si="8"/>
        <v xml:space="preserve"> </v>
      </c>
      <c r="Y26" s="213" t="str">
        <f t="shared" si="8"/>
        <v xml:space="preserve"> </v>
      </c>
      <c r="Z26" s="213" t="str">
        <f t="shared" si="8"/>
        <v xml:space="preserve"> </v>
      </c>
      <c r="AA26" s="213" t="str">
        <f t="shared" si="8"/>
        <v xml:space="preserve"> </v>
      </c>
      <c r="AB26" s="213" t="str">
        <f t="shared" si="8"/>
        <v xml:space="preserve"> </v>
      </c>
      <c r="AC26" s="213" t="str">
        <f t="shared" si="8"/>
        <v xml:space="preserve"> </v>
      </c>
      <c r="AD26" s="213" t="str">
        <f t="shared" si="8"/>
        <v xml:space="preserve"> </v>
      </c>
      <c r="AE26" s="213" t="str">
        <f t="shared" si="8"/>
        <v xml:space="preserve"> </v>
      </c>
      <c r="AF26" s="213" t="str">
        <f t="shared" si="8"/>
        <v xml:space="preserve"> </v>
      </c>
      <c r="AG26" s="213" t="str">
        <f t="shared" si="8"/>
        <v xml:space="preserve"> </v>
      </c>
      <c r="AH26" s="213" t="str">
        <f t="shared" si="8"/>
        <v xml:space="preserve"> </v>
      </c>
      <c r="AI26" s="213" t="str">
        <f t="shared" si="8"/>
        <v xml:space="preserve"> </v>
      </c>
      <c r="AJ26" s="213" t="str">
        <f t="shared" si="8"/>
        <v xml:space="preserve"> </v>
      </c>
      <c r="AK26" s="213" t="str">
        <f t="shared" si="8"/>
        <v xml:space="preserve"> </v>
      </c>
      <c r="AL26" s="213" t="str">
        <f t="shared" si="8"/>
        <v xml:space="preserve"> </v>
      </c>
      <c r="AM26" s="213" t="str">
        <f t="shared" si="8"/>
        <v xml:space="preserve"> </v>
      </c>
      <c r="AN26" s="213" t="str">
        <f t="shared" si="8"/>
        <v xml:space="preserve"> </v>
      </c>
      <c r="AO26" s="213" t="str">
        <f t="shared" si="8"/>
        <v xml:space="preserve"> </v>
      </c>
      <c r="AP26" s="213" t="str">
        <f t="shared" si="8"/>
        <v xml:space="preserve"> </v>
      </c>
      <c r="AQ26" s="213" t="str">
        <f t="shared" si="8"/>
        <v xml:space="preserve"> </v>
      </c>
      <c r="AR26" s="213" t="str">
        <f t="shared" si="8"/>
        <v xml:space="preserve"> </v>
      </c>
      <c r="AS26" s="148" t="e">
        <f>AVERAGE(D26:AR26)</f>
        <v>#DIV/0!</v>
      </c>
    </row>
    <row r="27" spans="1:46" ht="13.5" thickBot="1">
      <c r="A27" s="254"/>
      <c r="B27" s="140">
        <f t="shared" si="0"/>
        <v>250</v>
      </c>
      <c r="C27" s="143" t="str">
        <f>VLOOKUP(B27,'Tipos de Defeitos'!B$4:E$106,Menu!$B$23+1,)</f>
        <v>Qtd. Analisada (pçs)</v>
      </c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2"/>
      <c r="S27" s="152"/>
      <c r="T27" s="152"/>
      <c r="U27" s="152"/>
      <c r="V27" s="152"/>
      <c r="W27" s="152"/>
      <c r="X27" s="152"/>
      <c r="Y27" s="152"/>
      <c r="Z27" s="152"/>
      <c r="AA27" s="152"/>
      <c r="AB27" s="152"/>
      <c r="AC27" s="152"/>
      <c r="AD27" s="152"/>
      <c r="AE27" s="152"/>
      <c r="AF27" s="152"/>
      <c r="AG27" s="152"/>
      <c r="AH27" s="152"/>
      <c r="AI27" s="152"/>
      <c r="AJ27" s="152"/>
      <c r="AK27" s="152"/>
      <c r="AL27" s="152"/>
      <c r="AM27" s="152"/>
      <c r="AN27" s="152"/>
      <c r="AO27" s="152"/>
      <c r="AP27" s="152"/>
      <c r="AQ27" s="152"/>
      <c r="AR27" s="152"/>
      <c r="AS27" s="169">
        <f t="shared" ref="AS27:AS77" si="9">SUM(D27:AR27)</f>
        <v>0</v>
      </c>
      <c r="AT27" s="234">
        <f>AS27+'UM-4 - 2T'!AS27+'UM-4 - Dia'!AS27</f>
        <v>10</v>
      </c>
    </row>
    <row r="28" spans="1:46">
      <c r="A28" s="252" t="s">
        <v>206</v>
      </c>
      <c r="B28" s="139">
        <f t="shared" si="0"/>
        <v>260</v>
      </c>
      <c r="C28" s="141" t="str">
        <f>VLOOKUP(B28,'Tipos de Defeitos'!B$4:E$106,Menu!$B$23+1,)</f>
        <v>Sem Papel Separador</v>
      </c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/>
      <c r="AD28" s="153"/>
      <c r="AE28" s="153"/>
      <c r="AF28" s="153"/>
      <c r="AG28" s="153"/>
      <c r="AH28" s="153"/>
      <c r="AI28" s="153"/>
      <c r="AJ28" s="153"/>
      <c r="AK28" s="153"/>
      <c r="AL28" s="153"/>
      <c r="AM28" s="153"/>
      <c r="AN28" s="153"/>
      <c r="AO28" s="153"/>
      <c r="AP28" s="153"/>
      <c r="AQ28" s="153"/>
      <c r="AR28" s="153"/>
      <c r="AS28" s="171">
        <f t="shared" si="9"/>
        <v>0</v>
      </c>
      <c r="AT28" s="229">
        <f>AS28+'UM-4 - 2T'!AS28+'UM-4 - Dia'!AS28</f>
        <v>0</v>
      </c>
    </row>
    <row r="29" spans="1:46">
      <c r="A29" s="253"/>
      <c r="B29" s="137">
        <f t="shared" si="0"/>
        <v>270</v>
      </c>
      <c r="C29" s="142" t="str">
        <f>VLOOKUP(B29,'Tipos de Defeitos'!B$4:E$106,Menu!$B$23+1,)</f>
        <v>Papel Separador Cortado</v>
      </c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48">
        <f t="shared" si="9"/>
        <v>0</v>
      </c>
      <c r="AT29" s="229">
        <f>AS29+'UM-4 - 2T'!AS29+'UM-4 - Dia'!AS29</f>
        <v>0</v>
      </c>
    </row>
    <row r="30" spans="1:46">
      <c r="A30" s="253"/>
      <c r="B30" s="137">
        <f t="shared" si="0"/>
        <v>280</v>
      </c>
      <c r="C30" s="142" t="str">
        <f>VLOOKUP(B30,'Tipos de Defeitos'!B$4:E$106,Menu!$B$23+1,)</f>
        <v>Papel Separador Rasgado</v>
      </c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48">
        <f t="shared" si="9"/>
        <v>0</v>
      </c>
      <c r="AT30" s="229">
        <f>AS30+'UM-4 - 2T'!AS30+'UM-4 - Dia'!AS30</f>
        <v>0</v>
      </c>
    </row>
    <row r="31" spans="1:46">
      <c r="A31" s="253"/>
      <c r="B31" s="137">
        <f t="shared" si="0"/>
        <v>290</v>
      </c>
      <c r="C31" s="142" t="str">
        <f>VLOOKUP(B31,'Tipos de Defeitos'!B$4:E$106,Menu!$B$23+1,)</f>
        <v>Papel Dobrado Sup.</v>
      </c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48">
        <f t="shared" si="9"/>
        <v>0</v>
      </c>
      <c r="AT31" s="229">
        <f>AS31+'UM-4 - 2T'!AS31+'UM-4 - Dia'!AS31</f>
        <v>0</v>
      </c>
    </row>
    <row r="32" spans="1:46">
      <c r="A32" s="253"/>
      <c r="B32" s="137">
        <f t="shared" si="0"/>
        <v>300</v>
      </c>
      <c r="C32" s="142" t="str">
        <f>VLOOKUP(B32,'Tipos de Defeitos'!B$4:E$106,Menu!$B$23+1,)</f>
        <v>Papel Dobrado Meio</v>
      </c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48">
        <f t="shared" si="9"/>
        <v>0</v>
      </c>
      <c r="AT32" s="229">
        <f>AS32+'UM-4 - 2T'!AS32+'UM-4 - Dia'!AS32</f>
        <v>0</v>
      </c>
    </row>
    <row r="33" spans="1:46">
      <c r="A33" s="253"/>
      <c r="B33" s="137">
        <f t="shared" si="0"/>
        <v>310</v>
      </c>
      <c r="C33" s="142" t="str">
        <f>VLOOKUP(B33,'Tipos de Defeitos'!B$4:E$106,Menu!$B$23+1,)</f>
        <v>Papel Dobrado Inf.</v>
      </c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48">
        <f t="shared" si="9"/>
        <v>0</v>
      </c>
      <c r="AT33" s="229">
        <f>AS33+'UM-4 - 2T'!AS33+'UM-4 - Dia'!AS33</f>
        <v>0</v>
      </c>
    </row>
    <row r="34" spans="1:46">
      <c r="A34" s="253"/>
      <c r="B34" s="137">
        <f t="shared" si="0"/>
        <v>320</v>
      </c>
      <c r="C34" s="142" t="str">
        <f>VLOOKUP(B34,'Tipos de Defeitos'!B$4:E$106,Menu!$B$23+1,)</f>
        <v>Papel Afundado</v>
      </c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48">
        <f t="shared" si="9"/>
        <v>0</v>
      </c>
      <c r="AT34" s="229">
        <f>AS34+'UM-4 - 2T'!AS34+'UM-4 - Dia'!AS34</f>
        <v>0</v>
      </c>
    </row>
    <row r="35" spans="1:46">
      <c r="A35" s="253"/>
      <c r="B35" s="137">
        <f t="shared" si="0"/>
        <v>330</v>
      </c>
      <c r="C35" s="142" t="str">
        <f>VLOOKUP(B35,'Tipos de Defeitos'!B$4:E$106,Menu!$B$23+1,)</f>
        <v>Papel Deslocado</v>
      </c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48">
        <f t="shared" si="9"/>
        <v>0</v>
      </c>
      <c r="AT35" s="229">
        <f>AS35+'UM-4 - 2T'!AS35+'UM-4 - Dia'!AS35</f>
        <v>7</v>
      </c>
    </row>
    <row r="36" spans="1:46" ht="12.75" customHeight="1">
      <c r="A36" s="253"/>
      <c r="B36" s="137">
        <f t="shared" si="0"/>
        <v>340</v>
      </c>
      <c r="C36" s="142" t="str">
        <f>VLOOKUP(B36,'Tipos de Defeitos'!B$4:E$106,Menu!$B$23+1,)</f>
        <v>Papel menor</v>
      </c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48">
        <f t="shared" si="9"/>
        <v>0</v>
      </c>
      <c r="AT36" s="229">
        <f>AS36+'UM-4 - 2T'!AS36+'UM-4 - Dia'!AS36</f>
        <v>0</v>
      </c>
    </row>
    <row r="37" spans="1:46">
      <c r="A37" s="253"/>
      <c r="B37" s="137">
        <f t="shared" si="0"/>
        <v>350</v>
      </c>
      <c r="C37" s="142" t="str">
        <f>VLOOKUP(B37,'Tipos de Defeitos'!B$4:E$106,Menu!$B$23+1,)</f>
        <v>Sem Disco</v>
      </c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48">
        <f t="shared" si="9"/>
        <v>0</v>
      </c>
      <c r="AT37" s="229">
        <f>AS37+'UM-4 - 2T'!AS37+'UM-4 - Dia'!AS37</f>
        <v>0</v>
      </c>
    </row>
    <row r="38" spans="1:46">
      <c r="A38" s="253"/>
      <c r="B38" s="137">
        <f t="shared" si="0"/>
        <v>360</v>
      </c>
      <c r="C38" s="142" t="str">
        <f>VLOOKUP(B38,'Tipos de Defeitos'!B$4:E$106,Menu!$B$23+1,)</f>
        <v>Disco Cortado</v>
      </c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48">
        <f t="shared" si="9"/>
        <v>0</v>
      </c>
      <c r="AT38" s="229">
        <f>AS38+'UM-4 - 2T'!AS38+'UM-4 - Dia'!AS38</f>
        <v>0</v>
      </c>
    </row>
    <row r="39" spans="1:46">
      <c r="A39" s="253"/>
      <c r="B39" s="137">
        <f t="shared" si="0"/>
        <v>370</v>
      </c>
      <c r="C39" s="142" t="str">
        <f>VLOOKUP(B39,'Tipos de Defeitos'!B$4:E$106,Menu!$B$23+1,)</f>
        <v>Disco Rasgado</v>
      </c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48">
        <f t="shared" si="9"/>
        <v>0</v>
      </c>
      <c r="AT39" s="229">
        <f>AS39+'UM-4 - 2T'!AS39+'UM-4 - Dia'!AS39</f>
        <v>0</v>
      </c>
    </row>
    <row r="40" spans="1:46">
      <c r="A40" s="253"/>
      <c r="B40" s="137">
        <f t="shared" si="0"/>
        <v>380</v>
      </c>
      <c r="C40" s="142" t="str">
        <f>VLOOKUP(B40,'Tipos de Defeitos'!B$4:E$106,Menu!$B$23+1,)</f>
        <v>Disco Furado</v>
      </c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48">
        <f t="shared" si="9"/>
        <v>0</v>
      </c>
      <c r="AT40" s="229">
        <f>AS40+'UM-4 - 2T'!AS40+'UM-4 - Dia'!AS40</f>
        <v>0</v>
      </c>
    </row>
    <row r="41" spans="1:46">
      <c r="A41" s="253"/>
      <c r="B41" s="137">
        <f t="shared" si="0"/>
        <v>390</v>
      </c>
      <c r="C41" s="142" t="str">
        <f>VLOOKUP(B41,'Tipos de Defeitos'!B$4:E$106,Menu!$B$23+1,)</f>
        <v>Disco Dobrado</v>
      </c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48">
        <f t="shared" si="9"/>
        <v>0</v>
      </c>
      <c r="AT41" s="229">
        <f>AS41+'UM-4 - 2T'!AS41+'UM-4 - Dia'!AS41</f>
        <v>0</v>
      </c>
    </row>
    <row r="42" spans="1:46">
      <c r="A42" s="253"/>
      <c r="B42" s="137">
        <f t="shared" si="0"/>
        <v>400</v>
      </c>
      <c r="C42" s="142" t="str">
        <f>VLOOKUP(B42,'Tipos de Defeitos'!B$4:E$106,Menu!$B$23+1,)</f>
        <v>Disco fora de centro / deslocado</v>
      </c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48">
        <f t="shared" si="9"/>
        <v>0</v>
      </c>
      <c r="AT42" s="229">
        <f>AS42+'UM-4 - 2T'!AS42+'UM-4 - Dia'!AS42</f>
        <v>0</v>
      </c>
    </row>
    <row r="43" spans="1:46">
      <c r="A43" s="253"/>
      <c r="B43" s="137">
        <f t="shared" si="0"/>
        <v>410</v>
      </c>
      <c r="C43" s="142" t="str">
        <f>VLOOKUP(B43,'Tipos de Defeitos'!B$4:E$106,Menu!$B$23+1,)</f>
        <v>Isolador fora de centro</v>
      </c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48">
        <f t="shared" si="9"/>
        <v>0</v>
      </c>
      <c r="AT43" s="229">
        <f>AS43+'UM-4 - 2T'!AS43+'UM-4 - Dia'!AS43</f>
        <v>0</v>
      </c>
    </row>
    <row r="44" spans="1:46">
      <c r="A44" s="253"/>
      <c r="B44" s="137">
        <f t="shared" si="0"/>
        <v>420</v>
      </c>
      <c r="C44" s="142" t="str">
        <f>VLOOKUP(B44,'Tipos de Defeitos'!B$4:E$106,Menu!$B$23+1,)</f>
        <v>Isolador afundado</v>
      </c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48">
        <f t="shared" si="9"/>
        <v>0</v>
      </c>
      <c r="AT44" s="229">
        <f>AS44+'UM-4 - 2T'!AS44+'UM-4 - Dia'!AS44</f>
        <v>0</v>
      </c>
    </row>
    <row r="45" spans="1:46">
      <c r="A45" s="253"/>
      <c r="B45" s="137">
        <f t="shared" si="0"/>
        <v>430</v>
      </c>
      <c r="C45" s="142" t="str">
        <f>VLOOKUP(B45,'Tipos de Defeitos'!B$4:E$106,Menu!$B$23+1,)</f>
        <v>Isolador Inclinado</v>
      </c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48">
        <f t="shared" si="9"/>
        <v>0</v>
      </c>
      <c r="AT45" s="229">
        <f>AS45+'UM-4 - 2T'!AS45+'UM-4 - Dia'!AS45</f>
        <v>0</v>
      </c>
    </row>
    <row r="46" spans="1:46">
      <c r="A46" s="253"/>
      <c r="B46" s="137">
        <f t="shared" si="0"/>
        <v>440</v>
      </c>
      <c r="C46" s="142" t="str">
        <f>VLOOKUP(B46,'Tipos de Defeitos'!B$4:E$106,Menu!$B$23+1,)</f>
        <v>Papel sujo</v>
      </c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48">
        <f t="shared" si="9"/>
        <v>0</v>
      </c>
      <c r="AT46" s="229">
        <f>AS46+'UM-4 - 2T'!AS46+'UM-4 - Dia'!AS46</f>
        <v>0</v>
      </c>
    </row>
    <row r="47" spans="1:46">
      <c r="A47" s="253"/>
      <c r="B47" s="137">
        <f t="shared" si="0"/>
        <v>450</v>
      </c>
      <c r="C47" s="142" t="str">
        <f>VLOOKUP(B47,'Tipos de Defeitos'!B$4:E$106,Menu!$B$23+1,)</f>
        <v>Manchado</v>
      </c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48">
        <f t="shared" si="9"/>
        <v>0</v>
      </c>
      <c r="AT47" s="229">
        <f>AS47+'UM-4 - 2T'!AS47+'UM-4 - Dia'!AS47</f>
        <v>0</v>
      </c>
    </row>
    <row r="48" spans="1:46">
      <c r="A48" s="253"/>
      <c r="B48" s="137">
        <f t="shared" si="0"/>
        <v>460</v>
      </c>
      <c r="C48" s="142" t="str">
        <f>VLOOKUP(B48,'Tipos de Defeitos'!B$4:E$106,Menu!$B$23+1,)</f>
        <v>Manchado Superior</v>
      </c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48">
        <f t="shared" si="9"/>
        <v>0</v>
      </c>
      <c r="AT48" s="229">
        <f>AS48+'UM-4 - 2T'!AS48+'UM-4 - Dia'!AS48</f>
        <v>0</v>
      </c>
    </row>
    <row r="49" spans="1:46">
      <c r="A49" s="253"/>
      <c r="B49" s="137">
        <f t="shared" si="0"/>
        <v>470</v>
      </c>
      <c r="C49" s="142" t="str">
        <f>VLOOKUP(B49,'Tipos de Defeitos'!B$4:E$106,Menu!$B$23+1,)</f>
        <v>Ferro</v>
      </c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48">
        <f t="shared" si="9"/>
        <v>0</v>
      </c>
      <c r="AT49" s="229">
        <f>AS49+'UM-4 - 2T'!AS49+'UM-4 - Dia'!AS49</f>
        <v>0</v>
      </c>
    </row>
    <row r="50" spans="1:46">
      <c r="A50" s="253"/>
      <c r="B50" s="137">
        <f t="shared" si="0"/>
        <v>480</v>
      </c>
      <c r="C50" s="142" t="str">
        <f>VLOOKUP(B50,'Tipos de Defeitos'!B$4:E$106,Menu!$B$23+1,)</f>
        <v>Cobre</v>
      </c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48">
        <f t="shared" si="9"/>
        <v>0</v>
      </c>
      <c r="AT50" s="229">
        <f>AS50+'UM-4 - 2T'!AS50+'UM-4 - Dia'!AS50</f>
        <v>0</v>
      </c>
    </row>
    <row r="51" spans="1:46">
      <c r="A51" s="253"/>
      <c r="B51" s="137">
        <f t="shared" si="0"/>
        <v>490</v>
      </c>
      <c r="C51" s="142" t="str">
        <f>VLOOKUP(B51,'Tipos de Defeitos'!B$4:E$106,Menu!$B$23+1,)</f>
        <v>Mistura no Tubo</v>
      </c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48">
        <f t="shared" si="9"/>
        <v>0</v>
      </c>
      <c r="AT51" s="229">
        <f>AS51+'UM-4 - 2T'!AS51+'UM-4 - Dia'!AS51</f>
        <v>0</v>
      </c>
    </row>
    <row r="52" spans="1:46">
      <c r="A52" s="253"/>
      <c r="B52" s="137">
        <f t="shared" si="0"/>
        <v>500</v>
      </c>
      <c r="C52" s="142" t="str">
        <f>VLOOKUP(B52,'Tipos de Defeitos'!B$4:E$106,Menu!$B$23+1,)</f>
        <v>Pó de Mistura</v>
      </c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48">
        <f t="shared" si="9"/>
        <v>0</v>
      </c>
      <c r="AT52" s="229">
        <f>AS52+'UM-4 - 2T'!AS52+'UM-4 - Dia'!AS52</f>
        <v>0</v>
      </c>
    </row>
    <row r="53" spans="1:46">
      <c r="A53" s="253"/>
      <c r="B53" s="137">
        <f t="shared" si="0"/>
        <v>510</v>
      </c>
      <c r="C53" s="142" t="str">
        <f>VLOOKUP(B53,'Tipos de Defeitos'!B$4:E$106,Menu!$B$23+1,)</f>
        <v>Bobina Baixa V</v>
      </c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48">
        <f t="shared" si="9"/>
        <v>0</v>
      </c>
      <c r="AT53" s="229">
        <f>AS53+'UM-4 - 2T'!AS53+'UM-4 - Dia'!AS53</f>
        <v>0</v>
      </c>
    </row>
    <row r="54" spans="1:46">
      <c r="A54" s="253"/>
      <c r="B54" s="137">
        <f t="shared" si="0"/>
        <v>520</v>
      </c>
      <c r="C54" s="142" t="str">
        <f>VLOOKUP(B54,'Tipos de Defeitos'!B$4:E$106,Menu!$B$23+1,)</f>
        <v>Bobina Alta</v>
      </c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48">
        <f t="shared" si="9"/>
        <v>0</v>
      </c>
      <c r="AT54" s="229">
        <f>AS54+'UM-4 - 2T'!AS54+'UM-4 - Dia'!AS54</f>
        <v>0</v>
      </c>
    </row>
    <row r="55" spans="1:46">
      <c r="A55" s="253"/>
      <c r="B55" s="137">
        <f t="shared" si="0"/>
        <v>530</v>
      </c>
      <c r="C55" s="142" t="str">
        <f>VLOOKUP(B55,'Tipos de Defeitos'!B$4:E$106,Menu!$B$23+1,)</f>
        <v>Bobina Molhada</v>
      </c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48">
        <f t="shared" si="9"/>
        <v>0</v>
      </c>
      <c r="AT55" s="229">
        <f>AS55+'UM-4 - 2T'!AS55+'UM-4 - Dia'!AS55</f>
        <v>0</v>
      </c>
    </row>
    <row r="56" spans="1:46">
      <c r="A56" s="253"/>
      <c r="B56" s="137">
        <f t="shared" si="0"/>
        <v>540</v>
      </c>
      <c r="C56" s="142" t="str">
        <f>VLOOKUP(B56,'Tipos de Defeitos'!B$4:E$106,Menu!$B$23+1,)</f>
        <v>Mistura seca</v>
      </c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48">
        <f t="shared" si="9"/>
        <v>0</v>
      </c>
      <c r="AT56" s="229">
        <f>AS56+'UM-4 - 2T'!AS56+'UM-4 - Dia'!AS56</f>
        <v>0</v>
      </c>
    </row>
    <row r="57" spans="1:46">
      <c r="A57" s="253"/>
      <c r="B57" s="137">
        <f t="shared" si="0"/>
        <v>550</v>
      </c>
      <c r="C57" s="142" t="str">
        <f>VLOOKUP(B57,'Tipos de Defeitos'!B$4:E$106,Menu!$B$23+1,)</f>
        <v>Contem estranho</v>
      </c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48">
        <f t="shared" si="9"/>
        <v>0</v>
      </c>
      <c r="AT57" s="229">
        <f>AS57+'UM-4 - 2T'!AS57+'UM-4 - Dia'!AS57</f>
        <v>0</v>
      </c>
    </row>
    <row r="58" spans="1:46">
      <c r="A58" s="253"/>
      <c r="B58" s="137">
        <f t="shared" si="0"/>
        <v>560</v>
      </c>
      <c r="C58" s="142" t="str">
        <f>VLOOKUP(B58,'Tipos de Defeitos'!B$4:E$106,Menu!$B$23+1,)</f>
        <v>Pedra de Óxido</v>
      </c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48">
        <f t="shared" si="9"/>
        <v>0</v>
      </c>
      <c r="AT58" s="229">
        <f>AS58+'UM-4 - 2T'!AS58+'UM-4 - Dia'!AS58</f>
        <v>0</v>
      </c>
    </row>
    <row r="59" spans="1:46">
      <c r="A59" s="253"/>
      <c r="B59" s="137">
        <f t="shared" si="0"/>
        <v>570</v>
      </c>
      <c r="C59" s="142" t="str">
        <f>VLOOKUP(B59,'Tipos de Defeitos'!B$4:E$106,Menu!$B$23+1,)</f>
        <v>Carvão Quebrado V</v>
      </c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48">
        <f t="shared" si="9"/>
        <v>0</v>
      </c>
      <c r="AT59" s="229">
        <f>AS59+'UM-4 - 2T'!AS59+'UM-4 - Dia'!AS59</f>
        <v>2</v>
      </c>
    </row>
    <row r="60" spans="1:46">
      <c r="A60" s="253"/>
      <c r="B60" s="137">
        <f t="shared" si="0"/>
        <v>580</v>
      </c>
      <c r="C60" s="142" t="str">
        <f>VLOOKUP(B60,'Tipos de Defeitos'!B$4:E$106,Menu!$B$23+1,)</f>
        <v>Sem Selante</v>
      </c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48">
        <f t="shared" si="9"/>
        <v>0</v>
      </c>
      <c r="AT60" s="229">
        <f>AS60+'UM-4 - 2T'!AS60+'UM-4 - Dia'!AS60</f>
        <v>0</v>
      </c>
    </row>
    <row r="61" spans="1:46">
      <c r="A61" s="253"/>
      <c r="B61" s="137">
        <f t="shared" si="0"/>
        <v>590</v>
      </c>
      <c r="C61" s="142" t="str">
        <f>VLOOKUP(B61,'Tipos de Defeitos'!B$4:E$106,Menu!$B$23+1,)</f>
        <v>PY c/ Falha de Injeção</v>
      </c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48">
        <f t="shared" si="9"/>
        <v>0</v>
      </c>
      <c r="AT61" s="229">
        <f>AS61+'UM-4 - 2T'!AS61+'UM-4 - Dia'!AS61</f>
        <v>0</v>
      </c>
    </row>
    <row r="62" spans="1:46">
      <c r="A62" s="253"/>
      <c r="B62" s="137">
        <f t="shared" si="0"/>
        <v>600</v>
      </c>
      <c r="C62" s="142" t="str">
        <f>VLOOKUP(B62,'Tipos de Defeitos'!B$4:E$106,Menu!$B$23+1,)</f>
        <v>Sem PY</v>
      </c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48">
        <f t="shared" si="9"/>
        <v>0</v>
      </c>
      <c r="AT62" s="229">
        <f>AS62+'UM-4 - 2T'!AS62+'UM-4 - Dia'!AS62</f>
        <v>0</v>
      </c>
    </row>
    <row r="63" spans="1:46">
      <c r="A63" s="253"/>
      <c r="B63" s="137">
        <f t="shared" si="0"/>
        <v>610</v>
      </c>
      <c r="C63" s="142" t="str">
        <f>VLOOKUP(B63,'Tipos de Defeitos'!B$4:E$106,Menu!$B$23+1,)</f>
        <v>PY Fora de Centro</v>
      </c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48">
        <f t="shared" si="9"/>
        <v>0</v>
      </c>
      <c r="AT63" s="229">
        <f>AS63+'UM-4 - 2T'!AS63+'UM-4 - Dia'!AS63</f>
        <v>0</v>
      </c>
    </row>
    <row r="64" spans="1:46">
      <c r="A64" s="253"/>
      <c r="B64" s="137">
        <f t="shared" si="0"/>
        <v>620</v>
      </c>
      <c r="C64" s="142" t="str">
        <f>VLOOKUP(B64,'Tipos de Defeitos'!B$4:E$106,Menu!$B$23+1,)</f>
        <v>PY Queimado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48">
        <f t="shared" si="9"/>
        <v>0</v>
      </c>
      <c r="AT64" s="229">
        <f>AS64+'UM-4 - 2T'!AS64+'UM-4 - Dia'!AS64</f>
        <v>0</v>
      </c>
    </row>
    <row r="65" spans="1:46">
      <c r="A65" s="253"/>
      <c r="B65" s="137">
        <f t="shared" si="0"/>
        <v>630</v>
      </c>
      <c r="C65" s="142" t="str">
        <f>VLOOKUP(B65,'Tipos de Defeitos'!B$4:E$106,Menu!$B$23+1,)</f>
        <v>Tb c/ Boca Amassada - Operador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48">
        <f t="shared" si="9"/>
        <v>0</v>
      </c>
      <c r="AT65" s="229">
        <f>AS65+'UM-4 - 2T'!AS65+'UM-4 - Dia'!AS65</f>
        <v>0</v>
      </c>
    </row>
    <row r="66" spans="1:46">
      <c r="A66" s="253"/>
      <c r="B66" s="137">
        <f t="shared" si="0"/>
        <v>640</v>
      </c>
      <c r="C66" s="142" t="str">
        <f>VLOOKUP(B66,'Tipos de Defeitos'!B$4:E$106,Menu!$B$23+1,)</f>
        <v>Tb c/ Boca Amassada - Câmera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48">
        <f t="shared" si="9"/>
        <v>0</v>
      </c>
      <c r="AT66" s="229">
        <f>AS66+'UM-4 - 2T'!AS66+'UM-4 - Dia'!AS66</f>
        <v>0</v>
      </c>
    </row>
    <row r="67" spans="1:46">
      <c r="A67" s="253"/>
      <c r="B67" s="137">
        <f t="shared" si="0"/>
        <v>650</v>
      </c>
      <c r="C67" s="142" t="str">
        <f>VLOOKUP(B67,'Tipos de Defeitos'!B$4:E$106,Menu!$B$23+1,)</f>
        <v>Tb c/ Boca Amassada - recuperada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48">
        <f t="shared" si="9"/>
        <v>0</v>
      </c>
      <c r="AT67" s="229">
        <f>AS67+'UM-4 - 2T'!AS67+'UM-4 - Dia'!AS67</f>
        <v>0</v>
      </c>
    </row>
    <row r="68" spans="1:46">
      <c r="A68" s="253"/>
      <c r="B68" s="137">
        <f t="shared" si="0"/>
        <v>660</v>
      </c>
      <c r="C68" s="201" t="str">
        <f>VLOOKUP(B68,'Tipos de Defeitos'!B$4:E$106,Menu!$B$23+1,)</f>
        <v>Tubo descascado</v>
      </c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48">
        <f t="shared" si="9"/>
        <v>0</v>
      </c>
      <c r="AT68" s="229">
        <f>AS68+'UM-4 - 2T'!AS68+'UM-4 - Dia'!AS68</f>
        <v>1</v>
      </c>
    </row>
    <row r="69" spans="1:46">
      <c r="A69" s="253"/>
      <c r="B69" s="137">
        <f t="shared" ref="B69:B105" si="10">(B68/10+1)*10</f>
        <v>670</v>
      </c>
      <c r="C69" s="201" t="str">
        <f>VLOOKUP(B69,'Tipos de Defeitos'!B$4:E$106,Menu!$B$23+1,)</f>
        <v>Tubo Rachado - Câmera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48">
        <f t="shared" si="9"/>
        <v>0</v>
      </c>
      <c r="AT69" s="229">
        <f>AS69+'UM-4 - 2T'!AS69+'UM-4 - Dia'!AS69</f>
        <v>0</v>
      </c>
    </row>
    <row r="70" spans="1:46">
      <c r="A70" s="253"/>
      <c r="B70" s="137">
        <f t="shared" si="10"/>
        <v>680</v>
      </c>
      <c r="C70" s="142" t="str">
        <f>VLOOKUP(B70,'Tipos de Defeitos'!B$4:E$106,Menu!$B$23+1,)</f>
        <v>Tubo de Zinco Amassado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48">
        <f t="shared" si="9"/>
        <v>0</v>
      </c>
      <c r="AT70" s="229">
        <f>AS70+'UM-4 - 2T'!AS70+'UM-4 - Dia'!AS70</f>
        <v>0</v>
      </c>
    </row>
    <row r="71" spans="1:46">
      <c r="A71" s="253"/>
      <c r="B71" s="137">
        <f t="shared" si="10"/>
        <v>690</v>
      </c>
      <c r="C71" s="142" t="str">
        <f>VLOOKUP(B71,'Tipos de Defeitos'!B$4:E$106,Menu!$B$23+1,)</f>
        <v>Tubo com Rebarba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48">
        <f t="shared" si="9"/>
        <v>0</v>
      </c>
      <c r="AT71" s="229">
        <f>AS71+'UM-4 - 2T'!AS71+'UM-4 - Dia'!AS71</f>
        <v>0</v>
      </c>
    </row>
    <row r="72" spans="1:46">
      <c r="A72" s="253"/>
      <c r="B72" s="137">
        <f t="shared" si="10"/>
        <v>700</v>
      </c>
      <c r="C72" s="142" t="str">
        <f>VLOOKUP(B72,'Tipos de Defeitos'!B$4:E$106,Menu!$B$23+1,)</f>
        <v>Curto Circuito Externo</v>
      </c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48">
        <f t="shared" si="9"/>
        <v>0</v>
      </c>
      <c r="AT72" s="229">
        <f>AS72+'UM-4 - 2T'!AS72+'UM-4 - Dia'!AS72</f>
        <v>0</v>
      </c>
    </row>
    <row r="73" spans="1:46">
      <c r="A73" s="253"/>
      <c r="B73" s="137">
        <f t="shared" si="10"/>
        <v>710</v>
      </c>
      <c r="C73" s="142" t="str">
        <f>VLOOKUP(B73,'Tipos de Defeitos'!B$4:E$106,Menu!$B$23+1,)</f>
        <v>Curto Circ. Externo -  Cap sujo</v>
      </c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48">
        <f t="shared" si="9"/>
        <v>0</v>
      </c>
      <c r="AT73" s="229">
        <f>AS73+'UM-4 - 2T'!AS73+'UM-4 - Dia'!AS73</f>
        <v>0</v>
      </c>
    </row>
    <row r="74" spans="1:46">
      <c r="A74" s="253"/>
      <c r="B74" s="137">
        <f t="shared" si="10"/>
        <v>720</v>
      </c>
      <c r="C74" s="142" t="str">
        <f>VLOOKUP(B74,'Tipos de Defeitos'!B$4:E$106,Menu!$B$23+1,)</f>
        <v>Pilha recuperada do Acabamento</v>
      </c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48">
        <f t="shared" si="9"/>
        <v>0</v>
      </c>
      <c r="AT74" s="229">
        <f>AS74+'UM-4 - 2T'!AS74+'UM-4 - Dia'!AS74</f>
        <v>0</v>
      </c>
    </row>
    <row r="75" spans="1:46">
      <c r="A75" s="253"/>
      <c r="B75" s="137">
        <f t="shared" si="10"/>
        <v>730</v>
      </c>
      <c r="C75" s="142" t="str">
        <f>VLOOKUP(B75,'Tipos de Defeitos'!B$4:E$106,Menu!$B$23+1,)</f>
        <v>Causa Desconhecida - Voltagem</v>
      </c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48">
        <f t="shared" si="9"/>
        <v>0</v>
      </c>
      <c r="AT75" s="229">
        <f>AS75+'UM-4 - 2T'!AS75+'UM-4 - Dia'!AS75</f>
        <v>0</v>
      </c>
    </row>
    <row r="76" spans="1:46">
      <c r="A76" s="253"/>
      <c r="B76" s="137">
        <f t="shared" si="10"/>
        <v>740</v>
      </c>
      <c r="C76" s="142" t="str">
        <f>VLOOKUP(B76,'Tipos de Defeitos'!B$4:E$106,Menu!$B$23+1,)</f>
        <v>Pilha Boa</v>
      </c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48">
        <f t="shared" si="9"/>
        <v>0</v>
      </c>
      <c r="AT76" s="229">
        <f>AS76+'UM-4 - 2T'!AS76+'UM-4 - Dia'!AS76</f>
        <v>0</v>
      </c>
    </row>
    <row r="77" spans="1:46" ht="13.5" thickBot="1">
      <c r="A77" s="254"/>
      <c r="B77" s="140">
        <f t="shared" si="10"/>
        <v>750</v>
      </c>
      <c r="C77" s="143" t="str">
        <f>VLOOKUP(B77,'Tipos de Defeitos'!B$4:E$106,Menu!$B$23+1,)</f>
        <v>Outros - Voltagem</v>
      </c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152"/>
      <c r="P77" s="152"/>
      <c r="Q77" s="152"/>
      <c r="R77" s="152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52"/>
      <c r="AD77" s="152"/>
      <c r="AE77" s="152"/>
      <c r="AF77" s="152"/>
      <c r="AG77" s="152"/>
      <c r="AH77" s="152"/>
      <c r="AI77" s="152"/>
      <c r="AJ77" s="152"/>
      <c r="AK77" s="152"/>
      <c r="AL77" s="152"/>
      <c r="AM77" s="152"/>
      <c r="AN77" s="152"/>
      <c r="AO77" s="152"/>
      <c r="AP77" s="152"/>
      <c r="AQ77" s="152"/>
      <c r="AR77" s="152"/>
      <c r="AS77" s="169">
        <f t="shared" si="9"/>
        <v>0</v>
      </c>
      <c r="AT77" s="229">
        <f>AS77+'UM-4 - 2T'!AS77+'UM-4 - Dia'!AS77</f>
        <v>0</v>
      </c>
    </row>
    <row r="78" spans="1:46">
      <c r="A78" s="252" t="s">
        <v>207</v>
      </c>
      <c r="B78" s="139">
        <f t="shared" si="10"/>
        <v>760</v>
      </c>
      <c r="C78" s="141" t="str">
        <f>VLOOKUP(B78,'Tipos de Defeitos'!B$4:E$106,Menu!$B$23+1,)</f>
        <v>Total (pçs)</v>
      </c>
      <c r="D78" s="171">
        <f t="shared" ref="D78" si="11">SUM(D28:D77)</f>
        <v>0</v>
      </c>
      <c r="E78" s="171">
        <f t="shared" ref="E78" si="12">SUM(E28:E77)</f>
        <v>0</v>
      </c>
      <c r="F78" s="171">
        <f t="shared" ref="F78" si="13">SUM(F28:F77)</f>
        <v>0</v>
      </c>
      <c r="G78" s="171">
        <f t="shared" ref="G78:AR78" si="14">SUM(G28:G77)</f>
        <v>0</v>
      </c>
      <c r="H78" s="171">
        <f t="shared" si="14"/>
        <v>0</v>
      </c>
      <c r="I78" s="171">
        <f t="shared" si="14"/>
        <v>0</v>
      </c>
      <c r="J78" s="171">
        <f t="shared" si="14"/>
        <v>0</v>
      </c>
      <c r="K78" s="171">
        <f t="shared" si="14"/>
        <v>0</v>
      </c>
      <c r="L78" s="171">
        <f t="shared" si="14"/>
        <v>0</v>
      </c>
      <c r="M78" s="171">
        <f t="shared" si="14"/>
        <v>0</v>
      </c>
      <c r="N78" s="171">
        <f t="shared" si="14"/>
        <v>0</v>
      </c>
      <c r="O78" s="171">
        <f t="shared" si="14"/>
        <v>0</v>
      </c>
      <c r="P78" s="171">
        <f t="shared" si="14"/>
        <v>0</v>
      </c>
      <c r="Q78" s="171">
        <f t="shared" si="14"/>
        <v>0</v>
      </c>
      <c r="R78" s="171">
        <f t="shared" si="14"/>
        <v>0</v>
      </c>
      <c r="S78" s="171">
        <f t="shared" si="14"/>
        <v>0</v>
      </c>
      <c r="T78" s="171">
        <f t="shared" si="14"/>
        <v>0</v>
      </c>
      <c r="U78" s="171">
        <f t="shared" si="14"/>
        <v>0</v>
      </c>
      <c r="V78" s="171">
        <f t="shared" si="14"/>
        <v>0</v>
      </c>
      <c r="W78" s="171">
        <f t="shared" si="14"/>
        <v>0</v>
      </c>
      <c r="X78" s="171">
        <f t="shared" si="14"/>
        <v>0</v>
      </c>
      <c r="Y78" s="171">
        <f t="shared" si="14"/>
        <v>0</v>
      </c>
      <c r="Z78" s="171">
        <f t="shared" si="14"/>
        <v>0</v>
      </c>
      <c r="AA78" s="171">
        <f t="shared" si="14"/>
        <v>0</v>
      </c>
      <c r="AB78" s="171">
        <f t="shared" si="14"/>
        <v>0</v>
      </c>
      <c r="AC78" s="171">
        <f t="shared" si="14"/>
        <v>0</v>
      </c>
      <c r="AD78" s="171">
        <f t="shared" si="14"/>
        <v>0</v>
      </c>
      <c r="AE78" s="171">
        <f t="shared" si="14"/>
        <v>0</v>
      </c>
      <c r="AF78" s="171">
        <f t="shared" si="14"/>
        <v>0</v>
      </c>
      <c r="AG78" s="171">
        <f t="shared" si="14"/>
        <v>0</v>
      </c>
      <c r="AH78" s="171">
        <f t="shared" si="14"/>
        <v>0</v>
      </c>
      <c r="AI78" s="171">
        <f t="shared" si="14"/>
        <v>0</v>
      </c>
      <c r="AJ78" s="171">
        <f t="shared" si="14"/>
        <v>0</v>
      </c>
      <c r="AK78" s="171">
        <f t="shared" si="14"/>
        <v>0</v>
      </c>
      <c r="AL78" s="171">
        <f t="shared" si="14"/>
        <v>0</v>
      </c>
      <c r="AM78" s="171">
        <f t="shared" si="14"/>
        <v>0</v>
      </c>
      <c r="AN78" s="171">
        <f t="shared" si="14"/>
        <v>0</v>
      </c>
      <c r="AO78" s="171">
        <f t="shared" si="14"/>
        <v>0</v>
      </c>
      <c r="AP78" s="171">
        <f t="shared" si="14"/>
        <v>0</v>
      </c>
      <c r="AQ78" s="171">
        <f t="shared" si="14"/>
        <v>0</v>
      </c>
      <c r="AR78" s="171">
        <f t="shared" si="14"/>
        <v>0</v>
      </c>
      <c r="AS78" s="171">
        <f t="shared" ref="AS78" si="15">SUM(AS28:AS77)</f>
        <v>0</v>
      </c>
      <c r="AT78" s="234">
        <f>AS78+'UM-4 - 2T'!AS78+'UM-4 - Dia'!AS78</f>
        <v>10</v>
      </c>
    </row>
    <row r="79" spans="1:46">
      <c r="A79" s="253"/>
      <c r="B79" s="137">
        <f t="shared" si="10"/>
        <v>770</v>
      </c>
      <c r="C79" s="142" t="str">
        <f>VLOOKUP(B79,'Tipos de Defeitos'!B$4:E$106,Menu!$B$23+1,)</f>
        <v>Taxa Defeituosa 1º Teste</v>
      </c>
      <c r="D79" s="186" t="str">
        <f t="shared" ref="D79" si="16">IF(D23&gt;0,D23/D7*1000000,"")</f>
        <v/>
      </c>
      <c r="E79" s="186" t="str">
        <f t="shared" ref="E79" si="17">IF(E23&gt;0,E23/E7*1000000,"")</f>
        <v/>
      </c>
      <c r="F79" s="186" t="str">
        <f>IF(F23&gt;0,F23/F7*1000000,"")</f>
        <v/>
      </c>
      <c r="G79" s="186" t="str">
        <f t="shared" ref="G79:AR79" si="18">IF(G23&gt;0,G23/G7*1000000,"")</f>
        <v/>
      </c>
      <c r="H79" s="186" t="str">
        <f t="shared" si="18"/>
        <v/>
      </c>
      <c r="I79" s="186" t="str">
        <f t="shared" si="18"/>
        <v/>
      </c>
      <c r="J79" s="186" t="str">
        <f t="shared" si="18"/>
        <v/>
      </c>
      <c r="K79" s="186" t="str">
        <f t="shared" si="18"/>
        <v/>
      </c>
      <c r="L79" s="186" t="str">
        <f t="shared" si="18"/>
        <v/>
      </c>
      <c r="M79" s="186" t="str">
        <f t="shared" si="18"/>
        <v/>
      </c>
      <c r="N79" s="186" t="str">
        <f t="shared" si="18"/>
        <v/>
      </c>
      <c r="O79" s="186" t="str">
        <f t="shared" si="18"/>
        <v/>
      </c>
      <c r="P79" s="186" t="str">
        <f t="shared" si="18"/>
        <v/>
      </c>
      <c r="Q79" s="186" t="str">
        <f t="shared" si="18"/>
        <v/>
      </c>
      <c r="R79" s="186" t="str">
        <f t="shared" si="18"/>
        <v/>
      </c>
      <c r="S79" s="186" t="str">
        <f t="shared" si="18"/>
        <v/>
      </c>
      <c r="T79" s="186" t="str">
        <f t="shared" si="18"/>
        <v/>
      </c>
      <c r="U79" s="186" t="str">
        <f t="shared" si="18"/>
        <v/>
      </c>
      <c r="V79" s="186" t="str">
        <f t="shared" si="18"/>
        <v/>
      </c>
      <c r="W79" s="186" t="str">
        <f t="shared" si="18"/>
        <v/>
      </c>
      <c r="X79" s="186" t="str">
        <f t="shared" si="18"/>
        <v/>
      </c>
      <c r="Y79" s="186" t="str">
        <f t="shared" si="18"/>
        <v/>
      </c>
      <c r="Z79" s="186" t="str">
        <f t="shared" si="18"/>
        <v/>
      </c>
      <c r="AA79" s="186" t="str">
        <f t="shared" si="18"/>
        <v/>
      </c>
      <c r="AB79" s="186" t="str">
        <f t="shared" si="18"/>
        <v/>
      </c>
      <c r="AC79" s="186" t="str">
        <f t="shared" si="18"/>
        <v/>
      </c>
      <c r="AD79" s="186" t="str">
        <f t="shared" si="18"/>
        <v/>
      </c>
      <c r="AE79" s="186" t="str">
        <f t="shared" si="18"/>
        <v/>
      </c>
      <c r="AF79" s="186" t="str">
        <f t="shared" si="18"/>
        <v/>
      </c>
      <c r="AG79" s="186" t="str">
        <f t="shared" si="18"/>
        <v/>
      </c>
      <c r="AH79" s="186" t="str">
        <f t="shared" si="18"/>
        <v/>
      </c>
      <c r="AI79" s="186" t="str">
        <f t="shared" si="18"/>
        <v/>
      </c>
      <c r="AJ79" s="186" t="str">
        <f t="shared" si="18"/>
        <v/>
      </c>
      <c r="AK79" s="186" t="str">
        <f t="shared" si="18"/>
        <v/>
      </c>
      <c r="AL79" s="186" t="str">
        <f t="shared" si="18"/>
        <v/>
      </c>
      <c r="AM79" s="186" t="str">
        <f t="shared" si="18"/>
        <v/>
      </c>
      <c r="AN79" s="186" t="str">
        <f t="shared" si="18"/>
        <v/>
      </c>
      <c r="AO79" s="186" t="str">
        <f t="shared" si="18"/>
        <v/>
      </c>
      <c r="AP79" s="186" t="str">
        <f t="shared" si="18"/>
        <v/>
      </c>
      <c r="AQ79" s="186" t="str">
        <f t="shared" si="18"/>
        <v/>
      </c>
      <c r="AR79" s="186" t="str">
        <f t="shared" si="18"/>
        <v/>
      </c>
      <c r="AS79" s="186" t="str">
        <f>IF(AS7&gt;0,AS23/AS7*1000000,"")</f>
        <v/>
      </c>
      <c r="AT79" s="71" t="e">
        <f>AT78/AT27*AT24/AT7*1000000</f>
        <v>#DIV/0!</v>
      </c>
    </row>
    <row r="80" spans="1:46">
      <c r="A80" s="253"/>
      <c r="B80" s="137">
        <f t="shared" si="10"/>
        <v>780</v>
      </c>
      <c r="C80" s="142" t="str">
        <f>VLOOKUP(B80,'Tipos de Defeitos'!B$4:E$106,Menu!$B$23+1,)</f>
        <v>Taxa defeituosa (ppm)</v>
      </c>
      <c r="D80" s="188" t="str">
        <f t="shared" ref="D80" si="19">IF(D27&lt;&gt;0,D78/D27*D24/D7*1000000,"")</f>
        <v/>
      </c>
      <c r="E80" s="188" t="str">
        <f t="shared" ref="E80" si="20">IF(E27&lt;&gt;0,E78/E27*E24/E7*1000000,"")</f>
        <v/>
      </c>
      <c r="F80" s="188" t="str">
        <f t="shared" ref="F80" si="21">IF(F27&lt;&gt;0,F78/F27*F24/F7*1000000,"")</f>
        <v/>
      </c>
      <c r="G80" s="188" t="str">
        <f t="shared" ref="G80:AR80" si="22">IF(G27&lt;&gt;0,G78/G27*G24/G7*1000000,"")</f>
        <v/>
      </c>
      <c r="H80" s="188" t="str">
        <f t="shared" si="22"/>
        <v/>
      </c>
      <c r="I80" s="188" t="str">
        <f t="shared" si="22"/>
        <v/>
      </c>
      <c r="J80" s="188" t="str">
        <f t="shared" si="22"/>
        <v/>
      </c>
      <c r="K80" s="188" t="str">
        <f t="shared" si="22"/>
        <v/>
      </c>
      <c r="L80" s="188" t="str">
        <f t="shared" si="22"/>
        <v/>
      </c>
      <c r="M80" s="188" t="str">
        <f t="shared" si="22"/>
        <v/>
      </c>
      <c r="N80" s="188" t="str">
        <f t="shared" si="22"/>
        <v/>
      </c>
      <c r="O80" s="188" t="str">
        <f t="shared" si="22"/>
        <v/>
      </c>
      <c r="P80" s="188" t="str">
        <f t="shared" si="22"/>
        <v/>
      </c>
      <c r="Q80" s="188" t="str">
        <f t="shared" si="22"/>
        <v/>
      </c>
      <c r="R80" s="188" t="str">
        <f t="shared" si="22"/>
        <v/>
      </c>
      <c r="S80" s="188" t="str">
        <f t="shared" si="22"/>
        <v/>
      </c>
      <c r="T80" s="188" t="str">
        <f t="shared" si="22"/>
        <v/>
      </c>
      <c r="U80" s="188" t="str">
        <f t="shared" si="22"/>
        <v/>
      </c>
      <c r="V80" s="188" t="str">
        <f t="shared" si="22"/>
        <v/>
      </c>
      <c r="W80" s="188" t="str">
        <f t="shared" si="22"/>
        <v/>
      </c>
      <c r="X80" s="188" t="str">
        <f t="shared" si="22"/>
        <v/>
      </c>
      <c r="Y80" s="188" t="str">
        <f t="shared" si="22"/>
        <v/>
      </c>
      <c r="Z80" s="188" t="str">
        <f t="shared" si="22"/>
        <v/>
      </c>
      <c r="AA80" s="188" t="str">
        <f t="shared" si="22"/>
        <v/>
      </c>
      <c r="AB80" s="188" t="str">
        <f t="shared" si="22"/>
        <v/>
      </c>
      <c r="AC80" s="188" t="str">
        <f t="shared" si="22"/>
        <v/>
      </c>
      <c r="AD80" s="188" t="str">
        <f t="shared" si="22"/>
        <v/>
      </c>
      <c r="AE80" s="188" t="str">
        <f t="shared" si="22"/>
        <v/>
      </c>
      <c r="AF80" s="188" t="str">
        <f t="shared" si="22"/>
        <v/>
      </c>
      <c r="AG80" s="188" t="str">
        <f t="shared" si="22"/>
        <v/>
      </c>
      <c r="AH80" s="188" t="str">
        <f t="shared" si="22"/>
        <v/>
      </c>
      <c r="AI80" s="188" t="str">
        <f t="shared" si="22"/>
        <v/>
      </c>
      <c r="AJ80" s="188" t="str">
        <f t="shared" si="22"/>
        <v/>
      </c>
      <c r="AK80" s="188" t="str">
        <f t="shared" si="22"/>
        <v/>
      </c>
      <c r="AL80" s="188" t="str">
        <f t="shared" si="22"/>
        <v/>
      </c>
      <c r="AM80" s="188" t="str">
        <f t="shared" si="22"/>
        <v/>
      </c>
      <c r="AN80" s="188" t="str">
        <f t="shared" si="22"/>
        <v/>
      </c>
      <c r="AO80" s="188" t="str">
        <f t="shared" si="22"/>
        <v/>
      </c>
      <c r="AP80" s="188" t="str">
        <f t="shared" si="22"/>
        <v/>
      </c>
      <c r="AQ80" s="188" t="str">
        <f t="shared" si="22"/>
        <v/>
      </c>
      <c r="AR80" s="188" t="str">
        <f t="shared" si="22"/>
        <v/>
      </c>
      <c r="AS80" s="188" t="str">
        <f>IF((AS27*AS7)&gt;0,AS78/AS27*AS24/AS7*1000000,"")</f>
        <v/>
      </c>
      <c r="AT80" s="71" t="e">
        <f>AT78/AT27*AT24/AT7*1000000</f>
        <v>#DIV/0!</v>
      </c>
    </row>
    <row r="81" spans="1:46">
      <c r="A81" s="253"/>
      <c r="B81" s="137">
        <f t="shared" si="10"/>
        <v>790</v>
      </c>
      <c r="C81" s="142" t="str">
        <f>VLOOKUP(B81,'Tipos de Defeitos'!B$4:E$106,Menu!$B$23+1,)</f>
        <v>Qtd. Defeitos internos (pçs)</v>
      </c>
      <c r="D81" s="148">
        <f t="shared" ref="D81" si="23">SUM(D28:D67,D86:D98,D69:D71)</f>
        <v>0</v>
      </c>
      <c r="E81" s="148">
        <f t="shared" ref="E81" si="24">SUM(E28:E67,E86:E98,E69:E71)</f>
        <v>0</v>
      </c>
      <c r="F81" s="148">
        <f t="shared" ref="F81:AR81" si="25">SUM(F28:F67,F86:F98,F69:F71)</f>
        <v>0</v>
      </c>
      <c r="G81" s="148">
        <f t="shared" si="25"/>
        <v>0</v>
      </c>
      <c r="H81" s="148">
        <f t="shared" si="25"/>
        <v>0</v>
      </c>
      <c r="I81" s="148">
        <f t="shared" si="25"/>
        <v>0</v>
      </c>
      <c r="J81" s="148">
        <f t="shared" si="25"/>
        <v>0</v>
      </c>
      <c r="K81" s="148">
        <f t="shared" si="25"/>
        <v>0</v>
      </c>
      <c r="L81" s="148">
        <f t="shared" si="25"/>
        <v>0</v>
      </c>
      <c r="M81" s="148">
        <f t="shared" si="25"/>
        <v>0</v>
      </c>
      <c r="N81" s="148">
        <f t="shared" si="25"/>
        <v>0</v>
      </c>
      <c r="O81" s="148">
        <f t="shared" si="25"/>
        <v>0</v>
      </c>
      <c r="P81" s="148">
        <f t="shared" si="25"/>
        <v>0</v>
      </c>
      <c r="Q81" s="148">
        <f t="shared" si="25"/>
        <v>0</v>
      </c>
      <c r="R81" s="148">
        <f t="shared" si="25"/>
        <v>0</v>
      </c>
      <c r="S81" s="148">
        <f t="shared" si="25"/>
        <v>0</v>
      </c>
      <c r="T81" s="148">
        <f t="shared" si="25"/>
        <v>0</v>
      </c>
      <c r="U81" s="148">
        <f t="shared" si="25"/>
        <v>0</v>
      </c>
      <c r="V81" s="148">
        <f t="shared" si="25"/>
        <v>0</v>
      </c>
      <c r="W81" s="148">
        <f t="shared" si="25"/>
        <v>0</v>
      </c>
      <c r="X81" s="148">
        <f t="shared" si="25"/>
        <v>0</v>
      </c>
      <c r="Y81" s="148">
        <f t="shared" si="25"/>
        <v>0</v>
      </c>
      <c r="Z81" s="148">
        <f t="shared" si="25"/>
        <v>0</v>
      </c>
      <c r="AA81" s="148">
        <f t="shared" si="25"/>
        <v>0</v>
      </c>
      <c r="AB81" s="148">
        <f t="shared" si="25"/>
        <v>0</v>
      </c>
      <c r="AC81" s="148">
        <f t="shared" si="25"/>
        <v>0</v>
      </c>
      <c r="AD81" s="148">
        <f t="shared" si="25"/>
        <v>0</v>
      </c>
      <c r="AE81" s="148">
        <f t="shared" si="25"/>
        <v>0</v>
      </c>
      <c r="AF81" s="148">
        <f t="shared" si="25"/>
        <v>0</v>
      </c>
      <c r="AG81" s="148">
        <f t="shared" si="25"/>
        <v>0</v>
      </c>
      <c r="AH81" s="148">
        <f t="shared" si="25"/>
        <v>0</v>
      </c>
      <c r="AI81" s="148">
        <f t="shared" si="25"/>
        <v>0</v>
      </c>
      <c r="AJ81" s="148">
        <f t="shared" si="25"/>
        <v>0</v>
      </c>
      <c r="AK81" s="148">
        <f t="shared" si="25"/>
        <v>0</v>
      </c>
      <c r="AL81" s="148">
        <f t="shared" si="25"/>
        <v>0</v>
      </c>
      <c r="AM81" s="148">
        <f t="shared" si="25"/>
        <v>0</v>
      </c>
      <c r="AN81" s="148">
        <f t="shared" si="25"/>
        <v>0</v>
      </c>
      <c r="AO81" s="148">
        <f t="shared" si="25"/>
        <v>0</v>
      </c>
      <c r="AP81" s="148">
        <f t="shared" si="25"/>
        <v>0</v>
      </c>
      <c r="AQ81" s="148">
        <f t="shared" si="25"/>
        <v>0</v>
      </c>
      <c r="AR81" s="148">
        <f t="shared" si="25"/>
        <v>0</v>
      </c>
      <c r="AS81" s="148">
        <f t="shared" ref="AS81" si="26">SUM(AS28:AS67,AS86:AS98,AS69:AS71)</f>
        <v>0</v>
      </c>
      <c r="AT81" s="234">
        <f>AS81+'UM-4 - 2T'!AS81+'UM-4 - Dia'!AS81</f>
        <v>9</v>
      </c>
    </row>
    <row r="82" spans="1:46" ht="13.5" thickBot="1">
      <c r="A82" s="254"/>
      <c r="B82" s="140">
        <f t="shared" si="10"/>
        <v>800</v>
      </c>
      <c r="C82" s="143" t="str">
        <f>VLOOKUP(B82,'Tipos de Defeitos'!B$4:E$106,Menu!$B$23+1,)</f>
        <v>Defeitos Internos - Taxa defeituosa (ppm)</v>
      </c>
      <c r="D82" s="189" t="str">
        <f t="shared" ref="D82" si="27">IF(D24&gt;0,D81/D27*D24/D7*1000000,"")</f>
        <v/>
      </c>
      <c r="E82" s="189" t="str">
        <f t="shared" ref="E82" si="28">IF(E24&gt;0,E81/E27*E24/E7*1000000,"")</f>
        <v/>
      </c>
      <c r="F82" s="189" t="str">
        <f>IF(F24&gt;0,F81/F27*F24/F7*1000000,"")</f>
        <v/>
      </c>
      <c r="G82" s="189" t="str">
        <f t="shared" ref="G82:AR82" si="29">IF(G24&gt;0,G81/G27*G24/G7*1000000,"")</f>
        <v/>
      </c>
      <c r="H82" s="189" t="str">
        <f t="shared" si="29"/>
        <v/>
      </c>
      <c r="I82" s="189" t="str">
        <f t="shared" si="29"/>
        <v/>
      </c>
      <c r="J82" s="189" t="str">
        <f t="shared" si="29"/>
        <v/>
      </c>
      <c r="K82" s="189" t="str">
        <f t="shared" si="29"/>
        <v/>
      </c>
      <c r="L82" s="189" t="str">
        <f t="shared" si="29"/>
        <v/>
      </c>
      <c r="M82" s="189" t="str">
        <f t="shared" si="29"/>
        <v/>
      </c>
      <c r="N82" s="189" t="str">
        <f t="shared" si="29"/>
        <v/>
      </c>
      <c r="O82" s="189" t="str">
        <f t="shared" si="29"/>
        <v/>
      </c>
      <c r="P82" s="189" t="str">
        <f t="shared" si="29"/>
        <v/>
      </c>
      <c r="Q82" s="189" t="str">
        <f t="shared" si="29"/>
        <v/>
      </c>
      <c r="R82" s="189" t="str">
        <f t="shared" si="29"/>
        <v/>
      </c>
      <c r="S82" s="189" t="str">
        <f t="shared" si="29"/>
        <v/>
      </c>
      <c r="T82" s="189" t="str">
        <f t="shared" si="29"/>
        <v/>
      </c>
      <c r="U82" s="189" t="str">
        <f t="shared" si="29"/>
        <v/>
      </c>
      <c r="V82" s="189" t="str">
        <f t="shared" si="29"/>
        <v/>
      </c>
      <c r="W82" s="189" t="str">
        <f t="shared" si="29"/>
        <v/>
      </c>
      <c r="X82" s="189" t="str">
        <f t="shared" si="29"/>
        <v/>
      </c>
      <c r="Y82" s="189" t="str">
        <f t="shared" si="29"/>
        <v/>
      </c>
      <c r="Z82" s="189" t="str">
        <f t="shared" si="29"/>
        <v/>
      </c>
      <c r="AA82" s="189" t="str">
        <f t="shared" si="29"/>
        <v/>
      </c>
      <c r="AB82" s="189" t="str">
        <f t="shared" si="29"/>
        <v/>
      </c>
      <c r="AC82" s="189" t="str">
        <f t="shared" si="29"/>
        <v/>
      </c>
      <c r="AD82" s="189" t="str">
        <f t="shared" si="29"/>
        <v/>
      </c>
      <c r="AE82" s="189" t="str">
        <f t="shared" si="29"/>
        <v/>
      </c>
      <c r="AF82" s="189" t="str">
        <f t="shared" si="29"/>
        <v/>
      </c>
      <c r="AG82" s="189" t="str">
        <f t="shared" si="29"/>
        <v/>
      </c>
      <c r="AH82" s="189" t="str">
        <f t="shared" si="29"/>
        <v/>
      </c>
      <c r="AI82" s="189" t="str">
        <f t="shared" si="29"/>
        <v/>
      </c>
      <c r="AJ82" s="189" t="str">
        <f t="shared" si="29"/>
        <v/>
      </c>
      <c r="AK82" s="189" t="str">
        <f t="shared" si="29"/>
        <v/>
      </c>
      <c r="AL82" s="189" t="str">
        <f t="shared" si="29"/>
        <v/>
      </c>
      <c r="AM82" s="189" t="str">
        <f t="shared" si="29"/>
        <v/>
      </c>
      <c r="AN82" s="189" t="str">
        <f t="shared" si="29"/>
        <v/>
      </c>
      <c r="AO82" s="189" t="str">
        <f t="shared" si="29"/>
        <v/>
      </c>
      <c r="AP82" s="189" t="str">
        <f t="shared" si="29"/>
        <v/>
      </c>
      <c r="AQ82" s="189" t="str">
        <f t="shared" si="29"/>
        <v/>
      </c>
      <c r="AR82" s="189" t="str">
        <f t="shared" si="29"/>
        <v/>
      </c>
      <c r="AS82" s="189" t="str">
        <f>IF((AS27*AS7)&gt;0,AS81/AS27*AS24/AS7*1000000,"")</f>
        <v/>
      </c>
      <c r="AT82" s="71" t="e">
        <f>AT81/AT27*AT24/AT7*1000000</f>
        <v>#DIV/0!</v>
      </c>
    </row>
    <row r="83" spans="1:46" ht="14.25" customHeight="1">
      <c r="A83" s="255" t="s">
        <v>205</v>
      </c>
      <c r="B83" s="139">
        <f t="shared" si="10"/>
        <v>810</v>
      </c>
      <c r="C83" s="141" t="str">
        <f>VLOOKUP(B83,'Tipos de Defeitos'!B$4:E$106,Menu!$B$23+1,)</f>
        <v>Amperagem (Moda)</v>
      </c>
      <c r="D83" s="210"/>
      <c r="E83" s="210"/>
      <c r="F83" s="210"/>
      <c r="G83" s="210"/>
      <c r="H83" s="210"/>
      <c r="I83" s="210"/>
      <c r="J83" s="210"/>
      <c r="K83" s="210"/>
      <c r="L83" s="210"/>
      <c r="M83" s="210"/>
      <c r="N83" s="210"/>
      <c r="O83" s="210"/>
      <c r="P83" s="210"/>
      <c r="Q83" s="210"/>
      <c r="R83" s="210"/>
      <c r="S83" s="210"/>
      <c r="T83" s="210"/>
      <c r="U83" s="210"/>
      <c r="V83" s="210"/>
      <c r="W83" s="210"/>
      <c r="X83" s="210"/>
      <c r="Y83" s="210"/>
      <c r="Z83" s="210"/>
      <c r="AA83" s="210"/>
      <c r="AB83" s="210"/>
      <c r="AC83" s="210"/>
      <c r="AD83" s="210"/>
      <c r="AE83" s="210"/>
      <c r="AF83" s="210"/>
      <c r="AG83" s="210"/>
      <c r="AH83" s="210"/>
      <c r="AI83" s="210"/>
      <c r="AJ83" s="210"/>
      <c r="AK83" s="210"/>
      <c r="AL83" s="210"/>
      <c r="AM83" s="210"/>
      <c r="AN83" s="210"/>
      <c r="AO83" s="210"/>
      <c r="AP83" s="210"/>
      <c r="AQ83" s="210"/>
      <c r="AR83" s="210"/>
      <c r="AS83" s="202" t="e">
        <f>AVERAGE(D83:AR83)</f>
        <v>#DIV/0!</v>
      </c>
    </row>
    <row r="84" spans="1:46">
      <c r="A84" s="256"/>
      <c r="B84" s="137">
        <f t="shared" si="10"/>
        <v>820</v>
      </c>
      <c r="C84" s="142" t="str">
        <f>VLOOKUP(B84,'Tipos de Defeitos'!B$4:E$106,Menu!$B$23+1,)</f>
        <v>Amperagem Ajustada</v>
      </c>
      <c r="D84" s="193" t="str">
        <f t="shared" ref="D84" si="30">IF(D83&gt;0,D83-1," ")</f>
        <v xml:space="preserve"> </v>
      </c>
      <c r="E84" s="193" t="str">
        <f t="shared" ref="E84" si="31">IF(E83&gt;0,E83-1," ")</f>
        <v xml:space="preserve"> </v>
      </c>
      <c r="F84" s="193" t="str">
        <f t="shared" ref="F84" si="32">IF(F83&gt;0,F83-1," ")</f>
        <v xml:space="preserve"> </v>
      </c>
      <c r="G84" s="193" t="str">
        <f t="shared" ref="G84:AR84" si="33">IF(G83&gt;0,G83-1," ")</f>
        <v xml:space="preserve"> </v>
      </c>
      <c r="H84" s="193" t="str">
        <f t="shared" si="33"/>
        <v xml:space="preserve"> </v>
      </c>
      <c r="I84" s="193" t="str">
        <f t="shared" si="33"/>
        <v xml:space="preserve"> </v>
      </c>
      <c r="J84" s="193" t="str">
        <f t="shared" si="33"/>
        <v xml:space="preserve"> </v>
      </c>
      <c r="K84" s="193" t="str">
        <f t="shared" si="33"/>
        <v xml:space="preserve"> </v>
      </c>
      <c r="L84" s="193" t="str">
        <f t="shared" si="33"/>
        <v xml:space="preserve"> </v>
      </c>
      <c r="M84" s="193" t="str">
        <f t="shared" si="33"/>
        <v xml:space="preserve"> </v>
      </c>
      <c r="N84" s="193" t="str">
        <f t="shared" si="33"/>
        <v xml:space="preserve"> </v>
      </c>
      <c r="O84" s="193" t="str">
        <f t="shared" si="33"/>
        <v xml:space="preserve"> </v>
      </c>
      <c r="P84" s="193" t="str">
        <f t="shared" si="33"/>
        <v xml:space="preserve"> </v>
      </c>
      <c r="Q84" s="193" t="str">
        <f t="shared" si="33"/>
        <v xml:space="preserve"> </v>
      </c>
      <c r="R84" s="193" t="str">
        <f t="shared" si="33"/>
        <v xml:space="preserve"> </v>
      </c>
      <c r="S84" s="193" t="str">
        <f t="shared" si="33"/>
        <v xml:space="preserve"> </v>
      </c>
      <c r="T84" s="193" t="str">
        <f t="shared" si="33"/>
        <v xml:space="preserve"> </v>
      </c>
      <c r="U84" s="193" t="str">
        <f t="shared" si="33"/>
        <v xml:space="preserve"> </v>
      </c>
      <c r="V84" s="193" t="str">
        <f t="shared" si="33"/>
        <v xml:space="preserve"> </v>
      </c>
      <c r="W84" s="193" t="str">
        <f t="shared" si="33"/>
        <v xml:space="preserve"> </v>
      </c>
      <c r="X84" s="193" t="str">
        <f t="shared" si="33"/>
        <v xml:space="preserve"> </v>
      </c>
      <c r="Y84" s="193" t="str">
        <f t="shared" si="33"/>
        <v xml:space="preserve"> </v>
      </c>
      <c r="Z84" s="193" t="str">
        <f t="shared" si="33"/>
        <v xml:space="preserve"> </v>
      </c>
      <c r="AA84" s="193" t="str">
        <f t="shared" si="33"/>
        <v xml:space="preserve"> </v>
      </c>
      <c r="AB84" s="193" t="str">
        <f t="shared" si="33"/>
        <v xml:space="preserve"> </v>
      </c>
      <c r="AC84" s="193" t="str">
        <f t="shared" si="33"/>
        <v xml:space="preserve"> </v>
      </c>
      <c r="AD84" s="193" t="str">
        <f t="shared" si="33"/>
        <v xml:space="preserve"> </v>
      </c>
      <c r="AE84" s="193" t="str">
        <f t="shared" si="33"/>
        <v xml:space="preserve"> </v>
      </c>
      <c r="AF84" s="193" t="str">
        <f t="shared" si="33"/>
        <v xml:space="preserve"> </v>
      </c>
      <c r="AG84" s="193" t="str">
        <f t="shared" si="33"/>
        <v xml:space="preserve"> </v>
      </c>
      <c r="AH84" s="193" t="str">
        <f t="shared" si="33"/>
        <v xml:space="preserve"> </v>
      </c>
      <c r="AI84" s="193" t="str">
        <f t="shared" si="33"/>
        <v xml:space="preserve"> </v>
      </c>
      <c r="AJ84" s="193" t="str">
        <f t="shared" si="33"/>
        <v xml:space="preserve"> </v>
      </c>
      <c r="AK84" s="193" t="str">
        <f t="shared" si="33"/>
        <v xml:space="preserve"> </v>
      </c>
      <c r="AL84" s="193" t="str">
        <f t="shared" si="33"/>
        <v xml:space="preserve"> </v>
      </c>
      <c r="AM84" s="193" t="str">
        <f t="shared" si="33"/>
        <v xml:space="preserve"> </v>
      </c>
      <c r="AN84" s="193" t="str">
        <f t="shared" si="33"/>
        <v xml:space="preserve"> </v>
      </c>
      <c r="AO84" s="193" t="str">
        <f t="shared" si="33"/>
        <v xml:space="preserve"> </v>
      </c>
      <c r="AP84" s="193" t="str">
        <f t="shared" si="33"/>
        <v xml:space="preserve"> </v>
      </c>
      <c r="AQ84" s="193" t="str">
        <f t="shared" si="33"/>
        <v xml:space="preserve"> </v>
      </c>
      <c r="AR84" s="193" t="str">
        <f t="shared" si="33"/>
        <v xml:space="preserve"> </v>
      </c>
      <c r="AS84" s="203" t="e">
        <f>AVERAGE(D84:AR84)</f>
        <v>#DIV/0!</v>
      </c>
    </row>
    <row r="85" spans="1:46" ht="13.5" thickBot="1">
      <c r="A85" s="257"/>
      <c r="B85" s="140">
        <f t="shared" si="10"/>
        <v>830</v>
      </c>
      <c r="C85" s="143" t="str">
        <f>VLOOKUP(B85,'Tipos de Defeitos'!B$4:E$106,Menu!$B$23+1,)</f>
        <v>Qtd Baterias analisadas (pçs)</v>
      </c>
      <c r="D85" s="194">
        <f t="shared" ref="D85" si="34">D103</f>
        <v>0</v>
      </c>
      <c r="E85" s="194">
        <f t="shared" ref="E85" si="35">E103</f>
        <v>0</v>
      </c>
      <c r="F85" s="194">
        <f t="shared" ref="F85" si="36">F103</f>
        <v>0</v>
      </c>
      <c r="G85" s="194">
        <f t="shared" ref="G85:AR85" si="37">G103</f>
        <v>0</v>
      </c>
      <c r="H85" s="194">
        <f t="shared" si="37"/>
        <v>0</v>
      </c>
      <c r="I85" s="194">
        <f t="shared" si="37"/>
        <v>0</v>
      </c>
      <c r="J85" s="194">
        <f t="shared" si="37"/>
        <v>0</v>
      </c>
      <c r="K85" s="194">
        <f t="shared" si="37"/>
        <v>0</v>
      </c>
      <c r="L85" s="194">
        <f t="shared" si="37"/>
        <v>0</v>
      </c>
      <c r="M85" s="194">
        <f t="shared" si="37"/>
        <v>0</v>
      </c>
      <c r="N85" s="194">
        <f t="shared" si="37"/>
        <v>0</v>
      </c>
      <c r="O85" s="194">
        <f t="shared" si="37"/>
        <v>0</v>
      </c>
      <c r="P85" s="194">
        <f t="shared" si="37"/>
        <v>0</v>
      </c>
      <c r="Q85" s="194">
        <f t="shared" si="37"/>
        <v>0</v>
      </c>
      <c r="R85" s="194">
        <f t="shared" si="37"/>
        <v>0</v>
      </c>
      <c r="S85" s="194">
        <f t="shared" si="37"/>
        <v>0</v>
      </c>
      <c r="T85" s="194">
        <f t="shared" si="37"/>
        <v>0</v>
      </c>
      <c r="U85" s="194">
        <f t="shared" si="37"/>
        <v>0</v>
      </c>
      <c r="V85" s="194">
        <f t="shared" si="37"/>
        <v>0</v>
      </c>
      <c r="W85" s="194">
        <f t="shared" si="37"/>
        <v>0</v>
      </c>
      <c r="X85" s="194">
        <f t="shared" si="37"/>
        <v>0</v>
      </c>
      <c r="Y85" s="194">
        <f t="shared" si="37"/>
        <v>0</v>
      </c>
      <c r="Z85" s="194">
        <f t="shared" si="37"/>
        <v>0</v>
      </c>
      <c r="AA85" s="194">
        <f t="shared" si="37"/>
        <v>0</v>
      </c>
      <c r="AB85" s="194">
        <f t="shared" si="37"/>
        <v>0</v>
      </c>
      <c r="AC85" s="194">
        <f t="shared" si="37"/>
        <v>0</v>
      </c>
      <c r="AD85" s="194">
        <f t="shared" si="37"/>
        <v>0</v>
      </c>
      <c r="AE85" s="194">
        <f t="shared" si="37"/>
        <v>0</v>
      </c>
      <c r="AF85" s="194">
        <f t="shared" si="37"/>
        <v>0</v>
      </c>
      <c r="AG85" s="194">
        <f t="shared" si="37"/>
        <v>0</v>
      </c>
      <c r="AH85" s="194">
        <f t="shared" si="37"/>
        <v>0</v>
      </c>
      <c r="AI85" s="194">
        <f t="shared" si="37"/>
        <v>0</v>
      </c>
      <c r="AJ85" s="194">
        <f t="shared" si="37"/>
        <v>0</v>
      </c>
      <c r="AK85" s="194">
        <f t="shared" si="37"/>
        <v>0</v>
      </c>
      <c r="AL85" s="194">
        <f t="shared" si="37"/>
        <v>0</v>
      </c>
      <c r="AM85" s="194">
        <f t="shared" si="37"/>
        <v>0</v>
      </c>
      <c r="AN85" s="194">
        <f t="shared" si="37"/>
        <v>0</v>
      </c>
      <c r="AO85" s="194">
        <f t="shared" si="37"/>
        <v>0</v>
      </c>
      <c r="AP85" s="194">
        <f t="shared" si="37"/>
        <v>0</v>
      </c>
      <c r="AQ85" s="194">
        <f t="shared" si="37"/>
        <v>0</v>
      </c>
      <c r="AR85" s="194">
        <f t="shared" si="37"/>
        <v>0</v>
      </c>
      <c r="AS85" s="194">
        <f>SUM(AS86:AS102)</f>
        <v>0</v>
      </c>
      <c r="AT85" s="234">
        <f>AS85+'UM-4 - 2T'!AS85+'UM-4 - Dia'!AS85</f>
        <v>0</v>
      </c>
    </row>
    <row r="86" spans="1:46" ht="13.5" customHeight="1">
      <c r="A86" s="253" t="s">
        <v>29</v>
      </c>
      <c r="B86" s="138">
        <f t="shared" si="10"/>
        <v>840</v>
      </c>
      <c r="C86" s="146" t="str">
        <f>VLOOKUP(B86,'Tipos de Defeitos'!B$4:E$106,Menu!$B$23+1,)</f>
        <v>Papel Separdor Duplo</v>
      </c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0"/>
      <c r="Q86" s="150"/>
      <c r="R86" s="150"/>
      <c r="S86" s="150"/>
      <c r="T86" s="150"/>
      <c r="U86" s="150"/>
      <c r="V86" s="150"/>
      <c r="W86" s="150"/>
      <c r="X86" s="150"/>
      <c r="Y86" s="150"/>
      <c r="Z86" s="150"/>
      <c r="AA86" s="150"/>
      <c r="AB86" s="150"/>
      <c r="AC86" s="150"/>
      <c r="AD86" s="150"/>
      <c r="AE86" s="150"/>
      <c r="AF86" s="150"/>
      <c r="AG86" s="150"/>
      <c r="AH86" s="150"/>
      <c r="AI86" s="150"/>
      <c r="AJ86" s="150"/>
      <c r="AK86" s="150"/>
      <c r="AL86" s="150"/>
      <c r="AM86" s="150"/>
      <c r="AN86" s="150"/>
      <c r="AO86" s="150"/>
      <c r="AP86" s="150"/>
      <c r="AQ86" s="150"/>
      <c r="AR86" s="150"/>
      <c r="AS86" s="172">
        <f t="shared" ref="AS86:AS103" si="38">SUM(D86:AR86)</f>
        <v>0</v>
      </c>
      <c r="AT86" s="234">
        <f>AS86+'UM-4 - 2T'!AS86+'UM-4 - Dia'!AS86</f>
        <v>0</v>
      </c>
    </row>
    <row r="87" spans="1:46">
      <c r="A87" s="253"/>
      <c r="B87" s="137">
        <f t="shared" si="10"/>
        <v>850</v>
      </c>
      <c r="C87" s="142" t="str">
        <f>VLOOKUP(B87,'Tipos de Defeitos'!B$4:E$106,Menu!$B$23+1,)</f>
        <v>Pedra de Negro</v>
      </c>
      <c r="D87" s="150"/>
      <c r="E87" s="150"/>
      <c r="F87" s="150"/>
      <c r="G87" s="150"/>
      <c r="H87" s="150"/>
      <c r="I87" s="150"/>
      <c r="J87" s="150"/>
      <c r="K87" s="150"/>
      <c r="L87" s="150"/>
      <c r="M87" s="150"/>
      <c r="N87" s="150"/>
      <c r="O87" s="150"/>
      <c r="P87" s="150"/>
      <c r="Q87" s="150"/>
      <c r="R87" s="150"/>
      <c r="S87" s="150"/>
      <c r="T87" s="150"/>
      <c r="U87" s="150"/>
      <c r="V87" s="150"/>
      <c r="W87" s="150"/>
      <c r="X87" s="150"/>
      <c r="Y87" s="150"/>
      <c r="Z87" s="150"/>
      <c r="AA87" s="150"/>
      <c r="AB87" s="150"/>
      <c r="AC87" s="150"/>
      <c r="AD87" s="150"/>
      <c r="AE87" s="150"/>
      <c r="AF87" s="150"/>
      <c r="AG87" s="150"/>
      <c r="AH87" s="150"/>
      <c r="AI87" s="150"/>
      <c r="AJ87" s="150"/>
      <c r="AK87" s="150"/>
      <c r="AL87" s="150"/>
      <c r="AM87" s="150"/>
      <c r="AN87" s="150"/>
      <c r="AO87" s="150"/>
      <c r="AP87" s="150"/>
      <c r="AQ87" s="150"/>
      <c r="AR87" s="150"/>
      <c r="AS87" s="172">
        <f t="shared" si="38"/>
        <v>0</v>
      </c>
      <c r="AT87" s="234">
        <f>AS87+'UM-4 - 2T'!AS87+'UM-4 - Dia'!AS87</f>
        <v>0</v>
      </c>
    </row>
    <row r="88" spans="1:46">
      <c r="A88" s="253"/>
      <c r="B88" s="137">
        <f t="shared" si="10"/>
        <v>860</v>
      </c>
      <c r="C88" s="142" t="str">
        <f>VLOOKUP(B88,'Tipos de Defeitos'!B$4:E$106,Menu!$B$23+1,)</f>
        <v>Pedra de Cl de Amônia</v>
      </c>
      <c r="D88" s="150"/>
      <c r="E88" s="150"/>
      <c r="F88" s="150"/>
      <c r="G88" s="150"/>
      <c r="H88" s="150"/>
      <c r="I88" s="150"/>
      <c r="J88" s="150"/>
      <c r="K88" s="150"/>
      <c r="L88" s="150"/>
      <c r="M88" s="150"/>
      <c r="N88" s="150"/>
      <c r="O88" s="150"/>
      <c r="P88" s="150"/>
      <c r="Q88" s="150"/>
      <c r="R88" s="150"/>
      <c r="S88" s="150"/>
      <c r="T88" s="150"/>
      <c r="U88" s="150"/>
      <c r="V88" s="150"/>
      <c r="W88" s="150"/>
      <c r="X88" s="150"/>
      <c r="Y88" s="150"/>
      <c r="Z88" s="150"/>
      <c r="AA88" s="150"/>
      <c r="AB88" s="150"/>
      <c r="AC88" s="150"/>
      <c r="AD88" s="150"/>
      <c r="AE88" s="150"/>
      <c r="AF88" s="150"/>
      <c r="AG88" s="150"/>
      <c r="AH88" s="150"/>
      <c r="AI88" s="150"/>
      <c r="AJ88" s="150"/>
      <c r="AK88" s="150"/>
      <c r="AL88" s="150"/>
      <c r="AM88" s="150"/>
      <c r="AN88" s="150"/>
      <c r="AO88" s="150"/>
      <c r="AP88" s="150"/>
      <c r="AQ88" s="150"/>
      <c r="AR88" s="150"/>
      <c r="AS88" s="172">
        <f t="shared" si="38"/>
        <v>0</v>
      </c>
      <c r="AT88" s="234">
        <f>AS88+'UM-4 - 2T'!AS88+'UM-4 - Dia'!AS88</f>
        <v>0</v>
      </c>
    </row>
    <row r="89" spans="1:46">
      <c r="A89" s="253"/>
      <c r="B89" s="137">
        <f t="shared" si="10"/>
        <v>870</v>
      </c>
      <c r="C89" s="142" t="str">
        <f>VLOOKUP(B89,'Tipos de Defeitos'!B$4:E$106,Menu!$B$23+1,)</f>
        <v>Pelota de Manganês</v>
      </c>
      <c r="D89" s="150"/>
      <c r="E89" s="150"/>
      <c r="F89" s="150"/>
      <c r="G89" s="150"/>
      <c r="H89" s="150"/>
      <c r="I89" s="150"/>
      <c r="J89" s="150"/>
      <c r="K89" s="150"/>
      <c r="L89" s="150"/>
      <c r="M89" s="150"/>
      <c r="N89" s="150"/>
      <c r="O89" s="150"/>
      <c r="P89" s="150"/>
      <c r="Q89" s="150"/>
      <c r="R89" s="150"/>
      <c r="S89" s="150"/>
      <c r="T89" s="150"/>
      <c r="U89" s="150"/>
      <c r="V89" s="150"/>
      <c r="W89" s="150"/>
      <c r="X89" s="150"/>
      <c r="Y89" s="150"/>
      <c r="Z89" s="150"/>
      <c r="AA89" s="150"/>
      <c r="AB89" s="150"/>
      <c r="AC89" s="150"/>
      <c r="AD89" s="150"/>
      <c r="AE89" s="150"/>
      <c r="AF89" s="150"/>
      <c r="AG89" s="150"/>
      <c r="AH89" s="150"/>
      <c r="AI89" s="150"/>
      <c r="AJ89" s="150"/>
      <c r="AK89" s="150"/>
      <c r="AL89" s="150"/>
      <c r="AM89" s="150"/>
      <c r="AN89" s="150"/>
      <c r="AO89" s="150"/>
      <c r="AP89" s="150"/>
      <c r="AQ89" s="150"/>
      <c r="AR89" s="150"/>
      <c r="AS89" s="172">
        <f t="shared" si="38"/>
        <v>0</v>
      </c>
      <c r="AT89" s="234">
        <f>AS89+'UM-4 - 2T'!AS89+'UM-4 - Dia'!AS89</f>
        <v>0</v>
      </c>
    </row>
    <row r="90" spans="1:46">
      <c r="A90" s="253"/>
      <c r="B90" s="137">
        <f t="shared" si="10"/>
        <v>880</v>
      </c>
      <c r="C90" s="142" t="str">
        <f>VLOOKUP(B90,'Tipos de Defeitos'!B$4:E$106,Menu!$B$23+1,)</f>
        <v>Bobina Baixa A</v>
      </c>
      <c r="D90" s="150"/>
      <c r="E90" s="150"/>
      <c r="F90" s="150"/>
      <c r="G90" s="150"/>
      <c r="H90" s="150"/>
      <c r="I90" s="150"/>
      <c r="J90" s="150"/>
      <c r="K90" s="150"/>
      <c r="L90" s="150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  <c r="AJ90" s="150"/>
      <c r="AK90" s="150"/>
      <c r="AL90" s="150"/>
      <c r="AM90" s="150"/>
      <c r="AN90" s="150"/>
      <c r="AO90" s="150"/>
      <c r="AP90" s="150"/>
      <c r="AQ90" s="150"/>
      <c r="AR90" s="150"/>
      <c r="AS90" s="172">
        <f t="shared" si="38"/>
        <v>0</v>
      </c>
      <c r="AT90" s="234">
        <f>AS90+'UM-4 - 2T'!AS90+'UM-4 - Dia'!AS90</f>
        <v>0</v>
      </c>
    </row>
    <row r="91" spans="1:46">
      <c r="A91" s="253"/>
      <c r="B91" s="137">
        <f t="shared" si="10"/>
        <v>890</v>
      </c>
      <c r="C91" s="142" t="str">
        <f>VLOOKUP(B91,'Tipos de Defeitos'!B$4:E$106,Menu!$B$23+1,)</f>
        <v>Bobina Rachada</v>
      </c>
      <c r="D91" s="150"/>
      <c r="E91" s="150"/>
      <c r="F91" s="150"/>
      <c r="G91" s="150"/>
      <c r="H91" s="150"/>
      <c r="I91" s="150"/>
      <c r="J91" s="150"/>
      <c r="K91" s="150"/>
      <c r="L91" s="150"/>
      <c r="M91" s="150"/>
      <c r="N91" s="150"/>
      <c r="O91" s="150"/>
      <c r="P91" s="150"/>
      <c r="Q91" s="150"/>
      <c r="R91" s="150"/>
      <c r="S91" s="150"/>
      <c r="T91" s="150"/>
      <c r="U91" s="150"/>
      <c r="V91" s="150"/>
      <c r="W91" s="150"/>
      <c r="X91" s="150"/>
      <c r="Y91" s="150"/>
      <c r="Z91" s="150"/>
      <c r="AA91" s="150"/>
      <c r="AB91" s="150"/>
      <c r="AC91" s="150"/>
      <c r="AD91" s="150"/>
      <c r="AE91" s="150"/>
      <c r="AF91" s="150"/>
      <c r="AG91" s="150"/>
      <c r="AH91" s="150"/>
      <c r="AI91" s="150"/>
      <c r="AJ91" s="150"/>
      <c r="AK91" s="150"/>
      <c r="AL91" s="150"/>
      <c r="AM91" s="150"/>
      <c r="AN91" s="150"/>
      <c r="AO91" s="150"/>
      <c r="AP91" s="150"/>
      <c r="AQ91" s="150"/>
      <c r="AR91" s="150"/>
      <c r="AS91" s="172">
        <f t="shared" si="38"/>
        <v>0</v>
      </c>
      <c r="AT91" s="234">
        <f>AS91+'UM-4 - 2T'!AS91+'UM-4 - Dia'!AS91</f>
        <v>0</v>
      </c>
    </row>
    <row r="92" spans="1:46">
      <c r="A92" s="253"/>
      <c r="B92" s="137">
        <f t="shared" si="10"/>
        <v>900</v>
      </c>
      <c r="C92" s="142" t="str">
        <f>VLOOKUP(B92,'Tipos de Defeitos'!B$4:E$106,Menu!$B$23+1,)</f>
        <v>Emenda de Papel</v>
      </c>
      <c r="D92" s="150"/>
      <c r="E92" s="150"/>
      <c r="F92" s="150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  <c r="U92" s="150"/>
      <c r="V92" s="150"/>
      <c r="W92" s="150"/>
      <c r="X92" s="150"/>
      <c r="Y92" s="150"/>
      <c r="Z92" s="150"/>
      <c r="AA92" s="150"/>
      <c r="AB92" s="150"/>
      <c r="AC92" s="150"/>
      <c r="AD92" s="150"/>
      <c r="AE92" s="150"/>
      <c r="AF92" s="150"/>
      <c r="AG92" s="150"/>
      <c r="AH92" s="150"/>
      <c r="AI92" s="150"/>
      <c r="AJ92" s="150"/>
      <c r="AK92" s="150"/>
      <c r="AL92" s="150"/>
      <c r="AM92" s="150"/>
      <c r="AN92" s="150"/>
      <c r="AO92" s="150"/>
      <c r="AP92" s="150"/>
      <c r="AQ92" s="150"/>
      <c r="AR92" s="150"/>
      <c r="AS92" s="172">
        <f t="shared" si="38"/>
        <v>0</v>
      </c>
      <c r="AT92" s="234">
        <f>AS92+'UM-4 - 2T'!AS92+'UM-4 - Dia'!AS92</f>
        <v>0</v>
      </c>
    </row>
    <row r="93" spans="1:46">
      <c r="A93" s="253"/>
      <c r="B93" s="137">
        <f t="shared" si="10"/>
        <v>910</v>
      </c>
      <c r="C93" s="142" t="str">
        <f>VLOOKUP(B93,'Tipos de Defeitos'!B$4:E$106,Menu!$B$23+1,)</f>
        <v>Carvão Quebrado A</v>
      </c>
      <c r="D93" s="150"/>
      <c r="E93" s="150"/>
      <c r="F93" s="150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  <c r="U93" s="150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72">
        <f t="shared" si="38"/>
        <v>0</v>
      </c>
      <c r="AT93" s="234">
        <f>AS93+'UM-4 - 2T'!AS93+'UM-4 - Dia'!AS93</f>
        <v>0</v>
      </c>
    </row>
    <row r="94" spans="1:46">
      <c r="A94" s="253"/>
      <c r="B94" s="137">
        <f t="shared" si="10"/>
        <v>920</v>
      </c>
      <c r="C94" s="142" t="str">
        <f>VLOOKUP(B94,'Tipos de Defeitos'!B$4:E$106,Menu!$B$23+1,)</f>
        <v>Metade do Carvão</v>
      </c>
      <c r="D94" s="150"/>
      <c r="E94" s="150"/>
      <c r="F94" s="150"/>
      <c r="G94" s="150"/>
      <c r="H94" s="150"/>
      <c r="I94" s="150"/>
      <c r="J94" s="150"/>
      <c r="K94" s="150"/>
      <c r="L94" s="150"/>
      <c r="M94" s="150"/>
      <c r="N94" s="150"/>
      <c r="O94" s="150"/>
      <c r="P94" s="150"/>
      <c r="Q94" s="150"/>
      <c r="R94" s="150"/>
      <c r="S94" s="150"/>
      <c r="T94" s="150"/>
      <c r="U94" s="150"/>
      <c r="V94" s="150"/>
      <c r="W94" s="150"/>
      <c r="X94" s="150"/>
      <c r="Y94" s="150"/>
      <c r="Z94" s="150"/>
      <c r="AA94" s="150"/>
      <c r="AB94" s="150"/>
      <c r="AC94" s="150"/>
      <c r="AD94" s="150"/>
      <c r="AE94" s="150"/>
      <c r="AF94" s="150"/>
      <c r="AG94" s="150"/>
      <c r="AH94" s="150"/>
      <c r="AI94" s="150"/>
      <c r="AJ94" s="150"/>
      <c r="AK94" s="150"/>
      <c r="AL94" s="150"/>
      <c r="AM94" s="150"/>
      <c r="AN94" s="150"/>
      <c r="AO94" s="150"/>
      <c r="AP94" s="150"/>
      <c r="AQ94" s="150"/>
      <c r="AR94" s="150"/>
      <c r="AS94" s="172">
        <f t="shared" si="38"/>
        <v>0</v>
      </c>
      <c r="AT94" s="234">
        <f>AS94+'UM-4 - 2T'!AS94+'UM-4 - Dia'!AS94</f>
        <v>0</v>
      </c>
    </row>
    <row r="95" spans="1:46">
      <c r="A95" s="253"/>
      <c r="B95" s="137">
        <f t="shared" si="10"/>
        <v>930</v>
      </c>
      <c r="C95" s="142" t="str">
        <f>VLOOKUP(B95,'Tipos de Defeitos'!B$4:E$106,Menu!$B$23+1,)</f>
        <v>Carvão Frouxo</v>
      </c>
      <c r="D95" s="150"/>
      <c r="E95" s="150"/>
      <c r="F95" s="150"/>
      <c r="G95" s="150"/>
      <c r="H95" s="150"/>
      <c r="I95" s="150"/>
      <c r="J95" s="150"/>
      <c r="K95" s="150"/>
      <c r="L95" s="150"/>
      <c r="M95" s="150"/>
      <c r="N95" s="150"/>
      <c r="O95" s="150"/>
      <c r="P95" s="150"/>
      <c r="Q95" s="150"/>
      <c r="R95" s="150"/>
      <c r="S95" s="150"/>
      <c r="T95" s="150"/>
      <c r="U95" s="150"/>
      <c r="V95" s="150"/>
      <c r="W95" s="150"/>
      <c r="X95" s="150"/>
      <c r="Y95" s="150"/>
      <c r="Z95" s="150"/>
      <c r="AA95" s="150"/>
      <c r="AB95" s="150"/>
      <c r="AC95" s="150"/>
      <c r="AD95" s="150"/>
      <c r="AE95" s="150"/>
      <c r="AF95" s="150"/>
      <c r="AG95" s="150"/>
      <c r="AH95" s="150"/>
      <c r="AI95" s="150"/>
      <c r="AJ95" s="150"/>
      <c r="AK95" s="150"/>
      <c r="AL95" s="150"/>
      <c r="AM95" s="150"/>
      <c r="AN95" s="150"/>
      <c r="AO95" s="150"/>
      <c r="AP95" s="150"/>
      <c r="AQ95" s="150"/>
      <c r="AR95" s="150"/>
      <c r="AS95" s="172">
        <f t="shared" si="38"/>
        <v>0</v>
      </c>
      <c r="AT95" s="234">
        <f>AS95+'UM-4 - 2T'!AS95+'UM-4 - Dia'!AS95</f>
        <v>0</v>
      </c>
    </row>
    <row r="96" spans="1:46">
      <c r="A96" s="253"/>
      <c r="B96" s="137">
        <f t="shared" si="10"/>
        <v>940</v>
      </c>
      <c r="C96" s="142" t="str">
        <f>VLOOKUP(B96,'Tipos de Defeitos'!B$4:E$106,Menu!$B$23+1,)</f>
        <v>Tubo de Zinco Sujo</v>
      </c>
      <c r="D96" s="150"/>
      <c r="E96" s="150"/>
      <c r="F96" s="150"/>
      <c r="G96" s="150"/>
      <c r="H96" s="150"/>
      <c r="I96" s="150"/>
      <c r="J96" s="150"/>
      <c r="K96" s="150"/>
      <c r="L96" s="150"/>
      <c r="M96" s="150"/>
      <c r="N96" s="150"/>
      <c r="O96" s="150"/>
      <c r="P96" s="150"/>
      <c r="Q96" s="150"/>
      <c r="R96" s="150"/>
      <c r="S96" s="150"/>
      <c r="T96" s="150"/>
      <c r="U96" s="150"/>
      <c r="V96" s="150"/>
      <c r="W96" s="150"/>
      <c r="X96" s="150"/>
      <c r="Y96" s="150"/>
      <c r="Z96" s="150"/>
      <c r="AA96" s="150"/>
      <c r="AB96" s="150"/>
      <c r="AC96" s="150"/>
      <c r="AD96" s="150"/>
      <c r="AE96" s="150"/>
      <c r="AF96" s="150"/>
      <c r="AG96" s="150"/>
      <c r="AH96" s="150"/>
      <c r="AI96" s="150"/>
      <c r="AJ96" s="150"/>
      <c r="AK96" s="150"/>
      <c r="AL96" s="150"/>
      <c r="AM96" s="150"/>
      <c r="AN96" s="150"/>
      <c r="AO96" s="150"/>
      <c r="AP96" s="150"/>
      <c r="AQ96" s="150"/>
      <c r="AR96" s="150"/>
      <c r="AS96" s="172">
        <f t="shared" si="38"/>
        <v>0</v>
      </c>
      <c r="AT96" s="234">
        <f>AS96+'UM-4 - 2T'!AS96+'UM-4 - Dia'!AS96</f>
        <v>0</v>
      </c>
    </row>
    <row r="97" spans="1:46">
      <c r="A97" s="253"/>
      <c r="B97" s="137">
        <f t="shared" si="10"/>
        <v>950</v>
      </c>
      <c r="C97" s="142" t="str">
        <f>VLOOKUP(B97,'Tipos de Defeitos'!B$4:E$106,Menu!$B$23+1,)</f>
        <v>Contem estranho</v>
      </c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0"/>
      <c r="V97" s="150"/>
      <c r="W97" s="150"/>
      <c r="X97" s="150"/>
      <c r="Y97" s="150"/>
      <c r="Z97" s="150"/>
      <c r="AA97" s="150"/>
      <c r="AB97" s="150"/>
      <c r="AC97" s="150"/>
      <c r="AD97" s="150"/>
      <c r="AE97" s="150"/>
      <c r="AF97" s="150"/>
      <c r="AG97" s="150"/>
      <c r="AH97" s="150"/>
      <c r="AI97" s="150"/>
      <c r="AJ97" s="150"/>
      <c r="AK97" s="150"/>
      <c r="AL97" s="150"/>
      <c r="AM97" s="150"/>
      <c r="AN97" s="150"/>
      <c r="AO97" s="150"/>
      <c r="AP97" s="150"/>
      <c r="AQ97" s="150"/>
      <c r="AR97" s="150"/>
      <c r="AS97" s="172">
        <f t="shared" si="38"/>
        <v>0</v>
      </c>
      <c r="AT97" s="234">
        <f>AS97+'UM-4 - 2T'!AS97+'UM-4 - Dia'!AS97</f>
        <v>0</v>
      </c>
    </row>
    <row r="98" spans="1:46">
      <c r="A98" s="253"/>
      <c r="B98" s="137">
        <f t="shared" si="10"/>
        <v>960</v>
      </c>
      <c r="C98" s="142" t="str">
        <f>VLOOKUP(B98,'Tipos de Defeitos'!B$4:E$106,Menu!$B$23+1,)</f>
        <v>Mistura seca</v>
      </c>
      <c r="D98" s="150"/>
      <c r="E98" s="150"/>
      <c r="F98" s="150"/>
      <c r="G98" s="150"/>
      <c r="H98" s="150"/>
      <c r="I98" s="150"/>
      <c r="J98" s="150"/>
      <c r="K98" s="150"/>
      <c r="L98" s="150"/>
      <c r="M98" s="150"/>
      <c r="N98" s="150"/>
      <c r="O98" s="150"/>
      <c r="P98" s="150"/>
      <c r="Q98" s="150"/>
      <c r="R98" s="150"/>
      <c r="S98" s="150"/>
      <c r="T98" s="150"/>
      <c r="U98" s="150"/>
      <c r="V98" s="150"/>
      <c r="W98" s="150"/>
      <c r="X98" s="150"/>
      <c r="Y98" s="150"/>
      <c r="Z98" s="150"/>
      <c r="AA98" s="150"/>
      <c r="AB98" s="150"/>
      <c r="AC98" s="150"/>
      <c r="AD98" s="150"/>
      <c r="AE98" s="150"/>
      <c r="AF98" s="150"/>
      <c r="AG98" s="150"/>
      <c r="AH98" s="150"/>
      <c r="AI98" s="150"/>
      <c r="AJ98" s="150"/>
      <c r="AK98" s="150"/>
      <c r="AL98" s="150"/>
      <c r="AM98" s="150"/>
      <c r="AN98" s="150"/>
      <c r="AO98" s="150"/>
      <c r="AP98" s="150"/>
      <c r="AQ98" s="150"/>
      <c r="AR98" s="150"/>
      <c r="AS98" s="172">
        <f t="shared" si="38"/>
        <v>0</v>
      </c>
      <c r="AT98" s="234">
        <f>AS98+'UM-4 - 2T'!AS98+'UM-4 - Dia'!AS98</f>
        <v>0</v>
      </c>
    </row>
    <row r="99" spans="1:46">
      <c r="A99" s="253"/>
      <c r="B99" s="137">
        <f t="shared" si="10"/>
        <v>970</v>
      </c>
      <c r="C99" s="142" t="str">
        <f>VLOOKUP(B99,'Tipos de Defeitos'!B$4:E$106,Menu!$B$23+1,)</f>
        <v>Bottom Plate Amassado</v>
      </c>
      <c r="D99" s="150"/>
      <c r="E99" s="150"/>
      <c r="F99" s="150"/>
      <c r="G99" s="150"/>
      <c r="H99" s="150"/>
      <c r="I99" s="150"/>
      <c r="J99" s="150"/>
      <c r="K99" s="150"/>
      <c r="L99" s="150"/>
      <c r="M99" s="150"/>
      <c r="N99" s="150"/>
      <c r="O99" s="150"/>
      <c r="P99" s="150"/>
      <c r="Q99" s="150"/>
      <c r="R99" s="150"/>
      <c r="S99" s="150"/>
      <c r="T99" s="150"/>
      <c r="U99" s="150"/>
      <c r="V99" s="150"/>
      <c r="W99" s="150"/>
      <c r="X99" s="150"/>
      <c r="Y99" s="150"/>
      <c r="Z99" s="150"/>
      <c r="AA99" s="150"/>
      <c r="AB99" s="150"/>
      <c r="AC99" s="150"/>
      <c r="AD99" s="150"/>
      <c r="AE99" s="150"/>
      <c r="AF99" s="150"/>
      <c r="AG99" s="150"/>
      <c r="AH99" s="150"/>
      <c r="AI99" s="150"/>
      <c r="AJ99" s="150"/>
      <c r="AK99" s="150"/>
      <c r="AL99" s="150"/>
      <c r="AM99" s="150"/>
      <c r="AN99" s="150"/>
      <c r="AO99" s="150"/>
      <c r="AP99" s="150"/>
      <c r="AQ99" s="150"/>
      <c r="AR99" s="150"/>
      <c r="AS99" s="172">
        <f t="shared" si="38"/>
        <v>0</v>
      </c>
      <c r="AT99" s="234">
        <f>AS99+'UM-4 - 2T'!AS99+'UM-4 - Dia'!AS99</f>
        <v>0</v>
      </c>
    </row>
    <row r="100" spans="1:46">
      <c r="A100" s="253"/>
      <c r="B100" s="137">
        <f t="shared" si="10"/>
        <v>980</v>
      </c>
      <c r="C100" s="142" t="str">
        <f>VLOOKUP(B100,'Tipos de Defeitos'!B$4:E$106,Menu!$B$23+1,)</f>
        <v>PVC Comprido</v>
      </c>
      <c r="D100" s="150"/>
      <c r="E100" s="150"/>
      <c r="F100" s="150"/>
      <c r="G100" s="150"/>
      <c r="H100" s="150"/>
      <c r="I100" s="150"/>
      <c r="J100" s="150"/>
      <c r="K100" s="150"/>
      <c r="L100" s="150"/>
      <c r="M100" s="150"/>
      <c r="N100" s="150"/>
      <c r="O100" s="150"/>
      <c r="P100" s="150"/>
      <c r="Q100" s="150"/>
      <c r="R100" s="150"/>
      <c r="S100" s="150"/>
      <c r="T100" s="150"/>
      <c r="U100" s="150"/>
      <c r="V100" s="150"/>
      <c r="W100" s="150"/>
      <c r="X100" s="150"/>
      <c r="Y100" s="150"/>
      <c r="Z100" s="150"/>
      <c r="AA100" s="150"/>
      <c r="AB100" s="150"/>
      <c r="AC100" s="150"/>
      <c r="AD100" s="150"/>
      <c r="AE100" s="150"/>
      <c r="AF100" s="150"/>
      <c r="AG100" s="150"/>
      <c r="AH100" s="150"/>
      <c r="AI100" s="150"/>
      <c r="AJ100" s="150"/>
      <c r="AK100" s="150"/>
      <c r="AL100" s="150"/>
      <c r="AM100" s="150"/>
      <c r="AN100" s="150"/>
      <c r="AO100" s="150"/>
      <c r="AP100" s="150"/>
      <c r="AQ100" s="150"/>
      <c r="AR100" s="150"/>
      <c r="AS100" s="172">
        <f t="shared" si="38"/>
        <v>0</v>
      </c>
      <c r="AT100" s="234">
        <f>AS100+'UM-4 - 2T'!AS100+'UM-4 - Dia'!AS100</f>
        <v>0</v>
      </c>
    </row>
    <row r="101" spans="1:46">
      <c r="A101" s="253"/>
      <c r="B101" s="137">
        <f t="shared" si="10"/>
        <v>990</v>
      </c>
      <c r="C101" s="142" t="str">
        <f>VLOOKUP(B101,'Tipos de Defeitos'!B$4:E$106,Menu!$B$23+1,)</f>
        <v>Causa Desconhecida - Amperagem</v>
      </c>
      <c r="D101" s="150"/>
      <c r="E101" s="150"/>
      <c r="F101" s="150"/>
      <c r="G101" s="150"/>
      <c r="H101" s="150"/>
      <c r="I101" s="150"/>
      <c r="J101" s="150"/>
      <c r="K101" s="150"/>
      <c r="L101" s="150"/>
      <c r="M101" s="150"/>
      <c r="N101" s="150"/>
      <c r="O101" s="150"/>
      <c r="P101" s="150"/>
      <c r="Q101" s="150"/>
      <c r="R101" s="150"/>
      <c r="S101" s="150"/>
      <c r="T101" s="150"/>
      <c r="U101" s="150"/>
      <c r="V101" s="150"/>
      <c r="W101" s="150"/>
      <c r="X101" s="150"/>
      <c r="Y101" s="150"/>
      <c r="Z101" s="150"/>
      <c r="AA101" s="150"/>
      <c r="AB101" s="150"/>
      <c r="AC101" s="150"/>
      <c r="AD101" s="150"/>
      <c r="AE101" s="150"/>
      <c r="AF101" s="150"/>
      <c r="AG101" s="150"/>
      <c r="AH101" s="150"/>
      <c r="AI101" s="150"/>
      <c r="AJ101" s="150"/>
      <c r="AK101" s="150"/>
      <c r="AL101" s="150"/>
      <c r="AM101" s="150"/>
      <c r="AN101" s="150"/>
      <c r="AO101" s="150"/>
      <c r="AP101" s="150"/>
      <c r="AQ101" s="150"/>
      <c r="AR101" s="150"/>
      <c r="AS101" s="172">
        <f t="shared" si="38"/>
        <v>0</v>
      </c>
      <c r="AT101" s="234">
        <f>AS101+'UM-4 - 2T'!AS101+'UM-4 - Dia'!AS101</f>
        <v>0</v>
      </c>
    </row>
    <row r="102" spans="1:46" ht="13.5" thickBot="1">
      <c r="A102" s="253"/>
      <c r="B102" s="154">
        <f t="shared" si="10"/>
        <v>1000</v>
      </c>
      <c r="C102" s="155" t="str">
        <f>VLOOKUP(B102,'Tipos de Defeitos'!B$4:E$106,Menu!$B$23+1,)</f>
        <v>Outros - Amperagem</v>
      </c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  <c r="AA102" s="211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1"/>
      <c r="AP102" s="211"/>
      <c r="AQ102" s="211"/>
      <c r="AR102" s="211"/>
      <c r="AS102" s="204">
        <f t="shared" si="38"/>
        <v>0</v>
      </c>
      <c r="AT102" s="234">
        <f>AS102+'UM-4 - 2T'!AS102+'UM-4 - Dia'!AS102</f>
        <v>0</v>
      </c>
    </row>
    <row r="103" spans="1:46">
      <c r="A103" s="258" t="s">
        <v>207</v>
      </c>
      <c r="B103" s="139">
        <f t="shared" si="10"/>
        <v>1010</v>
      </c>
      <c r="C103" s="113" t="str">
        <f>VLOOKUP(B103,'Tipos de Defeitos'!B$4:E$106,Menu!$B$23+1,)</f>
        <v>Total</v>
      </c>
      <c r="D103" s="170">
        <f t="shared" ref="D103" si="39">SUM(D86:D102)</f>
        <v>0</v>
      </c>
      <c r="E103" s="170">
        <f t="shared" ref="E103" si="40">SUM(E86:E102)</f>
        <v>0</v>
      </c>
      <c r="F103" s="170">
        <f t="shared" ref="F103" si="41">SUM(F86:F102)</f>
        <v>0</v>
      </c>
      <c r="G103" s="170">
        <f t="shared" ref="G103:AR103" si="42">SUM(G86:G102)</f>
        <v>0</v>
      </c>
      <c r="H103" s="170">
        <f t="shared" si="42"/>
        <v>0</v>
      </c>
      <c r="I103" s="170">
        <f t="shared" si="42"/>
        <v>0</v>
      </c>
      <c r="J103" s="170">
        <f t="shared" si="42"/>
        <v>0</v>
      </c>
      <c r="K103" s="170">
        <f t="shared" si="42"/>
        <v>0</v>
      </c>
      <c r="L103" s="170">
        <f t="shared" si="42"/>
        <v>0</v>
      </c>
      <c r="M103" s="170">
        <f t="shared" si="42"/>
        <v>0</v>
      </c>
      <c r="N103" s="170">
        <f t="shared" si="42"/>
        <v>0</v>
      </c>
      <c r="O103" s="170">
        <f t="shared" si="42"/>
        <v>0</v>
      </c>
      <c r="P103" s="170">
        <f t="shared" si="42"/>
        <v>0</v>
      </c>
      <c r="Q103" s="170">
        <f t="shared" si="42"/>
        <v>0</v>
      </c>
      <c r="R103" s="170">
        <f t="shared" si="42"/>
        <v>0</v>
      </c>
      <c r="S103" s="170">
        <f t="shared" si="42"/>
        <v>0</v>
      </c>
      <c r="T103" s="170">
        <f t="shared" si="42"/>
        <v>0</v>
      </c>
      <c r="U103" s="170">
        <f t="shared" si="42"/>
        <v>0</v>
      </c>
      <c r="V103" s="170">
        <f t="shared" si="42"/>
        <v>0</v>
      </c>
      <c r="W103" s="170">
        <f t="shared" si="42"/>
        <v>0</v>
      </c>
      <c r="X103" s="170">
        <f t="shared" si="42"/>
        <v>0</v>
      </c>
      <c r="Y103" s="170">
        <f t="shared" si="42"/>
        <v>0</v>
      </c>
      <c r="Z103" s="170">
        <f t="shared" si="42"/>
        <v>0</v>
      </c>
      <c r="AA103" s="170">
        <f t="shared" si="42"/>
        <v>0</v>
      </c>
      <c r="AB103" s="170">
        <f t="shared" si="42"/>
        <v>0</v>
      </c>
      <c r="AC103" s="170">
        <f t="shared" si="42"/>
        <v>0</v>
      </c>
      <c r="AD103" s="170">
        <f t="shared" si="42"/>
        <v>0</v>
      </c>
      <c r="AE103" s="170">
        <f t="shared" si="42"/>
        <v>0</v>
      </c>
      <c r="AF103" s="170">
        <f t="shared" si="42"/>
        <v>0</v>
      </c>
      <c r="AG103" s="170">
        <f t="shared" si="42"/>
        <v>0</v>
      </c>
      <c r="AH103" s="170">
        <f t="shared" si="42"/>
        <v>0</v>
      </c>
      <c r="AI103" s="170">
        <f t="shared" si="42"/>
        <v>0</v>
      </c>
      <c r="AJ103" s="170">
        <f t="shared" si="42"/>
        <v>0</v>
      </c>
      <c r="AK103" s="170">
        <f t="shared" si="42"/>
        <v>0</v>
      </c>
      <c r="AL103" s="170">
        <f t="shared" si="42"/>
        <v>0</v>
      </c>
      <c r="AM103" s="170">
        <f t="shared" si="42"/>
        <v>0</v>
      </c>
      <c r="AN103" s="170">
        <f t="shared" si="42"/>
        <v>0</v>
      </c>
      <c r="AO103" s="170">
        <f t="shared" si="42"/>
        <v>0</v>
      </c>
      <c r="AP103" s="170">
        <f t="shared" si="42"/>
        <v>0</v>
      </c>
      <c r="AQ103" s="170">
        <f t="shared" si="42"/>
        <v>0</v>
      </c>
      <c r="AR103" s="170">
        <f t="shared" si="42"/>
        <v>0</v>
      </c>
      <c r="AS103" s="171">
        <f t="shared" si="38"/>
        <v>0</v>
      </c>
      <c r="AT103" s="234">
        <f>AS103+'UM-4 - 2T'!AS103+'UM-4 - Dia'!AS103</f>
        <v>0</v>
      </c>
    </row>
    <row r="104" spans="1:46">
      <c r="A104" s="259"/>
      <c r="B104" s="137">
        <f t="shared" si="10"/>
        <v>1020</v>
      </c>
      <c r="C104" s="104" t="str">
        <f>VLOOKUP(B104,'Tipos de Defeitos'!B$4:E$106,Menu!$B$23+1,)</f>
        <v>Taxa defeituosa (ppm)</v>
      </c>
      <c r="D104" s="197" t="str">
        <f t="shared" ref="D104" si="43">IF(D27&lt;&gt;0,D103/D27*D24/D22*1000000,"")</f>
        <v/>
      </c>
      <c r="E104" s="197" t="str">
        <f t="shared" ref="E104" si="44">IF(E27&lt;&gt;0,E103/E27*E24/E22*1000000,"")</f>
        <v/>
      </c>
      <c r="F104" s="197" t="str">
        <f t="shared" ref="F104" si="45">IF(F27&lt;&gt;0,F103/F27*F24/F22*1000000,"")</f>
        <v/>
      </c>
      <c r="G104" s="197" t="str">
        <f t="shared" ref="G104:AR104" si="46">IF(G27&lt;&gt;0,G103/G27*G24/G22*1000000,"")</f>
        <v/>
      </c>
      <c r="H104" s="197" t="str">
        <f t="shared" si="46"/>
        <v/>
      </c>
      <c r="I104" s="197" t="str">
        <f t="shared" si="46"/>
        <v/>
      </c>
      <c r="J104" s="197" t="str">
        <f t="shared" si="46"/>
        <v/>
      </c>
      <c r="K104" s="197" t="str">
        <f t="shared" si="46"/>
        <v/>
      </c>
      <c r="L104" s="197" t="str">
        <f t="shared" si="46"/>
        <v/>
      </c>
      <c r="M104" s="197" t="str">
        <f t="shared" si="46"/>
        <v/>
      </c>
      <c r="N104" s="197" t="str">
        <f t="shared" si="46"/>
        <v/>
      </c>
      <c r="O104" s="197" t="str">
        <f t="shared" si="46"/>
        <v/>
      </c>
      <c r="P104" s="197" t="str">
        <f t="shared" si="46"/>
        <v/>
      </c>
      <c r="Q104" s="197" t="str">
        <f t="shared" si="46"/>
        <v/>
      </c>
      <c r="R104" s="197" t="str">
        <f t="shared" si="46"/>
        <v/>
      </c>
      <c r="S104" s="197" t="str">
        <f t="shared" si="46"/>
        <v/>
      </c>
      <c r="T104" s="197" t="str">
        <f t="shared" si="46"/>
        <v/>
      </c>
      <c r="U104" s="197" t="str">
        <f t="shared" si="46"/>
        <v/>
      </c>
      <c r="V104" s="197" t="str">
        <f t="shared" si="46"/>
        <v/>
      </c>
      <c r="W104" s="197" t="str">
        <f t="shared" si="46"/>
        <v/>
      </c>
      <c r="X104" s="197" t="str">
        <f t="shared" si="46"/>
        <v/>
      </c>
      <c r="Y104" s="197" t="str">
        <f t="shared" si="46"/>
        <v/>
      </c>
      <c r="Z104" s="197" t="str">
        <f t="shared" si="46"/>
        <v/>
      </c>
      <c r="AA104" s="197" t="str">
        <f t="shared" si="46"/>
        <v/>
      </c>
      <c r="AB104" s="197" t="str">
        <f t="shared" si="46"/>
        <v/>
      </c>
      <c r="AC104" s="197" t="str">
        <f t="shared" si="46"/>
        <v/>
      </c>
      <c r="AD104" s="197" t="str">
        <f t="shared" si="46"/>
        <v/>
      </c>
      <c r="AE104" s="197" t="str">
        <f t="shared" si="46"/>
        <v/>
      </c>
      <c r="AF104" s="197" t="str">
        <f t="shared" si="46"/>
        <v/>
      </c>
      <c r="AG104" s="197" t="str">
        <f t="shared" si="46"/>
        <v/>
      </c>
      <c r="AH104" s="197" t="str">
        <f t="shared" si="46"/>
        <v/>
      </c>
      <c r="AI104" s="197" t="str">
        <f t="shared" si="46"/>
        <v/>
      </c>
      <c r="AJ104" s="197" t="str">
        <f t="shared" si="46"/>
        <v/>
      </c>
      <c r="AK104" s="197" t="str">
        <f t="shared" si="46"/>
        <v/>
      </c>
      <c r="AL104" s="197" t="str">
        <f t="shared" si="46"/>
        <v/>
      </c>
      <c r="AM104" s="197" t="str">
        <f t="shared" si="46"/>
        <v/>
      </c>
      <c r="AN104" s="197" t="str">
        <f t="shared" si="46"/>
        <v/>
      </c>
      <c r="AO104" s="197" t="str">
        <f t="shared" si="46"/>
        <v/>
      </c>
      <c r="AP104" s="197" t="str">
        <f t="shared" si="46"/>
        <v/>
      </c>
      <c r="AQ104" s="197" t="str">
        <f t="shared" si="46"/>
        <v/>
      </c>
      <c r="AR104" s="197" t="str">
        <f t="shared" si="46"/>
        <v/>
      </c>
      <c r="AS104" s="186" t="str">
        <f>IF(AS27&lt;&gt;0,AS103/AS27*AS24/AS7*1000000,"")</f>
        <v/>
      </c>
      <c r="AT104" s="71" t="e">
        <f>AT103/AT27*AT24/AT7*1000000</f>
        <v>#DIV/0!</v>
      </c>
    </row>
    <row r="105" spans="1:46" ht="13.5" thickBot="1">
      <c r="A105" s="260"/>
      <c r="B105" s="140">
        <f t="shared" si="10"/>
        <v>1030</v>
      </c>
      <c r="C105" s="105" t="str">
        <f>VLOOKUP(B105,'Tipos de Defeitos'!B$4:E$106,Menu!$B$23+1,)</f>
        <v>Taxa Defeituosa Total (ppm)</v>
      </c>
      <c r="D105" s="198" t="str">
        <f t="shared" ref="D105" si="47">IF(D24&gt;0,D24/D7*1000000,"")</f>
        <v/>
      </c>
      <c r="E105" s="198" t="str">
        <f t="shared" ref="E105" si="48">IF(E24&gt;0,E24/E7*1000000,"")</f>
        <v/>
      </c>
      <c r="F105" s="198" t="str">
        <f t="shared" ref="F105" si="49">IF(F24&gt;0,F24/F7*1000000,"")</f>
        <v/>
      </c>
      <c r="G105" s="198" t="str">
        <f t="shared" ref="G105:AR105" si="50">IF(G24&gt;0,G24/G7*1000000,"")</f>
        <v/>
      </c>
      <c r="H105" s="198" t="str">
        <f t="shared" si="50"/>
        <v/>
      </c>
      <c r="I105" s="198" t="str">
        <f t="shared" si="50"/>
        <v/>
      </c>
      <c r="J105" s="198" t="str">
        <f t="shared" si="50"/>
        <v/>
      </c>
      <c r="K105" s="198" t="str">
        <f t="shared" si="50"/>
        <v/>
      </c>
      <c r="L105" s="198" t="str">
        <f t="shared" si="50"/>
        <v/>
      </c>
      <c r="M105" s="198" t="str">
        <f t="shared" si="50"/>
        <v/>
      </c>
      <c r="N105" s="198" t="str">
        <f t="shared" si="50"/>
        <v/>
      </c>
      <c r="O105" s="198" t="str">
        <f t="shared" si="50"/>
        <v/>
      </c>
      <c r="P105" s="198" t="str">
        <f t="shared" si="50"/>
        <v/>
      </c>
      <c r="Q105" s="198" t="str">
        <f t="shared" si="50"/>
        <v/>
      </c>
      <c r="R105" s="198" t="str">
        <f t="shared" si="50"/>
        <v/>
      </c>
      <c r="S105" s="198" t="str">
        <f t="shared" si="50"/>
        <v/>
      </c>
      <c r="T105" s="198" t="str">
        <f t="shared" si="50"/>
        <v/>
      </c>
      <c r="U105" s="198" t="str">
        <f t="shared" si="50"/>
        <v/>
      </c>
      <c r="V105" s="198" t="str">
        <f t="shared" si="50"/>
        <v/>
      </c>
      <c r="W105" s="198" t="str">
        <f t="shared" si="50"/>
        <v/>
      </c>
      <c r="X105" s="198" t="str">
        <f t="shared" si="50"/>
        <v/>
      </c>
      <c r="Y105" s="198" t="str">
        <f t="shared" si="50"/>
        <v/>
      </c>
      <c r="Z105" s="198" t="str">
        <f t="shared" si="50"/>
        <v/>
      </c>
      <c r="AA105" s="198" t="str">
        <f t="shared" si="50"/>
        <v/>
      </c>
      <c r="AB105" s="198" t="str">
        <f t="shared" si="50"/>
        <v/>
      </c>
      <c r="AC105" s="198" t="str">
        <f t="shared" si="50"/>
        <v/>
      </c>
      <c r="AD105" s="198" t="str">
        <f t="shared" si="50"/>
        <v/>
      </c>
      <c r="AE105" s="198" t="str">
        <f t="shared" si="50"/>
        <v/>
      </c>
      <c r="AF105" s="198" t="str">
        <f t="shared" si="50"/>
        <v/>
      </c>
      <c r="AG105" s="198" t="str">
        <f t="shared" si="50"/>
        <v/>
      </c>
      <c r="AH105" s="198" t="str">
        <f t="shared" si="50"/>
        <v/>
      </c>
      <c r="AI105" s="198" t="str">
        <f t="shared" si="50"/>
        <v/>
      </c>
      <c r="AJ105" s="198" t="str">
        <f t="shared" si="50"/>
        <v/>
      </c>
      <c r="AK105" s="198" t="str">
        <f t="shared" si="50"/>
        <v/>
      </c>
      <c r="AL105" s="198" t="str">
        <f t="shared" si="50"/>
        <v/>
      </c>
      <c r="AM105" s="198" t="str">
        <f t="shared" si="50"/>
        <v/>
      </c>
      <c r="AN105" s="198" t="str">
        <f t="shared" si="50"/>
        <v/>
      </c>
      <c r="AO105" s="198" t="str">
        <f t="shared" si="50"/>
        <v/>
      </c>
      <c r="AP105" s="198" t="str">
        <f t="shared" si="50"/>
        <v/>
      </c>
      <c r="AQ105" s="198" t="str">
        <f t="shared" si="50"/>
        <v/>
      </c>
      <c r="AR105" s="198" t="str">
        <f t="shared" si="50"/>
        <v/>
      </c>
      <c r="AS105" s="205" t="str">
        <f>IF(AS24&gt;0,AS24/AS7*1000000,"")</f>
        <v/>
      </c>
    </row>
    <row r="106" spans="1:46">
      <c r="A106" s="73"/>
      <c r="B106" s="230"/>
      <c r="D106" s="231"/>
      <c r="E106" s="231"/>
      <c r="F106" s="231"/>
      <c r="G106" s="231"/>
      <c r="H106" s="231"/>
      <c r="I106" s="231"/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  <c r="U106" s="231"/>
      <c r="V106" s="231"/>
      <c r="W106" s="231"/>
      <c r="X106" s="231"/>
      <c r="Y106" s="231"/>
      <c r="Z106" s="231"/>
      <c r="AA106" s="231"/>
      <c r="AB106" s="231"/>
      <c r="AC106" s="231"/>
      <c r="AD106" s="231"/>
      <c r="AE106" s="231"/>
      <c r="AF106" s="231"/>
      <c r="AG106" s="231"/>
      <c r="AH106" s="231"/>
      <c r="AI106" s="231"/>
      <c r="AJ106" s="231"/>
      <c r="AK106" s="231"/>
      <c r="AL106" s="231"/>
      <c r="AM106" s="231"/>
      <c r="AN106" s="231"/>
      <c r="AO106" s="231"/>
      <c r="AP106" s="231"/>
      <c r="AQ106" s="231"/>
      <c r="AR106" s="231"/>
      <c r="AS106" s="231"/>
    </row>
    <row r="107" spans="1:46">
      <c r="A107" s="73"/>
      <c r="B107" s="230"/>
      <c r="C107" s="221"/>
      <c r="D107" s="231" t="e">
        <f>(D74+D73)/D23*D20/D18*1000000</f>
        <v>#DIV/0!</v>
      </c>
      <c r="E107" s="231" t="e">
        <f t="shared" ref="E107:F107" si="51">(E74+E73)/E23*E20/E18*1000000</f>
        <v>#DIV/0!</v>
      </c>
      <c r="F107" s="231" t="e">
        <f t="shared" si="51"/>
        <v>#DIV/0!</v>
      </c>
      <c r="G107" s="231" t="e">
        <f>(G74+G73)/G23*G20/G18*1000000</f>
        <v>#DIV/0!</v>
      </c>
      <c r="H107" s="231" t="e">
        <f>(H74+H73)/H23*H20/H18*1000000</f>
        <v>#DIV/0!</v>
      </c>
      <c r="I107" s="231" t="e">
        <f t="shared" ref="I107:AR107" si="52">(I74+I73)/I23*I20/I18*1000000</f>
        <v>#DIV/0!</v>
      </c>
      <c r="J107" s="231" t="e">
        <f t="shared" si="52"/>
        <v>#DIV/0!</v>
      </c>
      <c r="K107" s="231" t="e">
        <f t="shared" si="52"/>
        <v>#DIV/0!</v>
      </c>
      <c r="L107" s="231" t="e">
        <f t="shared" si="52"/>
        <v>#DIV/0!</v>
      </c>
      <c r="M107" s="231"/>
      <c r="N107" s="231"/>
      <c r="O107" s="231"/>
      <c r="P107" s="231"/>
      <c r="Q107" s="231"/>
      <c r="R107" s="231"/>
      <c r="S107" s="231"/>
      <c r="T107" s="231"/>
      <c r="U107" s="231"/>
      <c r="V107" s="231"/>
      <c r="W107" s="231"/>
      <c r="X107" s="231"/>
      <c r="Y107" s="231"/>
      <c r="Z107" s="231"/>
      <c r="AA107" s="231"/>
      <c r="AB107" s="231"/>
      <c r="AC107" s="231"/>
      <c r="AD107" s="231"/>
      <c r="AE107" s="231"/>
      <c r="AF107" s="231" t="e">
        <f t="shared" si="52"/>
        <v>#DIV/0!</v>
      </c>
      <c r="AG107" s="231"/>
      <c r="AH107" s="231"/>
      <c r="AI107" s="231"/>
      <c r="AJ107" s="231"/>
      <c r="AK107" s="231"/>
      <c r="AL107" s="231"/>
      <c r="AM107" s="231"/>
      <c r="AN107" s="231"/>
      <c r="AO107" s="231"/>
      <c r="AP107" s="231"/>
      <c r="AQ107" s="231" t="e">
        <f t="shared" si="52"/>
        <v>#DIV/0!</v>
      </c>
      <c r="AR107" s="231" t="e">
        <f t="shared" si="52"/>
        <v>#DIV/0!</v>
      </c>
      <c r="AS107" s="231"/>
    </row>
    <row r="108" spans="1:46">
      <c r="A108" s="73"/>
      <c r="B108" s="230">
        <v>10</v>
      </c>
      <c r="D108" s="231"/>
      <c r="E108" s="231"/>
      <c r="F108" s="231"/>
      <c r="G108" s="231"/>
      <c r="H108" s="231"/>
      <c r="I108" s="231"/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  <c r="U108" s="231"/>
      <c r="V108" s="231"/>
      <c r="W108" s="231"/>
      <c r="X108" s="231"/>
      <c r="Y108" s="231"/>
      <c r="Z108" s="231"/>
      <c r="AA108" s="231"/>
      <c r="AB108" s="231"/>
      <c r="AC108" s="231"/>
      <c r="AD108" s="231"/>
      <c r="AE108" s="231"/>
      <c r="AF108" s="231"/>
      <c r="AG108" s="231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</row>
    <row r="109" spans="1:46">
      <c r="A109" s="73"/>
      <c r="B109" s="230"/>
      <c r="D109" s="231"/>
      <c r="E109" s="231"/>
      <c r="F109" s="231"/>
      <c r="G109" s="231"/>
      <c r="H109" s="231"/>
      <c r="I109" s="231"/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  <c r="U109" s="231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</row>
    <row r="110" spans="1:46">
      <c r="D110" s="65"/>
      <c r="E110" s="65"/>
      <c r="F110" s="65"/>
      <c r="G110" s="65"/>
      <c r="I110" s="65"/>
      <c r="J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H110" s="65"/>
      <c r="AI110" s="65"/>
      <c r="AJ110" s="65"/>
      <c r="AK110" s="65"/>
      <c r="AL110" s="65"/>
      <c r="AM110" s="65"/>
      <c r="AN110" s="65"/>
      <c r="AO110" s="65"/>
      <c r="AP110" s="65"/>
      <c r="AQ110" s="65"/>
    </row>
    <row r="111" spans="1:46">
      <c r="D111" s="65"/>
      <c r="E111" s="65"/>
      <c r="F111" s="65"/>
      <c r="G111" s="65"/>
      <c r="I111" s="65"/>
      <c r="J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H111" s="65"/>
      <c r="AI111" s="65"/>
      <c r="AJ111" s="65"/>
      <c r="AK111" s="65"/>
      <c r="AL111" s="65"/>
      <c r="AM111" s="65"/>
      <c r="AN111" s="65"/>
      <c r="AO111" s="65"/>
      <c r="AP111" s="65"/>
      <c r="AQ111" s="65"/>
    </row>
    <row r="112" spans="1:46">
      <c r="C112" s="64">
        <v>1</v>
      </c>
    </row>
    <row r="131" spans="4:44" s="65" customFormat="1">
      <c r="D131" s="232" t="str">
        <f ca="1">D2</f>
        <v>03 / 2022</v>
      </c>
      <c r="E131" s="232">
        <f t="shared" ref="E131:F131" si="53">E2</f>
        <v>0</v>
      </c>
      <c r="F131" s="232">
        <f t="shared" si="53"/>
        <v>0</v>
      </c>
      <c r="G131" s="232">
        <f>G2</f>
        <v>0</v>
      </c>
      <c r="H131" s="232">
        <f>H2</f>
        <v>0</v>
      </c>
      <c r="I131" s="232">
        <f>I2</f>
        <v>0</v>
      </c>
      <c r="J131" s="232">
        <f>J2</f>
        <v>0</v>
      </c>
      <c r="K131" s="232"/>
      <c r="L131" s="232">
        <f>L2</f>
        <v>0</v>
      </c>
      <c r="M131" s="232"/>
      <c r="N131" s="232"/>
      <c r="O131" s="232"/>
      <c r="P131" s="232"/>
      <c r="Q131" s="232"/>
      <c r="R131" s="232"/>
      <c r="S131" s="232"/>
      <c r="T131" s="232"/>
      <c r="U131" s="232"/>
      <c r="V131" s="232"/>
      <c r="W131" s="232"/>
      <c r="X131" s="232"/>
      <c r="Y131" s="232"/>
      <c r="Z131" s="232"/>
      <c r="AA131" s="232"/>
      <c r="AB131" s="232"/>
      <c r="AC131" s="232"/>
      <c r="AD131" s="232"/>
      <c r="AE131" s="232"/>
      <c r="AF131" s="232">
        <f>AF2</f>
        <v>0</v>
      </c>
      <c r="AG131" s="232"/>
      <c r="AH131" s="232"/>
      <c r="AI131" s="232"/>
      <c r="AJ131" s="232"/>
      <c r="AK131" s="232"/>
      <c r="AL131" s="232"/>
      <c r="AM131" s="232"/>
      <c r="AN131" s="232"/>
      <c r="AO131" s="232"/>
      <c r="AP131" s="232"/>
      <c r="AQ131" s="232"/>
      <c r="AR131" s="232">
        <f>AR2</f>
        <v>0</v>
      </c>
    </row>
  </sheetData>
  <sheetProtection algorithmName="SHA-512" hashValue="yC1L6t8lhZh8u8IdPRc8u7hE4DeJtUqmCWlONM5EJAegPV5R43yQOi/ugNSBJG0clKkzkCoglhxXJAQMay4H8g==" saltValue="5SK27YfA/UvQE4emwXucnA==" spinCount="100000" sheet="1" objects="1" scenarios="1" selectLockedCells="1"/>
  <mergeCells count="7">
    <mergeCell ref="A86:A102"/>
    <mergeCell ref="A103:A105"/>
    <mergeCell ref="A3:A22"/>
    <mergeCell ref="A23:A27"/>
    <mergeCell ref="A28:A77"/>
    <mergeCell ref="A78:A82"/>
    <mergeCell ref="A83:A85"/>
  </mergeCells>
  <phoneticPr fontId="20" type="noConversion"/>
  <conditionalFormatting sqref="B25:AS105 B23:C24 J23:AS24 B2:AS22">
    <cfRule type="expression" dxfId="31" priority="733">
      <formula>MOD(ROW(),2)</formula>
    </cfRule>
  </conditionalFormatting>
  <conditionalFormatting sqref="D25:AS27 J23:AS24 D7:AS22">
    <cfRule type="expression" dxfId="30" priority="77">
      <formula>D$27&lt;&gt;(D$78+D$103)</formula>
    </cfRule>
  </conditionalFormatting>
  <conditionalFormatting sqref="D23:D24">
    <cfRule type="expression" dxfId="29" priority="12">
      <formula>MOD(ROW(),2)</formula>
    </cfRule>
  </conditionalFormatting>
  <conditionalFormatting sqref="D23:D24">
    <cfRule type="expression" dxfId="28" priority="11">
      <formula>D$27&lt;&gt;(D$78+D$103)</formula>
    </cfRule>
  </conditionalFormatting>
  <conditionalFormatting sqref="E23:E24">
    <cfRule type="expression" dxfId="27" priority="10">
      <formula>MOD(ROW(),2)</formula>
    </cfRule>
  </conditionalFormatting>
  <conditionalFormatting sqref="E23:E24">
    <cfRule type="expression" dxfId="26" priority="9">
      <formula>E$27&lt;&gt;(E$78+E$103)</formula>
    </cfRule>
  </conditionalFormatting>
  <conditionalFormatting sqref="F23:F24">
    <cfRule type="expression" dxfId="25" priority="8">
      <formula>MOD(ROW(),2)</formula>
    </cfRule>
  </conditionalFormatting>
  <conditionalFormatting sqref="F23:F24">
    <cfRule type="expression" dxfId="24" priority="7">
      <formula>F$27&lt;&gt;(F$78+F$103)</formula>
    </cfRule>
  </conditionalFormatting>
  <conditionalFormatting sqref="G23:G24">
    <cfRule type="expression" dxfId="23" priority="6">
      <formula>MOD(ROW(),2)</formula>
    </cfRule>
  </conditionalFormatting>
  <conditionalFormatting sqref="G23:G24">
    <cfRule type="expression" dxfId="22" priority="5">
      <formula>G$27&lt;&gt;(G$78+G$103)</formula>
    </cfRule>
  </conditionalFormatting>
  <conditionalFormatting sqref="H23:H24">
    <cfRule type="expression" dxfId="21" priority="4">
      <formula>MOD(ROW(),2)</formula>
    </cfRule>
  </conditionalFormatting>
  <conditionalFormatting sqref="H23:H24">
    <cfRule type="expression" dxfId="20" priority="3">
      <formula>H$27&lt;&gt;(H$78+H$103)</formula>
    </cfRule>
  </conditionalFormatting>
  <conditionalFormatting sqref="I23:I24">
    <cfRule type="expression" dxfId="19" priority="2">
      <formula>MOD(ROW(),2)</formula>
    </cfRule>
  </conditionalFormatting>
  <conditionalFormatting sqref="I23:I24">
    <cfRule type="expression" dxfId="18" priority="1">
      <formula>I$27&lt;&gt;(I$78+I$103)</formula>
    </cfRule>
  </conditionalFormatting>
  <dataValidations disablePrompts="1" count="1">
    <dataValidation type="list" allowBlank="1" showInputMessage="1" showErrorMessage="1" sqref="D6:AS6">
      <formula1>PRODUTOS</formula1>
    </dataValidation>
  </dataValidations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K101"/>
  <sheetViews>
    <sheetView zoomScaleNormal="100" workbookViewId="0">
      <pane xSplit="4" ySplit="11" topLeftCell="E63" activePane="bottomRight" state="frozen"/>
      <selection pane="topRight" activeCell="D1" sqref="D1"/>
      <selection pane="bottomLeft" activeCell="A12" sqref="A12"/>
      <selection pane="bottomRight" activeCell="G8" sqref="G8"/>
    </sheetView>
  </sheetViews>
  <sheetFormatPr defaultColWidth="10.28515625" defaultRowHeight="12.75"/>
  <cols>
    <col min="1" max="1" width="3.28515625" style="64" bestFit="1" customWidth="1"/>
    <col min="2" max="2" width="3.28515625" style="64" customWidth="1"/>
    <col min="3" max="3" width="5" style="64" bestFit="1" customWidth="1"/>
    <col min="4" max="4" width="33.7109375" style="64" customWidth="1"/>
    <col min="5" max="5" width="12.42578125" style="64" bestFit="1" customWidth="1"/>
    <col min="6" max="8" width="10.28515625" style="64" customWidth="1"/>
    <col min="9" max="9" width="14.42578125" style="64" customWidth="1"/>
    <col min="10" max="10" width="10.140625" style="64" customWidth="1"/>
    <col min="11" max="16384" width="10.28515625" style="64"/>
  </cols>
  <sheetData>
    <row r="1" spans="1:11" ht="13.5" thickBot="1">
      <c r="D1" s="64" t="str">
        <f>"Turno:"&amp;E1</f>
        <v>Turno:Dia</v>
      </c>
      <c r="E1" s="174" t="s">
        <v>236</v>
      </c>
      <c r="F1" s="221" t="s">
        <v>358</v>
      </c>
      <c r="G1" s="221" t="s">
        <v>359</v>
      </c>
      <c r="H1" s="221" t="s">
        <v>264</v>
      </c>
    </row>
    <row r="2" spans="1:11" ht="13.5" thickBot="1">
      <c r="C2" s="139">
        <v>10</v>
      </c>
      <c r="D2" s="144" t="str">
        <f>VLOOKUP(C2,'Tipos de Defeitos'!B$4:E$106,Menu!$B$23+1,)</f>
        <v>Data da Montagem</v>
      </c>
      <c r="E2" s="66">
        <v>43707</v>
      </c>
      <c r="F2" s="66"/>
      <c r="G2" s="66"/>
      <c r="H2" s="66"/>
      <c r="I2" s="64" t="s">
        <v>104</v>
      </c>
      <c r="J2" s="64" t="s">
        <v>105</v>
      </c>
      <c r="K2" s="64" t="s">
        <v>106</v>
      </c>
    </row>
    <row r="3" spans="1:11" ht="13.5" thickBot="1">
      <c r="C3" s="137">
        <v>20</v>
      </c>
      <c r="D3" s="145" t="str">
        <f>VLOOKUP(C3,'Tipos de Defeitos'!B$4:E$106,Menu!$B$23+1,)</f>
        <v>Data do Acabamento</v>
      </c>
      <c r="E3" s="66">
        <f>'UM-4 - Dia'!AS4</f>
        <v>0</v>
      </c>
      <c r="F3" s="66"/>
      <c r="G3" s="66"/>
      <c r="H3" s="66"/>
    </row>
    <row r="4" spans="1:11" ht="13.5" thickBot="1">
      <c r="C4" s="137">
        <v>30</v>
      </c>
      <c r="D4" s="145" t="str">
        <f>VLOOKUP(C4,'Tipos de Defeitos'!B$4:E$106,Menu!$B$23+1,)</f>
        <v>Descanso:</v>
      </c>
      <c r="E4" s="77">
        <f>'UM-4 - Dia'!AS5</f>
        <v>0</v>
      </c>
      <c r="F4" s="77"/>
      <c r="G4" s="77"/>
      <c r="H4" s="77"/>
    </row>
    <row r="5" spans="1:11" ht="13.5" thickBot="1">
      <c r="C5" s="137">
        <v>40</v>
      </c>
      <c r="D5" s="145" t="str">
        <f>VLOOKUP(C5,'Tipos de Defeitos'!B$4:E$106,Menu!$B$23+1,)</f>
        <v>Modelo</v>
      </c>
      <c r="E5" s="57">
        <f>'UM-4 - Dia'!AS6</f>
        <v>0</v>
      </c>
      <c r="F5" s="57"/>
      <c r="G5" s="57"/>
      <c r="H5" s="57"/>
    </row>
    <row r="6" spans="1:11" ht="13.5" thickBot="1">
      <c r="C6" s="137">
        <v>50</v>
      </c>
      <c r="D6" s="145" t="str">
        <f>VLOOKUP(C6,'Tipos de Defeitos'!B$4:E$106,Menu!$B$23+1,)</f>
        <v>Qtd de Produção (pçs)</v>
      </c>
      <c r="E6" s="67">
        <f>'UM-4 - Dia'!$AS$7</f>
        <v>0</v>
      </c>
      <c r="F6" s="67">
        <f>'UM-4 - 2T'!AS7</f>
        <v>0</v>
      </c>
      <c r="G6" s="67">
        <f>'UM-4 - 3T'!AS7</f>
        <v>0</v>
      </c>
      <c r="H6" s="67">
        <f>SUM(E6:F6)</f>
        <v>0</v>
      </c>
    </row>
    <row r="7" spans="1:11" ht="13.5" thickBot="1">
      <c r="C7" s="139">
        <v>210</v>
      </c>
      <c r="D7" s="141" t="str">
        <f>VLOOKUP(C7,'Tipos de Defeitos'!B$4:E$106,Menu!$B$23+1,)</f>
        <v>Qtd. Retestada (pçs)</v>
      </c>
      <c r="E7" s="67">
        <f>'UM-4 - Dia'!AS23</f>
        <v>0</v>
      </c>
      <c r="F7" s="67">
        <f>'UM-4 - 2T'!AS23</f>
        <v>0</v>
      </c>
      <c r="G7" s="67">
        <f>'UM-4 - 3T'!AS23</f>
        <v>0</v>
      </c>
      <c r="H7" s="67">
        <f t="shared" ref="H7:H8" si="0">SUM(E7:F7)</f>
        <v>0</v>
      </c>
    </row>
    <row r="8" spans="1:11" ht="13.5" thickBot="1">
      <c r="C8" s="137">
        <v>220</v>
      </c>
      <c r="D8" s="142" t="str">
        <f>VLOOKUP(C8,'Tipos de Defeitos'!B$4:E$106,Menu!$B$23+1,)</f>
        <v>Defeitos (Qty)</v>
      </c>
      <c r="E8" s="67">
        <f>'UM-4 - Dia'!AS24</f>
        <v>0</v>
      </c>
      <c r="F8" s="67">
        <f>TD_VA_2T</f>
        <v>0</v>
      </c>
      <c r="G8" s="67">
        <f>TD_VA_2T</f>
        <v>0</v>
      </c>
      <c r="H8" s="67">
        <f t="shared" si="0"/>
        <v>0</v>
      </c>
    </row>
    <row r="9" spans="1:11" ht="12.75" customHeight="1">
      <c r="A9" s="264" t="s">
        <v>4</v>
      </c>
      <c r="B9" s="73"/>
      <c r="C9" s="137">
        <v>230</v>
      </c>
      <c r="D9" s="142" t="str">
        <f>VLOOKUP(C9,'Tipos de Defeitos'!B$4:E$106,Menu!$B$23+1,)</f>
        <v>Voltagem (Moda)</v>
      </c>
      <c r="E9" s="68">
        <v>1.6550000000000005</v>
      </c>
      <c r="F9" s="68" t="e">
        <f>'UM-4 - 2T'!AS25</f>
        <v>#DIV/0!</v>
      </c>
      <c r="G9" s="68" t="e">
        <f>'UM-4 - 3T'!AS25</f>
        <v>#DIV/0!</v>
      </c>
      <c r="H9" s="68"/>
    </row>
    <row r="10" spans="1:11" ht="13.5" thickBot="1">
      <c r="A10" s="264"/>
      <c r="B10" s="73"/>
      <c r="C10" s="137">
        <v>240</v>
      </c>
      <c r="D10" s="142" t="str">
        <f>VLOOKUP(C10,'Tipos de Defeitos'!B$4:E$106,Menu!$B$23+1,)</f>
        <v>Voltagem (ajustada)</v>
      </c>
      <c r="E10" s="69">
        <v>1.6499999999999992</v>
      </c>
      <c r="F10" s="69" t="e">
        <f>'UM-4 - 2T'!AS26</f>
        <v>#DIV/0!</v>
      </c>
      <c r="G10" s="69" t="e">
        <f>'UM-4 - 3T'!AS26</f>
        <v>#DIV/0!</v>
      </c>
      <c r="H10" s="69"/>
    </row>
    <row r="11" spans="1:11" ht="14.25" thickTop="1" thickBot="1">
      <c r="A11" s="264"/>
      <c r="B11" s="73"/>
      <c r="C11" s="140">
        <v>250</v>
      </c>
      <c r="D11" s="143" t="str">
        <f>VLOOKUP(C11,'Tipos de Defeitos'!B$4:E$106,Menu!$B$23+1,)</f>
        <v>Qtd. Analisada (pçs)</v>
      </c>
      <c r="E11" s="58">
        <f>'UM-4 - Dia'!AS27</f>
        <v>10</v>
      </c>
      <c r="F11" s="58">
        <f>'UM-4 - 2T'!AS27</f>
        <v>0</v>
      </c>
      <c r="G11" s="58">
        <f>'UM-4 - 3T'!AS27</f>
        <v>0</v>
      </c>
      <c r="H11" s="67">
        <f>SUM(E11:F11)</f>
        <v>10</v>
      </c>
    </row>
    <row r="12" spans="1:11" ht="13.5" customHeight="1">
      <c r="A12" s="264"/>
      <c r="B12" s="74">
        <v>1</v>
      </c>
      <c r="C12" s="139">
        <v>260</v>
      </c>
      <c r="D12" s="141" t="str">
        <f>VLOOKUP(C12,'Tipos de Defeitos'!B$4:E$106,Menu!$B$23+1,)</f>
        <v>Sem Papel Separador</v>
      </c>
      <c r="E12" s="59">
        <f>'UM-4 - Dia'!AS28</f>
        <v>0</v>
      </c>
      <c r="F12" s="59">
        <f>'UM-4 - 2T'!AS28</f>
        <v>0</v>
      </c>
      <c r="G12" s="59">
        <f>'UM-4 - 3T'!AS28</f>
        <v>0</v>
      </c>
      <c r="H12" s="59">
        <f t="shared" ref="H12:H75" si="1">SUM(E12:F12)</f>
        <v>0</v>
      </c>
      <c r="I12" s="64">
        <f>INDEX($E$12:$H$78,$B12,MATCH('Dados do Gráfico Total'!$E$1,Rascunho!$E$1:$H$1,0))*1000000+B12*1000+C12</f>
        <v>1260</v>
      </c>
      <c r="J12" s="64">
        <f>LARGE(I$12:I$78,B12)</f>
        <v>7008330</v>
      </c>
      <c r="K12" s="64">
        <f>MATCH(J12,I$12:I$78,0)</f>
        <v>8</v>
      </c>
    </row>
    <row r="13" spans="1:11">
      <c r="A13" s="264"/>
      <c r="B13" s="74">
        <v>2</v>
      </c>
      <c r="C13" s="137">
        <v>270</v>
      </c>
      <c r="D13" s="142" t="str">
        <f>VLOOKUP(C13,'Tipos de Defeitos'!B$4:E$106,Menu!$B$23+1,)</f>
        <v>Papel Separador Cortado</v>
      </c>
      <c r="E13" s="59">
        <f>'UM-4 - Dia'!AS29</f>
        <v>0</v>
      </c>
      <c r="F13" s="59">
        <f>'UM-4 - 2T'!AS29</f>
        <v>0</v>
      </c>
      <c r="G13" s="59">
        <f>'UM-4 - 3T'!AS29</f>
        <v>0</v>
      </c>
      <c r="H13" s="59">
        <f t="shared" si="1"/>
        <v>0</v>
      </c>
      <c r="I13" s="64">
        <f>INDEX($E$12:$H$78,$B13,MATCH('Dados do Gráfico Total'!$E$1,Rascunho!$E$1:$H$1,0))*1000000+B13*1000+C13</f>
        <v>2270</v>
      </c>
      <c r="J13" s="64">
        <f t="shared" ref="J13:J76" si="2">LARGE(I$12:I$78,B13)</f>
        <v>2032570</v>
      </c>
      <c r="K13" s="64">
        <f t="shared" ref="K13:K76" si="3">MATCH(J13,I$12:I$78,0)</f>
        <v>32</v>
      </c>
    </row>
    <row r="14" spans="1:11">
      <c r="A14" s="264"/>
      <c r="B14" s="74">
        <v>3</v>
      </c>
      <c r="C14" s="137">
        <v>280</v>
      </c>
      <c r="D14" s="142" t="str">
        <f>VLOOKUP(C14,'Tipos de Defeitos'!B$4:E$106,Menu!$B$23+1,)</f>
        <v>Papel Separador Rasgado</v>
      </c>
      <c r="E14" s="59">
        <f>'UM-4 - Dia'!AS30</f>
        <v>0</v>
      </c>
      <c r="F14" s="59">
        <f>'UM-4 - 2T'!AS30</f>
        <v>0</v>
      </c>
      <c r="G14" s="59">
        <f>'UM-4 - 3T'!AS30</f>
        <v>0</v>
      </c>
      <c r="H14" s="59">
        <f t="shared" si="1"/>
        <v>0</v>
      </c>
      <c r="I14" s="64">
        <f>INDEX($E$12:$H$78,$B14,MATCH('Dados do Gráfico Total'!$E$1,Rascunho!$E$1:$H$1,0))*1000000+B14*1000+C14</f>
        <v>3280</v>
      </c>
      <c r="J14" s="64">
        <f t="shared" si="2"/>
        <v>1041660</v>
      </c>
      <c r="K14" s="64">
        <f t="shared" si="3"/>
        <v>41</v>
      </c>
    </row>
    <row r="15" spans="1:11">
      <c r="A15" s="264"/>
      <c r="B15" s="74">
        <v>4</v>
      </c>
      <c r="C15" s="137">
        <v>290</v>
      </c>
      <c r="D15" s="142" t="str">
        <f>VLOOKUP(C15,'Tipos de Defeitos'!B$4:E$106,Menu!$B$23+1,)</f>
        <v>Papel Dobrado Sup.</v>
      </c>
      <c r="E15" s="59">
        <f>'UM-4 - Dia'!AS31</f>
        <v>0</v>
      </c>
      <c r="F15" s="59">
        <f>'UM-4 - 2T'!AS31</f>
        <v>0</v>
      </c>
      <c r="G15" s="59">
        <f>'UM-4 - 3T'!AS31</f>
        <v>0</v>
      </c>
      <c r="H15" s="59">
        <f t="shared" si="1"/>
        <v>0</v>
      </c>
      <c r="I15" s="64">
        <f>INDEX($E$12:$H$78,$B15,MATCH('Dados do Gráfico Total'!$E$1,Rascunho!$E$1:$H$1,0))*1000000+B15*1000+C15</f>
        <v>4290</v>
      </c>
      <c r="J15" s="64">
        <f t="shared" si="2"/>
        <v>68000</v>
      </c>
      <c r="K15" s="64">
        <f t="shared" si="3"/>
        <v>67</v>
      </c>
    </row>
    <row r="16" spans="1:11">
      <c r="A16" s="264"/>
      <c r="B16" s="74">
        <v>5</v>
      </c>
      <c r="C16" s="137">
        <v>300</v>
      </c>
      <c r="D16" s="142" t="str">
        <f>VLOOKUP(C16,'Tipos de Defeitos'!B$4:E$106,Menu!$B$23+1,)</f>
        <v>Papel Dobrado Meio</v>
      </c>
      <c r="E16" s="59">
        <f>'UM-4 - Dia'!AS32</f>
        <v>0</v>
      </c>
      <c r="F16" s="59">
        <f>'UM-4 - 2T'!AS32</f>
        <v>0</v>
      </c>
      <c r="G16" s="59">
        <f>'UM-4 - 3T'!AS32</f>
        <v>0</v>
      </c>
      <c r="H16" s="59">
        <f t="shared" si="1"/>
        <v>0</v>
      </c>
      <c r="I16" s="64">
        <f>INDEX($E$12:$H$78,$B16,MATCH('Dados do Gráfico Total'!$E$1,Rascunho!$E$1:$H$1,0))*1000000+B16*1000+C16</f>
        <v>5300</v>
      </c>
      <c r="J16" s="64">
        <f t="shared" si="2"/>
        <v>66990</v>
      </c>
      <c r="K16" s="64">
        <f t="shared" si="3"/>
        <v>66</v>
      </c>
    </row>
    <row r="17" spans="1:11">
      <c r="A17" s="264"/>
      <c r="B17" s="74">
        <v>6</v>
      </c>
      <c r="C17" s="137">
        <v>310</v>
      </c>
      <c r="D17" s="142" t="str">
        <f>VLOOKUP(C17,'Tipos de Defeitos'!B$4:E$106,Menu!$B$23+1,)</f>
        <v>Papel Dobrado Inf.</v>
      </c>
      <c r="E17" s="59">
        <f>'UM-4 - Dia'!AS33</f>
        <v>0</v>
      </c>
      <c r="F17" s="59">
        <f>'UM-4 - 2T'!AS33</f>
        <v>0</v>
      </c>
      <c r="G17" s="59">
        <f>'UM-4 - 3T'!AS33</f>
        <v>0</v>
      </c>
      <c r="H17" s="59">
        <f t="shared" si="1"/>
        <v>0</v>
      </c>
      <c r="I17" s="64">
        <f>INDEX($E$12:$H$78,$B17,MATCH('Dados do Gráfico Total'!$E$1,Rascunho!$E$1:$H$1,0))*1000000+B17*1000+C17</f>
        <v>6310</v>
      </c>
      <c r="J17" s="64">
        <f t="shared" si="2"/>
        <v>65980</v>
      </c>
      <c r="K17" s="64">
        <f t="shared" si="3"/>
        <v>65</v>
      </c>
    </row>
    <row r="18" spans="1:11">
      <c r="A18" s="264"/>
      <c r="B18" s="74">
        <v>7</v>
      </c>
      <c r="C18" s="137">
        <v>320</v>
      </c>
      <c r="D18" s="142" t="str">
        <f>VLOOKUP(C18,'Tipos de Defeitos'!B$4:E$106,Menu!$B$23+1,)</f>
        <v>Papel Afundado</v>
      </c>
      <c r="E18" s="59">
        <f>'UM-4 - Dia'!AS34</f>
        <v>0</v>
      </c>
      <c r="F18" s="59">
        <f>'UM-4 - 2T'!AS34</f>
        <v>0</v>
      </c>
      <c r="G18" s="59">
        <f>'UM-4 - 3T'!AS34</f>
        <v>0</v>
      </c>
      <c r="H18" s="59">
        <f t="shared" si="1"/>
        <v>0</v>
      </c>
      <c r="I18" s="64">
        <f>INDEX($E$12:$H$78,$B18,MATCH('Dados do Gráfico Total'!$E$1,Rascunho!$E$1:$H$1,0))*1000000+B18*1000+C18</f>
        <v>7320</v>
      </c>
      <c r="J18" s="64">
        <f t="shared" si="2"/>
        <v>64970</v>
      </c>
      <c r="K18" s="64">
        <f t="shared" si="3"/>
        <v>64</v>
      </c>
    </row>
    <row r="19" spans="1:11">
      <c r="A19" s="264"/>
      <c r="B19" s="74">
        <v>8</v>
      </c>
      <c r="C19" s="137">
        <v>330</v>
      </c>
      <c r="D19" s="142" t="str">
        <f>VLOOKUP(C19,'Tipos de Defeitos'!B$4:E$106,Menu!$B$23+1,)</f>
        <v>Papel Deslocado</v>
      </c>
      <c r="E19" s="59">
        <f>'UM-4 - Dia'!AS35</f>
        <v>7</v>
      </c>
      <c r="F19" s="59">
        <f>'UM-4 - 2T'!AS35</f>
        <v>0</v>
      </c>
      <c r="G19" s="59">
        <f>'UM-4 - 3T'!AS35</f>
        <v>0</v>
      </c>
      <c r="H19" s="59">
        <f t="shared" si="1"/>
        <v>7</v>
      </c>
      <c r="I19" s="64">
        <f>INDEX($E$12:$H$78,$B19,MATCH('Dados do Gráfico Total'!$E$1,Rascunho!$E$1:$H$1,0))*1000000+B19*1000+C19</f>
        <v>7008330</v>
      </c>
      <c r="J19" s="64">
        <f t="shared" si="2"/>
        <v>63960</v>
      </c>
      <c r="K19" s="64">
        <f t="shared" si="3"/>
        <v>63</v>
      </c>
    </row>
    <row r="20" spans="1:11">
      <c r="A20" s="264"/>
      <c r="B20" s="74">
        <v>9</v>
      </c>
      <c r="C20" s="137">
        <v>340</v>
      </c>
      <c r="D20" s="142" t="str">
        <f>VLOOKUP(C20,'Tipos de Defeitos'!B$4:E$106,Menu!$B$23+1,)</f>
        <v>Papel menor</v>
      </c>
      <c r="E20" s="59">
        <f>'UM-4 - Dia'!AS36</f>
        <v>0</v>
      </c>
      <c r="F20" s="59">
        <f>'UM-4 - 2T'!AS36</f>
        <v>0</v>
      </c>
      <c r="G20" s="59">
        <f>'UM-4 - 3T'!AS36</f>
        <v>0</v>
      </c>
      <c r="H20" s="59">
        <f t="shared" si="1"/>
        <v>0</v>
      </c>
      <c r="I20" s="64">
        <f>INDEX($E$12:$H$78,$B20,MATCH('Dados do Gráfico Total'!$E$1,Rascunho!$E$1:$H$1,0))*1000000+B20*1000+C20</f>
        <v>9340</v>
      </c>
      <c r="J20" s="64">
        <f t="shared" si="2"/>
        <v>62950</v>
      </c>
      <c r="K20" s="64">
        <f t="shared" si="3"/>
        <v>62</v>
      </c>
    </row>
    <row r="21" spans="1:11">
      <c r="A21" s="264"/>
      <c r="B21" s="74">
        <v>10</v>
      </c>
      <c r="C21" s="137">
        <v>350</v>
      </c>
      <c r="D21" s="142" t="str">
        <f>VLOOKUP(C21,'Tipos de Defeitos'!B$4:E$106,Menu!$B$23+1,)</f>
        <v>Sem Disco</v>
      </c>
      <c r="E21" s="59">
        <f>'UM-4 - Dia'!AS37</f>
        <v>0</v>
      </c>
      <c r="F21" s="59">
        <f>'UM-4 - 2T'!AS37</f>
        <v>0</v>
      </c>
      <c r="G21" s="59">
        <f>'UM-4 - 3T'!AS37</f>
        <v>0</v>
      </c>
      <c r="H21" s="59">
        <f t="shared" si="1"/>
        <v>0</v>
      </c>
      <c r="I21" s="64">
        <f>INDEX($E$12:$H$78,$B21,MATCH('Dados do Gráfico Total'!$E$1,Rascunho!$E$1:$H$1,0))*1000000+B21*1000+C21</f>
        <v>10350</v>
      </c>
      <c r="J21" s="64">
        <f t="shared" si="2"/>
        <v>61940</v>
      </c>
      <c r="K21" s="64">
        <f t="shared" si="3"/>
        <v>61</v>
      </c>
    </row>
    <row r="22" spans="1:11">
      <c r="A22" s="264"/>
      <c r="B22" s="74">
        <v>11</v>
      </c>
      <c r="C22" s="137">
        <v>360</v>
      </c>
      <c r="D22" s="142" t="str">
        <f>VLOOKUP(C22,'Tipos de Defeitos'!B$4:E$106,Menu!$B$23+1,)</f>
        <v>Disco Cortado</v>
      </c>
      <c r="E22" s="59">
        <f>'UM-4 - Dia'!AS38</f>
        <v>0</v>
      </c>
      <c r="F22" s="59">
        <f>'UM-4 - 2T'!AS38</f>
        <v>0</v>
      </c>
      <c r="G22" s="59">
        <f>'UM-4 - 3T'!AS38</f>
        <v>0</v>
      </c>
      <c r="H22" s="59">
        <f t="shared" si="1"/>
        <v>0</v>
      </c>
      <c r="I22" s="64">
        <f>INDEX($E$12:$H$78,$B22,MATCH('Dados do Gráfico Total'!$E$1,Rascunho!$E$1:$H$1,0))*1000000+B22*1000+C22</f>
        <v>11360</v>
      </c>
      <c r="J22" s="64">
        <f t="shared" si="2"/>
        <v>60930</v>
      </c>
      <c r="K22" s="64">
        <f t="shared" si="3"/>
        <v>60</v>
      </c>
    </row>
    <row r="23" spans="1:11">
      <c r="A23" s="264"/>
      <c r="B23" s="74">
        <v>12</v>
      </c>
      <c r="C23" s="137">
        <v>370</v>
      </c>
      <c r="D23" s="142" t="str">
        <f>VLOOKUP(C23,'Tipos de Defeitos'!B$4:E$106,Menu!$B$23+1,)</f>
        <v>Disco Rasgado</v>
      </c>
      <c r="E23" s="59">
        <f>'UM-4 - Dia'!AS39</f>
        <v>0</v>
      </c>
      <c r="F23" s="59">
        <f>'UM-4 - 2T'!AS39</f>
        <v>0</v>
      </c>
      <c r="G23" s="59">
        <f>'UM-4 - 3T'!AS39</f>
        <v>0</v>
      </c>
      <c r="H23" s="59">
        <f t="shared" si="1"/>
        <v>0</v>
      </c>
      <c r="I23" s="64">
        <f>INDEX($E$12:$H$78,$B23,MATCH('Dados do Gráfico Total'!$E$1,Rascunho!$E$1:$H$1,0))*1000000+B23*1000+C23</f>
        <v>12370</v>
      </c>
      <c r="J23" s="64">
        <f t="shared" si="2"/>
        <v>59920</v>
      </c>
      <c r="K23" s="64">
        <f t="shared" si="3"/>
        <v>59</v>
      </c>
    </row>
    <row r="24" spans="1:11" ht="12.75" customHeight="1">
      <c r="A24" s="264"/>
      <c r="B24" s="74">
        <v>13</v>
      </c>
      <c r="C24" s="137">
        <v>380</v>
      </c>
      <c r="D24" s="142" t="str">
        <f>VLOOKUP(C24,'Tipos de Defeitos'!B$4:E$106,Menu!$B$23+1,)</f>
        <v>Disco Furado</v>
      </c>
      <c r="E24" s="59">
        <f>'UM-4 - Dia'!AS40</f>
        <v>0</v>
      </c>
      <c r="F24" s="59">
        <f>'UM-4 - 2T'!AS40</f>
        <v>0</v>
      </c>
      <c r="G24" s="59">
        <f>'UM-4 - 3T'!AS40</f>
        <v>0</v>
      </c>
      <c r="H24" s="59">
        <f t="shared" si="1"/>
        <v>0</v>
      </c>
      <c r="I24" s="64">
        <f>INDEX($E$12:$H$78,$B24,MATCH('Dados do Gráfico Total'!$E$1,Rascunho!$E$1:$H$1,0))*1000000+B24*1000+C24</f>
        <v>13380</v>
      </c>
      <c r="J24" s="64">
        <f t="shared" si="2"/>
        <v>58910</v>
      </c>
      <c r="K24" s="64">
        <f t="shared" si="3"/>
        <v>58</v>
      </c>
    </row>
    <row r="25" spans="1:11">
      <c r="A25" s="264"/>
      <c r="B25" s="74">
        <v>14</v>
      </c>
      <c r="C25" s="137">
        <v>390</v>
      </c>
      <c r="D25" s="142" t="str">
        <f>VLOOKUP(C25,'Tipos de Defeitos'!B$4:E$106,Menu!$B$23+1,)</f>
        <v>Disco Dobrado</v>
      </c>
      <c r="E25" s="59">
        <f>'UM-4 - Dia'!AS41</f>
        <v>0</v>
      </c>
      <c r="F25" s="59">
        <f>'UM-4 - 2T'!AS41</f>
        <v>0</v>
      </c>
      <c r="G25" s="59">
        <f>'UM-4 - 3T'!AS41</f>
        <v>0</v>
      </c>
      <c r="H25" s="59">
        <f t="shared" si="1"/>
        <v>0</v>
      </c>
      <c r="I25" s="64">
        <f>INDEX($E$12:$H$78,$B25,MATCH('Dados do Gráfico Total'!$E$1,Rascunho!$E$1:$H$1,0))*1000000+B25*1000+C25</f>
        <v>14390</v>
      </c>
      <c r="J25" s="64">
        <f t="shared" si="2"/>
        <v>57900</v>
      </c>
      <c r="K25" s="64">
        <f t="shared" si="3"/>
        <v>57</v>
      </c>
    </row>
    <row r="26" spans="1:11">
      <c r="A26" s="264"/>
      <c r="B26" s="74">
        <v>15</v>
      </c>
      <c r="C26" s="137">
        <v>400</v>
      </c>
      <c r="D26" s="142" t="str">
        <f>VLOOKUP(C26,'Tipos de Defeitos'!B$4:E$106,Menu!$B$23+1,)</f>
        <v>Disco fora de centro / deslocado</v>
      </c>
      <c r="E26" s="59">
        <f>'UM-4 - Dia'!AS42</f>
        <v>0</v>
      </c>
      <c r="F26" s="59">
        <f>'UM-4 - 2T'!AS42</f>
        <v>0</v>
      </c>
      <c r="G26" s="59">
        <f>'UM-4 - 3T'!AS42</f>
        <v>0</v>
      </c>
      <c r="H26" s="59">
        <f t="shared" si="1"/>
        <v>0</v>
      </c>
      <c r="I26" s="64">
        <f>INDEX($E$12:$H$78,$B26,MATCH('Dados do Gráfico Total'!$E$1,Rascunho!$E$1:$H$1,0))*1000000+B26*1000+C26</f>
        <v>15400</v>
      </c>
      <c r="J26" s="64">
        <f t="shared" si="2"/>
        <v>56890</v>
      </c>
      <c r="K26" s="64">
        <f t="shared" si="3"/>
        <v>56</v>
      </c>
    </row>
    <row r="27" spans="1:11">
      <c r="A27" s="264"/>
      <c r="B27" s="74">
        <v>16</v>
      </c>
      <c r="C27" s="137">
        <v>410</v>
      </c>
      <c r="D27" s="142" t="str">
        <f>VLOOKUP(C27,'Tipos de Defeitos'!B$4:E$106,Menu!$B$23+1,)</f>
        <v>Isolador fora de centro</v>
      </c>
      <c r="E27" s="59">
        <f>'UM-4 - Dia'!AS43</f>
        <v>0</v>
      </c>
      <c r="F27" s="59">
        <f>'UM-4 - 2T'!AS43</f>
        <v>0</v>
      </c>
      <c r="G27" s="59">
        <f>'UM-4 - 3T'!AS43</f>
        <v>0</v>
      </c>
      <c r="H27" s="59">
        <f t="shared" si="1"/>
        <v>0</v>
      </c>
      <c r="I27" s="64">
        <f>INDEX($E$12:$H$78,$B27,MATCH('Dados do Gráfico Total'!$E$1,Rascunho!$E$1:$H$1,0))*1000000+B27*1000+C27</f>
        <v>16410</v>
      </c>
      <c r="J27" s="64">
        <f t="shared" si="2"/>
        <v>55880</v>
      </c>
      <c r="K27" s="64">
        <f t="shared" si="3"/>
        <v>55</v>
      </c>
    </row>
    <row r="28" spans="1:11">
      <c r="A28" s="264"/>
      <c r="B28" s="74">
        <v>17</v>
      </c>
      <c r="C28" s="137">
        <v>420</v>
      </c>
      <c r="D28" s="142" t="str">
        <f>VLOOKUP(C28,'Tipos de Defeitos'!B$4:E$106,Menu!$B$23+1,)</f>
        <v>Isolador afundado</v>
      </c>
      <c r="E28" s="59">
        <f>'UM-4 - Dia'!AS44</f>
        <v>0</v>
      </c>
      <c r="F28" s="59">
        <f>'UM-4 - 2T'!AS44</f>
        <v>0</v>
      </c>
      <c r="G28" s="59">
        <f>'UM-4 - 3T'!AS44</f>
        <v>0</v>
      </c>
      <c r="H28" s="59">
        <f t="shared" si="1"/>
        <v>0</v>
      </c>
      <c r="I28" s="64">
        <f>INDEX($E$12:$H$78,$B28,MATCH('Dados do Gráfico Total'!$E$1,Rascunho!$E$1:$H$1,0))*1000000+B28*1000+C28</f>
        <v>17420</v>
      </c>
      <c r="J28" s="64">
        <f t="shared" si="2"/>
        <v>54870</v>
      </c>
      <c r="K28" s="64">
        <f t="shared" si="3"/>
        <v>54</v>
      </c>
    </row>
    <row r="29" spans="1:11">
      <c r="A29" s="264"/>
      <c r="B29" s="74">
        <v>18</v>
      </c>
      <c r="C29" s="137">
        <v>430</v>
      </c>
      <c r="D29" s="142" t="str">
        <f>VLOOKUP(C29,'Tipos de Defeitos'!B$4:E$106,Menu!$B$23+1,)</f>
        <v>Isolador Inclinado</v>
      </c>
      <c r="E29" s="59">
        <f>'UM-4 - Dia'!AS45</f>
        <v>0</v>
      </c>
      <c r="F29" s="59">
        <f>'UM-4 - 2T'!AS45</f>
        <v>0</v>
      </c>
      <c r="G29" s="59">
        <f>'UM-4 - 3T'!AS45</f>
        <v>0</v>
      </c>
      <c r="H29" s="59">
        <f t="shared" si="1"/>
        <v>0</v>
      </c>
      <c r="I29" s="64">
        <f>INDEX($E$12:$H$78,$B29,MATCH('Dados do Gráfico Total'!$E$1,Rascunho!$E$1:$H$1,0))*1000000+B29*1000+C29</f>
        <v>18430</v>
      </c>
      <c r="J29" s="64">
        <f t="shared" si="2"/>
        <v>53860</v>
      </c>
      <c r="K29" s="64">
        <f t="shared" si="3"/>
        <v>53</v>
      </c>
    </row>
    <row r="30" spans="1:11">
      <c r="A30" s="264"/>
      <c r="B30" s="74">
        <v>19</v>
      </c>
      <c r="C30" s="137">
        <v>440</v>
      </c>
      <c r="D30" s="142" t="str">
        <f>VLOOKUP(C30,'Tipos de Defeitos'!B$4:E$106,Menu!$B$23+1,)</f>
        <v>Papel sujo</v>
      </c>
      <c r="E30" s="59">
        <f>'UM-4 - Dia'!AS46</f>
        <v>0</v>
      </c>
      <c r="F30" s="59">
        <f>'UM-4 - 2T'!AS46</f>
        <v>0</v>
      </c>
      <c r="G30" s="59">
        <f>'UM-4 - 3T'!AS46</f>
        <v>0</v>
      </c>
      <c r="H30" s="59">
        <f t="shared" si="1"/>
        <v>0</v>
      </c>
      <c r="I30" s="64">
        <f>INDEX($E$12:$H$78,$B30,MATCH('Dados do Gráfico Total'!$E$1,Rascunho!$E$1:$H$1,0))*1000000+B30*1000+C30</f>
        <v>19440</v>
      </c>
      <c r="J30" s="64">
        <f t="shared" si="2"/>
        <v>52850</v>
      </c>
      <c r="K30" s="64">
        <f t="shared" si="3"/>
        <v>52</v>
      </c>
    </row>
    <row r="31" spans="1:11">
      <c r="A31" s="264"/>
      <c r="B31" s="74">
        <v>20</v>
      </c>
      <c r="C31" s="137">
        <v>450</v>
      </c>
      <c r="D31" s="142" t="str">
        <f>VLOOKUP(C31,'Tipos de Defeitos'!B$4:E$106,Menu!$B$23+1,)</f>
        <v>Manchado</v>
      </c>
      <c r="E31" s="59">
        <f>'UM-4 - Dia'!AS47</f>
        <v>0</v>
      </c>
      <c r="F31" s="59">
        <f>'UM-4 - 2T'!AS47</f>
        <v>0</v>
      </c>
      <c r="G31" s="59">
        <f>'UM-4 - 3T'!AS47</f>
        <v>0</v>
      </c>
      <c r="H31" s="59">
        <f t="shared" si="1"/>
        <v>0</v>
      </c>
      <c r="I31" s="64">
        <f>INDEX($E$12:$H$78,$B31,MATCH('Dados do Gráfico Total'!$E$1,Rascunho!$E$1:$H$1,0))*1000000+B31*1000+C31</f>
        <v>20450</v>
      </c>
      <c r="J31" s="64">
        <f t="shared" si="2"/>
        <v>51840</v>
      </c>
      <c r="K31" s="64">
        <f t="shared" si="3"/>
        <v>51</v>
      </c>
    </row>
    <row r="32" spans="1:11">
      <c r="A32" s="264"/>
      <c r="B32" s="74">
        <v>21</v>
      </c>
      <c r="C32" s="137">
        <v>460</v>
      </c>
      <c r="D32" s="142" t="str">
        <f>VLOOKUP(C32,'Tipos de Defeitos'!B$4:E$106,Menu!$B$23+1,)</f>
        <v>Manchado Superior</v>
      </c>
      <c r="E32" s="59">
        <f>'UM-4 - Dia'!AS48</f>
        <v>0</v>
      </c>
      <c r="F32" s="59">
        <f>'UM-4 - 2T'!AS48</f>
        <v>0</v>
      </c>
      <c r="G32" s="59">
        <f>'UM-4 - 3T'!AS48</f>
        <v>0</v>
      </c>
      <c r="H32" s="59">
        <f t="shared" si="1"/>
        <v>0</v>
      </c>
      <c r="I32" s="64">
        <f>INDEX($E$12:$H$78,$B32,MATCH('Dados do Gráfico Total'!$E$1,Rascunho!$E$1:$H$1,0))*1000000+B32*1000+C32</f>
        <v>21460</v>
      </c>
      <c r="J32" s="64">
        <f t="shared" si="2"/>
        <v>50750</v>
      </c>
      <c r="K32" s="64">
        <f t="shared" si="3"/>
        <v>50</v>
      </c>
    </row>
    <row r="33" spans="1:11">
      <c r="A33" s="264"/>
      <c r="B33" s="74">
        <v>22</v>
      </c>
      <c r="C33" s="137">
        <v>470</v>
      </c>
      <c r="D33" s="142" t="str">
        <f>VLOOKUP(C33,'Tipos de Defeitos'!B$4:E$106,Menu!$B$23+1,)</f>
        <v>Ferro</v>
      </c>
      <c r="E33" s="59">
        <f>'UM-4 - Dia'!AS49</f>
        <v>0</v>
      </c>
      <c r="F33" s="59">
        <f>'UM-4 - 2T'!AS49</f>
        <v>0</v>
      </c>
      <c r="G33" s="59">
        <f>'UM-4 - 3T'!AS49</f>
        <v>0</v>
      </c>
      <c r="H33" s="59">
        <f t="shared" si="1"/>
        <v>0</v>
      </c>
      <c r="I33" s="64">
        <f>INDEX($E$12:$H$78,$B33,MATCH('Dados do Gráfico Total'!$E$1,Rascunho!$E$1:$H$1,0))*1000000+B33*1000+C33</f>
        <v>22470</v>
      </c>
      <c r="J33" s="64">
        <f t="shared" si="2"/>
        <v>49740</v>
      </c>
      <c r="K33" s="64">
        <f t="shared" si="3"/>
        <v>49</v>
      </c>
    </row>
    <row r="34" spans="1:11">
      <c r="A34" s="264"/>
      <c r="B34" s="74">
        <v>23</v>
      </c>
      <c r="C34" s="137">
        <v>480</v>
      </c>
      <c r="D34" s="142" t="str">
        <f>VLOOKUP(C34,'Tipos de Defeitos'!B$4:E$106,Menu!$B$23+1,)</f>
        <v>Cobre</v>
      </c>
      <c r="E34" s="59">
        <f>'UM-4 - Dia'!AS50</f>
        <v>0</v>
      </c>
      <c r="F34" s="59">
        <f>'UM-4 - 2T'!AS50</f>
        <v>0</v>
      </c>
      <c r="G34" s="59">
        <f>'UM-4 - 3T'!AS50</f>
        <v>0</v>
      </c>
      <c r="H34" s="59">
        <f t="shared" si="1"/>
        <v>0</v>
      </c>
      <c r="I34" s="64">
        <f>INDEX($E$12:$H$78,$B34,MATCH('Dados do Gráfico Total'!$E$1,Rascunho!$E$1:$H$1,0))*1000000+B34*1000+C34</f>
        <v>23480</v>
      </c>
      <c r="J34" s="64">
        <f t="shared" si="2"/>
        <v>48730</v>
      </c>
      <c r="K34" s="64">
        <f t="shared" si="3"/>
        <v>48</v>
      </c>
    </row>
    <row r="35" spans="1:11">
      <c r="A35" s="264"/>
      <c r="B35" s="74">
        <v>24</v>
      </c>
      <c r="C35" s="137">
        <v>490</v>
      </c>
      <c r="D35" s="142" t="str">
        <f>VLOOKUP(C35,'Tipos de Defeitos'!B$4:E$106,Menu!$B$23+1,)</f>
        <v>Mistura no Tubo</v>
      </c>
      <c r="E35" s="59">
        <f>'UM-4 - Dia'!AS51</f>
        <v>0</v>
      </c>
      <c r="F35" s="59">
        <f>'UM-4 - 2T'!AS51</f>
        <v>0</v>
      </c>
      <c r="G35" s="59">
        <f>'UM-4 - 3T'!AS51</f>
        <v>0</v>
      </c>
      <c r="H35" s="59">
        <f t="shared" si="1"/>
        <v>0</v>
      </c>
      <c r="I35" s="64">
        <f>INDEX($E$12:$H$78,$B35,MATCH('Dados do Gráfico Total'!$E$1,Rascunho!$E$1:$H$1,0))*1000000+B35*1000+C35</f>
        <v>24490</v>
      </c>
      <c r="J35" s="64">
        <f t="shared" si="2"/>
        <v>47720</v>
      </c>
      <c r="K35" s="64">
        <f t="shared" si="3"/>
        <v>47</v>
      </c>
    </row>
    <row r="36" spans="1:11">
      <c r="A36" s="264"/>
      <c r="B36" s="74">
        <v>25</v>
      </c>
      <c r="C36" s="137">
        <v>500</v>
      </c>
      <c r="D36" s="142" t="str">
        <f>VLOOKUP(C36,'Tipos de Defeitos'!B$4:E$106,Menu!$B$23+1,)</f>
        <v>Pó de Mistura</v>
      </c>
      <c r="E36" s="59">
        <f>'UM-4 - Dia'!AS52</f>
        <v>0</v>
      </c>
      <c r="F36" s="59">
        <f>'UM-4 - 2T'!AS52</f>
        <v>0</v>
      </c>
      <c r="G36" s="59">
        <f>'UM-4 - 3T'!AS52</f>
        <v>0</v>
      </c>
      <c r="H36" s="59">
        <f t="shared" si="1"/>
        <v>0</v>
      </c>
      <c r="I36" s="64">
        <f>INDEX($E$12:$H$78,$B36,MATCH('Dados do Gráfico Total'!$E$1,Rascunho!$E$1:$H$1,0))*1000000+B36*1000+C36</f>
        <v>25500</v>
      </c>
      <c r="J36" s="64">
        <f t="shared" si="2"/>
        <v>46710</v>
      </c>
      <c r="K36" s="64">
        <f t="shared" si="3"/>
        <v>46</v>
      </c>
    </row>
    <row r="37" spans="1:11">
      <c r="A37" s="264"/>
      <c r="B37" s="74">
        <v>26</v>
      </c>
      <c r="C37" s="137">
        <v>510</v>
      </c>
      <c r="D37" s="142" t="str">
        <f>VLOOKUP(C37,'Tipos de Defeitos'!B$4:E$106,Menu!$B$23+1,)</f>
        <v>Bobina Baixa V</v>
      </c>
      <c r="E37" s="59">
        <f>'UM-4 - Dia'!AS53</f>
        <v>0</v>
      </c>
      <c r="F37" s="59">
        <f>'UM-4 - 2T'!AS53</f>
        <v>0</v>
      </c>
      <c r="G37" s="59">
        <f>'UM-4 - 3T'!AS53</f>
        <v>0</v>
      </c>
      <c r="H37" s="59">
        <f t="shared" si="1"/>
        <v>0</v>
      </c>
      <c r="I37" s="64">
        <f>INDEX($E$12:$H$78,$B37,MATCH('Dados do Gráfico Total'!$E$1,Rascunho!$E$1:$H$1,0))*1000000+B37*1000+C37</f>
        <v>26510</v>
      </c>
      <c r="J37" s="64">
        <f t="shared" si="2"/>
        <v>45700</v>
      </c>
      <c r="K37" s="64">
        <f t="shared" si="3"/>
        <v>45</v>
      </c>
    </row>
    <row r="38" spans="1:11">
      <c r="A38" s="264"/>
      <c r="B38" s="74">
        <v>27</v>
      </c>
      <c r="C38" s="137">
        <v>520</v>
      </c>
      <c r="D38" s="142" t="str">
        <f>VLOOKUP(C38,'Tipos de Defeitos'!B$4:E$106,Menu!$B$23+1,)</f>
        <v>Bobina Alta</v>
      </c>
      <c r="E38" s="59">
        <f>'UM-4 - Dia'!AS54</f>
        <v>0</v>
      </c>
      <c r="F38" s="59">
        <f>'UM-4 - 2T'!AS54</f>
        <v>0</v>
      </c>
      <c r="G38" s="59">
        <f>'UM-4 - 3T'!AS54</f>
        <v>0</v>
      </c>
      <c r="H38" s="59">
        <f t="shared" si="1"/>
        <v>0</v>
      </c>
      <c r="I38" s="64">
        <f>INDEX($E$12:$H$78,$B38,MATCH('Dados do Gráfico Total'!$E$1,Rascunho!$E$1:$H$1,0))*1000000+B38*1000+C38</f>
        <v>27520</v>
      </c>
      <c r="J38" s="64">
        <f t="shared" si="2"/>
        <v>44690</v>
      </c>
      <c r="K38" s="64">
        <f t="shared" si="3"/>
        <v>44</v>
      </c>
    </row>
    <row r="39" spans="1:11">
      <c r="A39" s="264"/>
      <c r="B39" s="74">
        <v>28</v>
      </c>
      <c r="C39" s="137">
        <v>530</v>
      </c>
      <c r="D39" s="142" t="str">
        <f>VLOOKUP(C39,'Tipos de Defeitos'!B$4:E$106,Menu!$B$23+1,)</f>
        <v>Bobina Molhada</v>
      </c>
      <c r="E39" s="59">
        <f>'UM-4 - Dia'!AS55</f>
        <v>0</v>
      </c>
      <c r="F39" s="59">
        <f>'UM-4 - 2T'!AS55</f>
        <v>0</v>
      </c>
      <c r="G39" s="59">
        <f>'UM-4 - 3T'!AS55</f>
        <v>0</v>
      </c>
      <c r="H39" s="59">
        <f t="shared" si="1"/>
        <v>0</v>
      </c>
      <c r="I39" s="64">
        <f>INDEX($E$12:$H$78,$B39,MATCH('Dados do Gráfico Total'!$E$1,Rascunho!$E$1:$H$1,0))*1000000+B39*1000+C39</f>
        <v>28530</v>
      </c>
      <c r="J39" s="64">
        <f t="shared" si="2"/>
        <v>43680</v>
      </c>
      <c r="K39" s="64">
        <f t="shared" si="3"/>
        <v>43</v>
      </c>
    </row>
    <row r="40" spans="1:11">
      <c r="A40" s="264"/>
      <c r="B40" s="74">
        <v>29</v>
      </c>
      <c r="C40" s="137">
        <v>540</v>
      </c>
      <c r="D40" s="142" t="str">
        <f>VLOOKUP(C40,'Tipos de Defeitos'!B$4:E$106,Menu!$B$23+1,)</f>
        <v>Mistura seca</v>
      </c>
      <c r="E40" s="59">
        <f>'UM-4 - Dia'!AS56</f>
        <v>0</v>
      </c>
      <c r="F40" s="59">
        <f>'UM-4 - 2T'!AS56</f>
        <v>0</v>
      </c>
      <c r="G40" s="59">
        <f>'UM-4 - 3T'!AS56</f>
        <v>0</v>
      </c>
      <c r="H40" s="59">
        <f t="shared" si="1"/>
        <v>0</v>
      </c>
      <c r="I40" s="64">
        <f>INDEX($E$12:$H$78,$B40,MATCH('Dados do Gráfico Total'!$E$1,Rascunho!$E$1:$H$1,0))*1000000+B40*1000+C40</f>
        <v>29540</v>
      </c>
      <c r="J40" s="64">
        <f t="shared" si="2"/>
        <v>42670</v>
      </c>
      <c r="K40" s="64">
        <f t="shared" si="3"/>
        <v>42</v>
      </c>
    </row>
    <row r="41" spans="1:11">
      <c r="A41" s="264"/>
      <c r="B41" s="74">
        <v>30</v>
      </c>
      <c r="C41" s="137">
        <v>550</v>
      </c>
      <c r="D41" s="142" t="str">
        <f>VLOOKUP(C41,'Tipos de Defeitos'!B$4:E$106,Menu!$B$23+1,)</f>
        <v>Contem estranho</v>
      </c>
      <c r="E41" s="59">
        <f>'UM-4 - Dia'!AS57</f>
        <v>0</v>
      </c>
      <c r="F41" s="59">
        <f>'UM-4 - 2T'!AS57</f>
        <v>0</v>
      </c>
      <c r="G41" s="59">
        <f>'UM-4 - 3T'!AS57</f>
        <v>0</v>
      </c>
      <c r="H41" s="59">
        <f t="shared" si="1"/>
        <v>0</v>
      </c>
      <c r="I41" s="64">
        <f>INDEX($E$12:$H$78,$B41,MATCH('Dados do Gráfico Total'!$E$1,Rascunho!$E$1:$H$1,0))*1000000+B41*1000+C41</f>
        <v>30550</v>
      </c>
      <c r="J41" s="64">
        <f t="shared" si="2"/>
        <v>40650</v>
      </c>
      <c r="K41" s="64">
        <f t="shared" si="3"/>
        <v>40</v>
      </c>
    </row>
    <row r="42" spans="1:11">
      <c r="A42" s="264"/>
      <c r="B42" s="74">
        <v>31</v>
      </c>
      <c r="C42" s="137">
        <v>560</v>
      </c>
      <c r="D42" s="142" t="str">
        <f>VLOOKUP(C42,'Tipos de Defeitos'!B$4:E$106,Menu!$B$23+1,)</f>
        <v>Pedra de Óxido</v>
      </c>
      <c r="E42" s="59">
        <f>'UM-4 - Dia'!AS58</f>
        <v>0</v>
      </c>
      <c r="F42" s="59">
        <f>'UM-4 - 2T'!AS58</f>
        <v>0</v>
      </c>
      <c r="G42" s="59">
        <f>'UM-4 - 3T'!AS58</f>
        <v>0</v>
      </c>
      <c r="H42" s="59">
        <f t="shared" si="1"/>
        <v>0</v>
      </c>
      <c r="I42" s="64">
        <f>INDEX($E$12:$H$78,$B42,MATCH('Dados do Gráfico Total'!$E$1,Rascunho!$E$1:$H$1,0))*1000000+B42*1000+C42</f>
        <v>31560</v>
      </c>
      <c r="J42" s="64">
        <f t="shared" si="2"/>
        <v>39640</v>
      </c>
      <c r="K42" s="64">
        <f t="shared" si="3"/>
        <v>39</v>
      </c>
    </row>
    <row r="43" spans="1:11">
      <c r="A43" s="264"/>
      <c r="B43" s="74">
        <v>32</v>
      </c>
      <c r="C43" s="137">
        <v>570</v>
      </c>
      <c r="D43" s="142" t="str">
        <f>VLOOKUP(C43,'Tipos de Defeitos'!B$4:E$106,Menu!$B$23+1,)</f>
        <v>Carvão Quebrado V</v>
      </c>
      <c r="E43" s="59">
        <f>'UM-4 - Dia'!AS59</f>
        <v>2</v>
      </c>
      <c r="F43" s="59">
        <f>'UM-4 - 2T'!AS59</f>
        <v>0</v>
      </c>
      <c r="G43" s="59">
        <f>'UM-4 - 3T'!AS59</f>
        <v>0</v>
      </c>
      <c r="H43" s="59">
        <f t="shared" si="1"/>
        <v>2</v>
      </c>
      <c r="I43" s="64">
        <f>INDEX($E$12:$H$78,$B43,MATCH('Dados do Gráfico Total'!$E$1,Rascunho!$E$1:$H$1,0))*1000000+B43*1000+C43</f>
        <v>2032570</v>
      </c>
      <c r="J43" s="64">
        <f t="shared" si="2"/>
        <v>38630</v>
      </c>
      <c r="K43" s="64">
        <f t="shared" si="3"/>
        <v>38</v>
      </c>
    </row>
    <row r="44" spans="1:11">
      <c r="A44" s="264"/>
      <c r="B44" s="74">
        <v>33</v>
      </c>
      <c r="C44" s="137">
        <v>580</v>
      </c>
      <c r="D44" s="142" t="str">
        <f>VLOOKUP(C44,'Tipos de Defeitos'!B$4:E$106,Menu!$B$23+1,)</f>
        <v>Sem Selante</v>
      </c>
      <c r="E44" s="59">
        <f>'UM-4 - Dia'!AS60</f>
        <v>0</v>
      </c>
      <c r="F44" s="59">
        <f>'UM-4 - 2T'!AS60</f>
        <v>0</v>
      </c>
      <c r="G44" s="59">
        <f>'UM-4 - 3T'!AS60</f>
        <v>0</v>
      </c>
      <c r="H44" s="59">
        <f t="shared" si="1"/>
        <v>0</v>
      </c>
      <c r="I44" s="64">
        <f>INDEX($E$12:$H$78,$B44,MATCH('Dados do Gráfico Total'!$E$1,Rascunho!$E$1:$H$1,0))*1000000+B44*1000+C44</f>
        <v>33580</v>
      </c>
      <c r="J44" s="64">
        <f t="shared" si="2"/>
        <v>37620</v>
      </c>
      <c r="K44" s="64">
        <f t="shared" si="3"/>
        <v>37</v>
      </c>
    </row>
    <row r="45" spans="1:11">
      <c r="A45" s="264"/>
      <c r="B45" s="74">
        <v>34</v>
      </c>
      <c r="C45" s="137">
        <v>590</v>
      </c>
      <c r="D45" s="142" t="str">
        <f>VLOOKUP(C45,'Tipos de Defeitos'!B$4:E$106,Menu!$B$23+1,)</f>
        <v>PY c/ Falha de Injeção</v>
      </c>
      <c r="E45" s="59">
        <f>'UM-4 - Dia'!AS61</f>
        <v>0</v>
      </c>
      <c r="F45" s="59">
        <f>'UM-4 - 2T'!AS61</f>
        <v>0</v>
      </c>
      <c r="G45" s="59">
        <f>'UM-4 - 3T'!AS61</f>
        <v>0</v>
      </c>
      <c r="H45" s="59">
        <f t="shared" si="1"/>
        <v>0</v>
      </c>
      <c r="I45" s="64">
        <f>INDEX($E$12:$H$78,$B45,MATCH('Dados do Gráfico Total'!$E$1,Rascunho!$E$1:$H$1,0))*1000000+B45*1000+C45</f>
        <v>34590</v>
      </c>
      <c r="J45" s="64">
        <f t="shared" si="2"/>
        <v>36610</v>
      </c>
      <c r="K45" s="64">
        <f t="shared" si="3"/>
        <v>36</v>
      </c>
    </row>
    <row r="46" spans="1:11">
      <c r="A46" s="264"/>
      <c r="B46" s="74">
        <v>35</v>
      </c>
      <c r="C46" s="137">
        <v>600</v>
      </c>
      <c r="D46" s="142" t="str">
        <f>VLOOKUP(C46,'Tipos de Defeitos'!B$4:E$106,Menu!$B$23+1,)</f>
        <v>Sem PY</v>
      </c>
      <c r="E46" s="59">
        <f>'UM-4 - Dia'!AS62</f>
        <v>0</v>
      </c>
      <c r="F46" s="59">
        <f>'UM-4 - 2T'!AS62</f>
        <v>0</v>
      </c>
      <c r="G46" s="59">
        <f>'UM-4 - 3T'!AS62</f>
        <v>0</v>
      </c>
      <c r="H46" s="59">
        <f t="shared" si="1"/>
        <v>0</v>
      </c>
      <c r="I46" s="64">
        <f>INDEX($E$12:$H$78,$B46,MATCH('Dados do Gráfico Total'!$E$1,Rascunho!$E$1:$H$1,0))*1000000+B46*1000+C46</f>
        <v>35600</v>
      </c>
      <c r="J46" s="64">
        <f t="shared" si="2"/>
        <v>35600</v>
      </c>
      <c r="K46" s="64">
        <f t="shared" si="3"/>
        <v>35</v>
      </c>
    </row>
    <row r="47" spans="1:11">
      <c r="A47" s="264"/>
      <c r="B47" s="74">
        <v>36</v>
      </c>
      <c r="C47" s="137">
        <v>610</v>
      </c>
      <c r="D47" s="142" t="str">
        <f>VLOOKUP(C47,'Tipos de Defeitos'!B$4:E$106,Menu!$B$23+1,)</f>
        <v>PY Fora de Centro</v>
      </c>
      <c r="E47" s="59">
        <f>'UM-4 - Dia'!AS63</f>
        <v>0</v>
      </c>
      <c r="F47" s="59">
        <f>'UM-4 - 2T'!AS63</f>
        <v>0</v>
      </c>
      <c r="G47" s="59">
        <f>'UM-4 - 3T'!AS63</f>
        <v>0</v>
      </c>
      <c r="H47" s="59">
        <f t="shared" si="1"/>
        <v>0</v>
      </c>
      <c r="I47" s="64">
        <f>INDEX($E$12:$H$78,$B47,MATCH('Dados do Gráfico Total'!$E$1,Rascunho!$E$1:$H$1,0))*1000000+B47*1000+C47</f>
        <v>36610</v>
      </c>
      <c r="J47" s="64">
        <f t="shared" si="2"/>
        <v>34590</v>
      </c>
      <c r="K47" s="64">
        <f t="shared" si="3"/>
        <v>34</v>
      </c>
    </row>
    <row r="48" spans="1:11">
      <c r="A48" s="264"/>
      <c r="B48" s="74">
        <v>37</v>
      </c>
      <c r="C48" s="137">
        <v>620</v>
      </c>
      <c r="D48" s="142" t="str">
        <f>VLOOKUP(C48,'Tipos de Defeitos'!B$4:E$106,Menu!$B$23+1,)</f>
        <v>PY Queimado</v>
      </c>
      <c r="E48" s="59">
        <f>'UM-4 - Dia'!AS64</f>
        <v>0</v>
      </c>
      <c r="F48" s="59">
        <f>'UM-4 - 2T'!AS64</f>
        <v>0</v>
      </c>
      <c r="G48" s="59">
        <f>'UM-4 - 3T'!AS64</f>
        <v>0</v>
      </c>
      <c r="H48" s="59">
        <f t="shared" si="1"/>
        <v>0</v>
      </c>
      <c r="I48" s="64">
        <f>INDEX($E$12:$H$78,$B48,MATCH('Dados do Gráfico Total'!$E$1,Rascunho!$E$1:$H$1,0))*1000000+B48*1000+C48</f>
        <v>37620</v>
      </c>
      <c r="J48" s="64">
        <f t="shared" si="2"/>
        <v>33580</v>
      </c>
      <c r="K48" s="64">
        <f t="shared" si="3"/>
        <v>33</v>
      </c>
    </row>
    <row r="49" spans="1:11">
      <c r="A49" s="264"/>
      <c r="B49" s="74">
        <v>38</v>
      </c>
      <c r="C49" s="137">
        <v>630</v>
      </c>
      <c r="D49" s="142" t="str">
        <f>VLOOKUP(C49,'Tipos de Defeitos'!B$4:E$106,Menu!$B$23+1,)</f>
        <v>Tb c/ Boca Amassada - Operador</v>
      </c>
      <c r="E49" s="59">
        <f>'UM-4 - Dia'!AS65</f>
        <v>0</v>
      </c>
      <c r="F49" s="59">
        <f>'UM-4 - 2T'!AS65</f>
        <v>0</v>
      </c>
      <c r="G49" s="59">
        <f>'UM-4 - 3T'!AS65</f>
        <v>0</v>
      </c>
      <c r="H49" s="59">
        <f t="shared" si="1"/>
        <v>0</v>
      </c>
      <c r="I49" s="64">
        <f>INDEX($E$12:$H$78,$B49,MATCH('Dados do Gráfico Total'!$E$1,Rascunho!$E$1:$H$1,0))*1000000+B49*1000+C49</f>
        <v>38630</v>
      </c>
      <c r="J49" s="64">
        <f t="shared" si="2"/>
        <v>31560</v>
      </c>
      <c r="K49" s="64">
        <f t="shared" si="3"/>
        <v>31</v>
      </c>
    </row>
    <row r="50" spans="1:11">
      <c r="A50" s="264"/>
      <c r="B50" s="74">
        <v>39</v>
      </c>
      <c r="C50" s="137">
        <v>640</v>
      </c>
      <c r="D50" s="142" t="str">
        <f>VLOOKUP(C50,'Tipos de Defeitos'!B$4:E$106,Menu!$B$23+1,)</f>
        <v>Tb c/ Boca Amassada - Câmera</v>
      </c>
      <c r="E50" s="59">
        <f>'UM-4 - Dia'!AS66</f>
        <v>0</v>
      </c>
      <c r="F50" s="59">
        <f>'UM-4 - 2T'!AS66</f>
        <v>0</v>
      </c>
      <c r="G50" s="59">
        <f>'UM-4 - 3T'!AS66</f>
        <v>0</v>
      </c>
      <c r="H50" s="59">
        <f t="shared" si="1"/>
        <v>0</v>
      </c>
      <c r="I50" s="64">
        <f>INDEX($E$12:$H$78,$B50,MATCH('Dados do Gráfico Total'!$E$1,Rascunho!$E$1:$H$1,0))*1000000+B50*1000+C50</f>
        <v>39640</v>
      </c>
      <c r="J50" s="64">
        <f t="shared" si="2"/>
        <v>30550</v>
      </c>
      <c r="K50" s="64">
        <f t="shared" si="3"/>
        <v>30</v>
      </c>
    </row>
    <row r="51" spans="1:11">
      <c r="A51" s="264"/>
      <c r="B51" s="74">
        <v>40</v>
      </c>
      <c r="C51" s="137">
        <v>650</v>
      </c>
      <c r="D51" s="142" t="str">
        <f>VLOOKUP(C51,'Tipos de Defeitos'!B$4:E$106,Menu!$B$23+1,)</f>
        <v>Tb c/ Boca Amassada - recuperada</v>
      </c>
      <c r="E51" s="59">
        <f>'UM-4 - Dia'!AS67</f>
        <v>0</v>
      </c>
      <c r="F51" s="59">
        <f>'UM-4 - 2T'!AS67</f>
        <v>0</v>
      </c>
      <c r="G51" s="59">
        <f>'UM-4 - 3T'!AS67</f>
        <v>0</v>
      </c>
      <c r="H51" s="59">
        <f t="shared" si="1"/>
        <v>0</v>
      </c>
      <c r="I51" s="64">
        <f>INDEX($E$12:$H$78,$B51,MATCH('Dados do Gráfico Total'!$E$1,Rascunho!$E$1:$H$1,0))*1000000+B51*1000+C51</f>
        <v>40650</v>
      </c>
      <c r="J51" s="64">
        <f t="shared" si="2"/>
        <v>29540</v>
      </c>
      <c r="K51" s="64">
        <f t="shared" si="3"/>
        <v>29</v>
      </c>
    </row>
    <row r="52" spans="1:11">
      <c r="A52" s="264"/>
      <c r="B52" s="74">
        <v>41</v>
      </c>
      <c r="C52" s="137">
        <v>660</v>
      </c>
      <c r="D52" s="142" t="str">
        <f>VLOOKUP(C52,'Tipos de Defeitos'!B$4:E$106,Menu!$B$23+1,)</f>
        <v>Tubo descascado</v>
      </c>
      <c r="E52" s="59">
        <f>'UM-4 - Dia'!AS68</f>
        <v>1</v>
      </c>
      <c r="F52" s="59">
        <f>'UM-4 - 2T'!AS68</f>
        <v>0</v>
      </c>
      <c r="G52" s="59">
        <f>'UM-4 - 3T'!AS68</f>
        <v>0</v>
      </c>
      <c r="H52" s="59">
        <f t="shared" si="1"/>
        <v>1</v>
      </c>
      <c r="I52" s="64">
        <f>INDEX($E$12:$H$78,$B52,MATCH('Dados do Gráfico Total'!$E$1,Rascunho!$E$1:$H$1,0))*1000000+B52*1000+C52</f>
        <v>1041660</v>
      </c>
      <c r="J52" s="64">
        <f t="shared" si="2"/>
        <v>28530</v>
      </c>
      <c r="K52" s="64">
        <f t="shared" si="3"/>
        <v>28</v>
      </c>
    </row>
    <row r="53" spans="1:11">
      <c r="A53" s="264"/>
      <c r="B53" s="74">
        <v>42</v>
      </c>
      <c r="C53" s="137">
        <v>670</v>
      </c>
      <c r="D53" s="142" t="str">
        <f>VLOOKUP(C53,'Tipos de Defeitos'!B$4:E$106,Menu!$B$23+1,)</f>
        <v>Tubo Rachado - Câmera</v>
      </c>
      <c r="E53" s="59">
        <f>'UM-4 - Dia'!AS69</f>
        <v>0</v>
      </c>
      <c r="F53" s="59">
        <f>'UM-4 - 2T'!AS69</f>
        <v>0</v>
      </c>
      <c r="G53" s="59">
        <f>'UM-4 - 3T'!AS69</f>
        <v>0</v>
      </c>
      <c r="H53" s="59">
        <f t="shared" si="1"/>
        <v>0</v>
      </c>
      <c r="I53" s="64">
        <f>INDEX($E$12:$H$78,$B53,MATCH('Dados do Gráfico Total'!$E$1,Rascunho!$E$1:$H$1,0))*1000000+B53*1000+C53</f>
        <v>42670</v>
      </c>
      <c r="J53" s="64">
        <f t="shared" si="2"/>
        <v>27520</v>
      </c>
      <c r="K53" s="64">
        <f t="shared" si="3"/>
        <v>27</v>
      </c>
    </row>
    <row r="54" spans="1:11">
      <c r="A54" s="264"/>
      <c r="B54" s="74">
        <v>43</v>
      </c>
      <c r="C54" s="137">
        <v>680</v>
      </c>
      <c r="D54" s="142" t="str">
        <f>VLOOKUP(C54,'Tipos de Defeitos'!B$4:E$106,Menu!$B$23+1,)</f>
        <v>Tubo de Zinco Amassado</v>
      </c>
      <c r="E54" s="59">
        <f>'UM-4 - Dia'!AS70</f>
        <v>0</v>
      </c>
      <c r="F54" s="59">
        <f>'UM-4 - 2T'!AS70</f>
        <v>0</v>
      </c>
      <c r="G54" s="59">
        <f>'UM-4 - 3T'!AS70</f>
        <v>0</v>
      </c>
      <c r="H54" s="59">
        <f t="shared" si="1"/>
        <v>0</v>
      </c>
      <c r="I54" s="64">
        <f>INDEX($E$12:$H$78,$B54,MATCH('Dados do Gráfico Total'!$E$1,Rascunho!$E$1:$H$1,0))*1000000+B54*1000+C54</f>
        <v>43680</v>
      </c>
      <c r="J54" s="64">
        <f t="shared" si="2"/>
        <v>26510</v>
      </c>
      <c r="K54" s="64">
        <f t="shared" si="3"/>
        <v>26</v>
      </c>
    </row>
    <row r="55" spans="1:11">
      <c r="A55" s="264"/>
      <c r="B55" s="74">
        <v>44</v>
      </c>
      <c r="C55" s="137">
        <v>690</v>
      </c>
      <c r="D55" s="142" t="str">
        <f>VLOOKUP(C55,'Tipos de Defeitos'!B$4:E$106,Menu!$B$23+1,)</f>
        <v>Tubo com Rebarba</v>
      </c>
      <c r="E55" s="59">
        <f>'UM-4 - Dia'!AS71</f>
        <v>0</v>
      </c>
      <c r="F55" s="59">
        <f>'UM-4 - 2T'!AS71</f>
        <v>0</v>
      </c>
      <c r="G55" s="59">
        <f>'UM-4 - 3T'!AS71</f>
        <v>0</v>
      </c>
      <c r="H55" s="59">
        <f t="shared" si="1"/>
        <v>0</v>
      </c>
      <c r="I55" s="64">
        <f>INDEX($E$12:$H$78,$B55,MATCH('Dados do Gráfico Total'!$E$1,Rascunho!$E$1:$H$1,0))*1000000+B55*1000+C55</f>
        <v>44690</v>
      </c>
      <c r="J55" s="64">
        <f t="shared" si="2"/>
        <v>25500</v>
      </c>
      <c r="K55" s="64">
        <f t="shared" si="3"/>
        <v>25</v>
      </c>
    </row>
    <row r="56" spans="1:11">
      <c r="A56" s="264"/>
      <c r="B56" s="74">
        <v>45</v>
      </c>
      <c r="C56" s="137">
        <v>700</v>
      </c>
      <c r="D56" s="142" t="str">
        <f>VLOOKUP(C56,'Tipos de Defeitos'!B$4:E$106,Menu!$B$23+1,)</f>
        <v>Curto Circuito Externo</v>
      </c>
      <c r="E56" s="59">
        <f>'UM-4 - Dia'!AS72</f>
        <v>0</v>
      </c>
      <c r="F56" s="59">
        <f>'UM-4 - 2T'!AS72</f>
        <v>0</v>
      </c>
      <c r="G56" s="59">
        <f>'UM-4 - 3T'!AS72</f>
        <v>0</v>
      </c>
      <c r="H56" s="59">
        <f t="shared" si="1"/>
        <v>0</v>
      </c>
      <c r="I56" s="64">
        <f>INDEX($E$12:$H$78,$B56,MATCH('Dados do Gráfico Total'!$E$1,Rascunho!$E$1:$H$1,0))*1000000+B56*1000+C56</f>
        <v>45700</v>
      </c>
      <c r="J56" s="64">
        <f t="shared" si="2"/>
        <v>24490</v>
      </c>
      <c r="K56" s="64">
        <f t="shared" si="3"/>
        <v>24</v>
      </c>
    </row>
    <row r="57" spans="1:11">
      <c r="A57" s="264"/>
      <c r="B57" s="74">
        <v>46</v>
      </c>
      <c r="C57" s="137">
        <v>710</v>
      </c>
      <c r="D57" s="142" t="str">
        <f>VLOOKUP(C57,'Tipos de Defeitos'!B$4:E$106,Menu!$B$23+1,)</f>
        <v>Curto Circ. Externo -  Cap sujo</v>
      </c>
      <c r="E57" s="59">
        <f>'UM-4 - Dia'!AS73</f>
        <v>0</v>
      </c>
      <c r="F57" s="59">
        <f>'UM-4 - 2T'!AS73</f>
        <v>0</v>
      </c>
      <c r="G57" s="59">
        <f>'UM-4 - 3T'!AS73</f>
        <v>0</v>
      </c>
      <c r="H57" s="59">
        <f t="shared" si="1"/>
        <v>0</v>
      </c>
      <c r="I57" s="64">
        <f>INDEX($E$12:$H$78,$B57,MATCH('Dados do Gráfico Total'!$E$1,Rascunho!$E$1:$H$1,0))*1000000+B57*1000+C57</f>
        <v>46710</v>
      </c>
      <c r="J57" s="64">
        <f t="shared" si="2"/>
        <v>23480</v>
      </c>
      <c r="K57" s="64">
        <f t="shared" si="3"/>
        <v>23</v>
      </c>
    </row>
    <row r="58" spans="1:11">
      <c r="A58" s="264"/>
      <c r="B58" s="74">
        <v>47</v>
      </c>
      <c r="C58" s="137">
        <v>720</v>
      </c>
      <c r="D58" s="142" t="str">
        <f>VLOOKUP(C58,'Tipos de Defeitos'!B$4:E$106,Menu!$B$23+1,)</f>
        <v>Pilha recuperada do Acabamento</v>
      </c>
      <c r="E58" s="59">
        <f>'UM-4 - Dia'!AS74</f>
        <v>0</v>
      </c>
      <c r="F58" s="59">
        <f>'UM-4 - 2T'!AS74</f>
        <v>0</v>
      </c>
      <c r="G58" s="59">
        <f>'UM-4 - 3T'!AS74</f>
        <v>0</v>
      </c>
      <c r="H58" s="59">
        <f t="shared" si="1"/>
        <v>0</v>
      </c>
      <c r="I58" s="64">
        <f>INDEX($E$12:$H$78,$B58,MATCH('Dados do Gráfico Total'!$E$1,Rascunho!$E$1:$H$1,0))*1000000+B58*1000+C58</f>
        <v>47720</v>
      </c>
      <c r="J58" s="64">
        <f t="shared" si="2"/>
        <v>22470</v>
      </c>
      <c r="K58" s="64">
        <f t="shared" si="3"/>
        <v>22</v>
      </c>
    </row>
    <row r="59" spans="1:11">
      <c r="A59" s="264"/>
      <c r="B59" s="74">
        <v>48</v>
      </c>
      <c r="C59" s="137">
        <v>730</v>
      </c>
      <c r="D59" s="142" t="str">
        <f>VLOOKUP(C59,'Tipos de Defeitos'!B$4:E$106,Menu!$B$23+1,)</f>
        <v>Causa Desconhecida - Voltagem</v>
      </c>
      <c r="E59" s="59">
        <f>'UM-4 - Dia'!AS75</f>
        <v>0</v>
      </c>
      <c r="F59" s="59">
        <f>'UM-4 - 2T'!AS75</f>
        <v>0</v>
      </c>
      <c r="G59" s="59">
        <f>'UM-4 - 3T'!AS75</f>
        <v>0</v>
      </c>
      <c r="H59" s="59">
        <f t="shared" si="1"/>
        <v>0</v>
      </c>
      <c r="I59" s="64">
        <f>INDEX($E$12:$H$78,$B59,MATCH('Dados do Gráfico Total'!$E$1,Rascunho!$E$1:$H$1,0))*1000000+B59*1000+C59</f>
        <v>48730</v>
      </c>
      <c r="J59" s="64">
        <f t="shared" si="2"/>
        <v>21460</v>
      </c>
      <c r="K59" s="64">
        <f t="shared" si="3"/>
        <v>21</v>
      </c>
    </row>
    <row r="60" spans="1:11" ht="13.5" customHeight="1">
      <c r="A60" s="264"/>
      <c r="B60" s="74">
        <v>49</v>
      </c>
      <c r="C60" s="137">
        <v>740</v>
      </c>
      <c r="D60" s="142" t="str">
        <f>VLOOKUP(C60,'Tipos de Defeitos'!B$4:E$106,Menu!$B$23+1,)</f>
        <v>Pilha Boa</v>
      </c>
      <c r="E60" s="59">
        <f>'UM-4 - Dia'!AS76</f>
        <v>0</v>
      </c>
      <c r="F60" s="59">
        <f>'UM-4 - 2T'!AS76</f>
        <v>0</v>
      </c>
      <c r="G60" s="59">
        <f>'UM-4 - 3T'!AS76</f>
        <v>0</v>
      </c>
      <c r="H60" s="59">
        <f t="shared" si="1"/>
        <v>0</v>
      </c>
      <c r="I60" s="64">
        <f>INDEX($E$12:$H$78,$B60,MATCH('Dados do Gráfico Total'!$E$1,Rascunho!$E$1:$H$1,0))*1000000+B60*1000+C60</f>
        <v>49740</v>
      </c>
      <c r="J60" s="64">
        <f t="shared" si="2"/>
        <v>20450</v>
      </c>
      <c r="K60" s="64">
        <f t="shared" si="3"/>
        <v>20</v>
      </c>
    </row>
    <row r="61" spans="1:11" ht="13.5" thickBot="1">
      <c r="A61" s="264"/>
      <c r="B61" s="74">
        <v>50</v>
      </c>
      <c r="C61" s="140">
        <v>750</v>
      </c>
      <c r="D61" s="143" t="str">
        <f>VLOOKUP(C61,'Tipos de Defeitos'!B$4:E$106,Menu!$B$23+1,)</f>
        <v>Outros - Voltagem</v>
      </c>
      <c r="E61" s="59">
        <f>'UM-4 - Dia'!AS77</f>
        <v>0</v>
      </c>
      <c r="F61" s="59">
        <f>'UM-4 - 2T'!AS77</f>
        <v>0</v>
      </c>
      <c r="G61" s="59">
        <f>'UM-4 - 3T'!AS77</f>
        <v>0</v>
      </c>
      <c r="H61" s="59">
        <f t="shared" si="1"/>
        <v>0</v>
      </c>
      <c r="I61" s="64">
        <f>INDEX($E$12:$H$78,$B61,MATCH('Dados do Gráfico Total'!$E$1,Rascunho!$E$1:$H$1,0))*1000000+B61*1000+C61</f>
        <v>50750</v>
      </c>
      <c r="J61" s="64">
        <f t="shared" si="2"/>
        <v>19440</v>
      </c>
      <c r="K61" s="64">
        <f t="shared" si="3"/>
        <v>19</v>
      </c>
    </row>
    <row r="62" spans="1:11">
      <c r="A62" s="264"/>
      <c r="B62" s="74">
        <v>51</v>
      </c>
      <c r="C62" s="138">
        <v>840</v>
      </c>
      <c r="D62" s="146" t="str">
        <f>VLOOKUP(C62,'Tipos de Defeitos'!B$4:E$106,Menu!$B$23+1,)</f>
        <v>Papel Separdor Duplo</v>
      </c>
      <c r="E62" s="88">
        <f>'UM-4 - Dia'!AS86</f>
        <v>0</v>
      </c>
      <c r="F62" s="88">
        <f>'UM-4 - 2T'!AS86</f>
        <v>0</v>
      </c>
      <c r="G62" s="88">
        <f>'UM-4 - 3T'!AS86</f>
        <v>0</v>
      </c>
      <c r="H62" s="88">
        <f t="shared" si="1"/>
        <v>0</v>
      </c>
      <c r="I62" s="64">
        <f>INDEX($E$12:$H$78,$B62,MATCH('Dados do Gráfico Total'!$E$1,Rascunho!$E$1:$H$1,0))*1000000+B62*1000+C62</f>
        <v>51840</v>
      </c>
      <c r="J62" s="64">
        <f t="shared" si="2"/>
        <v>18430</v>
      </c>
      <c r="K62" s="64">
        <f t="shared" si="3"/>
        <v>18</v>
      </c>
    </row>
    <row r="63" spans="1:11">
      <c r="A63" s="264"/>
      <c r="B63" s="74">
        <v>52</v>
      </c>
      <c r="C63" s="137">
        <v>850</v>
      </c>
      <c r="D63" s="142" t="str">
        <f>VLOOKUP(C63,'Tipos de Defeitos'!B$4:E$106,Menu!$B$23+1,)</f>
        <v>Pedra de Negro</v>
      </c>
      <c r="E63" s="88">
        <f>'UM-4 - Dia'!AS87</f>
        <v>0</v>
      </c>
      <c r="F63" s="88">
        <f>'UM-4 - 2T'!AS87</f>
        <v>0</v>
      </c>
      <c r="G63" s="88">
        <f>'UM-4 - 3T'!AS87</f>
        <v>0</v>
      </c>
      <c r="H63" s="88">
        <f t="shared" si="1"/>
        <v>0</v>
      </c>
      <c r="I63" s="64">
        <f>INDEX($E$12:$H$78,$B63,MATCH('Dados do Gráfico Total'!$E$1,Rascunho!$E$1:$H$1,0))*1000000+B63*1000+C63</f>
        <v>52850</v>
      </c>
      <c r="J63" s="64">
        <f t="shared" si="2"/>
        <v>17420</v>
      </c>
      <c r="K63" s="64">
        <f t="shared" si="3"/>
        <v>17</v>
      </c>
    </row>
    <row r="64" spans="1:11">
      <c r="A64" s="264"/>
      <c r="B64" s="74">
        <v>53</v>
      </c>
      <c r="C64" s="137">
        <v>860</v>
      </c>
      <c r="D64" s="142" t="str">
        <f>VLOOKUP(C64,'Tipos de Defeitos'!B$4:E$106,Menu!$B$23+1,)</f>
        <v>Pedra de Cl de Amônia</v>
      </c>
      <c r="E64" s="88">
        <f>'UM-4 - Dia'!AS88</f>
        <v>0</v>
      </c>
      <c r="F64" s="88">
        <f>'UM-4 - 2T'!AS88</f>
        <v>0</v>
      </c>
      <c r="G64" s="88">
        <f>'UM-4 - 3T'!AS88</f>
        <v>0</v>
      </c>
      <c r="H64" s="88">
        <f t="shared" si="1"/>
        <v>0</v>
      </c>
      <c r="I64" s="64">
        <f>INDEX($E$12:$H$78,$B64,MATCH('Dados do Gráfico Total'!$E$1,Rascunho!$E$1:$H$1,0))*1000000+B64*1000+C64</f>
        <v>53860</v>
      </c>
      <c r="J64" s="64">
        <f t="shared" si="2"/>
        <v>16410</v>
      </c>
      <c r="K64" s="64">
        <f t="shared" si="3"/>
        <v>16</v>
      </c>
    </row>
    <row r="65" spans="1:11">
      <c r="A65" s="264"/>
      <c r="B65" s="74">
        <v>54</v>
      </c>
      <c r="C65" s="137">
        <v>870</v>
      </c>
      <c r="D65" s="142" t="str">
        <f>VLOOKUP(C65,'Tipos de Defeitos'!B$4:E$106,Menu!$B$23+1,)</f>
        <v>Pelota de Manganês</v>
      </c>
      <c r="E65" s="88">
        <f>'UM-4 - Dia'!AS89</f>
        <v>0</v>
      </c>
      <c r="F65" s="88">
        <f>'UM-4 - 2T'!AS89</f>
        <v>0</v>
      </c>
      <c r="G65" s="88">
        <f>'UM-4 - 3T'!AS89</f>
        <v>0</v>
      </c>
      <c r="H65" s="88">
        <f t="shared" si="1"/>
        <v>0</v>
      </c>
      <c r="I65" s="64">
        <f>INDEX($E$12:$H$78,$B65,MATCH('Dados do Gráfico Total'!$E$1,Rascunho!$E$1:$H$1,0))*1000000+B65*1000+C65</f>
        <v>54870</v>
      </c>
      <c r="J65" s="64">
        <f t="shared" si="2"/>
        <v>15400</v>
      </c>
      <c r="K65" s="64">
        <f t="shared" si="3"/>
        <v>15</v>
      </c>
    </row>
    <row r="66" spans="1:11">
      <c r="A66" s="264"/>
      <c r="B66" s="74">
        <v>55</v>
      </c>
      <c r="C66" s="137">
        <v>880</v>
      </c>
      <c r="D66" s="142" t="str">
        <f>VLOOKUP(C66,'Tipos de Defeitos'!B$4:E$106,Menu!$B$23+1,)</f>
        <v>Bobina Baixa A</v>
      </c>
      <c r="E66" s="88">
        <f>'UM-4 - Dia'!AS90</f>
        <v>0</v>
      </c>
      <c r="F66" s="88">
        <f>'UM-4 - 2T'!AS90</f>
        <v>0</v>
      </c>
      <c r="G66" s="88">
        <f>'UM-4 - 3T'!AS90</f>
        <v>0</v>
      </c>
      <c r="H66" s="88">
        <f t="shared" si="1"/>
        <v>0</v>
      </c>
      <c r="I66" s="64">
        <f>INDEX($E$12:$H$78,$B66,MATCH('Dados do Gráfico Total'!$E$1,Rascunho!$E$1:$H$1,0))*1000000+B66*1000+C66</f>
        <v>55880</v>
      </c>
      <c r="J66" s="64">
        <f t="shared" si="2"/>
        <v>14390</v>
      </c>
      <c r="K66" s="64">
        <f t="shared" si="3"/>
        <v>14</v>
      </c>
    </row>
    <row r="67" spans="1:11">
      <c r="A67" s="264"/>
      <c r="B67" s="74">
        <v>56</v>
      </c>
      <c r="C67" s="137">
        <v>890</v>
      </c>
      <c r="D67" s="142" t="str">
        <f>VLOOKUP(C67,'Tipos de Defeitos'!B$4:E$106,Menu!$B$23+1,)</f>
        <v>Bobina Rachada</v>
      </c>
      <c r="E67" s="88">
        <f>'UM-4 - Dia'!AS91</f>
        <v>0</v>
      </c>
      <c r="F67" s="88">
        <f>'UM-4 - 2T'!AS91</f>
        <v>0</v>
      </c>
      <c r="G67" s="88">
        <f>'UM-4 - 3T'!AS91</f>
        <v>0</v>
      </c>
      <c r="H67" s="88">
        <f t="shared" si="1"/>
        <v>0</v>
      </c>
      <c r="I67" s="64">
        <f>INDEX($E$12:$H$78,$B67,MATCH('Dados do Gráfico Total'!$E$1,Rascunho!$E$1:$H$1,0))*1000000+B67*1000+C67</f>
        <v>56890</v>
      </c>
      <c r="J67" s="64">
        <f t="shared" si="2"/>
        <v>13380</v>
      </c>
      <c r="K67" s="64">
        <f t="shared" si="3"/>
        <v>13</v>
      </c>
    </row>
    <row r="68" spans="1:11">
      <c r="A68" s="264"/>
      <c r="B68" s="74">
        <v>57</v>
      </c>
      <c r="C68" s="137">
        <v>900</v>
      </c>
      <c r="D68" s="142" t="str">
        <f>VLOOKUP(C68,'Tipos de Defeitos'!B$4:E$106,Menu!$B$23+1,)</f>
        <v>Emenda de Papel</v>
      </c>
      <c r="E68" s="88">
        <f>'UM-4 - Dia'!AS92</f>
        <v>0</v>
      </c>
      <c r="F68" s="88">
        <f>'UM-4 - 2T'!AS92</f>
        <v>0</v>
      </c>
      <c r="G68" s="88">
        <f>'UM-4 - 3T'!AS92</f>
        <v>0</v>
      </c>
      <c r="H68" s="88">
        <f t="shared" si="1"/>
        <v>0</v>
      </c>
      <c r="I68" s="64">
        <f>INDEX($E$12:$H$78,$B68,MATCH('Dados do Gráfico Total'!$E$1,Rascunho!$E$1:$H$1,0))*1000000+B68*1000+C68</f>
        <v>57900</v>
      </c>
      <c r="J68" s="64">
        <f t="shared" si="2"/>
        <v>12370</v>
      </c>
      <c r="K68" s="64">
        <f t="shared" si="3"/>
        <v>12</v>
      </c>
    </row>
    <row r="69" spans="1:11">
      <c r="A69" s="264"/>
      <c r="B69" s="74">
        <v>58</v>
      </c>
      <c r="C69" s="137">
        <v>910</v>
      </c>
      <c r="D69" s="142" t="str">
        <f>VLOOKUP(C69,'Tipos de Defeitos'!B$4:E$106,Menu!$B$23+1,)</f>
        <v>Carvão Quebrado A</v>
      </c>
      <c r="E69" s="88">
        <f>'UM-4 - Dia'!AS93</f>
        <v>0</v>
      </c>
      <c r="F69" s="88">
        <f>'UM-4 - 2T'!AS93</f>
        <v>0</v>
      </c>
      <c r="G69" s="88">
        <f>'UM-4 - 3T'!AS93</f>
        <v>0</v>
      </c>
      <c r="H69" s="88">
        <f t="shared" si="1"/>
        <v>0</v>
      </c>
      <c r="I69" s="64">
        <f>INDEX($E$12:$H$78,$B69,MATCH('Dados do Gráfico Total'!$E$1,Rascunho!$E$1:$H$1,0))*1000000+B69*1000+C69</f>
        <v>58910</v>
      </c>
      <c r="J69" s="64">
        <f t="shared" si="2"/>
        <v>11360</v>
      </c>
      <c r="K69" s="64">
        <f t="shared" si="3"/>
        <v>11</v>
      </c>
    </row>
    <row r="70" spans="1:11">
      <c r="A70" s="264"/>
      <c r="B70" s="74">
        <v>59</v>
      </c>
      <c r="C70" s="137">
        <v>920</v>
      </c>
      <c r="D70" s="142" t="str">
        <f>VLOOKUP(C70,'Tipos de Defeitos'!B$4:E$106,Menu!$B$23+1,)</f>
        <v>Metade do Carvão</v>
      </c>
      <c r="E70" s="88">
        <f>'UM-4 - Dia'!AS94</f>
        <v>0</v>
      </c>
      <c r="F70" s="88">
        <f>'UM-4 - 2T'!AS94</f>
        <v>0</v>
      </c>
      <c r="G70" s="88">
        <f>'UM-4 - 3T'!AS94</f>
        <v>0</v>
      </c>
      <c r="H70" s="88">
        <f t="shared" si="1"/>
        <v>0</v>
      </c>
      <c r="I70" s="64">
        <f>INDEX($E$12:$H$78,$B70,MATCH('Dados do Gráfico Total'!$E$1,Rascunho!$E$1:$H$1,0))*1000000+B70*1000+C70</f>
        <v>59920</v>
      </c>
      <c r="J70" s="64">
        <f t="shared" si="2"/>
        <v>10350</v>
      </c>
      <c r="K70" s="64">
        <f t="shared" si="3"/>
        <v>10</v>
      </c>
    </row>
    <row r="71" spans="1:11">
      <c r="A71" s="264"/>
      <c r="B71" s="74">
        <v>60</v>
      </c>
      <c r="C71" s="137">
        <v>930</v>
      </c>
      <c r="D71" s="142" t="str">
        <f>VLOOKUP(C71,'Tipos de Defeitos'!B$4:E$106,Menu!$B$23+1,)</f>
        <v>Carvão Frouxo</v>
      </c>
      <c r="E71" s="88">
        <f>'UM-4 - Dia'!AS95</f>
        <v>0</v>
      </c>
      <c r="F71" s="88">
        <f>'UM-4 - 2T'!AS95</f>
        <v>0</v>
      </c>
      <c r="G71" s="88">
        <f>'UM-4 - 3T'!AS95</f>
        <v>0</v>
      </c>
      <c r="H71" s="88">
        <f t="shared" si="1"/>
        <v>0</v>
      </c>
      <c r="I71" s="64">
        <f>INDEX($E$12:$H$78,$B71,MATCH('Dados do Gráfico Total'!$E$1,Rascunho!$E$1:$H$1,0))*1000000+B71*1000+C71</f>
        <v>60930</v>
      </c>
      <c r="J71" s="64">
        <f t="shared" si="2"/>
        <v>9340</v>
      </c>
      <c r="K71" s="64">
        <f t="shared" si="3"/>
        <v>9</v>
      </c>
    </row>
    <row r="72" spans="1:11">
      <c r="A72" s="264"/>
      <c r="B72" s="74">
        <v>61</v>
      </c>
      <c r="C72" s="137">
        <v>940</v>
      </c>
      <c r="D72" s="142" t="str">
        <f>VLOOKUP(C72,'Tipos de Defeitos'!B$4:E$106,Menu!$B$23+1,)</f>
        <v>Tubo de Zinco Sujo</v>
      </c>
      <c r="E72" s="88">
        <f>'UM-4 - Dia'!AS96</f>
        <v>0</v>
      </c>
      <c r="F72" s="88">
        <f>'UM-4 - 2T'!AS96</f>
        <v>0</v>
      </c>
      <c r="G72" s="88">
        <f>'UM-4 - 3T'!AS96</f>
        <v>0</v>
      </c>
      <c r="H72" s="88">
        <f t="shared" si="1"/>
        <v>0</v>
      </c>
      <c r="I72" s="64">
        <f>INDEX($E$12:$H$78,$B72,MATCH('Dados do Gráfico Total'!$E$1,Rascunho!$E$1:$H$1,0))*1000000+B72*1000+C72</f>
        <v>61940</v>
      </c>
      <c r="J72" s="64">
        <f t="shared" si="2"/>
        <v>7320</v>
      </c>
      <c r="K72" s="64">
        <f t="shared" si="3"/>
        <v>7</v>
      </c>
    </row>
    <row r="73" spans="1:11">
      <c r="A73" s="264"/>
      <c r="B73" s="74">
        <v>62</v>
      </c>
      <c r="C73" s="137">
        <v>950</v>
      </c>
      <c r="D73" s="142" t="str">
        <f>VLOOKUP(C73,'Tipos de Defeitos'!B$4:E$106,Menu!$B$23+1,)</f>
        <v>Contem estranho</v>
      </c>
      <c r="E73" s="88">
        <f>'UM-4 - Dia'!AS97</f>
        <v>0</v>
      </c>
      <c r="F73" s="88">
        <f>'UM-4 - 2T'!AS97</f>
        <v>0</v>
      </c>
      <c r="G73" s="88">
        <f>'UM-4 - 3T'!AS97</f>
        <v>0</v>
      </c>
      <c r="H73" s="88">
        <f t="shared" si="1"/>
        <v>0</v>
      </c>
      <c r="I73" s="64">
        <f>INDEX($E$12:$H$78,$B73,MATCH('Dados do Gráfico Total'!$E$1,Rascunho!$E$1:$H$1,0))*1000000+B73*1000+C73</f>
        <v>62950</v>
      </c>
      <c r="J73" s="64">
        <f t="shared" si="2"/>
        <v>6310</v>
      </c>
      <c r="K73" s="64">
        <f t="shared" si="3"/>
        <v>6</v>
      </c>
    </row>
    <row r="74" spans="1:11">
      <c r="A74" s="264"/>
      <c r="B74" s="74">
        <v>63</v>
      </c>
      <c r="C74" s="137">
        <v>960</v>
      </c>
      <c r="D74" s="142" t="str">
        <f>VLOOKUP(C74,'Tipos de Defeitos'!B$4:E$106,Menu!$B$23+1,)</f>
        <v>Mistura seca</v>
      </c>
      <c r="E74" s="88">
        <f>'UM-4 - Dia'!AS98</f>
        <v>0</v>
      </c>
      <c r="F74" s="88">
        <f>'UM-4 - 2T'!AS98</f>
        <v>0</v>
      </c>
      <c r="G74" s="88">
        <f>'UM-4 - 3T'!AS98</f>
        <v>0</v>
      </c>
      <c r="H74" s="88">
        <f t="shared" si="1"/>
        <v>0</v>
      </c>
      <c r="I74" s="64">
        <f>INDEX($E$12:$H$78,$B74,MATCH('Dados do Gráfico Total'!$E$1,Rascunho!$E$1:$H$1,0))*1000000+B74*1000+C74</f>
        <v>63960</v>
      </c>
      <c r="J74" s="64">
        <f t="shared" si="2"/>
        <v>5300</v>
      </c>
      <c r="K74" s="64">
        <f t="shared" si="3"/>
        <v>5</v>
      </c>
    </row>
    <row r="75" spans="1:11">
      <c r="A75" s="264"/>
      <c r="B75" s="74">
        <v>64</v>
      </c>
      <c r="C75" s="137">
        <v>970</v>
      </c>
      <c r="D75" s="142" t="str">
        <f>VLOOKUP(C75,'Tipos de Defeitos'!B$4:E$106,Menu!$B$23+1,)</f>
        <v>Bottom Plate Amassado</v>
      </c>
      <c r="E75" s="88">
        <f>'UM-4 - Dia'!AS99</f>
        <v>0</v>
      </c>
      <c r="F75" s="88">
        <f>'UM-4 - 2T'!AS99</f>
        <v>0</v>
      </c>
      <c r="G75" s="88">
        <f>'UM-4 - 3T'!AS99</f>
        <v>0</v>
      </c>
      <c r="H75" s="88">
        <f t="shared" si="1"/>
        <v>0</v>
      </c>
      <c r="I75" s="64">
        <f>INDEX($E$12:$H$78,$B75,MATCH('Dados do Gráfico Total'!$E$1,Rascunho!$E$1:$H$1,0))*1000000+B75*1000+C75</f>
        <v>64970</v>
      </c>
      <c r="J75" s="64">
        <f t="shared" si="2"/>
        <v>4290</v>
      </c>
      <c r="K75" s="64">
        <f t="shared" si="3"/>
        <v>4</v>
      </c>
    </row>
    <row r="76" spans="1:11">
      <c r="A76" s="264"/>
      <c r="B76" s="74">
        <v>65</v>
      </c>
      <c r="C76" s="137">
        <v>980</v>
      </c>
      <c r="D76" s="142" t="str">
        <f>VLOOKUP(C76,'Tipos de Defeitos'!B$4:E$106,Menu!$B$23+1,)</f>
        <v>PVC Comprido</v>
      </c>
      <c r="E76" s="88">
        <f>'UM-4 - Dia'!AS100</f>
        <v>0</v>
      </c>
      <c r="F76" s="88">
        <f>'UM-4 - 2T'!AS100</f>
        <v>0</v>
      </c>
      <c r="G76" s="88">
        <f>'UM-4 - 3T'!AS100</f>
        <v>0</v>
      </c>
      <c r="H76" s="88">
        <f t="shared" ref="H76:H78" si="4">SUM(E76:F76)</f>
        <v>0</v>
      </c>
      <c r="I76" s="64">
        <f>INDEX($E$12:$H$78,$B76,MATCH('Dados do Gráfico Total'!$E$1,Rascunho!$E$1:$H$1,0))*1000000+B76*1000+C76</f>
        <v>65980</v>
      </c>
      <c r="J76" s="64">
        <f t="shared" si="2"/>
        <v>3280</v>
      </c>
      <c r="K76" s="64">
        <f t="shared" si="3"/>
        <v>3</v>
      </c>
    </row>
    <row r="77" spans="1:11">
      <c r="A77" s="264"/>
      <c r="B77" s="74">
        <v>66</v>
      </c>
      <c r="C77" s="137">
        <v>990</v>
      </c>
      <c r="D77" s="142" t="str">
        <f>VLOOKUP(C77,'Tipos de Defeitos'!B$4:E$106,Menu!$B$23+1,)</f>
        <v>Causa Desconhecida - Amperagem</v>
      </c>
      <c r="E77" s="88">
        <f>'UM-4 - Dia'!AS101</f>
        <v>0</v>
      </c>
      <c r="F77" s="88">
        <f>'UM-4 - 2T'!AS101</f>
        <v>0</v>
      </c>
      <c r="G77" s="88">
        <f>'UM-4 - 3T'!AS101</f>
        <v>0</v>
      </c>
      <c r="H77" s="88">
        <f t="shared" si="4"/>
        <v>0</v>
      </c>
      <c r="I77" s="64">
        <f>INDEX($E$12:$H$78,$B77,MATCH('Dados do Gráfico Total'!$E$1,Rascunho!$E$1:$H$1,0))*1000000+B77*1000+C77</f>
        <v>66990</v>
      </c>
      <c r="J77" s="64">
        <f t="shared" ref="J77:J78" si="5">LARGE(I$12:I$78,B77)</f>
        <v>2270</v>
      </c>
      <c r="K77" s="64">
        <f t="shared" ref="K77:K78" si="6">MATCH(J77,I$12:I$78,0)</f>
        <v>2</v>
      </c>
    </row>
    <row r="78" spans="1:11">
      <c r="B78" s="74">
        <v>67</v>
      </c>
      <c r="C78" s="137">
        <v>1000</v>
      </c>
      <c r="D78" s="142" t="str">
        <f>VLOOKUP(C78,'Tipos de Defeitos'!B$4:E$106,Menu!$B$23+1,)</f>
        <v>Outros - Amperagem</v>
      </c>
      <c r="E78" s="88">
        <f>'UM-4 - Dia'!AS102</f>
        <v>0</v>
      </c>
      <c r="F78" s="88">
        <f>'UM-4 - 2T'!AS102</f>
        <v>0</v>
      </c>
      <c r="G78" s="88">
        <f>'UM-4 - 3T'!AS102</f>
        <v>0</v>
      </c>
      <c r="H78" s="88">
        <f t="shared" si="4"/>
        <v>0</v>
      </c>
      <c r="I78" s="64">
        <f>INDEX($E$12:$H$78,$B78,MATCH('Dados do Gráfico Total'!$E$1,Rascunho!$E$1:$H$1,0))*1000000+B78*1000+C78</f>
        <v>68000</v>
      </c>
      <c r="J78" s="64">
        <f t="shared" si="5"/>
        <v>1260</v>
      </c>
      <c r="K78" s="64">
        <f t="shared" si="6"/>
        <v>1</v>
      </c>
    </row>
    <row r="80" spans="1:11">
      <c r="E80" s="71" t="e">
        <f>E8/E6*1000000</f>
        <v>#DIV/0!</v>
      </c>
      <c r="F80" s="71" t="e">
        <f t="shared" ref="F80:H80" si="7">F8/F6*1000000</f>
        <v>#DIV/0!</v>
      </c>
      <c r="G80" s="71"/>
      <c r="H80" s="71" t="e">
        <f t="shared" si="7"/>
        <v>#DIV/0!</v>
      </c>
    </row>
    <row r="101" s="65" customFormat="1"/>
  </sheetData>
  <sheetProtection algorithmName="SHA-512" hashValue="4pHXnbtBDHfWOds7Zq+EzsRMOFAtgtzW/KqxfaoPqHme8E2wKqeS+nzMwY2QtFBJb/Y598T0MWuC/rh6rn8KSw==" saltValue="c2uXR/cZLSbFoxkp6T5aEg==" spinCount="100000" sheet="1" objects="1" scenarios="1" selectLockedCells="1"/>
  <mergeCells count="2">
    <mergeCell ref="A60:A77"/>
    <mergeCell ref="A9:A59"/>
  </mergeCells>
  <phoneticPr fontId="3"/>
  <conditionalFormatting sqref="C2:D77">
    <cfRule type="expression" dxfId="17" priority="2">
      <formula>MOD(ROW(),2)=0</formula>
    </cfRule>
  </conditionalFormatting>
  <conditionalFormatting sqref="C78:D78">
    <cfRule type="expression" dxfId="16" priority="1">
      <formula>MOD(ROW(),2)=0</formula>
    </cfRule>
  </conditionalFormatting>
  <pageMargins left="0.19685039370078741" right="0.19685039370078741" top="1.1811023622047245" bottom="0.55118110236220474" header="0.70866141732283472" footer="0.31496062992125984"/>
  <pageSetup paperSize="12" scale="47" orientation="landscape" horizontalDpi="300" verticalDpi="300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I94"/>
  <sheetViews>
    <sheetView zoomScaleNormal="100" workbookViewId="0">
      <pane xSplit="4" ySplit="11" topLeftCell="E12" activePane="bottomRight" state="frozen"/>
      <selection pane="topRight" activeCell="D1" sqref="D1"/>
      <selection pane="bottomLeft" activeCell="A12" sqref="A12"/>
      <selection pane="bottomRight" activeCell="E1" sqref="E1"/>
    </sheetView>
  </sheetViews>
  <sheetFormatPr defaultColWidth="10.28515625" defaultRowHeight="12.75"/>
  <cols>
    <col min="1" max="1" width="3.28515625" style="64" bestFit="1" customWidth="1"/>
    <col min="2" max="2" width="3.28515625" style="64" customWidth="1"/>
    <col min="3" max="3" width="9" style="64" bestFit="1" customWidth="1"/>
    <col min="4" max="4" width="33.7109375" style="64" customWidth="1"/>
    <col min="5" max="5" width="22" style="64" customWidth="1"/>
    <col min="6" max="6" width="7" style="64" bestFit="1" customWidth="1"/>
    <col min="7" max="7" width="4" style="64" bestFit="1" customWidth="1"/>
    <col min="8" max="8" width="6.140625" style="64" bestFit="1" customWidth="1"/>
    <col min="9" max="9" width="8.85546875" style="64" bestFit="1" customWidth="1"/>
    <col min="10" max="16384" width="10.28515625" style="64"/>
  </cols>
  <sheetData>
    <row r="1" spans="1:9" ht="13.5" thickBot="1">
      <c r="D1" s="64" t="s">
        <v>44</v>
      </c>
      <c r="E1" s="222" t="str">
        <f>INDEX(Rascunho!E1:H1,MATCH(D2,Rascunho!$D$2:$D$78,0),Menu!$B$22)</f>
        <v>Dia</v>
      </c>
    </row>
    <row r="2" spans="1:9" ht="13.5" thickBot="1">
      <c r="C2" s="139">
        <v>10</v>
      </c>
      <c r="D2" s="144" t="str">
        <f>VLOOKUP(C2,'Tipos de Defeitos'!B$4:E$106,Menu!$B$23+1,)</f>
        <v>Data da Montagem</v>
      </c>
      <c r="E2" s="224">
        <f>INDEX(Rascunho!$C$2:$H$78,MATCH('Dados do Gráfico Total'!$D2,Rascunho!$D$2:$D$78,0),MATCH('Dados do Gráfico Total'!$E$1,Rascunho!$C$1:$H$1,0))</f>
        <v>43707</v>
      </c>
    </row>
    <row r="3" spans="1:9" ht="13.5" thickBot="1">
      <c r="C3" s="137">
        <v>20</v>
      </c>
      <c r="D3" s="145" t="str">
        <f>VLOOKUP(C3,'Tipos de Defeitos'!B$4:E$106,Menu!$B$23+1,)</f>
        <v>Data do Acabamento</v>
      </c>
      <c r="E3" s="224">
        <f>INDEX(Rascunho!$C$2:$H$78,MATCH('Dados do Gráfico Total'!$D3,Rascunho!$D$2:$D$78,0),MATCH('Dados do Gráfico Total'!$E$1,Rascunho!$C$1:$H$1,0))</f>
        <v>0</v>
      </c>
    </row>
    <row r="4" spans="1:9" ht="13.5" thickBot="1">
      <c r="C4" s="137">
        <v>30</v>
      </c>
      <c r="D4" s="145" t="str">
        <f>VLOOKUP(C4,'Tipos de Defeitos'!B$4:E$106,Menu!$B$23+1,)</f>
        <v>Descanso:</v>
      </c>
      <c r="E4" s="224">
        <f>INDEX(Rascunho!$C$2:$H$78,MATCH('Dados do Gráfico Total'!$D4,Rascunho!$D$2:$D$78,0),MATCH('Dados do Gráfico Total'!$E$1,Rascunho!$C$1:$H$1,0))</f>
        <v>0</v>
      </c>
    </row>
    <row r="5" spans="1:9" ht="13.5" thickBot="1">
      <c r="C5" s="137">
        <v>40</v>
      </c>
      <c r="D5" s="145" t="str">
        <f>VLOOKUP(C5,'Tipos de Defeitos'!B$4:E$106,Menu!$B$23+1,)</f>
        <v>Modelo</v>
      </c>
      <c r="E5" s="224">
        <f>INDEX(Rascunho!$C$2:$H$78,MATCH('Dados do Gráfico Total'!$D5,Rascunho!$D$2:$D$78,0),MATCH('Dados do Gráfico Total'!$E$1,Rascunho!$C$1:$H$1,0))</f>
        <v>0</v>
      </c>
    </row>
    <row r="6" spans="1:9" ht="13.5" thickBot="1">
      <c r="C6" s="137">
        <v>50</v>
      </c>
      <c r="D6" s="145" t="str">
        <f>VLOOKUP(C6,'Tipos de Defeitos'!B$4:E$106,Menu!$B$23+1,)</f>
        <v>Qtd de Produção (pçs)</v>
      </c>
      <c r="E6" s="224">
        <f>INDEX(Rascunho!$C$2:$H$78,MATCH('Dados do Gráfico Total'!$D6,Rascunho!$D$2:$D$78,0),MATCH('Dados do Gráfico Total'!$E$1,Rascunho!$C$1:$H$1,0))</f>
        <v>0</v>
      </c>
      <c r="F6" s="168"/>
    </row>
    <row r="7" spans="1:9">
      <c r="C7" s="139">
        <v>210</v>
      </c>
      <c r="D7" s="141" t="str">
        <f>VLOOKUP(C7,'Tipos de Defeitos'!B$4:E$106,Menu!$B$23+1,)</f>
        <v>Qtd. Retestada (pçs)</v>
      </c>
      <c r="E7" s="223">
        <f>INDEX(Rascunho!$C$2:$H$78,MATCH('Dados do Gráfico Total'!$D7,Rascunho!$D$2:$D$78,0),MATCH('Dados do Gráfico Total'!$E$1,Rascunho!$C$1:$H$1,0))</f>
        <v>0</v>
      </c>
    </row>
    <row r="8" spans="1:9" ht="13.5" thickBot="1">
      <c r="C8" s="137">
        <v>220</v>
      </c>
      <c r="D8" s="142" t="str">
        <f>VLOOKUP(C8,'Tipos de Defeitos'!B$4:E$106,Menu!$B$23+1,)</f>
        <v>Defeitos (Qty)</v>
      </c>
      <c r="E8" s="225">
        <f>INDEX(Rascunho!$C$2:$H$78,MATCH('Dados do Gráfico Total'!$D8,Rascunho!$D$2:$D$78,0),MATCH('Dados do Gráfico Total'!$E$1,Rascunho!$C$1:$H$1,0))</f>
        <v>0</v>
      </c>
      <c r="F8" s="71"/>
    </row>
    <row r="9" spans="1:9" ht="12.75" customHeight="1">
      <c r="A9" s="264" t="s">
        <v>4</v>
      </c>
      <c r="B9" s="73"/>
      <c r="C9" s="137">
        <v>230</v>
      </c>
      <c r="D9" s="142" t="str">
        <f>VLOOKUP(C9,'Tipos de Defeitos'!B$4:E$106,Menu!$B$23+1,)</f>
        <v>Voltagem (Moda)</v>
      </c>
      <c r="E9" s="88">
        <f>INDEX(Rascunho!$C$2:$H$78,MATCH('Dados do Gráfico Total'!$D9,Rascunho!$D$2:$D$78,0),MATCH('Dados do Gráfico Total'!$E$1,Rascunho!$C$1:$H$1,0))</f>
        <v>1.6550000000000005</v>
      </c>
    </row>
    <row r="10" spans="1:9" ht="13.5" thickBot="1">
      <c r="A10" s="264"/>
      <c r="B10" s="73"/>
      <c r="C10" s="137">
        <v>240</v>
      </c>
      <c r="D10" s="142" t="str">
        <f>VLOOKUP(C10,'Tipos de Defeitos'!B$4:E$106,Menu!$B$23+1,)</f>
        <v>Voltagem (ajustada)</v>
      </c>
      <c r="E10" s="226">
        <f>INDEX(Rascunho!$C$2:$H$78,MATCH('Dados do Gráfico Total'!$D10,Rascunho!$D$2:$D$78,0),MATCH('Dados do Gráfico Total'!$E$1,Rascunho!$C$1:$H$1,0))</f>
        <v>1.6499999999999992</v>
      </c>
    </row>
    <row r="11" spans="1:9" ht="14.25" thickTop="1" thickBot="1">
      <c r="A11" s="264"/>
      <c r="B11" s="73"/>
      <c r="C11" s="140">
        <v>250</v>
      </c>
      <c r="D11" s="143" t="str">
        <f>VLOOKUP(C11,'Tipos de Defeitos'!B$4:E$106,Menu!$B$23+1,)</f>
        <v>Qtd. Analisada (pçs)</v>
      </c>
      <c r="E11" s="58">
        <f>INDEX(Rascunho!$C$2:$H$78,MATCH('Dados do Gráfico Total'!$D11,Rascunho!$D$2:$D$78,0),MATCH('Dados do Gráfico Total'!$E$1,Rascunho!$C$1:$H$1,0))</f>
        <v>10</v>
      </c>
      <c r="F11" s="64" t="s">
        <v>51</v>
      </c>
      <c r="G11" s="221" t="s">
        <v>254</v>
      </c>
      <c r="H11" s="221" t="s">
        <v>255</v>
      </c>
      <c r="I11" s="221" t="s">
        <v>253</v>
      </c>
    </row>
    <row r="12" spans="1:9" ht="13.5" customHeight="1">
      <c r="A12" s="264"/>
      <c r="B12" s="74">
        <v>1</v>
      </c>
      <c r="C12" s="70">
        <f>VLOOKUP(Rascunho!K12,Rascunho!B$12:F$78,2)</f>
        <v>330</v>
      </c>
      <c r="D12" s="75" t="str">
        <f>VLOOKUP(Rascunho!K12,Rascunho!B$12:F$78,3)</f>
        <v>Papel Deslocado</v>
      </c>
      <c r="E12" s="76">
        <f>INDEX(Rascunho!$C$2:$H$78,MATCH('Dados do Gráfico Total'!$D12,Rascunho!$D$2:$D$78,0),MATCH('Dados do Gráfico Total'!$E$1,Rascunho!$C$1:$H$1,0))</f>
        <v>7</v>
      </c>
      <c r="F12" s="71" t="e">
        <f t="shared" ref="F12:F75" si="0">E12/E$11*E$8/E$6*1000000</f>
        <v>#DIV/0!</v>
      </c>
      <c r="G12" s="64">
        <f>E12</f>
        <v>7</v>
      </c>
      <c r="H12" s="71">
        <f>G12/G$78*100</f>
        <v>70</v>
      </c>
      <c r="I12" s="71" t="e">
        <f>IF((Rascunho!$E$80&gt;400)*(H12&lt;=80),F12,0)</f>
        <v>#DIV/0!</v>
      </c>
    </row>
    <row r="13" spans="1:9">
      <c r="A13" s="264"/>
      <c r="B13" s="74">
        <v>2</v>
      </c>
      <c r="C13" s="70">
        <f>VLOOKUP(Rascunho!K13,Rascunho!B$12:F$78,2)</f>
        <v>570</v>
      </c>
      <c r="D13" s="75" t="str">
        <f>VLOOKUP(Rascunho!K13,Rascunho!B$12:F$78,3)</f>
        <v>Carvão Quebrado V</v>
      </c>
      <c r="E13" s="76">
        <f>INDEX(Rascunho!$C$2:$H$78,MATCH('Dados do Gráfico Total'!$D13,Rascunho!$D$2:$D$78,0),MATCH('Dados do Gráfico Total'!$E$1,Rascunho!$C$1:$H$1,0))</f>
        <v>2</v>
      </c>
      <c r="F13" s="71" t="e">
        <f t="shared" si="0"/>
        <v>#DIV/0!</v>
      </c>
      <c r="G13" s="64">
        <f>G12+E13</f>
        <v>9</v>
      </c>
      <c r="H13" s="71">
        <f t="shared" ref="H13:H76" si="1">G13/G$78*100</f>
        <v>90</v>
      </c>
      <c r="I13" s="71" t="e">
        <f>IF((Rascunho!$E$80&gt;400)*(H13&lt;=80),F13,0)</f>
        <v>#DIV/0!</v>
      </c>
    </row>
    <row r="14" spans="1:9">
      <c r="A14" s="264"/>
      <c r="B14" s="74">
        <v>3</v>
      </c>
      <c r="C14" s="70">
        <f>VLOOKUP(Rascunho!K14,Rascunho!B$12:F$78,2)</f>
        <v>660</v>
      </c>
      <c r="D14" s="75" t="str">
        <f>VLOOKUP(Rascunho!K14,Rascunho!B$12:F$78,3)</f>
        <v>Tubo descascado</v>
      </c>
      <c r="E14" s="76">
        <f>INDEX(Rascunho!$C$2:$H$78,MATCH('Dados do Gráfico Total'!$D14,Rascunho!$D$2:$D$78,0),MATCH('Dados do Gráfico Total'!$E$1,Rascunho!$C$1:$H$1,0))</f>
        <v>1</v>
      </c>
      <c r="F14" s="71" t="e">
        <f t="shared" si="0"/>
        <v>#DIV/0!</v>
      </c>
      <c r="G14" s="64">
        <f t="shared" ref="G14:G77" si="2">G13+E14</f>
        <v>10</v>
      </c>
      <c r="H14" s="71">
        <f t="shared" si="1"/>
        <v>100</v>
      </c>
      <c r="I14" s="71" t="e">
        <f>IF((Rascunho!$E$80&gt;400)*(H14&lt;=80),F14,0)</f>
        <v>#DIV/0!</v>
      </c>
    </row>
    <row r="15" spans="1:9">
      <c r="A15" s="264"/>
      <c r="B15" s="74">
        <v>4</v>
      </c>
      <c r="C15" s="70">
        <f>VLOOKUP(Rascunho!K15,Rascunho!B$12:F$78,2)</f>
        <v>1000</v>
      </c>
      <c r="D15" s="75" t="str">
        <f>VLOOKUP(Rascunho!K15,Rascunho!B$12:F$78,3)</f>
        <v>Outros - Amperagem</v>
      </c>
      <c r="E15" s="76">
        <f>INDEX(Rascunho!$C$2:$H$78,MATCH('Dados do Gráfico Total'!$D15,Rascunho!$D$2:$D$78,0),MATCH('Dados do Gráfico Total'!$E$1,Rascunho!$C$1:$H$1,0))</f>
        <v>0</v>
      </c>
      <c r="F15" s="71" t="e">
        <f t="shared" si="0"/>
        <v>#DIV/0!</v>
      </c>
      <c r="G15" s="64">
        <f t="shared" si="2"/>
        <v>10</v>
      </c>
      <c r="H15" s="71">
        <f t="shared" si="1"/>
        <v>100</v>
      </c>
      <c r="I15" s="71" t="e">
        <f>IF((Rascunho!$E$80&gt;400)*(H15&lt;=80),F15,0)</f>
        <v>#DIV/0!</v>
      </c>
    </row>
    <row r="16" spans="1:9">
      <c r="A16" s="264"/>
      <c r="B16" s="74">
        <v>5</v>
      </c>
      <c r="C16" s="70">
        <f>VLOOKUP(Rascunho!K16,Rascunho!B$12:F$78,2)</f>
        <v>990</v>
      </c>
      <c r="D16" s="75" t="str">
        <f>VLOOKUP(Rascunho!K16,Rascunho!B$12:F$78,3)</f>
        <v>Causa Desconhecida - Amperagem</v>
      </c>
      <c r="E16" s="76">
        <f>INDEX(Rascunho!$C$2:$H$78,MATCH('Dados do Gráfico Total'!$D16,Rascunho!$D$2:$D$78,0),MATCH('Dados do Gráfico Total'!$E$1,Rascunho!$C$1:$H$1,0))</f>
        <v>0</v>
      </c>
      <c r="F16" s="71" t="e">
        <f t="shared" si="0"/>
        <v>#DIV/0!</v>
      </c>
      <c r="G16" s="64">
        <f t="shared" si="2"/>
        <v>10</v>
      </c>
      <c r="H16" s="71">
        <f t="shared" si="1"/>
        <v>100</v>
      </c>
      <c r="I16" s="71" t="e">
        <f>IF((Rascunho!$E$80&gt;400)*(H16&lt;=80),F16,0)</f>
        <v>#DIV/0!</v>
      </c>
    </row>
    <row r="17" spans="1:9">
      <c r="A17" s="264"/>
      <c r="B17" s="74">
        <v>6</v>
      </c>
      <c r="C17" s="70">
        <f>VLOOKUP(Rascunho!K17,Rascunho!B$12:F$78,2)</f>
        <v>980</v>
      </c>
      <c r="D17" s="75" t="str">
        <f>VLOOKUP(Rascunho!K17,Rascunho!B$12:F$78,3)</f>
        <v>PVC Comprido</v>
      </c>
      <c r="E17" s="76">
        <f>INDEX(Rascunho!$C$2:$H$78,MATCH('Dados do Gráfico Total'!$D17,Rascunho!$D$2:$D$78,0),MATCH('Dados do Gráfico Total'!$E$1,Rascunho!$C$1:$H$1,0))</f>
        <v>0</v>
      </c>
      <c r="F17" s="71" t="e">
        <f t="shared" si="0"/>
        <v>#DIV/0!</v>
      </c>
      <c r="G17" s="64">
        <f t="shared" si="2"/>
        <v>10</v>
      </c>
      <c r="H17" s="71">
        <f t="shared" si="1"/>
        <v>100</v>
      </c>
      <c r="I17" s="71" t="e">
        <f>IF((Rascunho!$E$80&gt;400)*(H17&lt;=80),F17,0)</f>
        <v>#DIV/0!</v>
      </c>
    </row>
    <row r="18" spans="1:9">
      <c r="A18" s="264"/>
      <c r="B18" s="74">
        <v>7</v>
      </c>
      <c r="C18" s="70">
        <f>VLOOKUP(Rascunho!K18,Rascunho!B$12:F$78,2)</f>
        <v>970</v>
      </c>
      <c r="D18" s="75" t="str">
        <f>VLOOKUP(Rascunho!K18,Rascunho!B$12:F$78,3)</f>
        <v>Bottom Plate Amassado</v>
      </c>
      <c r="E18" s="76">
        <f>INDEX(Rascunho!$C$2:$H$78,MATCH('Dados do Gráfico Total'!$D18,Rascunho!$D$2:$D$78,0),MATCH('Dados do Gráfico Total'!$E$1,Rascunho!$C$1:$H$1,0))</f>
        <v>0</v>
      </c>
      <c r="F18" s="71" t="e">
        <f t="shared" si="0"/>
        <v>#DIV/0!</v>
      </c>
      <c r="G18" s="64">
        <f t="shared" si="2"/>
        <v>10</v>
      </c>
      <c r="H18" s="71">
        <f t="shared" si="1"/>
        <v>100</v>
      </c>
      <c r="I18" s="71" t="e">
        <f>IF((Rascunho!$E$80&gt;400)*(H18&lt;=80),F18,0)</f>
        <v>#DIV/0!</v>
      </c>
    </row>
    <row r="19" spans="1:9">
      <c r="A19" s="264"/>
      <c r="B19" s="74">
        <v>8</v>
      </c>
      <c r="C19" s="70">
        <f>VLOOKUP(Rascunho!K19,Rascunho!B$12:F$78,2)</f>
        <v>960</v>
      </c>
      <c r="D19" s="75" t="str">
        <f>VLOOKUP(Rascunho!K19,Rascunho!B$12:F$78,3)</f>
        <v>Mistura seca</v>
      </c>
      <c r="E19" s="76">
        <f>INDEX(Rascunho!$C$2:$H$78,MATCH('Dados do Gráfico Total'!$D19,Rascunho!$D$2:$D$78,0),MATCH('Dados do Gráfico Total'!$E$1,Rascunho!$C$1:$H$1,0))</f>
        <v>0</v>
      </c>
      <c r="F19" s="71" t="e">
        <f t="shared" si="0"/>
        <v>#DIV/0!</v>
      </c>
      <c r="G19" s="64">
        <f t="shared" si="2"/>
        <v>10</v>
      </c>
      <c r="H19" s="71">
        <f t="shared" si="1"/>
        <v>100</v>
      </c>
      <c r="I19" s="71" t="e">
        <f>IF((Rascunho!$E$80&gt;400)*(H19&lt;=80),F19,0)</f>
        <v>#DIV/0!</v>
      </c>
    </row>
    <row r="20" spans="1:9">
      <c r="A20" s="264"/>
      <c r="B20" s="74">
        <v>9</v>
      </c>
      <c r="C20" s="70">
        <f>VLOOKUP(Rascunho!K20,Rascunho!B$12:F$78,2)</f>
        <v>950</v>
      </c>
      <c r="D20" s="75" t="str">
        <f>VLOOKUP(Rascunho!K20,Rascunho!B$12:F$78,3)</f>
        <v>Contem estranho</v>
      </c>
      <c r="E20" s="76">
        <f>INDEX(Rascunho!$C$2:$H$78,MATCH('Dados do Gráfico Total'!$D20,Rascunho!$D$2:$D$78,0),MATCH('Dados do Gráfico Total'!$E$1,Rascunho!$C$1:$H$1,0))</f>
        <v>0</v>
      </c>
      <c r="F20" s="71" t="e">
        <f t="shared" si="0"/>
        <v>#DIV/0!</v>
      </c>
      <c r="G20" s="64">
        <f t="shared" si="2"/>
        <v>10</v>
      </c>
      <c r="H20" s="71">
        <f t="shared" si="1"/>
        <v>100</v>
      </c>
      <c r="I20" s="71" t="e">
        <f>IF((Rascunho!$E$80&gt;400)*(H20&lt;=80),F20,0)</f>
        <v>#DIV/0!</v>
      </c>
    </row>
    <row r="21" spans="1:9">
      <c r="A21" s="264"/>
      <c r="B21" s="74">
        <v>10</v>
      </c>
      <c r="C21" s="70">
        <f>VLOOKUP(Rascunho!K21,Rascunho!B$12:F$78,2)</f>
        <v>940</v>
      </c>
      <c r="D21" s="75" t="str">
        <f>VLOOKUP(Rascunho!K21,Rascunho!B$12:F$78,3)</f>
        <v>Tubo de Zinco Sujo</v>
      </c>
      <c r="E21" s="76">
        <f>INDEX(Rascunho!$C$2:$H$78,MATCH('Dados do Gráfico Total'!$D21,Rascunho!$D$2:$D$78,0),MATCH('Dados do Gráfico Total'!$E$1,Rascunho!$C$1:$H$1,0))</f>
        <v>0</v>
      </c>
      <c r="F21" s="71" t="e">
        <f t="shared" si="0"/>
        <v>#DIV/0!</v>
      </c>
      <c r="G21" s="64">
        <f t="shared" si="2"/>
        <v>10</v>
      </c>
      <c r="H21" s="71">
        <f t="shared" si="1"/>
        <v>100</v>
      </c>
      <c r="I21" s="71" t="e">
        <f>IF((Rascunho!$E$80&gt;400)*(H21&lt;=80),F21,0)</f>
        <v>#DIV/0!</v>
      </c>
    </row>
    <row r="22" spans="1:9">
      <c r="A22" s="264"/>
      <c r="B22" s="74">
        <v>11</v>
      </c>
      <c r="C22" s="70">
        <f>VLOOKUP(Rascunho!K22,Rascunho!B$12:F$78,2)</f>
        <v>930</v>
      </c>
      <c r="D22" s="75" t="str">
        <f>VLOOKUP(Rascunho!K22,Rascunho!B$12:F$78,3)</f>
        <v>Carvão Frouxo</v>
      </c>
      <c r="E22" s="76">
        <f>INDEX(Rascunho!$C$2:$H$78,MATCH('Dados do Gráfico Total'!$D22,Rascunho!$D$2:$D$78,0),MATCH('Dados do Gráfico Total'!$E$1,Rascunho!$C$1:$H$1,0))</f>
        <v>0</v>
      </c>
      <c r="F22" s="71" t="e">
        <f t="shared" si="0"/>
        <v>#DIV/0!</v>
      </c>
      <c r="G22" s="64">
        <f t="shared" si="2"/>
        <v>10</v>
      </c>
      <c r="H22" s="71">
        <f t="shared" si="1"/>
        <v>100</v>
      </c>
      <c r="I22" s="71" t="e">
        <f>IF((Rascunho!$E$80&gt;400)*(H22&lt;=80),F22,0)</f>
        <v>#DIV/0!</v>
      </c>
    </row>
    <row r="23" spans="1:9">
      <c r="A23" s="264"/>
      <c r="B23" s="74">
        <v>12</v>
      </c>
      <c r="C23" s="70">
        <f>VLOOKUP(Rascunho!K23,Rascunho!B$12:F$78,2)</f>
        <v>920</v>
      </c>
      <c r="D23" s="75" t="str">
        <f>VLOOKUP(Rascunho!K23,Rascunho!B$12:F$78,3)</f>
        <v>Metade do Carvão</v>
      </c>
      <c r="E23" s="76">
        <f>INDEX(Rascunho!$C$2:$H$78,MATCH('Dados do Gráfico Total'!$D23,Rascunho!$D$2:$D$78,0),MATCH('Dados do Gráfico Total'!$E$1,Rascunho!$C$1:$H$1,0))</f>
        <v>0</v>
      </c>
      <c r="F23" s="71" t="e">
        <f t="shared" si="0"/>
        <v>#DIV/0!</v>
      </c>
      <c r="G23" s="64">
        <f t="shared" si="2"/>
        <v>10</v>
      </c>
      <c r="H23" s="71">
        <f t="shared" si="1"/>
        <v>100</v>
      </c>
      <c r="I23" s="71" t="e">
        <f>IF((Rascunho!$E$80&gt;400)*(H23&lt;=80),F23,0)</f>
        <v>#DIV/0!</v>
      </c>
    </row>
    <row r="24" spans="1:9" ht="12.75" customHeight="1">
      <c r="A24" s="264"/>
      <c r="B24" s="74">
        <v>13</v>
      </c>
      <c r="C24" s="70">
        <f>VLOOKUP(Rascunho!K24,Rascunho!B$12:F$78,2)</f>
        <v>910</v>
      </c>
      <c r="D24" s="75" t="str">
        <f>VLOOKUP(Rascunho!K24,Rascunho!B$12:F$78,3)</f>
        <v>Carvão Quebrado A</v>
      </c>
      <c r="E24" s="76">
        <f>INDEX(Rascunho!$C$2:$H$78,MATCH('Dados do Gráfico Total'!$D24,Rascunho!$D$2:$D$78,0),MATCH('Dados do Gráfico Total'!$E$1,Rascunho!$C$1:$H$1,0))</f>
        <v>0</v>
      </c>
      <c r="F24" s="71" t="e">
        <f t="shared" si="0"/>
        <v>#DIV/0!</v>
      </c>
      <c r="G24" s="64">
        <f t="shared" si="2"/>
        <v>10</v>
      </c>
      <c r="H24" s="71">
        <f t="shared" si="1"/>
        <v>100</v>
      </c>
      <c r="I24" s="71" t="e">
        <f>IF((Rascunho!$E$80&gt;400)*(H24&lt;=80),F24,0)</f>
        <v>#DIV/0!</v>
      </c>
    </row>
    <row r="25" spans="1:9">
      <c r="A25" s="264"/>
      <c r="B25" s="74">
        <v>14</v>
      </c>
      <c r="C25" s="70">
        <f>VLOOKUP(Rascunho!K25,Rascunho!B$12:F$78,2)</f>
        <v>900</v>
      </c>
      <c r="D25" s="75" t="str">
        <f>VLOOKUP(Rascunho!K25,Rascunho!B$12:F$78,3)</f>
        <v>Emenda de Papel</v>
      </c>
      <c r="E25" s="76">
        <f>INDEX(Rascunho!$C$2:$H$78,MATCH('Dados do Gráfico Total'!$D25,Rascunho!$D$2:$D$78,0),MATCH('Dados do Gráfico Total'!$E$1,Rascunho!$C$1:$H$1,0))</f>
        <v>0</v>
      </c>
      <c r="F25" s="71" t="e">
        <f t="shared" si="0"/>
        <v>#DIV/0!</v>
      </c>
      <c r="G25" s="64">
        <f t="shared" si="2"/>
        <v>10</v>
      </c>
      <c r="H25" s="71">
        <f t="shared" si="1"/>
        <v>100</v>
      </c>
      <c r="I25" s="71" t="e">
        <f>IF((Rascunho!$E$80&gt;400)*(H25&lt;=80),F25,0)</f>
        <v>#DIV/0!</v>
      </c>
    </row>
    <row r="26" spans="1:9">
      <c r="A26" s="264"/>
      <c r="B26" s="74">
        <v>15</v>
      </c>
      <c r="C26" s="70">
        <f>VLOOKUP(Rascunho!K26,Rascunho!B$12:F$78,2)</f>
        <v>890</v>
      </c>
      <c r="D26" s="75" t="str">
        <f>VLOOKUP(Rascunho!K26,Rascunho!B$12:F$78,3)</f>
        <v>Bobina Rachada</v>
      </c>
      <c r="E26" s="76">
        <f>INDEX(Rascunho!$C$2:$H$78,MATCH('Dados do Gráfico Total'!$D26,Rascunho!$D$2:$D$78,0),MATCH('Dados do Gráfico Total'!$E$1,Rascunho!$C$1:$H$1,0))</f>
        <v>0</v>
      </c>
      <c r="F26" s="71" t="e">
        <f t="shared" si="0"/>
        <v>#DIV/0!</v>
      </c>
      <c r="G26" s="64">
        <f t="shared" si="2"/>
        <v>10</v>
      </c>
      <c r="H26" s="71">
        <f t="shared" si="1"/>
        <v>100</v>
      </c>
      <c r="I26" s="71" t="e">
        <f>IF((Rascunho!$E$80&gt;400)*(H26&lt;=80),F26,0)</f>
        <v>#DIV/0!</v>
      </c>
    </row>
    <row r="27" spans="1:9">
      <c r="A27" s="264"/>
      <c r="B27" s="74">
        <v>16</v>
      </c>
      <c r="C27" s="70">
        <f>VLOOKUP(Rascunho!K27,Rascunho!B$12:F$78,2)</f>
        <v>880</v>
      </c>
      <c r="D27" s="75" t="str">
        <f>VLOOKUP(Rascunho!K27,Rascunho!B$12:F$78,3)</f>
        <v>Bobina Baixa A</v>
      </c>
      <c r="E27" s="76">
        <f>INDEX(Rascunho!$C$2:$H$78,MATCH('Dados do Gráfico Total'!$D27,Rascunho!$D$2:$D$78,0),MATCH('Dados do Gráfico Total'!$E$1,Rascunho!$C$1:$H$1,0))</f>
        <v>0</v>
      </c>
      <c r="F27" s="71" t="e">
        <f t="shared" si="0"/>
        <v>#DIV/0!</v>
      </c>
      <c r="G27" s="64">
        <f t="shared" si="2"/>
        <v>10</v>
      </c>
      <c r="H27" s="71">
        <f t="shared" si="1"/>
        <v>100</v>
      </c>
      <c r="I27" s="71" t="e">
        <f>IF((Rascunho!$E$80&gt;400)*(H27&lt;=80),F27,0)</f>
        <v>#DIV/0!</v>
      </c>
    </row>
    <row r="28" spans="1:9">
      <c r="A28" s="264"/>
      <c r="B28" s="74">
        <v>17</v>
      </c>
      <c r="C28" s="70">
        <f>VLOOKUP(Rascunho!K28,Rascunho!B$12:F$78,2)</f>
        <v>870</v>
      </c>
      <c r="D28" s="75" t="str">
        <f>VLOOKUP(Rascunho!K28,Rascunho!B$12:F$78,3)</f>
        <v>Pelota de Manganês</v>
      </c>
      <c r="E28" s="76">
        <f>INDEX(Rascunho!$C$2:$H$78,MATCH('Dados do Gráfico Total'!$D28,Rascunho!$D$2:$D$78,0),MATCH('Dados do Gráfico Total'!$E$1,Rascunho!$C$1:$H$1,0))</f>
        <v>0</v>
      </c>
      <c r="F28" s="71" t="e">
        <f t="shared" si="0"/>
        <v>#DIV/0!</v>
      </c>
      <c r="G28" s="64">
        <f t="shared" si="2"/>
        <v>10</v>
      </c>
      <c r="H28" s="71">
        <f t="shared" si="1"/>
        <v>100</v>
      </c>
      <c r="I28" s="71" t="e">
        <f>IF((Rascunho!$E$80&gt;400)*(H28&lt;=80),F28,0)</f>
        <v>#DIV/0!</v>
      </c>
    </row>
    <row r="29" spans="1:9">
      <c r="A29" s="264"/>
      <c r="B29" s="74">
        <v>18</v>
      </c>
      <c r="C29" s="70">
        <f>VLOOKUP(Rascunho!K29,Rascunho!B$12:F$78,2)</f>
        <v>860</v>
      </c>
      <c r="D29" s="75" t="str">
        <f>VLOOKUP(Rascunho!K29,Rascunho!B$12:F$78,3)</f>
        <v>Pedra de Cl de Amônia</v>
      </c>
      <c r="E29" s="76">
        <f>INDEX(Rascunho!$C$2:$H$78,MATCH('Dados do Gráfico Total'!$D29,Rascunho!$D$2:$D$78,0),MATCH('Dados do Gráfico Total'!$E$1,Rascunho!$C$1:$H$1,0))</f>
        <v>0</v>
      </c>
      <c r="F29" s="71" t="e">
        <f t="shared" si="0"/>
        <v>#DIV/0!</v>
      </c>
      <c r="G29" s="64">
        <f t="shared" si="2"/>
        <v>10</v>
      </c>
      <c r="H29" s="71">
        <f t="shared" si="1"/>
        <v>100</v>
      </c>
      <c r="I29" s="71" t="e">
        <f>IF((Rascunho!$E$80&gt;400)*(H29&lt;=80),F29,0)</f>
        <v>#DIV/0!</v>
      </c>
    </row>
    <row r="30" spans="1:9">
      <c r="A30" s="264"/>
      <c r="B30" s="74">
        <v>19</v>
      </c>
      <c r="C30" s="70">
        <f>VLOOKUP(Rascunho!K30,Rascunho!B$12:F$78,2)</f>
        <v>850</v>
      </c>
      <c r="D30" s="75" t="str">
        <f>VLOOKUP(Rascunho!K30,Rascunho!B$12:F$78,3)</f>
        <v>Pedra de Negro</v>
      </c>
      <c r="E30" s="76">
        <f>INDEX(Rascunho!$C$2:$H$78,MATCH('Dados do Gráfico Total'!$D30,Rascunho!$D$2:$D$78,0),MATCH('Dados do Gráfico Total'!$E$1,Rascunho!$C$1:$H$1,0))</f>
        <v>0</v>
      </c>
      <c r="F30" s="71" t="e">
        <f t="shared" si="0"/>
        <v>#DIV/0!</v>
      </c>
      <c r="G30" s="64">
        <f t="shared" si="2"/>
        <v>10</v>
      </c>
      <c r="H30" s="71">
        <f t="shared" si="1"/>
        <v>100</v>
      </c>
      <c r="I30" s="71" t="e">
        <f>IF((Rascunho!$E$80&gt;400)*(H30&lt;=80),F30,0)</f>
        <v>#DIV/0!</v>
      </c>
    </row>
    <row r="31" spans="1:9">
      <c r="A31" s="264"/>
      <c r="B31" s="74">
        <v>20</v>
      </c>
      <c r="C31" s="70">
        <f>VLOOKUP(Rascunho!K31,Rascunho!B$12:F$78,2)</f>
        <v>840</v>
      </c>
      <c r="D31" s="75" t="str">
        <f>VLOOKUP(Rascunho!K31,Rascunho!B$12:F$78,3)</f>
        <v>Papel Separdor Duplo</v>
      </c>
      <c r="E31" s="76">
        <f>INDEX(Rascunho!$C$2:$H$78,MATCH('Dados do Gráfico Total'!$D31,Rascunho!$D$2:$D$78,0),MATCH('Dados do Gráfico Total'!$E$1,Rascunho!$C$1:$H$1,0))</f>
        <v>0</v>
      </c>
      <c r="F31" s="71" t="e">
        <f t="shared" si="0"/>
        <v>#DIV/0!</v>
      </c>
      <c r="G31" s="64">
        <f t="shared" si="2"/>
        <v>10</v>
      </c>
      <c r="H31" s="71">
        <f t="shared" si="1"/>
        <v>100</v>
      </c>
      <c r="I31" s="71" t="e">
        <f>IF((Rascunho!$E$80&gt;400)*(H31&lt;=80),F31,0)</f>
        <v>#DIV/0!</v>
      </c>
    </row>
    <row r="32" spans="1:9">
      <c r="A32" s="264"/>
      <c r="B32" s="74">
        <v>21</v>
      </c>
      <c r="C32" s="70">
        <f>VLOOKUP(Rascunho!K32,Rascunho!B$12:F$78,2)</f>
        <v>750</v>
      </c>
      <c r="D32" s="75" t="str">
        <f>VLOOKUP(Rascunho!K32,Rascunho!B$12:F$78,3)</f>
        <v>Outros - Voltagem</v>
      </c>
      <c r="E32" s="76">
        <f>INDEX(Rascunho!$C$2:$H$78,MATCH('Dados do Gráfico Total'!$D32,Rascunho!$D$2:$D$78,0),MATCH('Dados do Gráfico Total'!$E$1,Rascunho!$C$1:$H$1,0))</f>
        <v>0</v>
      </c>
      <c r="F32" s="71" t="e">
        <f t="shared" si="0"/>
        <v>#DIV/0!</v>
      </c>
      <c r="G32" s="64">
        <f t="shared" si="2"/>
        <v>10</v>
      </c>
      <c r="H32" s="71">
        <f t="shared" si="1"/>
        <v>100</v>
      </c>
      <c r="I32" s="71" t="e">
        <f>IF((Rascunho!$E$80&gt;400)*(H32&lt;=80),F32,0)</f>
        <v>#DIV/0!</v>
      </c>
    </row>
    <row r="33" spans="1:9">
      <c r="A33" s="264"/>
      <c r="B33" s="74">
        <v>22</v>
      </c>
      <c r="C33" s="70">
        <f>VLOOKUP(Rascunho!K33,Rascunho!B$12:F$78,2)</f>
        <v>740</v>
      </c>
      <c r="D33" s="75" t="str">
        <f>VLOOKUP(Rascunho!K33,Rascunho!B$12:F$78,3)</f>
        <v>Pilha Boa</v>
      </c>
      <c r="E33" s="76">
        <f>INDEX(Rascunho!$C$2:$H$78,MATCH('Dados do Gráfico Total'!$D33,Rascunho!$D$2:$D$78,0),MATCH('Dados do Gráfico Total'!$E$1,Rascunho!$C$1:$H$1,0))</f>
        <v>0</v>
      </c>
      <c r="F33" s="71" t="e">
        <f t="shared" si="0"/>
        <v>#DIV/0!</v>
      </c>
      <c r="G33" s="64">
        <f t="shared" si="2"/>
        <v>10</v>
      </c>
      <c r="H33" s="71">
        <f t="shared" si="1"/>
        <v>100</v>
      </c>
      <c r="I33" s="71" t="e">
        <f>IF((Rascunho!$E$80&gt;400)*(H33&lt;=80),F33,0)</f>
        <v>#DIV/0!</v>
      </c>
    </row>
    <row r="34" spans="1:9">
      <c r="A34" s="264"/>
      <c r="B34" s="74">
        <v>23</v>
      </c>
      <c r="C34" s="70">
        <f>VLOOKUP(Rascunho!K34,Rascunho!B$12:F$78,2)</f>
        <v>730</v>
      </c>
      <c r="D34" s="75" t="str">
        <f>VLOOKUP(Rascunho!K34,Rascunho!B$12:F$78,3)</f>
        <v>Causa Desconhecida - Voltagem</v>
      </c>
      <c r="E34" s="76">
        <f>INDEX(Rascunho!$C$2:$H$78,MATCH('Dados do Gráfico Total'!$D34,Rascunho!$D$2:$D$78,0),MATCH('Dados do Gráfico Total'!$E$1,Rascunho!$C$1:$H$1,0))</f>
        <v>0</v>
      </c>
      <c r="F34" s="71" t="e">
        <f t="shared" si="0"/>
        <v>#DIV/0!</v>
      </c>
      <c r="G34" s="64">
        <f t="shared" si="2"/>
        <v>10</v>
      </c>
      <c r="H34" s="71">
        <f t="shared" si="1"/>
        <v>100</v>
      </c>
      <c r="I34" s="71" t="e">
        <f>IF((Rascunho!$E$80&gt;400)*(H34&lt;=80),F34,0)</f>
        <v>#DIV/0!</v>
      </c>
    </row>
    <row r="35" spans="1:9">
      <c r="A35" s="264"/>
      <c r="B35" s="74">
        <v>24</v>
      </c>
      <c r="C35" s="70">
        <f>VLOOKUP(Rascunho!K35,Rascunho!B$12:F$78,2)</f>
        <v>720</v>
      </c>
      <c r="D35" s="75" t="str">
        <f>VLOOKUP(Rascunho!K35,Rascunho!B$12:F$78,3)</f>
        <v>Pilha recuperada do Acabamento</v>
      </c>
      <c r="E35" s="76">
        <f>INDEX(Rascunho!$C$2:$H$78,MATCH('Dados do Gráfico Total'!$D35,Rascunho!$D$2:$D$78,0),MATCH('Dados do Gráfico Total'!$E$1,Rascunho!$C$1:$H$1,0))</f>
        <v>0</v>
      </c>
      <c r="F35" s="71" t="e">
        <f t="shared" si="0"/>
        <v>#DIV/0!</v>
      </c>
      <c r="G35" s="64">
        <f t="shared" si="2"/>
        <v>10</v>
      </c>
      <c r="H35" s="71">
        <f t="shared" si="1"/>
        <v>100</v>
      </c>
      <c r="I35" s="71" t="e">
        <f>IF((Rascunho!$E$80&gt;400)*(H35&lt;=80),F35,0)</f>
        <v>#DIV/0!</v>
      </c>
    </row>
    <row r="36" spans="1:9">
      <c r="A36" s="264"/>
      <c r="B36" s="74">
        <v>25</v>
      </c>
      <c r="C36" s="70">
        <f>VLOOKUP(Rascunho!K36,Rascunho!B$12:F$78,2)</f>
        <v>710</v>
      </c>
      <c r="D36" s="75" t="str">
        <f>VLOOKUP(Rascunho!K36,Rascunho!B$12:F$78,3)</f>
        <v>Curto Circ. Externo -  Cap sujo</v>
      </c>
      <c r="E36" s="76">
        <f>INDEX(Rascunho!$C$2:$H$78,MATCH('Dados do Gráfico Total'!$D36,Rascunho!$D$2:$D$78,0),MATCH('Dados do Gráfico Total'!$E$1,Rascunho!$C$1:$H$1,0))</f>
        <v>0</v>
      </c>
      <c r="F36" s="71" t="e">
        <f t="shared" si="0"/>
        <v>#DIV/0!</v>
      </c>
      <c r="G36" s="64">
        <f t="shared" si="2"/>
        <v>10</v>
      </c>
      <c r="H36" s="71">
        <f t="shared" si="1"/>
        <v>100</v>
      </c>
      <c r="I36" s="71" t="e">
        <f>IF((Rascunho!$E$80&gt;400)*(H36&lt;=80),F36,0)</f>
        <v>#DIV/0!</v>
      </c>
    </row>
    <row r="37" spans="1:9">
      <c r="A37" s="264"/>
      <c r="B37" s="74">
        <v>26</v>
      </c>
      <c r="C37" s="70">
        <f>VLOOKUP(Rascunho!K37,Rascunho!B$12:F$78,2)</f>
        <v>700</v>
      </c>
      <c r="D37" s="75" t="str">
        <f>VLOOKUP(Rascunho!K37,Rascunho!B$12:F$78,3)</f>
        <v>Curto Circuito Externo</v>
      </c>
      <c r="E37" s="76">
        <f>INDEX(Rascunho!$C$2:$H$78,MATCH('Dados do Gráfico Total'!$D37,Rascunho!$D$2:$D$78,0),MATCH('Dados do Gráfico Total'!$E$1,Rascunho!$C$1:$H$1,0))</f>
        <v>0</v>
      </c>
      <c r="F37" s="71" t="e">
        <f t="shared" si="0"/>
        <v>#DIV/0!</v>
      </c>
      <c r="G37" s="64">
        <f t="shared" si="2"/>
        <v>10</v>
      </c>
      <c r="H37" s="71">
        <f t="shared" si="1"/>
        <v>100</v>
      </c>
      <c r="I37" s="71" t="e">
        <f>IF((Rascunho!$E$80&gt;400)*(H37&lt;=80),F37,0)</f>
        <v>#DIV/0!</v>
      </c>
    </row>
    <row r="38" spans="1:9">
      <c r="A38" s="264"/>
      <c r="B38" s="74">
        <v>27</v>
      </c>
      <c r="C38" s="70">
        <f>VLOOKUP(Rascunho!K38,Rascunho!B$12:F$78,2)</f>
        <v>690</v>
      </c>
      <c r="D38" s="75" t="str">
        <f>VLOOKUP(Rascunho!K38,Rascunho!B$12:F$78,3)</f>
        <v>Tubo com Rebarba</v>
      </c>
      <c r="E38" s="76">
        <f>INDEX(Rascunho!$C$2:$H$78,MATCH('Dados do Gráfico Total'!$D38,Rascunho!$D$2:$D$78,0),MATCH('Dados do Gráfico Total'!$E$1,Rascunho!$C$1:$H$1,0))</f>
        <v>0</v>
      </c>
      <c r="F38" s="71" t="e">
        <f t="shared" si="0"/>
        <v>#DIV/0!</v>
      </c>
      <c r="G38" s="64">
        <f t="shared" si="2"/>
        <v>10</v>
      </c>
      <c r="H38" s="71">
        <f t="shared" si="1"/>
        <v>100</v>
      </c>
      <c r="I38" s="71" t="e">
        <f>IF((Rascunho!$E$80&gt;400)*(H38&lt;=80),F38,0)</f>
        <v>#DIV/0!</v>
      </c>
    </row>
    <row r="39" spans="1:9">
      <c r="A39" s="264"/>
      <c r="B39" s="74">
        <v>28</v>
      </c>
      <c r="C39" s="70">
        <f>VLOOKUP(Rascunho!K39,Rascunho!B$12:F$78,2)</f>
        <v>680</v>
      </c>
      <c r="D39" s="75" t="str">
        <f>VLOOKUP(Rascunho!K39,Rascunho!B$12:F$78,3)</f>
        <v>Tubo de Zinco Amassado</v>
      </c>
      <c r="E39" s="76">
        <f>INDEX(Rascunho!$C$2:$H$78,MATCH('Dados do Gráfico Total'!$D39,Rascunho!$D$2:$D$78,0),MATCH('Dados do Gráfico Total'!$E$1,Rascunho!$C$1:$H$1,0))</f>
        <v>0</v>
      </c>
      <c r="F39" s="71" t="e">
        <f t="shared" si="0"/>
        <v>#DIV/0!</v>
      </c>
      <c r="G39" s="64">
        <f t="shared" si="2"/>
        <v>10</v>
      </c>
      <c r="H39" s="71">
        <f t="shared" si="1"/>
        <v>100</v>
      </c>
      <c r="I39" s="71" t="e">
        <f>IF((Rascunho!$E$80&gt;400)*(H39&lt;=80),F39,0)</f>
        <v>#DIV/0!</v>
      </c>
    </row>
    <row r="40" spans="1:9">
      <c r="A40" s="264"/>
      <c r="B40" s="74">
        <v>29</v>
      </c>
      <c r="C40" s="70">
        <f>VLOOKUP(Rascunho!K40,Rascunho!B$12:F$78,2)</f>
        <v>670</v>
      </c>
      <c r="D40" s="75" t="str">
        <f>VLOOKUP(Rascunho!K40,Rascunho!B$12:F$78,3)</f>
        <v>Tubo Rachado - Câmera</v>
      </c>
      <c r="E40" s="76">
        <f>INDEX(Rascunho!$C$2:$H$78,MATCH('Dados do Gráfico Total'!$D40,Rascunho!$D$2:$D$78,0),MATCH('Dados do Gráfico Total'!$E$1,Rascunho!$C$1:$H$1,0))</f>
        <v>0</v>
      </c>
      <c r="F40" s="71" t="e">
        <f t="shared" si="0"/>
        <v>#DIV/0!</v>
      </c>
      <c r="G40" s="64">
        <f t="shared" si="2"/>
        <v>10</v>
      </c>
      <c r="H40" s="71">
        <f t="shared" si="1"/>
        <v>100</v>
      </c>
      <c r="I40" s="71" t="e">
        <f>IF((Rascunho!$E$80&gt;400)*(H40&lt;=80),F40,0)</f>
        <v>#DIV/0!</v>
      </c>
    </row>
    <row r="41" spans="1:9">
      <c r="A41" s="264"/>
      <c r="B41" s="74">
        <v>30</v>
      </c>
      <c r="C41" s="70">
        <f>VLOOKUP(Rascunho!K41,Rascunho!B$12:F$78,2)</f>
        <v>650</v>
      </c>
      <c r="D41" s="75" t="str">
        <f>VLOOKUP(Rascunho!K41,Rascunho!B$12:F$78,3)</f>
        <v>Tb c/ Boca Amassada - recuperada</v>
      </c>
      <c r="E41" s="76">
        <f>INDEX(Rascunho!$C$2:$H$78,MATCH('Dados do Gráfico Total'!$D41,Rascunho!$D$2:$D$78,0),MATCH('Dados do Gráfico Total'!$E$1,Rascunho!$C$1:$H$1,0))</f>
        <v>0</v>
      </c>
      <c r="F41" s="71" t="e">
        <f t="shared" si="0"/>
        <v>#DIV/0!</v>
      </c>
      <c r="G41" s="64">
        <f t="shared" si="2"/>
        <v>10</v>
      </c>
      <c r="H41" s="71">
        <f t="shared" si="1"/>
        <v>100</v>
      </c>
      <c r="I41" s="71" t="e">
        <f>IF((Rascunho!$E$80&gt;400)*(H41&lt;=80),F41,0)</f>
        <v>#DIV/0!</v>
      </c>
    </row>
    <row r="42" spans="1:9">
      <c r="A42" s="264"/>
      <c r="B42" s="74">
        <v>31</v>
      </c>
      <c r="C42" s="70">
        <f>VLOOKUP(Rascunho!K42,Rascunho!B$12:F$78,2)</f>
        <v>640</v>
      </c>
      <c r="D42" s="75" t="str">
        <f>VLOOKUP(Rascunho!K42,Rascunho!B$12:F$78,3)</f>
        <v>Tb c/ Boca Amassada - Câmera</v>
      </c>
      <c r="E42" s="76">
        <f>INDEX(Rascunho!$C$2:$H$78,MATCH('Dados do Gráfico Total'!$D42,Rascunho!$D$2:$D$78,0),MATCH('Dados do Gráfico Total'!$E$1,Rascunho!$C$1:$H$1,0))</f>
        <v>0</v>
      </c>
      <c r="F42" s="71" t="e">
        <f t="shared" si="0"/>
        <v>#DIV/0!</v>
      </c>
      <c r="G42" s="64">
        <f t="shared" si="2"/>
        <v>10</v>
      </c>
      <c r="H42" s="71">
        <f t="shared" si="1"/>
        <v>100</v>
      </c>
      <c r="I42" s="71" t="e">
        <f>IF((Rascunho!$E$80&gt;400)*(H42&lt;=80),F42,0)</f>
        <v>#DIV/0!</v>
      </c>
    </row>
    <row r="43" spans="1:9">
      <c r="A43" s="264"/>
      <c r="B43" s="74">
        <v>32</v>
      </c>
      <c r="C43" s="70">
        <f>VLOOKUP(Rascunho!K43,Rascunho!B$12:F$78,2)</f>
        <v>630</v>
      </c>
      <c r="D43" s="75" t="str">
        <f>VLOOKUP(Rascunho!K43,Rascunho!B$12:F$78,3)</f>
        <v>Tb c/ Boca Amassada - Operador</v>
      </c>
      <c r="E43" s="76">
        <f>INDEX(Rascunho!$C$2:$H$78,MATCH('Dados do Gráfico Total'!$D43,Rascunho!$D$2:$D$78,0),MATCH('Dados do Gráfico Total'!$E$1,Rascunho!$C$1:$H$1,0))</f>
        <v>0</v>
      </c>
      <c r="F43" s="71" t="e">
        <f t="shared" si="0"/>
        <v>#DIV/0!</v>
      </c>
      <c r="G43" s="64">
        <f t="shared" si="2"/>
        <v>10</v>
      </c>
      <c r="H43" s="71">
        <f t="shared" si="1"/>
        <v>100</v>
      </c>
      <c r="I43" s="71" t="e">
        <f>IF((Rascunho!$E$80&gt;400)*(H43&lt;=80),F43,0)</f>
        <v>#DIV/0!</v>
      </c>
    </row>
    <row r="44" spans="1:9">
      <c r="A44" s="264"/>
      <c r="B44" s="74">
        <v>33</v>
      </c>
      <c r="C44" s="70">
        <f>VLOOKUP(Rascunho!K44,Rascunho!B$12:F$78,2)</f>
        <v>620</v>
      </c>
      <c r="D44" s="75" t="str">
        <f>VLOOKUP(Rascunho!K44,Rascunho!B$12:F$78,3)</f>
        <v>PY Queimado</v>
      </c>
      <c r="E44" s="76">
        <f>INDEX(Rascunho!$C$2:$H$78,MATCH('Dados do Gráfico Total'!$D44,Rascunho!$D$2:$D$78,0),MATCH('Dados do Gráfico Total'!$E$1,Rascunho!$C$1:$H$1,0))</f>
        <v>0</v>
      </c>
      <c r="F44" s="71" t="e">
        <f t="shared" si="0"/>
        <v>#DIV/0!</v>
      </c>
      <c r="G44" s="64">
        <f t="shared" si="2"/>
        <v>10</v>
      </c>
      <c r="H44" s="71">
        <f t="shared" si="1"/>
        <v>100</v>
      </c>
      <c r="I44" s="71" t="e">
        <f>IF((Rascunho!$E$80&gt;400)*(H44&lt;=80),F44,0)</f>
        <v>#DIV/0!</v>
      </c>
    </row>
    <row r="45" spans="1:9">
      <c r="A45" s="264"/>
      <c r="B45" s="74">
        <v>34</v>
      </c>
      <c r="C45" s="70">
        <f>VLOOKUP(Rascunho!K45,Rascunho!B$12:F$78,2)</f>
        <v>610</v>
      </c>
      <c r="D45" s="75" t="str">
        <f>VLOOKUP(Rascunho!K45,Rascunho!B$12:F$78,3)</f>
        <v>PY Fora de Centro</v>
      </c>
      <c r="E45" s="76">
        <f>INDEX(Rascunho!$C$2:$H$78,MATCH('Dados do Gráfico Total'!$D45,Rascunho!$D$2:$D$78,0),MATCH('Dados do Gráfico Total'!$E$1,Rascunho!$C$1:$H$1,0))</f>
        <v>0</v>
      </c>
      <c r="F45" s="71" t="e">
        <f t="shared" si="0"/>
        <v>#DIV/0!</v>
      </c>
      <c r="G45" s="64">
        <f t="shared" si="2"/>
        <v>10</v>
      </c>
      <c r="H45" s="71">
        <f t="shared" si="1"/>
        <v>100</v>
      </c>
      <c r="I45" s="71" t="e">
        <f>IF((Rascunho!$E$80&gt;400)*(H45&lt;=80),F45,0)</f>
        <v>#DIV/0!</v>
      </c>
    </row>
    <row r="46" spans="1:9">
      <c r="A46" s="264"/>
      <c r="B46" s="74">
        <v>35</v>
      </c>
      <c r="C46" s="70">
        <f>VLOOKUP(Rascunho!K46,Rascunho!B$12:F$78,2)</f>
        <v>600</v>
      </c>
      <c r="D46" s="75" t="str">
        <f>VLOOKUP(Rascunho!K46,Rascunho!B$12:F$78,3)</f>
        <v>Sem PY</v>
      </c>
      <c r="E46" s="76">
        <f>INDEX(Rascunho!$C$2:$H$78,MATCH('Dados do Gráfico Total'!$D46,Rascunho!$D$2:$D$78,0),MATCH('Dados do Gráfico Total'!$E$1,Rascunho!$C$1:$H$1,0))</f>
        <v>0</v>
      </c>
      <c r="F46" s="71" t="e">
        <f t="shared" si="0"/>
        <v>#DIV/0!</v>
      </c>
      <c r="G46" s="64">
        <f t="shared" si="2"/>
        <v>10</v>
      </c>
      <c r="H46" s="71">
        <f t="shared" si="1"/>
        <v>100</v>
      </c>
      <c r="I46" s="71" t="e">
        <f>IF((Rascunho!$E$80&gt;400)*(H46&lt;=80),F46,0)</f>
        <v>#DIV/0!</v>
      </c>
    </row>
    <row r="47" spans="1:9">
      <c r="A47" s="264"/>
      <c r="B47" s="74">
        <v>36</v>
      </c>
      <c r="C47" s="70">
        <f>VLOOKUP(Rascunho!K47,Rascunho!B$12:F$78,2)</f>
        <v>590</v>
      </c>
      <c r="D47" s="75" t="str">
        <f>VLOOKUP(Rascunho!K47,Rascunho!B$12:F$78,3)</f>
        <v>PY c/ Falha de Injeção</v>
      </c>
      <c r="E47" s="76">
        <f>INDEX(Rascunho!$C$2:$H$78,MATCH('Dados do Gráfico Total'!$D47,Rascunho!$D$2:$D$78,0),MATCH('Dados do Gráfico Total'!$E$1,Rascunho!$C$1:$H$1,0))</f>
        <v>0</v>
      </c>
      <c r="F47" s="71" t="e">
        <f t="shared" si="0"/>
        <v>#DIV/0!</v>
      </c>
      <c r="G47" s="64">
        <f t="shared" si="2"/>
        <v>10</v>
      </c>
      <c r="H47" s="71">
        <f t="shared" si="1"/>
        <v>100</v>
      </c>
      <c r="I47" s="71" t="e">
        <f>IF((Rascunho!$E$80&gt;400)*(H47&lt;=80),F47,0)</f>
        <v>#DIV/0!</v>
      </c>
    </row>
    <row r="48" spans="1:9">
      <c r="A48" s="264"/>
      <c r="B48" s="74">
        <v>37</v>
      </c>
      <c r="C48" s="70">
        <f>VLOOKUP(Rascunho!K48,Rascunho!B$12:F$78,2)</f>
        <v>580</v>
      </c>
      <c r="D48" s="75" t="str">
        <f>VLOOKUP(Rascunho!K48,Rascunho!B$12:F$78,3)</f>
        <v>Sem Selante</v>
      </c>
      <c r="E48" s="76">
        <f>INDEX(Rascunho!$C$2:$H$78,MATCH('Dados do Gráfico Total'!$D48,Rascunho!$D$2:$D$78,0),MATCH('Dados do Gráfico Total'!$E$1,Rascunho!$C$1:$H$1,0))</f>
        <v>0</v>
      </c>
      <c r="F48" s="71" t="e">
        <f t="shared" si="0"/>
        <v>#DIV/0!</v>
      </c>
      <c r="G48" s="64">
        <f t="shared" si="2"/>
        <v>10</v>
      </c>
      <c r="H48" s="71">
        <f t="shared" si="1"/>
        <v>100</v>
      </c>
      <c r="I48" s="71" t="e">
        <f>IF((Rascunho!$E$80&gt;400)*(H48&lt;=80),F48,0)</f>
        <v>#DIV/0!</v>
      </c>
    </row>
    <row r="49" spans="1:9">
      <c r="A49" s="264"/>
      <c r="B49" s="74">
        <v>38</v>
      </c>
      <c r="C49" s="70">
        <f>VLOOKUP(Rascunho!K49,Rascunho!B$12:F$78,2)</f>
        <v>560</v>
      </c>
      <c r="D49" s="75" t="str">
        <f>VLOOKUP(Rascunho!K49,Rascunho!B$12:F$78,3)</f>
        <v>Pedra de Óxido</v>
      </c>
      <c r="E49" s="76">
        <f>INDEX(Rascunho!$C$2:$H$78,MATCH('Dados do Gráfico Total'!$D49,Rascunho!$D$2:$D$78,0),MATCH('Dados do Gráfico Total'!$E$1,Rascunho!$C$1:$H$1,0))</f>
        <v>0</v>
      </c>
      <c r="F49" s="71" t="e">
        <f t="shared" si="0"/>
        <v>#DIV/0!</v>
      </c>
      <c r="G49" s="64">
        <f t="shared" si="2"/>
        <v>10</v>
      </c>
      <c r="H49" s="71">
        <f t="shared" si="1"/>
        <v>100</v>
      </c>
      <c r="I49" s="71" t="e">
        <f>IF((Rascunho!$E$80&gt;400)*(H49&lt;=80),F49,0)</f>
        <v>#DIV/0!</v>
      </c>
    </row>
    <row r="50" spans="1:9">
      <c r="A50" s="264"/>
      <c r="B50" s="74">
        <v>39</v>
      </c>
      <c r="C50" s="70">
        <f>VLOOKUP(Rascunho!K50,Rascunho!B$12:F$78,2)</f>
        <v>550</v>
      </c>
      <c r="D50" s="75" t="str">
        <f>VLOOKUP(Rascunho!K50,Rascunho!B$12:F$78,3)</f>
        <v>Contem estranho</v>
      </c>
      <c r="E50" s="76">
        <f>INDEX(Rascunho!$C$2:$H$78,MATCH('Dados do Gráfico Total'!$D50,Rascunho!$D$2:$D$78,0),MATCH('Dados do Gráfico Total'!$E$1,Rascunho!$C$1:$H$1,0))</f>
        <v>0</v>
      </c>
      <c r="F50" s="71" t="e">
        <f t="shared" si="0"/>
        <v>#DIV/0!</v>
      </c>
      <c r="G50" s="64">
        <f t="shared" si="2"/>
        <v>10</v>
      </c>
      <c r="H50" s="71">
        <f t="shared" si="1"/>
        <v>100</v>
      </c>
      <c r="I50" s="71" t="e">
        <f>IF((Rascunho!$E$80&gt;400)*(H50&lt;=80),F50,0)</f>
        <v>#DIV/0!</v>
      </c>
    </row>
    <row r="51" spans="1:9">
      <c r="A51" s="264"/>
      <c r="B51" s="74">
        <v>40</v>
      </c>
      <c r="C51" s="70">
        <f>VLOOKUP(Rascunho!K51,Rascunho!B$12:F$78,2)</f>
        <v>540</v>
      </c>
      <c r="D51" s="75" t="str">
        <f>VLOOKUP(Rascunho!K51,Rascunho!B$12:F$78,3)</f>
        <v>Mistura seca</v>
      </c>
      <c r="E51" s="76">
        <f>INDEX(Rascunho!$C$2:$H$78,MATCH('Dados do Gráfico Total'!$D51,Rascunho!$D$2:$D$78,0),MATCH('Dados do Gráfico Total'!$E$1,Rascunho!$C$1:$H$1,0))</f>
        <v>0</v>
      </c>
      <c r="F51" s="71" t="e">
        <f t="shared" si="0"/>
        <v>#DIV/0!</v>
      </c>
      <c r="G51" s="64">
        <f t="shared" si="2"/>
        <v>10</v>
      </c>
      <c r="H51" s="71">
        <f t="shared" si="1"/>
        <v>100</v>
      </c>
      <c r="I51" s="71" t="e">
        <f>IF((Rascunho!$E$80&gt;400)*(H51&lt;=80),F51,0)</f>
        <v>#DIV/0!</v>
      </c>
    </row>
    <row r="52" spans="1:9">
      <c r="A52" s="264"/>
      <c r="B52" s="74">
        <v>41</v>
      </c>
      <c r="C52" s="70">
        <f>VLOOKUP(Rascunho!K52,Rascunho!B$12:F$78,2)</f>
        <v>530</v>
      </c>
      <c r="D52" s="75" t="str">
        <f>VLOOKUP(Rascunho!K52,Rascunho!B$12:F$78,3)</f>
        <v>Bobina Molhada</v>
      </c>
      <c r="E52" s="76">
        <f>INDEX(Rascunho!$C$2:$H$78,MATCH('Dados do Gráfico Total'!$D52,Rascunho!$D$2:$D$78,0),MATCH('Dados do Gráfico Total'!$E$1,Rascunho!$C$1:$H$1,0))</f>
        <v>0</v>
      </c>
      <c r="F52" s="71" t="e">
        <f t="shared" si="0"/>
        <v>#DIV/0!</v>
      </c>
      <c r="G52" s="64">
        <f t="shared" si="2"/>
        <v>10</v>
      </c>
      <c r="H52" s="71">
        <f t="shared" si="1"/>
        <v>100</v>
      </c>
      <c r="I52" s="71" t="e">
        <f>IF((Rascunho!$E$80&gt;400)*(H52&lt;=80),F52,0)</f>
        <v>#DIV/0!</v>
      </c>
    </row>
    <row r="53" spans="1:9">
      <c r="A53" s="264"/>
      <c r="B53" s="74">
        <v>42</v>
      </c>
      <c r="C53" s="70">
        <f>VLOOKUP(Rascunho!K53,Rascunho!B$12:F$78,2)</f>
        <v>520</v>
      </c>
      <c r="D53" s="75" t="str">
        <f>VLOOKUP(Rascunho!K53,Rascunho!B$12:F$78,3)</f>
        <v>Bobina Alta</v>
      </c>
      <c r="E53" s="76">
        <f>INDEX(Rascunho!$C$2:$H$78,MATCH('Dados do Gráfico Total'!$D53,Rascunho!$D$2:$D$78,0),MATCH('Dados do Gráfico Total'!$E$1,Rascunho!$C$1:$H$1,0))</f>
        <v>0</v>
      </c>
      <c r="F53" s="71" t="e">
        <f t="shared" si="0"/>
        <v>#DIV/0!</v>
      </c>
      <c r="G53" s="64">
        <f t="shared" si="2"/>
        <v>10</v>
      </c>
      <c r="H53" s="71">
        <f t="shared" si="1"/>
        <v>100</v>
      </c>
      <c r="I53" s="71" t="e">
        <f>IF((Rascunho!$E$80&gt;400)*(H53&lt;=80),F53,0)</f>
        <v>#DIV/0!</v>
      </c>
    </row>
    <row r="54" spans="1:9">
      <c r="A54" s="264"/>
      <c r="B54" s="74">
        <v>43</v>
      </c>
      <c r="C54" s="70">
        <f>VLOOKUP(Rascunho!K54,Rascunho!B$12:F$78,2)</f>
        <v>510</v>
      </c>
      <c r="D54" s="75" t="str">
        <f>VLOOKUP(Rascunho!K54,Rascunho!B$12:F$78,3)</f>
        <v>Bobina Baixa V</v>
      </c>
      <c r="E54" s="76">
        <f>INDEX(Rascunho!$C$2:$H$78,MATCH('Dados do Gráfico Total'!$D54,Rascunho!$D$2:$D$78,0),MATCH('Dados do Gráfico Total'!$E$1,Rascunho!$C$1:$H$1,0))</f>
        <v>0</v>
      </c>
      <c r="F54" s="71" t="e">
        <f t="shared" si="0"/>
        <v>#DIV/0!</v>
      </c>
      <c r="G54" s="64">
        <f t="shared" si="2"/>
        <v>10</v>
      </c>
      <c r="H54" s="71">
        <f t="shared" si="1"/>
        <v>100</v>
      </c>
      <c r="I54" s="71" t="e">
        <f>IF((Rascunho!$E$80&gt;400)*(H54&lt;=80),F54,0)</f>
        <v>#DIV/0!</v>
      </c>
    </row>
    <row r="55" spans="1:9">
      <c r="A55" s="264"/>
      <c r="B55" s="74">
        <v>44</v>
      </c>
      <c r="C55" s="70">
        <f>VLOOKUP(Rascunho!K55,Rascunho!B$12:F$78,2)</f>
        <v>500</v>
      </c>
      <c r="D55" s="75" t="str">
        <f>VLOOKUP(Rascunho!K55,Rascunho!B$12:F$78,3)</f>
        <v>Pó de Mistura</v>
      </c>
      <c r="E55" s="76">
        <f>INDEX(Rascunho!$C$2:$H$78,MATCH('Dados do Gráfico Total'!$D55,Rascunho!$D$2:$D$78,0),MATCH('Dados do Gráfico Total'!$E$1,Rascunho!$C$1:$H$1,0))</f>
        <v>0</v>
      </c>
      <c r="F55" s="71" t="e">
        <f t="shared" si="0"/>
        <v>#DIV/0!</v>
      </c>
      <c r="G55" s="64">
        <f t="shared" si="2"/>
        <v>10</v>
      </c>
      <c r="H55" s="71">
        <f t="shared" si="1"/>
        <v>100</v>
      </c>
      <c r="I55" s="71" t="e">
        <f>IF((Rascunho!$E$80&gt;400)*(H55&lt;=80),F55,0)</f>
        <v>#DIV/0!</v>
      </c>
    </row>
    <row r="56" spans="1:9">
      <c r="A56" s="264"/>
      <c r="B56" s="74">
        <v>45</v>
      </c>
      <c r="C56" s="70">
        <f>VLOOKUP(Rascunho!K56,Rascunho!B$12:F$78,2)</f>
        <v>490</v>
      </c>
      <c r="D56" s="75" t="str">
        <f>VLOOKUP(Rascunho!K56,Rascunho!B$12:F$78,3)</f>
        <v>Mistura no Tubo</v>
      </c>
      <c r="E56" s="76">
        <f>INDEX(Rascunho!$C$2:$H$78,MATCH('Dados do Gráfico Total'!$D56,Rascunho!$D$2:$D$78,0),MATCH('Dados do Gráfico Total'!$E$1,Rascunho!$C$1:$H$1,0))</f>
        <v>0</v>
      </c>
      <c r="F56" s="71" t="e">
        <f t="shared" si="0"/>
        <v>#DIV/0!</v>
      </c>
      <c r="G56" s="64">
        <f t="shared" si="2"/>
        <v>10</v>
      </c>
      <c r="H56" s="71">
        <f t="shared" si="1"/>
        <v>100</v>
      </c>
      <c r="I56" s="71" t="e">
        <f>IF((Rascunho!$E$80&gt;400)*(H56&lt;=80),F56,0)</f>
        <v>#DIV/0!</v>
      </c>
    </row>
    <row r="57" spans="1:9" ht="13.5" customHeight="1">
      <c r="A57" s="264"/>
      <c r="B57" s="74">
        <v>46</v>
      </c>
      <c r="C57" s="70">
        <f>VLOOKUP(Rascunho!K57,Rascunho!B$12:F$78,2)</f>
        <v>480</v>
      </c>
      <c r="D57" s="75" t="str">
        <f>VLOOKUP(Rascunho!K57,Rascunho!B$12:F$78,3)</f>
        <v>Cobre</v>
      </c>
      <c r="E57" s="76">
        <f>INDEX(Rascunho!$C$2:$H$78,MATCH('Dados do Gráfico Total'!$D57,Rascunho!$D$2:$D$78,0),MATCH('Dados do Gráfico Total'!$E$1,Rascunho!$C$1:$H$1,0))</f>
        <v>0</v>
      </c>
      <c r="F57" s="71" t="e">
        <f t="shared" si="0"/>
        <v>#DIV/0!</v>
      </c>
      <c r="G57" s="64">
        <f t="shared" si="2"/>
        <v>10</v>
      </c>
      <c r="H57" s="71">
        <f t="shared" si="1"/>
        <v>100</v>
      </c>
      <c r="I57" s="71" t="e">
        <f>IF((Rascunho!$E$80&gt;400)*(H57&lt;=80),F57,0)</f>
        <v>#DIV/0!</v>
      </c>
    </row>
    <row r="58" spans="1:9">
      <c r="A58" s="264"/>
      <c r="B58" s="74">
        <v>47</v>
      </c>
      <c r="C58" s="70">
        <f>VLOOKUP(Rascunho!K58,Rascunho!B$12:F$78,2)</f>
        <v>470</v>
      </c>
      <c r="D58" s="75" t="str">
        <f>VLOOKUP(Rascunho!K58,Rascunho!B$12:F$78,3)</f>
        <v>Ferro</v>
      </c>
      <c r="E58" s="76">
        <f>INDEX(Rascunho!$C$2:$H$78,MATCH('Dados do Gráfico Total'!$D58,Rascunho!$D$2:$D$78,0),MATCH('Dados do Gráfico Total'!$E$1,Rascunho!$C$1:$H$1,0))</f>
        <v>0</v>
      </c>
      <c r="F58" s="71" t="e">
        <f t="shared" si="0"/>
        <v>#DIV/0!</v>
      </c>
      <c r="G58" s="64">
        <f t="shared" si="2"/>
        <v>10</v>
      </c>
      <c r="H58" s="71">
        <f t="shared" si="1"/>
        <v>100</v>
      </c>
      <c r="I58" s="71" t="e">
        <f>IF((Rascunho!$E$80&gt;400)*(H58&lt;=80),F58,0)</f>
        <v>#DIV/0!</v>
      </c>
    </row>
    <row r="59" spans="1:9">
      <c r="A59" s="264"/>
      <c r="B59" s="74">
        <v>48</v>
      </c>
      <c r="C59" s="70">
        <f>VLOOKUP(Rascunho!K59,Rascunho!B$12:F$78,2)</f>
        <v>460</v>
      </c>
      <c r="D59" s="75" t="str">
        <f>VLOOKUP(Rascunho!K59,Rascunho!B$12:F$78,3)</f>
        <v>Manchado Superior</v>
      </c>
      <c r="E59" s="76">
        <f>INDEX(Rascunho!$C$2:$H$78,MATCH('Dados do Gráfico Total'!$D59,Rascunho!$D$2:$D$78,0),MATCH('Dados do Gráfico Total'!$E$1,Rascunho!$C$1:$H$1,0))</f>
        <v>0</v>
      </c>
      <c r="F59" s="71" t="e">
        <f t="shared" si="0"/>
        <v>#DIV/0!</v>
      </c>
      <c r="G59" s="64">
        <f t="shared" si="2"/>
        <v>10</v>
      </c>
      <c r="H59" s="71">
        <f t="shared" si="1"/>
        <v>100</v>
      </c>
      <c r="I59" s="71" t="e">
        <f>IF((Rascunho!$E$80&gt;400)*(H59&lt;=80),F59,0)</f>
        <v>#DIV/0!</v>
      </c>
    </row>
    <row r="60" spans="1:9">
      <c r="A60" s="264"/>
      <c r="B60" s="74">
        <v>49</v>
      </c>
      <c r="C60" s="70">
        <f>VLOOKUP(Rascunho!K60,Rascunho!B$12:F$78,2)</f>
        <v>450</v>
      </c>
      <c r="D60" s="75" t="str">
        <f>VLOOKUP(Rascunho!K60,Rascunho!B$12:F$78,3)</f>
        <v>Manchado</v>
      </c>
      <c r="E60" s="76">
        <f>INDEX(Rascunho!$C$2:$H$78,MATCH('Dados do Gráfico Total'!$D60,Rascunho!$D$2:$D$78,0),MATCH('Dados do Gráfico Total'!$E$1,Rascunho!$C$1:$H$1,0))</f>
        <v>0</v>
      </c>
      <c r="F60" s="71" t="e">
        <f t="shared" si="0"/>
        <v>#DIV/0!</v>
      </c>
      <c r="G60" s="64">
        <f t="shared" si="2"/>
        <v>10</v>
      </c>
      <c r="H60" s="71">
        <f t="shared" si="1"/>
        <v>100</v>
      </c>
      <c r="I60" s="71" t="e">
        <f>IF((Rascunho!$E$80&gt;400)*(H60&lt;=80),F60,0)</f>
        <v>#DIV/0!</v>
      </c>
    </row>
    <row r="61" spans="1:9">
      <c r="A61" s="264"/>
      <c r="B61" s="74">
        <v>50</v>
      </c>
      <c r="C61" s="70">
        <f>VLOOKUP(Rascunho!K61,Rascunho!B$12:F$78,2)</f>
        <v>440</v>
      </c>
      <c r="D61" s="75" t="str">
        <f>VLOOKUP(Rascunho!K61,Rascunho!B$12:F$78,3)</f>
        <v>Papel sujo</v>
      </c>
      <c r="E61" s="76">
        <f>INDEX(Rascunho!$C$2:$H$78,MATCH('Dados do Gráfico Total'!$D61,Rascunho!$D$2:$D$78,0),MATCH('Dados do Gráfico Total'!$E$1,Rascunho!$C$1:$H$1,0))</f>
        <v>0</v>
      </c>
      <c r="F61" s="71" t="e">
        <f t="shared" si="0"/>
        <v>#DIV/0!</v>
      </c>
      <c r="G61" s="64">
        <f t="shared" si="2"/>
        <v>10</v>
      </c>
      <c r="H61" s="71">
        <f t="shared" si="1"/>
        <v>100</v>
      </c>
      <c r="I61" s="71" t="e">
        <f>IF((Rascunho!$E$80&gt;400)*(H61&lt;=80),F61,0)</f>
        <v>#DIV/0!</v>
      </c>
    </row>
    <row r="62" spans="1:9">
      <c r="A62" s="264"/>
      <c r="B62" s="74">
        <v>51</v>
      </c>
      <c r="C62" s="70">
        <f>VLOOKUP(Rascunho!K62,Rascunho!B$12:F$78,2)</f>
        <v>430</v>
      </c>
      <c r="D62" s="75" t="str">
        <f>VLOOKUP(Rascunho!K62,Rascunho!B$12:F$78,3)</f>
        <v>Isolador Inclinado</v>
      </c>
      <c r="E62" s="76">
        <f>INDEX(Rascunho!$C$2:$H$78,MATCH('Dados do Gráfico Total'!$D62,Rascunho!$D$2:$D$78,0),MATCH('Dados do Gráfico Total'!$E$1,Rascunho!$C$1:$H$1,0))</f>
        <v>0</v>
      </c>
      <c r="F62" s="71" t="e">
        <f t="shared" si="0"/>
        <v>#DIV/0!</v>
      </c>
      <c r="G62" s="64">
        <f t="shared" si="2"/>
        <v>10</v>
      </c>
      <c r="H62" s="71">
        <f t="shared" si="1"/>
        <v>100</v>
      </c>
      <c r="I62" s="71" t="e">
        <f>IF((Rascunho!$E$80&gt;400)*(H62&lt;=80),F62,0)</f>
        <v>#DIV/0!</v>
      </c>
    </row>
    <row r="63" spans="1:9">
      <c r="A63" s="264"/>
      <c r="B63" s="74">
        <v>52</v>
      </c>
      <c r="C63" s="70">
        <f>VLOOKUP(Rascunho!K63,Rascunho!B$12:F$78,2)</f>
        <v>420</v>
      </c>
      <c r="D63" s="75" t="str">
        <f>VLOOKUP(Rascunho!K63,Rascunho!B$12:F$78,3)</f>
        <v>Isolador afundado</v>
      </c>
      <c r="E63" s="76">
        <f>INDEX(Rascunho!$C$2:$H$78,MATCH('Dados do Gráfico Total'!$D63,Rascunho!$D$2:$D$78,0),MATCH('Dados do Gráfico Total'!$E$1,Rascunho!$C$1:$H$1,0))</f>
        <v>0</v>
      </c>
      <c r="F63" s="71" t="e">
        <f t="shared" si="0"/>
        <v>#DIV/0!</v>
      </c>
      <c r="G63" s="64">
        <f t="shared" si="2"/>
        <v>10</v>
      </c>
      <c r="H63" s="71">
        <f t="shared" si="1"/>
        <v>100</v>
      </c>
      <c r="I63" s="71" t="e">
        <f>IF((Rascunho!$E$80&gt;400)*(H63&lt;=80),F63,0)</f>
        <v>#DIV/0!</v>
      </c>
    </row>
    <row r="64" spans="1:9">
      <c r="A64" s="264"/>
      <c r="B64" s="74">
        <v>53</v>
      </c>
      <c r="C64" s="70">
        <f>VLOOKUP(Rascunho!K64,Rascunho!B$12:F$78,2)</f>
        <v>410</v>
      </c>
      <c r="D64" s="75" t="str">
        <f>VLOOKUP(Rascunho!K64,Rascunho!B$12:F$78,3)</f>
        <v>Isolador fora de centro</v>
      </c>
      <c r="E64" s="76">
        <f>INDEX(Rascunho!$C$2:$H$78,MATCH('Dados do Gráfico Total'!$D64,Rascunho!$D$2:$D$78,0),MATCH('Dados do Gráfico Total'!$E$1,Rascunho!$C$1:$H$1,0))</f>
        <v>0</v>
      </c>
      <c r="F64" s="71" t="e">
        <f t="shared" si="0"/>
        <v>#DIV/0!</v>
      </c>
      <c r="G64" s="64">
        <f t="shared" si="2"/>
        <v>10</v>
      </c>
      <c r="H64" s="71">
        <f t="shared" si="1"/>
        <v>100</v>
      </c>
      <c r="I64" s="71" t="e">
        <f>IF((Rascunho!$E$80&gt;400)*(H64&lt;=80),F64,0)</f>
        <v>#DIV/0!</v>
      </c>
    </row>
    <row r="65" spans="1:9">
      <c r="A65" s="264"/>
      <c r="B65" s="74">
        <v>54</v>
      </c>
      <c r="C65" s="70">
        <f>VLOOKUP(Rascunho!K65,Rascunho!B$12:F$78,2)</f>
        <v>400</v>
      </c>
      <c r="D65" s="75" t="str">
        <f>VLOOKUP(Rascunho!K65,Rascunho!B$12:F$78,3)</f>
        <v>Disco fora de centro / deslocado</v>
      </c>
      <c r="E65" s="76">
        <f>INDEX(Rascunho!$C$2:$H$78,MATCH('Dados do Gráfico Total'!$D65,Rascunho!$D$2:$D$78,0),MATCH('Dados do Gráfico Total'!$E$1,Rascunho!$C$1:$H$1,0))</f>
        <v>0</v>
      </c>
      <c r="F65" s="71" t="e">
        <f t="shared" si="0"/>
        <v>#DIV/0!</v>
      </c>
      <c r="G65" s="64">
        <f t="shared" si="2"/>
        <v>10</v>
      </c>
      <c r="H65" s="71">
        <f t="shared" si="1"/>
        <v>100</v>
      </c>
      <c r="I65" s="71" t="e">
        <f>IF((Rascunho!$E$80&gt;400)*(H65&lt;=80),F65,0)</f>
        <v>#DIV/0!</v>
      </c>
    </row>
    <row r="66" spans="1:9">
      <c r="A66" s="264"/>
      <c r="B66" s="74">
        <v>55</v>
      </c>
      <c r="C66" s="70">
        <f>VLOOKUP(Rascunho!K66,Rascunho!B$12:F$78,2)</f>
        <v>390</v>
      </c>
      <c r="D66" s="75" t="str">
        <f>VLOOKUP(Rascunho!K66,Rascunho!B$12:F$78,3)</f>
        <v>Disco Dobrado</v>
      </c>
      <c r="E66" s="76">
        <f>INDEX(Rascunho!$C$2:$H$78,MATCH('Dados do Gráfico Total'!$D66,Rascunho!$D$2:$D$78,0),MATCH('Dados do Gráfico Total'!$E$1,Rascunho!$C$1:$H$1,0))</f>
        <v>0</v>
      </c>
      <c r="F66" s="71" t="e">
        <f t="shared" si="0"/>
        <v>#DIV/0!</v>
      </c>
      <c r="G66" s="64">
        <f t="shared" si="2"/>
        <v>10</v>
      </c>
      <c r="H66" s="71">
        <f t="shared" si="1"/>
        <v>100</v>
      </c>
      <c r="I66" s="71" t="e">
        <f>IF((Rascunho!$E$80&gt;400)*(H66&lt;=80),F66,0)</f>
        <v>#DIV/0!</v>
      </c>
    </row>
    <row r="67" spans="1:9">
      <c r="A67" s="264"/>
      <c r="B67" s="74">
        <v>56</v>
      </c>
      <c r="C67" s="70">
        <f>VLOOKUP(Rascunho!K67,Rascunho!B$12:F$78,2)</f>
        <v>380</v>
      </c>
      <c r="D67" s="75" t="str">
        <f>VLOOKUP(Rascunho!K67,Rascunho!B$12:F$78,3)</f>
        <v>Disco Furado</v>
      </c>
      <c r="E67" s="76">
        <f>INDEX(Rascunho!$C$2:$H$78,MATCH('Dados do Gráfico Total'!$D67,Rascunho!$D$2:$D$78,0),MATCH('Dados do Gráfico Total'!$E$1,Rascunho!$C$1:$H$1,0))</f>
        <v>0</v>
      </c>
      <c r="F67" s="71" t="e">
        <f t="shared" si="0"/>
        <v>#DIV/0!</v>
      </c>
      <c r="G67" s="64">
        <f t="shared" si="2"/>
        <v>10</v>
      </c>
      <c r="H67" s="71">
        <f t="shared" si="1"/>
        <v>100</v>
      </c>
      <c r="I67" s="71" t="e">
        <f>IF((Rascunho!$E$80&gt;400)*(H67&lt;=80),F67,0)</f>
        <v>#DIV/0!</v>
      </c>
    </row>
    <row r="68" spans="1:9">
      <c r="A68" s="264"/>
      <c r="B68" s="74">
        <v>57</v>
      </c>
      <c r="C68" s="70">
        <f>VLOOKUP(Rascunho!K68,Rascunho!B$12:F$78,2)</f>
        <v>370</v>
      </c>
      <c r="D68" s="75" t="str">
        <f>VLOOKUP(Rascunho!K68,Rascunho!B$12:F$78,3)</f>
        <v>Disco Rasgado</v>
      </c>
      <c r="E68" s="76">
        <f>INDEX(Rascunho!$C$2:$H$78,MATCH('Dados do Gráfico Total'!$D68,Rascunho!$D$2:$D$78,0),MATCH('Dados do Gráfico Total'!$E$1,Rascunho!$C$1:$H$1,0))</f>
        <v>0</v>
      </c>
      <c r="F68" s="71" t="e">
        <f t="shared" si="0"/>
        <v>#DIV/0!</v>
      </c>
      <c r="G68" s="64">
        <f t="shared" si="2"/>
        <v>10</v>
      </c>
      <c r="H68" s="71">
        <f t="shared" si="1"/>
        <v>100</v>
      </c>
      <c r="I68" s="71" t="e">
        <f>IF((Rascunho!$E$80&gt;400)*(H68&lt;=80),F68,0)</f>
        <v>#DIV/0!</v>
      </c>
    </row>
    <row r="69" spans="1:9">
      <c r="A69" s="264"/>
      <c r="B69" s="74">
        <v>58</v>
      </c>
      <c r="C69" s="70">
        <f>VLOOKUP(Rascunho!K69,Rascunho!B$12:F$78,2)</f>
        <v>360</v>
      </c>
      <c r="D69" s="75" t="str">
        <f>VLOOKUP(Rascunho!K69,Rascunho!B$12:F$78,3)</f>
        <v>Disco Cortado</v>
      </c>
      <c r="E69" s="76">
        <f>INDEX(Rascunho!$C$2:$H$78,MATCH('Dados do Gráfico Total'!$D69,Rascunho!$D$2:$D$78,0),MATCH('Dados do Gráfico Total'!$E$1,Rascunho!$C$1:$H$1,0))</f>
        <v>0</v>
      </c>
      <c r="F69" s="71" t="e">
        <f t="shared" si="0"/>
        <v>#DIV/0!</v>
      </c>
      <c r="G69" s="64">
        <f t="shared" si="2"/>
        <v>10</v>
      </c>
      <c r="H69" s="71">
        <f t="shared" si="1"/>
        <v>100</v>
      </c>
      <c r="I69" s="71" t="e">
        <f>IF((Rascunho!$E$80&gt;400)*(H69&lt;=80),F69,0)</f>
        <v>#DIV/0!</v>
      </c>
    </row>
    <row r="70" spans="1:9">
      <c r="A70" s="264"/>
      <c r="B70" s="74">
        <v>59</v>
      </c>
      <c r="C70" s="70">
        <f>VLOOKUP(Rascunho!K70,Rascunho!B$12:F$78,2)</f>
        <v>350</v>
      </c>
      <c r="D70" s="75" t="str">
        <f>VLOOKUP(Rascunho!K70,Rascunho!B$12:F$78,3)</f>
        <v>Sem Disco</v>
      </c>
      <c r="E70" s="76">
        <f>INDEX(Rascunho!$C$2:$H$78,MATCH('Dados do Gráfico Total'!$D70,Rascunho!$D$2:$D$78,0),MATCH('Dados do Gráfico Total'!$E$1,Rascunho!$C$1:$H$1,0))</f>
        <v>0</v>
      </c>
      <c r="F70" s="71" t="e">
        <f t="shared" si="0"/>
        <v>#DIV/0!</v>
      </c>
      <c r="G70" s="64">
        <f t="shared" si="2"/>
        <v>10</v>
      </c>
      <c r="H70" s="71">
        <f t="shared" si="1"/>
        <v>100</v>
      </c>
      <c r="I70" s="71" t="e">
        <f>IF((Rascunho!$E$80&gt;400)*(H70&lt;=80),F70,0)</f>
        <v>#DIV/0!</v>
      </c>
    </row>
    <row r="71" spans="1:9">
      <c r="A71" s="264"/>
      <c r="B71" s="74">
        <v>60</v>
      </c>
      <c r="C71" s="70">
        <f>VLOOKUP(Rascunho!K71,Rascunho!B$12:F$78,2)</f>
        <v>340</v>
      </c>
      <c r="D71" s="75" t="str">
        <f>VLOOKUP(Rascunho!K71,Rascunho!B$12:F$78,3)</f>
        <v>Papel menor</v>
      </c>
      <c r="E71" s="76">
        <f>INDEX(Rascunho!$C$2:$H$78,MATCH('Dados do Gráfico Total'!$D71,Rascunho!$D$2:$D$78,0),MATCH('Dados do Gráfico Total'!$E$1,Rascunho!$C$1:$H$1,0))</f>
        <v>0</v>
      </c>
      <c r="F71" s="71" t="e">
        <f t="shared" si="0"/>
        <v>#DIV/0!</v>
      </c>
      <c r="G71" s="64">
        <f t="shared" si="2"/>
        <v>10</v>
      </c>
      <c r="H71" s="71">
        <f t="shared" si="1"/>
        <v>100</v>
      </c>
      <c r="I71" s="71" t="e">
        <f>IF((Rascunho!$E$80&gt;400)*(H71&lt;=80),F71,0)</f>
        <v>#DIV/0!</v>
      </c>
    </row>
    <row r="72" spans="1:9">
      <c r="A72" s="264"/>
      <c r="B72" s="74">
        <v>61</v>
      </c>
      <c r="C72" s="70">
        <f>VLOOKUP(Rascunho!K72,Rascunho!B$12:F$78,2)</f>
        <v>320</v>
      </c>
      <c r="D72" s="75" t="str">
        <f>VLOOKUP(Rascunho!K72,Rascunho!B$12:F$78,3)</f>
        <v>Papel Afundado</v>
      </c>
      <c r="E72" s="76">
        <f>INDEX(Rascunho!$C$2:$H$78,MATCH('Dados do Gráfico Total'!$D72,Rascunho!$D$2:$D$78,0),MATCH('Dados do Gráfico Total'!$E$1,Rascunho!$C$1:$H$1,0))</f>
        <v>0</v>
      </c>
      <c r="F72" s="71" t="e">
        <f t="shared" si="0"/>
        <v>#DIV/0!</v>
      </c>
      <c r="G72" s="64">
        <f t="shared" si="2"/>
        <v>10</v>
      </c>
      <c r="H72" s="71">
        <f t="shared" si="1"/>
        <v>100</v>
      </c>
      <c r="I72" s="71" t="e">
        <f>IF((Rascunho!$E$80&gt;400)*(H72&lt;=80),F72,0)</f>
        <v>#DIV/0!</v>
      </c>
    </row>
    <row r="73" spans="1:9">
      <c r="A73" s="264"/>
      <c r="B73" s="74">
        <v>62</v>
      </c>
      <c r="C73" s="70">
        <f>VLOOKUP(Rascunho!K73,Rascunho!B$12:F$78,2)</f>
        <v>310</v>
      </c>
      <c r="D73" s="75" t="str">
        <f>VLOOKUP(Rascunho!K73,Rascunho!B$12:F$78,3)</f>
        <v>Papel Dobrado Inf.</v>
      </c>
      <c r="E73" s="76">
        <f>INDEX(Rascunho!$C$2:$H$78,MATCH('Dados do Gráfico Total'!$D73,Rascunho!$D$2:$D$78,0),MATCH('Dados do Gráfico Total'!$E$1,Rascunho!$C$1:$H$1,0))</f>
        <v>0</v>
      </c>
      <c r="F73" s="71" t="e">
        <f t="shared" si="0"/>
        <v>#DIV/0!</v>
      </c>
      <c r="G73" s="64">
        <f t="shared" si="2"/>
        <v>10</v>
      </c>
      <c r="H73" s="71">
        <f t="shared" si="1"/>
        <v>100</v>
      </c>
      <c r="I73" s="71" t="e">
        <f>IF((Rascunho!$E$80&gt;400)*(H73&lt;=80),F73,0)</f>
        <v>#DIV/0!</v>
      </c>
    </row>
    <row r="74" spans="1:9">
      <c r="A74" s="264"/>
      <c r="B74" s="74">
        <v>63</v>
      </c>
      <c r="C74" s="70">
        <f>VLOOKUP(Rascunho!K74,Rascunho!B$12:F$78,2)</f>
        <v>300</v>
      </c>
      <c r="D74" s="75" t="str">
        <f>VLOOKUP(Rascunho!K74,Rascunho!B$12:F$78,3)</f>
        <v>Papel Dobrado Meio</v>
      </c>
      <c r="E74" s="76">
        <f>INDEX(Rascunho!$C$2:$H$78,MATCH('Dados do Gráfico Total'!$D74,Rascunho!$D$2:$D$78,0),MATCH('Dados do Gráfico Total'!$E$1,Rascunho!$C$1:$H$1,0))</f>
        <v>0</v>
      </c>
      <c r="F74" s="71" t="e">
        <f t="shared" si="0"/>
        <v>#DIV/0!</v>
      </c>
      <c r="G74" s="64">
        <f t="shared" si="2"/>
        <v>10</v>
      </c>
      <c r="H74" s="71">
        <f t="shared" si="1"/>
        <v>100</v>
      </c>
      <c r="I74" s="71" t="e">
        <f>IF((Rascunho!$E$80&gt;400)*(H74&lt;=80),F74,0)</f>
        <v>#DIV/0!</v>
      </c>
    </row>
    <row r="75" spans="1:9">
      <c r="B75" s="74">
        <v>64</v>
      </c>
      <c r="C75" s="70">
        <f>VLOOKUP(Rascunho!K75,Rascunho!B$12:F$78,2)</f>
        <v>290</v>
      </c>
      <c r="D75" s="75" t="str">
        <f>VLOOKUP(Rascunho!K75,Rascunho!B$12:F$78,3)</f>
        <v>Papel Dobrado Sup.</v>
      </c>
      <c r="E75" s="76">
        <f>INDEX(Rascunho!$C$2:$H$78,MATCH('Dados do Gráfico Total'!$D75,Rascunho!$D$2:$D$78,0),MATCH('Dados do Gráfico Total'!$E$1,Rascunho!$C$1:$H$1,0))</f>
        <v>0</v>
      </c>
      <c r="F75" s="71" t="e">
        <f t="shared" si="0"/>
        <v>#DIV/0!</v>
      </c>
      <c r="G75" s="64">
        <f t="shared" si="2"/>
        <v>10</v>
      </c>
      <c r="H75" s="71">
        <f t="shared" si="1"/>
        <v>100</v>
      </c>
      <c r="I75" s="71" t="e">
        <f>IF((Rascunho!$E$80&gt;400)*(H75&lt;=80),F75,0)</f>
        <v>#DIV/0!</v>
      </c>
    </row>
    <row r="76" spans="1:9">
      <c r="B76" s="74">
        <v>65</v>
      </c>
      <c r="C76" s="70">
        <f>VLOOKUP(Rascunho!K76,Rascunho!B$12:F$78,2)</f>
        <v>280</v>
      </c>
      <c r="D76" s="75" t="str">
        <f>VLOOKUP(Rascunho!K76,Rascunho!B$12:F$78,3)</f>
        <v>Papel Separador Rasgado</v>
      </c>
      <c r="E76" s="76">
        <f>INDEX(Rascunho!$C$2:$H$78,MATCH('Dados do Gráfico Total'!$D76,Rascunho!$D$2:$D$78,0),MATCH('Dados do Gráfico Total'!$E$1,Rascunho!$C$1:$H$1,0))</f>
        <v>0</v>
      </c>
      <c r="F76" s="71" t="e">
        <f t="shared" ref="F76:F78" si="3">E76/E$11*E$8/E$6*1000000</f>
        <v>#DIV/0!</v>
      </c>
      <c r="G76" s="64">
        <f t="shared" si="2"/>
        <v>10</v>
      </c>
      <c r="H76" s="71">
        <f t="shared" si="1"/>
        <v>100</v>
      </c>
      <c r="I76" s="71" t="e">
        <f>IF((Rascunho!$E$80&gt;400)*(H76&lt;=80),F76,0)</f>
        <v>#DIV/0!</v>
      </c>
    </row>
    <row r="77" spans="1:9">
      <c r="B77" s="74">
        <v>66</v>
      </c>
      <c r="C77" s="70">
        <f>VLOOKUP(Rascunho!K77,Rascunho!B$12:F$78,2)</f>
        <v>270</v>
      </c>
      <c r="D77" s="75" t="str">
        <f>VLOOKUP(Rascunho!K77,Rascunho!B$12:F$78,3)</f>
        <v>Papel Separador Cortado</v>
      </c>
      <c r="E77" s="76">
        <f>INDEX(Rascunho!$C$2:$H$78,MATCH('Dados do Gráfico Total'!$D77,Rascunho!$D$2:$D$78,0),MATCH('Dados do Gráfico Total'!$E$1,Rascunho!$C$1:$H$1,0))</f>
        <v>0</v>
      </c>
      <c r="F77" s="71" t="e">
        <f t="shared" si="3"/>
        <v>#DIV/0!</v>
      </c>
      <c r="G77" s="64">
        <f t="shared" si="2"/>
        <v>10</v>
      </c>
      <c r="H77" s="71">
        <f t="shared" ref="H77:H78" si="4">G77/G$78*100</f>
        <v>100</v>
      </c>
      <c r="I77" s="71" t="e">
        <f>IF((Rascunho!$E$80&gt;400)*(H77&lt;=80),F77,0)</f>
        <v>#DIV/0!</v>
      </c>
    </row>
    <row r="78" spans="1:9">
      <c r="B78" s="74">
        <v>67</v>
      </c>
      <c r="C78" s="70">
        <f>VLOOKUP(Rascunho!K78,Rascunho!B$12:F$78,2)</f>
        <v>260</v>
      </c>
      <c r="D78" s="75" t="str">
        <f>VLOOKUP(Rascunho!K78,Rascunho!B$12:F$78,3)</f>
        <v>Sem Papel Separador</v>
      </c>
      <c r="E78" s="76">
        <f>INDEX(Rascunho!$C$2:$H$78,MATCH('Dados do Gráfico Total'!$D78,Rascunho!$D$2:$D$78,0),MATCH('Dados do Gráfico Total'!$E$1,Rascunho!$C$1:$H$1,0))</f>
        <v>0</v>
      </c>
      <c r="F78" s="71" t="e">
        <f t="shared" si="3"/>
        <v>#DIV/0!</v>
      </c>
      <c r="G78" s="64">
        <f t="shared" ref="G78" si="5">G77+E78</f>
        <v>10</v>
      </c>
      <c r="H78" s="71">
        <f t="shared" si="4"/>
        <v>100</v>
      </c>
      <c r="I78" s="71" t="e">
        <f>IF((Rascunho!$E$80&gt;400)*(H78&lt;=80),F78,0)</f>
        <v>#DIV/0!</v>
      </c>
    </row>
    <row r="79" spans="1:9">
      <c r="E79" s="71" t="e">
        <f>E8/E6*1000000</f>
        <v>#DIV/0!</v>
      </c>
    </row>
    <row r="94" s="65" customFormat="1"/>
  </sheetData>
  <sheetProtection algorithmName="SHA-512" hashValue="5qKH5azhoWZGOXo8cU+sPVerwdS2xdrsjRRlkxdFVQxEO2nMWFTY9YJV6vh4jK85oXXSZoXRVjSpuzRf/GPXmA==" saltValue="TWBYauCauOfjqOx+SINHYg==" spinCount="100000" sheet="1" objects="1" scenarios="1" selectLockedCells="1"/>
  <mergeCells count="2">
    <mergeCell ref="A57:A74"/>
    <mergeCell ref="A9:A56"/>
  </mergeCells>
  <phoneticPr fontId="3"/>
  <conditionalFormatting sqref="C2:D11">
    <cfRule type="expression" dxfId="15" priority="1">
      <formula>MOD(ROW(),2)=0</formula>
    </cfRule>
  </conditionalFormatting>
  <pageMargins left="0.19685039370078741" right="0.19685039370078741" top="1.1811023622047245" bottom="0.55118110236220474" header="0.70866141732283472" footer="0.31496062992125984"/>
  <pageSetup paperSize="9" scale="47" orientation="landscape" r:id="rId1"/>
  <headerFooter alignWithMargins="0">
    <oddHeader xml:space="preserve">&amp;L&amp;"SwitzerlandBlack,Negrito"&amp;16Panasonic&amp;"SwitzerlandBlack,Regular"
&amp;"Arial,Normal"&amp;9PILHAS / BATERIAS
&amp;C&amp;14CONTROLE DE FALHAS DE V e A&amp;16
&amp;12 1-SH &amp;RMÊS /  ANO&amp;12
Setembro/2003&amp;"ＭＳ ゴシック,Regular"&amp;11  </oddHeader>
    <oddFooter>&amp;LF-7.115 Rev 01 (PGQ-7.03)&amp;R&amp;A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609" r:id="rId4" name="Button 1">
              <controlPr defaultSize="0" print="0" autoFill="0" autoPict="0" macro="[0]!btnMenu">
                <anchor moveWithCells="1" sizeWithCells="1">
                  <from>
                    <xdr:col>6</xdr:col>
                    <xdr:colOff>9525</xdr:colOff>
                    <xdr:row>1</xdr:row>
                    <xdr:rowOff>0</xdr:rowOff>
                  </from>
                  <to>
                    <xdr:col>9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zoomScaleNormal="100" workbookViewId="0">
      <selection activeCell="B1" sqref="B1"/>
    </sheetView>
  </sheetViews>
  <sheetFormatPr defaultRowHeight="12.75"/>
  <sheetData/>
  <sheetProtection algorithmName="SHA-512" hashValue="jF5HHCbIwvfb18ZpjQg2MELLckOHiCWTcwCs1s0LbqCMbqTe0P/CF1JSSput8Na5NvtOP8ZV9/emwhP1JF5MDA==" saltValue="UyoxjMyuYQb/dRQR5gJXfQ==" spinCount="100000" sheet="1" objects="1" scenarios="1" selectLockedCells="1"/>
  <pageMargins left="0.31496062992125984" right="0.51181102362204722" top="0.78740157480314965" bottom="0.78740157480314965" header="0.31496062992125984" footer="0.31496062992125984"/>
  <pageSetup paperSize="9" scale="8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O22"/>
  <sheetViews>
    <sheetView zoomScaleNormal="100" workbookViewId="0">
      <selection activeCell="H22" sqref="H22"/>
    </sheetView>
  </sheetViews>
  <sheetFormatPr defaultRowHeight="12.75"/>
  <cols>
    <col min="1" max="1" width="5.5703125" bestFit="1" customWidth="1"/>
    <col min="2" max="2" width="14.140625" bestFit="1" customWidth="1"/>
    <col min="3" max="12" width="11.7109375" customWidth="1"/>
    <col min="13" max="13" width="10.140625" bestFit="1" customWidth="1"/>
    <col min="14" max="14" width="9.7109375" bestFit="1" customWidth="1"/>
  </cols>
  <sheetData>
    <row r="1" spans="1:15">
      <c r="A1" s="268" t="s">
        <v>52</v>
      </c>
      <c r="B1" s="24" t="s">
        <v>53</v>
      </c>
      <c r="C1" s="29" t="s">
        <v>54</v>
      </c>
      <c r="D1" s="29" t="s">
        <v>62</v>
      </c>
      <c r="E1" s="29" t="s">
        <v>58</v>
      </c>
      <c r="F1" s="29">
        <v>1250</v>
      </c>
      <c r="G1" s="29" t="s">
        <v>92</v>
      </c>
      <c r="H1" s="29" t="s">
        <v>56</v>
      </c>
      <c r="I1" s="29" t="s">
        <v>67</v>
      </c>
      <c r="J1" s="29" t="s">
        <v>55</v>
      </c>
      <c r="K1" s="29" t="s">
        <v>71</v>
      </c>
      <c r="L1" s="34" t="s">
        <v>57</v>
      </c>
      <c r="M1" s="44" t="s">
        <v>48</v>
      </c>
      <c r="N1" s="44" t="s">
        <v>88</v>
      </c>
      <c r="O1" s="37" t="s">
        <v>79</v>
      </c>
    </row>
    <row r="2" spans="1:15">
      <c r="A2" s="269"/>
      <c r="B2" s="16" t="s">
        <v>2</v>
      </c>
      <c r="C2" s="22">
        <f t="array" ref="C2">SUM(IF('UM-4 - Dia'!$D$6:$AR$6='Falhas por Modelo'!C$1,'UM-4 - Dia'!$D7:$AR7))</f>
        <v>0</v>
      </c>
      <c r="D2" s="22">
        <f t="array" ref="D2">SUM(IF('UM-4 - Dia'!$D$10:$AR$10='Falhas por Modelo'!D$1,'UM-4 - Dia'!$D18:$AR18))</f>
        <v>0</v>
      </c>
      <c r="E2" s="22">
        <f t="array" ref="E2">SUM(IF('UM-4 - Dia'!$D$10:$AR$10='Falhas por Modelo'!E$1,'UM-4 - Dia'!$D18:$AR18))</f>
        <v>0</v>
      </c>
      <c r="F2" s="22">
        <f t="array" ref="F2">SUM(IF('UM-4 - Dia'!$D$10:$AR$10='Falhas por Modelo'!F$1,'UM-4 - Dia'!$D18:$AR18))</f>
        <v>0</v>
      </c>
      <c r="G2" s="22">
        <f t="array" ref="G2">SUM(IF('UM-4 - Dia'!$D$10:$AR$10='Falhas por Modelo'!G$1,'UM-4 - Dia'!$D18:$AR18))</f>
        <v>0</v>
      </c>
      <c r="H2" s="22">
        <f t="array" ref="H2">SUM(IF('UM-4 - Dia'!$D$10:$AR$10='Falhas por Modelo'!H$1,'UM-4 - Dia'!$D18:$AR18))</f>
        <v>0</v>
      </c>
      <c r="I2" s="22">
        <f t="array" ref="I2">SUM(IF('UM-4 - Dia'!$D$10:$AR$10='Falhas por Modelo'!I$1,'UM-4 - Dia'!$D18:$AR18))</f>
        <v>0</v>
      </c>
      <c r="J2" s="22">
        <f t="array" ref="J2">SUM(IF('UM-4 - Dia'!$D$10:$AS$10='Falhas por Modelo'!J$1,'UM-4 - Dia'!$D18:$AS18))</f>
        <v>0</v>
      </c>
      <c r="K2" s="22">
        <f t="array" ref="K2">SUM(IF('UM-4 - Dia'!$D$10:$AS$10='Falhas por Modelo'!K$1,'UM-4 - Dia'!$D18:$AS18))</f>
        <v>0</v>
      </c>
      <c r="L2" s="35">
        <f t="array" ref="L2">SUM(IF('UM-4 - Dia'!$D$10:$AS$10='Falhas por Modelo'!L$1,'UM-4 - Dia'!$D18:$AS18))</f>
        <v>0</v>
      </c>
      <c r="M2" s="45">
        <f>SUM(C2:L2)</f>
        <v>0</v>
      </c>
      <c r="N2" s="45">
        <f>'UM-4 - Dia'!AS7-M2</f>
        <v>0</v>
      </c>
      <c r="O2" s="25"/>
    </row>
    <row r="3" spans="1:15">
      <c r="A3" s="269"/>
      <c r="B3" s="16" t="s">
        <v>3</v>
      </c>
      <c r="C3" s="22">
        <f t="array" ref="C3">SUM(IF('UM-4 - Dia'!$D$6:$AR$6='Falhas por Modelo'!C$1,'UM-4 - Dia'!$D23:$AR23))</f>
        <v>0</v>
      </c>
      <c r="D3" s="22">
        <f t="array" ref="D3">SUM(IF('UM-4 - Dia'!$D$10:$AR$10='Falhas por Modelo'!D$1,'UM-4 - Dia'!$D19:$AR19))</f>
        <v>0</v>
      </c>
      <c r="E3" s="22">
        <f t="array" ref="E3">SUM(IF('UM-4 - Dia'!$D$10:$AR$10='Falhas por Modelo'!E$1,'UM-4 - Dia'!$D19:$AR19))</f>
        <v>0</v>
      </c>
      <c r="F3" s="22">
        <f t="array" ref="F3">SUM(IF('UM-4 - Dia'!$D$10:$AR$10='Falhas por Modelo'!F$1,'UM-4 - Dia'!$D19:$AR19))</f>
        <v>0</v>
      </c>
      <c r="G3" s="22">
        <f t="array" ref="G3">SUM(IF('UM-4 - Dia'!$D$10:$AR$10='Falhas por Modelo'!G$1,'UM-4 - Dia'!$D19:$AR19))</f>
        <v>0</v>
      </c>
      <c r="H3" s="22">
        <f t="array" ref="H3">SUM(IF('UM-4 - Dia'!$D$10:$AR$10='Falhas por Modelo'!H$1,'UM-4 - Dia'!$D19:$AR19))</f>
        <v>0</v>
      </c>
      <c r="I3" s="22">
        <f t="array" ref="I3">SUM(IF('UM-4 - Dia'!$D$10:$AR$10='Falhas por Modelo'!I$1,'UM-4 - Dia'!$D19:$AR19))</f>
        <v>0</v>
      </c>
      <c r="J3" s="22">
        <f t="array" ref="J3">SUM(IF('UM-4 - Dia'!$D$10:$AS$10='Falhas por Modelo'!J$1,'UM-4 - Dia'!$D19:$AS19))</f>
        <v>0</v>
      </c>
      <c r="K3" s="22">
        <f t="array" ref="K3">SUM(IF('UM-4 - Dia'!$D$10:$AS$10='Falhas por Modelo'!K$1,'UM-4 - Dia'!$D19:$AS19))</f>
        <v>0</v>
      </c>
      <c r="L3" s="35">
        <f t="array" ref="L3">SUM(IF('UM-4 - Dia'!$D$10:$AS$10='Falhas por Modelo'!L$1,'UM-4 - Dia'!$D19:$AS19))</f>
        <v>0</v>
      </c>
      <c r="M3" s="45">
        <f t="shared" ref="M3:M12" si="0">SUM(C3:L3)</f>
        <v>0</v>
      </c>
      <c r="N3" s="45">
        <f>'UM-4 - Dia'!AS23-M3</f>
        <v>0</v>
      </c>
      <c r="O3" s="21" t="e">
        <f>M3/M2*1000000</f>
        <v>#DIV/0!</v>
      </c>
    </row>
    <row r="4" spans="1:15">
      <c r="A4" s="269"/>
      <c r="B4" s="16" t="s">
        <v>59</v>
      </c>
      <c r="C4" s="22">
        <f t="array" ref="C4">SUM(IF('UM-4 - Dia'!$D$6:$AR$6='Falhas por Modelo'!C$1,'UM-4 - Dia'!$D24:$AR24))</f>
        <v>0</v>
      </c>
      <c r="D4" s="22">
        <f t="array" ref="D4">SUM(IF('UM-4 - Dia'!$D$10:$AR$10='Falhas por Modelo'!D$1,'UM-4 - Dia'!$D20:$AR20))</f>
        <v>0</v>
      </c>
      <c r="E4" s="22">
        <f t="array" ref="E4">SUM(IF('UM-4 - Dia'!$D$10:$AR$10='Falhas por Modelo'!E$1,'UM-4 - Dia'!$D20:$AR20))</f>
        <v>0</v>
      </c>
      <c r="F4" s="22">
        <f t="array" ref="F4">SUM(IF('UM-4 - Dia'!$D$10:$AR$10='Falhas por Modelo'!F$1,'UM-4 - Dia'!$D20:$AR20))</f>
        <v>0</v>
      </c>
      <c r="G4" s="22">
        <f t="array" ref="G4">SUM(IF('UM-4 - Dia'!$D$10:$AR$10='Falhas por Modelo'!G$1,'UM-4 - Dia'!$D20:$AR20))</f>
        <v>0</v>
      </c>
      <c r="H4" s="22">
        <f t="array" ref="H4">SUM(IF('UM-4 - Dia'!$D$10:$AR$10='Falhas por Modelo'!H$1,'UM-4 - Dia'!$D20:$AR20))</f>
        <v>0</v>
      </c>
      <c r="I4" s="22">
        <f t="array" ref="I4">SUM(IF('UM-4 - Dia'!$D$10:$AR$10='Falhas por Modelo'!I$1,'UM-4 - Dia'!$D20:$AR20))</f>
        <v>0</v>
      </c>
      <c r="J4" s="22">
        <f t="array" ref="J4">SUM(IF('UM-4 - Dia'!$D$10:$AS$10='Falhas por Modelo'!J$1,'UM-4 - Dia'!$D20:$AS20))</f>
        <v>0</v>
      </c>
      <c r="K4" s="22">
        <f t="array" ref="K4">SUM(IF('UM-4 - Dia'!$D$10:$AS$10='Falhas por Modelo'!K$1,'UM-4 - Dia'!$D20:$AS20))</f>
        <v>0</v>
      </c>
      <c r="L4" s="35">
        <f t="array" ref="L4">SUM(IF('UM-4 - Dia'!$D$10:$AS$10='Falhas por Modelo'!L$1,'UM-4 - Dia'!$D20:$AS20))</f>
        <v>0</v>
      </c>
      <c r="M4" s="45">
        <f t="shared" si="0"/>
        <v>0</v>
      </c>
      <c r="N4" s="45">
        <f>'UM-4 - Dia'!AS24-M4</f>
        <v>0</v>
      </c>
      <c r="O4" s="52" t="e">
        <f>M4/C17*1000000</f>
        <v>#DIV/0!</v>
      </c>
    </row>
    <row r="5" spans="1:15">
      <c r="A5" s="270"/>
      <c r="B5" s="18" t="s">
        <v>96</v>
      </c>
      <c r="C5" s="22">
        <f t="array" ref="C5">SUM(IF('UM-4 - Dia'!$D$6:$AR$6='Falhas por Modelo'!C$1,'UM-4 - Dia'!$D27:$AR27))</f>
        <v>10</v>
      </c>
      <c r="D5" s="22">
        <f t="array" ref="D5">SUM(IF('UM-4 - Dia'!$D$10:$AR$10='Falhas por Modelo'!D$1,'UM-4 - Dia'!$D23:$AR23))</f>
        <v>0</v>
      </c>
      <c r="E5" s="22">
        <f t="array" ref="E5">SUM(IF('UM-4 - Dia'!$D$10:$AR$10='Falhas por Modelo'!E$1,'UM-4 - Dia'!$D23:$AR23))</f>
        <v>0</v>
      </c>
      <c r="F5" s="22">
        <f t="array" ref="F5">SUM(IF('UM-4 - Dia'!$D$10:$AR$10='Falhas por Modelo'!F$1,'UM-4 - Dia'!$D23:$AR23))</f>
        <v>0</v>
      </c>
      <c r="G5" s="22">
        <f t="array" ref="G5">SUM(IF('UM-4 - Dia'!$D$10:$AR$10='Falhas por Modelo'!G$1,'UM-4 - Dia'!$D23:$AR23))</f>
        <v>0</v>
      </c>
      <c r="H5" s="22">
        <f t="array" ref="H5">SUM(IF('UM-4 - Dia'!$D$10:$AR$10='Falhas por Modelo'!H$1,'UM-4 - Dia'!$D23:$AR23))</f>
        <v>0</v>
      </c>
      <c r="I5" s="22">
        <f t="array" ref="I5">SUM(IF('UM-4 - Dia'!$D$10:$AR$10='Falhas por Modelo'!I$1,'UM-4 - Dia'!$D23:$AR23))</f>
        <v>0</v>
      </c>
      <c r="J5" s="23"/>
      <c r="K5" s="23"/>
      <c r="L5" s="36"/>
      <c r="M5" s="45">
        <f t="shared" si="0"/>
        <v>10</v>
      </c>
      <c r="N5" s="45">
        <f>'UM-4 - Dia'!AS27-M5</f>
        <v>0</v>
      </c>
      <c r="O5" s="55"/>
    </row>
    <row r="6" spans="1:15" ht="13.5" thickBot="1">
      <c r="A6" s="271"/>
      <c r="B6" s="17" t="s">
        <v>60</v>
      </c>
      <c r="C6" s="102">
        <f>C2-C4</f>
        <v>0</v>
      </c>
      <c r="D6" s="102">
        <f t="shared" ref="D6:I6" si="1">D2-D4</f>
        <v>0</v>
      </c>
      <c r="E6" s="102">
        <f t="shared" si="1"/>
        <v>0</v>
      </c>
      <c r="F6" s="102">
        <f t="shared" si="1"/>
        <v>0</v>
      </c>
      <c r="G6" s="102">
        <f t="shared" si="1"/>
        <v>0</v>
      </c>
      <c r="H6" s="102">
        <f t="shared" si="1"/>
        <v>0</v>
      </c>
      <c r="I6" s="102">
        <f t="shared" si="1"/>
        <v>0</v>
      </c>
      <c r="J6" s="102">
        <f>J2-SUM(J3:J4)</f>
        <v>0</v>
      </c>
      <c r="K6" s="102">
        <f>K2-SUM(K3:K4)</f>
        <v>0</v>
      </c>
      <c r="L6" s="103">
        <f>L2-SUM(L3:L4)</f>
        <v>0</v>
      </c>
      <c r="M6" s="160">
        <f t="shared" si="0"/>
        <v>0</v>
      </c>
      <c r="N6" s="160"/>
      <c r="O6" s="38"/>
    </row>
    <row r="7" spans="1:15">
      <c r="A7" s="268" t="s">
        <v>61</v>
      </c>
      <c r="B7" s="15" t="s">
        <v>2</v>
      </c>
      <c r="C7" s="100">
        <f t="array" ref="C7">SUM(IF('UM-4 - 2T'!$D$6:$AS$6='Falhas por Modelo'!C$1,'UM-4 - 2T'!$D7:$AS7))</f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0">
        <v>0</v>
      </c>
      <c r="L7" s="101">
        <v>0</v>
      </c>
      <c r="M7" s="92">
        <f>SUM(C7:L7)</f>
        <v>0</v>
      </c>
      <c r="N7" s="95">
        <f>'UM-4 - 2T'!AS7-'Falhas por Modelo'!M7</f>
        <v>0</v>
      </c>
      <c r="O7" s="39"/>
    </row>
    <row r="8" spans="1:15">
      <c r="A8" s="269"/>
      <c r="B8" s="16" t="s">
        <v>3</v>
      </c>
      <c r="C8" s="22">
        <f t="array" ref="C8">SUM(IF('UM-4 - 2T'!$D$6:$AS$6='Falhas por Modelo'!C$1,'UM-4 - 2T'!$D23:$AS23))</f>
        <v>0</v>
      </c>
      <c r="D8" s="22">
        <f t="array" ref="D8">SUM(IF('UM-4 - 2T'!$D$6:$AR$6='Falhas por Modelo'!D$1,'UM-4 - 2T'!$D23:$AR23))</f>
        <v>0</v>
      </c>
      <c r="E8" s="22">
        <f t="array" ref="E8">SUM(IF('UM-4 - 2T'!$D$6:$AR$6='Falhas por Modelo'!E$1,'UM-4 - 2T'!$D23:$AR23))</f>
        <v>0</v>
      </c>
      <c r="F8" s="22">
        <f t="array" ref="F8">SUM(IF('UM-4 - 2T'!$D$6:$AR$6='Falhas por Modelo'!F$1,'UM-4 - 2T'!$D23:$AR23))</f>
        <v>0</v>
      </c>
      <c r="G8" s="22">
        <f t="array" ref="G8">SUM(IF('UM-4 - 2T'!$D$6:$AR$6='Falhas por Modelo'!G$1,'UM-4 - 2T'!$D23:$AR23))</f>
        <v>0</v>
      </c>
      <c r="H8" s="22">
        <f t="array" ref="H8">SUM(IF('UM-4 - 2T'!$D$6:$AR$6='Falhas por Modelo'!H$1,'UM-4 - 2T'!$D23:$AR23))</f>
        <v>0</v>
      </c>
      <c r="I8" s="22">
        <f t="array" ref="I8">SUM(IF('UM-4 - 2T'!$D$6:$AR$6='Falhas por Modelo'!I$1,'UM-4 - 2T'!$D23:$AR23))</f>
        <v>0</v>
      </c>
      <c r="J8" s="22">
        <f t="array" ref="J8">SUM(IF('UM-4 - 2T'!$D$6:$AR$6='Falhas por Modelo'!J$1,'UM-4 - 2T'!$D23:$AR23))</f>
        <v>0</v>
      </c>
      <c r="K8" s="22">
        <f t="array" ref="K8">SUM(IF('UM-4 - 2T'!$D$6:$AR$6='Falhas por Modelo'!K$1,'UM-4 - 2T'!$D23:$AR23))</f>
        <v>0</v>
      </c>
      <c r="L8" s="35">
        <f t="array" ref="L8">SUM(IF('UM-4 - 2T'!$D$6:$AR$6='Falhas por Modelo'!L$1,'UM-4 - 2T'!$D23:$AR23))</f>
        <v>0</v>
      </c>
      <c r="M8" s="93">
        <f t="shared" si="0"/>
        <v>0</v>
      </c>
      <c r="N8" s="96">
        <f>'UM-4 - 2T'!AS23-'Falhas por Modelo'!M8</f>
        <v>0</v>
      </c>
      <c r="O8" s="21" t="e">
        <f>M8/M7*1000000</f>
        <v>#DIV/0!</v>
      </c>
    </row>
    <row r="9" spans="1:15">
      <c r="A9" s="269"/>
      <c r="B9" s="16" t="s">
        <v>59</v>
      </c>
      <c r="C9" s="22">
        <f t="array" ref="C9">SUM(IF('UM-4 - 2T'!$D$6:$AS$6='Falhas por Modelo'!C$1,'UM-4 - 2T'!$D24:$AS24))</f>
        <v>0</v>
      </c>
      <c r="D9" s="22">
        <f t="array" ref="D9">SUM(IF('UM-4 - 2T'!$D$6:$AR$6='Falhas por Modelo'!D$1,'UM-4 - 2T'!$D24:$AR24))</f>
        <v>0</v>
      </c>
      <c r="E9" s="22">
        <f t="array" ref="E9">SUM(IF('UM-4 - 2T'!$D$6:$AR$6='Falhas por Modelo'!E$1,'UM-4 - 2T'!$D24:$AR24))</f>
        <v>0</v>
      </c>
      <c r="F9" s="22">
        <f t="array" ref="F9">SUM(IF('UM-4 - 2T'!$D$6:$AR$6='Falhas por Modelo'!F$1,'UM-4 - 2T'!$D24:$AR24))</f>
        <v>0</v>
      </c>
      <c r="G9" s="22">
        <f t="array" ref="G9">SUM(IF('UM-4 - 2T'!$D$6:$AR$6='Falhas por Modelo'!G$1,'UM-4 - 2T'!$D24:$AR24))</f>
        <v>0</v>
      </c>
      <c r="H9" s="22">
        <f t="array" ref="H9">SUM(IF('UM-4 - 2T'!$D$6:$AR$6='Falhas por Modelo'!H$1,'UM-4 - 2T'!$D24:$AR24))</f>
        <v>0</v>
      </c>
      <c r="I9" s="22">
        <f t="array" ref="I9">SUM(IF('UM-4 - 2T'!$D$6:$AR$6='Falhas por Modelo'!I$1,'UM-4 - 2T'!$D24:$AR24))</f>
        <v>0</v>
      </c>
      <c r="J9" s="22">
        <f t="array" ref="J9">SUM(IF('UM-4 - 2T'!$D$6:$AR$6='Falhas por Modelo'!J$1,'UM-4 - 2T'!$D24:$AR24))</f>
        <v>0</v>
      </c>
      <c r="K9" s="22">
        <f t="array" ref="K9">SUM(IF('UM-4 - 2T'!$D$6:$AR$6='Falhas por Modelo'!K$1,'UM-4 - 2T'!$D24:$AR24))</f>
        <v>0</v>
      </c>
      <c r="L9" s="35">
        <f t="array" ref="L9">SUM(IF('UM-4 - 2T'!$D$6:$AR$6='Falhas por Modelo'!L$1,'UM-4 - 2T'!$D24:$AR24))</f>
        <v>0</v>
      </c>
      <c r="M9" s="93">
        <f t="shared" si="0"/>
        <v>0</v>
      </c>
      <c r="N9" s="96">
        <f>'UM-4 - 2T'!AS24-'Falhas por Modelo'!M9</f>
        <v>0</v>
      </c>
      <c r="O9" s="21" t="e">
        <f>M9/C18*1000000</f>
        <v>#DIV/0!</v>
      </c>
    </row>
    <row r="10" spans="1:15">
      <c r="A10" s="270"/>
      <c r="B10" s="18" t="s">
        <v>96</v>
      </c>
      <c r="C10" s="22">
        <f t="array" ref="C10">SUM(IF('UM-4 - 2T'!$D$6:$AS$6='Falhas por Modelo'!C$1,'UM-4 - 2T'!$D27:$AS27))</f>
        <v>0</v>
      </c>
      <c r="D10" s="22">
        <f t="array" ref="D10">SUM(IF('UM-4 - 2T'!$D$6:$AR$6='Falhas por Modelo'!D$1,'UM-4 - 2T'!$D27:$AR27))</f>
        <v>0</v>
      </c>
      <c r="E10" s="22">
        <f t="array" ref="E10">SUM(IF('UM-4 - 2T'!$D$6:$AR$6='Falhas por Modelo'!E$1,'UM-4 - 2T'!$D27:$AR27))</f>
        <v>0</v>
      </c>
      <c r="F10" s="22">
        <f t="array" ref="F10">SUM(IF('UM-4 - 2T'!$D$6:$AR$6='Falhas por Modelo'!F$1,'UM-4 - 2T'!$D27:$AR27))</f>
        <v>0</v>
      </c>
      <c r="G10" s="22">
        <f t="array" ref="G10">SUM(IF('UM-4 - 2T'!$D$6:$AR$6='Falhas por Modelo'!G$1,'UM-4 - 2T'!$D27:$AR27))</f>
        <v>0</v>
      </c>
      <c r="H10" s="22">
        <f t="array" ref="H10">SUM(IF('UM-4 - 2T'!$D$6:$AR$6='Falhas por Modelo'!H$1,'UM-4 - 2T'!$D27:$AR27))</f>
        <v>0</v>
      </c>
      <c r="I10" s="22">
        <f t="array" ref="I10">SUM(IF('UM-4 - 2T'!$D$6:$AR$6='Falhas por Modelo'!I$1,'UM-4 - 2T'!$D27:$AR27))</f>
        <v>0</v>
      </c>
      <c r="J10" s="22">
        <f t="array" ref="J10">SUM(IF('UM-4 - 2T'!$D$6:$AR$6='Falhas por Modelo'!J$1,'UM-4 - 2T'!$D27:$AR27))</f>
        <v>0</v>
      </c>
      <c r="K10" s="22">
        <f t="array" ref="K10">SUM(IF('UM-4 - 2T'!$D$6:$AR$6='Falhas por Modelo'!K$1,'UM-4 - 2T'!$D27:$AR27))</f>
        <v>0</v>
      </c>
      <c r="L10" s="35">
        <f t="array" ref="L10">SUM(IF('UM-4 - 2T'!$D$6:$AR$6='Falhas por Modelo'!L$1,'UM-4 - 2T'!$D27:$AR27))</f>
        <v>0</v>
      </c>
      <c r="M10" s="93">
        <f t="shared" si="0"/>
        <v>0</v>
      </c>
      <c r="N10" s="96">
        <f>'UM-4 - 2T'!AS27-'Falhas por Modelo'!M10</f>
        <v>0</v>
      </c>
      <c r="O10" s="55"/>
    </row>
    <row r="11" spans="1:15" ht="13.5" thickBot="1">
      <c r="A11" s="271"/>
      <c r="B11" s="17" t="s">
        <v>60</v>
      </c>
      <c r="C11" s="102">
        <f>C7-C9</f>
        <v>0</v>
      </c>
      <c r="D11" s="102">
        <f t="shared" ref="D11:L11" si="2">D7-D9</f>
        <v>0</v>
      </c>
      <c r="E11" s="102">
        <f t="shared" si="2"/>
        <v>0</v>
      </c>
      <c r="F11" s="102">
        <f t="shared" si="2"/>
        <v>0</v>
      </c>
      <c r="G11" s="102">
        <f t="shared" si="2"/>
        <v>0</v>
      </c>
      <c r="H11" s="102">
        <f t="shared" si="2"/>
        <v>0</v>
      </c>
      <c r="I11" s="102">
        <f t="shared" si="2"/>
        <v>0</v>
      </c>
      <c r="J11" s="102">
        <f t="shared" si="2"/>
        <v>0</v>
      </c>
      <c r="K11" s="102">
        <f t="shared" si="2"/>
        <v>0</v>
      </c>
      <c r="L11" s="103">
        <f t="shared" si="2"/>
        <v>0</v>
      </c>
      <c r="M11" s="94">
        <f t="shared" si="0"/>
        <v>0</v>
      </c>
      <c r="N11" s="97"/>
      <c r="O11" s="38"/>
    </row>
    <row r="12" spans="1:15" ht="13.5" thickBot="1">
      <c r="A12" s="272" t="s">
        <v>27</v>
      </c>
      <c r="B12" s="273"/>
      <c r="C12" s="48">
        <f>C2+C7</f>
        <v>0</v>
      </c>
      <c r="D12" s="48">
        <f t="shared" ref="D12:L12" si="3">D2+D7</f>
        <v>0</v>
      </c>
      <c r="E12" s="48">
        <f t="shared" si="3"/>
        <v>0</v>
      </c>
      <c r="F12" s="48">
        <f t="shared" si="3"/>
        <v>0</v>
      </c>
      <c r="G12" s="48">
        <f t="shared" si="3"/>
        <v>0</v>
      </c>
      <c r="H12" s="48">
        <f t="shared" si="3"/>
        <v>0</v>
      </c>
      <c r="I12" s="48">
        <f t="shared" si="3"/>
        <v>0</v>
      </c>
      <c r="J12" s="48">
        <f t="shared" si="3"/>
        <v>0</v>
      </c>
      <c r="K12" s="48">
        <f t="shared" si="3"/>
        <v>0</v>
      </c>
      <c r="L12" s="49">
        <f t="shared" si="3"/>
        <v>0</v>
      </c>
      <c r="M12" s="89">
        <f t="shared" si="0"/>
        <v>0</v>
      </c>
      <c r="N12" s="98">
        <f>N7+N2</f>
        <v>0</v>
      </c>
      <c r="O12" s="99"/>
    </row>
    <row r="13" spans="1:15" ht="13.5" thickBot="1">
      <c r="A13" s="276" t="s">
        <v>95</v>
      </c>
      <c r="B13" s="277"/>
      <c r="C13" s="50">
        <f>C4+C9</f>
        <v>0</v>
      </c>
      <c r="D13" s="50">
        <f t="shared" ref="D13:N13" si="4">D4+D9</f>
        <v>0</v>
      </c>
      <c r="E13" s="50">
        <f t="shared" si="4"/>
        <v>0</v>
      </c>
      <c r="F13" s="50">
        <f t="shared" si="4"/>
        <v>0</v>
      </c>
      <c r="G13" s="50">
        <f t="shared" si="4"/>
        <v>0</v>
      </c>
      <c r="H13" s="50">
        <f t="shared" si="4"/>
        <v>0</v>
      </c>
      <c r="I13" s="50">
        <f t="shared" si="4"/>
        <v>0</v>
      </c>
      <c r="J13" s="50">
        <f t="shared" si="4"/>
        <v>0</v>
      </c>
      <c r="K13" s="50">
        <f t="shared" si="4"/>
        <v>0</v>
      </c>
      <c r="L13" s="51">
        <f t="shared" si="4"/>
        <v>0</v>
      </c>
      <c r="M13" s="89">
        <f t="shared" si="4"/>
        <v>0</v>
      </c>
      <c r="N13" s="90">
        <f t="shared" si="4"/>
        <v>0</v>
      </c>
      <c r="O13" s="91"/>
    </row>
    <row r="14" spans="1:15" ht="13.5" thickBot="1">
      <c r="A14" s="19"/>
      <c r="B14" s="19"/>
    </row>
    <row r="15" spans="1:15" ht="13.5" thickBot="1">
      <c r="A15" s="274" t="s">
        <v>27</v>
      </c>
      <c r="B15" s="275"/>
      <c r="C15" s="42" t="s">
        <v>63</v>
      </c>
      <c r="D15" s="43" t="s">
        <v>51</v>
      </c>
      <c r="F15" s="267" t="s">
        <v>80</v>
      </c>
      <c r="G15" s="267"/>
      <c r="H15" s="267"/>
    </row>
    <row r="16" spans="1:15" ht="13.5" thickBot="1">
      <c r="A16" s="20" t="s">
        <v>64</v>
      </c>
      <c r="B16" s="16"/>
      <c r="C16" s="22">
        <f>M2+M7</f>
        <v>0</v>
      </c>
      <c r="D16" s="41"/>
      <c r="F16" s="60"/>
      <c r="G16" s="159" t="s">
        <v>240</v>
      </c>
      <c r="H16" s="61"/>
    </row>
    <row r="17" spans="1:8" ht="13.5" thickBot="1">
      <c r="A17" s="20" t="s">
        <v>82</v>
      </c>
      <c r="B17" s="16"/>
      <c r="C17" s="22">
        <f t="array" ref="C17">SUM(IF('UM-4 - Dia'!D7:AR7&lt;&gt;"",'UM-4 - Dia'!D7:AR7))</f>
        <v>0</v>
      </c>
      <c r="D17" s="41"/>
      <c r="F17" s="62"/>
      <c r="G17" s="265" t="s">
        <v>241</v>
      </c>
      <c r="H17" s="266"/>
    </row>
    <row r="18" spans="1:8" ht="13.5" thickBot="1">
      <c r="A18" s="20" t="s">
        <v>83</v>
      </c>
      <c r="B18" s="16"/>
      <c r="C18" s="22">
        <f t="array" ref="C18">SUM(IF('UM-4 - 2T'!D8:AR8&lt;&gt;"",'UM-4 - Dia'!D7:AR7))</f>
        <v>0</v>
      </c>
      <c r="D18" s="41"/>
      <c r="F18" s="63"/>
      <c r="G18" s="159" t="s">
        <v>242</v>
      </c>
      <c r="H18" s="61"/>
    </row>
    <row r="19" spans="1:8">
      <c r="A19" s="20" t="s">
        <v>84</v>
      </c>
      <c r="B19" s="16"/>
      <c r="C19" s="22">
        <f>SUM(C17:C18)</f>
        <v>0</v>
      </c>
      <c r="D19" s="41"/>
    </row>
    <row r="20" spans="1:8">
      <c r="A20" s="20" t="s">
        <v>65</v>
      </c>
      <c r="B20" s="16"/>
      <c r="C20" s="22">
        <f>M3+M8</f>
        <v>0</v>
      </c>
      <c r="D20" s="40" t="e">
        <f>C20/C19*1000000</f>
        <v>#DIV/0!</v>
      </c>
    </row>
    <row r="21" spans="1:8">
      <c r="A21" s="20" t="s">
        <v>66</v>
      </c>
      <c r="B21" s="16"/>
      <c r="C21" s="22">
        <f>M4+M9</f>
        <v>0</v>
      </c>
      <c r="D21" s="52" t="e">
        <f>C21/C19*1000000</f>
        <v>#DIV/0!</v>
      </c>
    </row>
    <row r="22" spans="1:8" ht="13.5" thickBot="1">
      <c r="A22" s="53" t="s">
        <v>97</v>
      </c>
      <c r="B22" s="17"/>
      <c r="C22" s="78"/>
      <c r="D22" s="54" t="e">
        <f>C22/(M5+M10)*C21/C19*1000000</f>
        <v>#DIV/0!</v>
      </c>
    </row>
  </sheetData>
  <sheetProtection algorithmName="SHA-512" hashValue="Kki8XO56XvkLj+ylPWB6Y68YMXFOIiIxmzFAqcmf/6P6IRk09TqSyuUG1VBhovTWOno3lp9EaC7LIcCWbp8vuw==" saltValue="4rMyYmmm/8/rckn1vdqgxg==" spinCount="100000" sheet="1" objects="1" scenarios="1" selectLockedCells="1"/>
  <mergeCells count="7">
    <mergeCell ref="G17:H17"/>
    <mergeCell ref="F15:H15"/>
    <mergeCell ref="A1:A6"/>
    <mergeCell ref="A7:A11"/>
    <mergeCell ref="A12:B12"/>
    <mergeCell ref="A15:B15"/>
    <mergeCell ref="A13:B13"/>
  </mergeCells>
  <phoneticPr fontId="0" type="noConversion"/>
  <conditionalFormatting sqref="C16">
    <cfRule type="cellIs" dxfId="14" priority="1" stopIfTrue="1" operator="notEqual">
      <formula>$M$12</formula>
    </cfRule>
  </conditionalFormatting>
  <conditionalFormatting sqref="N12 N2:N5 N7:N10">
    <cfRule type="cellIs" dxfId="13" priority="2" stopIfTrue="1" operator="notEqual">
      <formula>0</formula>
    </cfRule>
  </conditionalFormatting>
  <conditionalFormatting sqref="O9">
    <cfRule type="cellIs" dxfId="12" priority="3" stopIfTrue="1" operator="greaterThan">
      <formula>200</formula>
    </cfRule>
    <cfRule type="cellIs" dxfId="11" priority="4" stopIfTrue="1" operator="between">
      <formula>101</formula>
      <formula>200</formula>
    </cfRule>
    <cfRule type="cellIs" dxfId="10" priority="5" stopIfTrue="1" operator="lessThan">
      <formula>100</formula>
    </cfRule>
  </conditionalFormatting>
  <conditionalFormatting sqref="D21 O4">
    <cfRule type="cellIs" dxfId="9" priority="6" stopIfTrue="1" operator="greaterThan">
      <formula>322</formula>
    </cfRule>
    <cfRule type="cellIs" dxfId="8" priority="7" stopIfTrue="1" operator="between">
      <formula>161</formula>
      <formula>322</formula>
    </cfRule>
    <cfRule type="cellIs" dxfId="7" priority="8" stopIfTrue="1" operator="lessThan">
      <formula>161</formula>
    </cfRule>
  </conditionalFormatting>
  <printOptions horizontalCentered="1"/>
  <pageMargins left="0.39370078740157483" right="0.39370078740157483" top="1.5748031496062993" bottom="0.39370078740157483" header="0.98425196850393704" footer="0.59055118110236227"/>
  <pageSetup paperSize="9" orientation="landscape" r:id="rId1"/>
  <headerFooter alignWithMargins="0">
    <oddHeader>&amp;L&amp;"SwitzerlandBlack,Negrito"&amp;16Panasonic
&amp;"Arial,Negrito"&amp;9PILHAS / BATERIAS&amp;C&amp;14RESUMO DE FALHAS DE V/A&amp;RNOVEMBRO</oddHeader>
    <oddFooter>&amp;L&amp;A&amp;R&amp;F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G97"/>
  <sheetViews>
    <sheetView tabSelected="1" zoomScaleNormal="100" workbookViewId="0">
      <selection activeCell="A33" sqref="A33"/>
    </sheetView>
  </sheetViews>
  <sheetFormatPr defaultRowHeight="12.75"/>
  <cols>
    <col min="1" max="1" width="35.7109375" bestFit="1" customWidth="1"/>
    <col min="2" max="2" width="14.28515625" bestFit="1" customWidth="1"/>
    <col min="3" max="3" width="9.5703125" bestFit="1" customWidth="1"/>
    <col min="4" max="4" width="9.85546875" bestFit="1" customWidth="1"/>
  </cols>
  <sheetData>
    <row r="1" spans="1:7" ht="14.25">
      <c r="A1" s="31" t="s">
        <v>43</v>
      </c>
      <c r="B1" s="31" t="s">
        <v>244</v>
      </c>
      <c r="C1" s="278" t="s">
        <v>50</v>
      </c>
      <c r="D1" s="278" t="s">
        <v>51</v>
      </c>
    </row>
    <row r="2" spans="1:7" ht="14.25">
      <c r="A2" s="30" t="s">
        <v>192</v>
      </c>
      <c r="B2" s="31"/>
      <c r="C2" s="278"/>
      <c r="D2" s="278"/>
    </row>
    <row r="3" spans="1:7" ht="14.25">
      <c r="A3" s="30" t="s">
        <v>53</v>
      </c>
      <c r="B3" s="56"/>
      <c r="C3" s="278"/>
      <c r="D3" s="278"/>
    </row>
    <row r="4" spans="1:7" ht="14.25">
      <c r="A4" s="30" t="s">
        <v>194</v>
      </c>
      <c r="B4" s="31"/>
      <c r="C4" s="278"/>
      <c r="D4" s="278"/>
    </row>
    <row r="5" spans="1:7" ht="14.25">
      <c r="A5" s="30" t="s">
        <v>209</v>
      </c>
      <c r="B5" s="31"/>
      <c r="C5" s="278"/>
      <c r="D5" s="278"/>
    </row>
    <row r="6" spans="1:7" ht="14.25">
      <c r="A6" s="30" t="s">
        <v>210</v>
      </c>
      <c r="B6" s="31"/>
      <c r="C6" s="278"/>
      <c r="D6" s="278"/>
    </row>
    <row r="7" spans="1:7" ht="14.25">
      <c r="A7" s="30" t="s">
        <v>211</v>
      </c>
      <c r="B7" s="31"/>
      <c r="C7" s="278"/>
      <c r="D7" s="278"/>
      <c r="E7" t="s">
        <v>98</v>
      </c>
    </row>
    <row r="8" spans="1:7" ht="14.25">
      <c r="A8" s="30" t="s">
        <v>226</v>
      </c>
      <c r="B8" s="31"/>
      <c r="C8" s="32"/>
      <c r="D8" s="33"/>
    </row>
    <row r="9" spans="1:7" ht="14.25">
      <c r="A9" s="30" t="s">
        <v>210</v>
      </c>
      <c r="B9" s="31" t="e">
        <v>#DIV/0!</v>
      </c>
      <c r="C9" s="32" t="e">
        <f>B9/B$8*100</f>
        <v>#DIV/0!</v>
      </c>
      <c r="D9" s="32" t="e">
        <f>B9/B$8*B$5/B$3*1000000</f>
        <v>#DIV/0!</v>
      </c>
      <c r="E9" s="46" t="e">
        <f>C9</f>
        <v>#DIV/0!</v>
      </c>
      <c r="F9" s="26"/>
      <c r="G9" t="s">
        <v>68</v>
      </c>
    </row>
    <row r="10" spans="1:7" ht="14.25">
      <c r="A10" s="30" t="s">
        <v>211</v>
      </c>
      <c r="B10" s="31">
        <v>265401.71428571426</v>
      </c>
      <c r="C10" s="32" t="e">
        <f t="shared" ref="C10:C53" si="0">B10/B$8*100</f>
        <v>#DIV/0!</v>
      </c>
      <c r="D10" s="32" t="e">
        <f t="shared" ref="D10:D49" si="1">B10/B$8*B$5/B$3*1000000</f>
        <v>#DIV/0!</v>
      </c>
      <c r="E10" s="46" t="e">
        <f>E9+C10</f>
        <v>#DIV/0!</v>
      </c>
    </row>
    <row r="11" spans="1:7" ht="14.25">
      <c r="A11" s="31" t="s">
        <v>212</v>
      </c>
      <c r="B11" s="31">
        <v>5586</v>
      </c>
      <c r="C11" s="32" t="e">
        <f t="shared" si="0"/>
        <v>#DIV/0!</v>
      </c>
      <c r="D11" s="32" t="e">
        <f t="shared" si="1"/>
        <v>#DIV/0!</v>
      </c>
      <c r="E11" s="46" t="e">
        <f t="shared" ref="E11:E55" si="2">E10+C11</f>
        <v>#DIV/0!</v>
      </c>
      <c r="F11" s="28"/>
      <c r="G11" t="s">
        <v>69</v>
      </c>
    </row>
    <row r="12" spans="1:7" ht="14.25">
      <c r="A12" s="31" t="s">
        <v>201</v>
      </c>
      <c r="B12" s="31">
        <v>3119</v>
      </c>
      <c r="C12" s="32" t="e">
        <f t="shared" si="0"/>
        <v>#DIV/0!</v>
      </c>
      <c r="D12" s="32" t="e">
        <f t="shared" si="1"/>
        <v>#DIV/0!</v>
      </c>
      <c r="E12" s="46" t="e">
        <f t="shared" si="2"/>
        <v>#DIV/0!</v>
      </c>
    </row>
    <row r="13" spans="1:7" ht="14.25">
      <c r="A13" s="30" t="s">
        <v>211</v>
      </c>
      <c r="B13" s="31">
        <v>1423</v>
      </c>
      <c r="C13" s="32" t="e">
        <f t="shared" si="0"/>
        <v>#DIV/0!</v>
      </c>
      <c r="D13" s="32" t="e">
        <f t="shared" si="1"/>
        <v>#DIV/0!</v>
      </c>
      <c r="E13" s="46" t="e">
        <f t="shared" si="2"/>
        <v>#DIV/0!</v>
      </c>
      <c r="F13" s="27"/>
      <c r="G13" t="s">
        <v>70</v>
      </c>
    </row>
    <row r="14" spans="1:7" ht="14.25">
      <c r="A14" s="31" t="s">
        <v>228</v>
      </c>
      <c r="B14" s="31">
        <v>1423</v>
      </c>
      <c r="C14" s="32" t="e">
        <f t="shared" si="0"/>
        <v>#DIV/0!</v>
      </c>
      <c r="D14" s="32" t="e">
        <f t="shared" si="1"/>
        <v>#DIV/0!</v>
      </c>
      <c r="E14" s="46" t="e">
        <f t="shared" si="2"/>
        <v>#DIV/0!</v>
      </c>
    </row>
    <row r="15" spans="1:7" ht="14.25">
      <c r="A15" s="30" t="s">
        <v>210</v>
      </c>
      <c r="B15" s="31">
        <v>404</v>
      </c>
      <c r="C15" s="32" t="e">
        <f t="shared" si="0"/>
        <v>#DIV/0!</v>
      </c>
      <c r="D15" s="32" t="e">
        <f t="shared" si="1"/>
        <v>#DIV/0!</v>
      </c>
      <c r="E15" s="46" t="e">
        <f t="shared" si="2"/>
        <v>#DIV/0!</v>
      </c>
    </row>
    <row r="16" spans="1:7" ht="14.25">
      <c r="A16" s="31" t="s">
        <v>211</v>
      </c>
      <c r="B16" s="31">
        <v>123.19999999999997</v>
      </c>
      <c r="C16" s="32" t="e">
        <f t="shared" si="0"/>
        <v>#DIV/0!</v>
      </c>
      <c r="D16" s="32" t="e">
        <f t="shared" si="1"/>
        <v>#DIV/0!</v>
      </c>
      <c r="E16" s="46" t="e">
        <f t="shared" si="2"/>
        <v>#DIV/0!</v>
      </c>
    </row>
    <row r="17" spans="1:5" ht="14.25">
      <c r="A17" s="31" t="s">
        <v>230</v>
      </c>
      <c r="B17" s="31">
        <v>118</v>
      </c>
      <c r="C17" s="32" t="e">
        <f t="shared" si="0"/>
        <v>#DIV/0!</v>
      </c>
      <c r="D17" s="32" t="e">
        <f t="shared" si="1"/>
        <v>#DIV/0!</v>
      </c>
      <c r="E17" s="46" t="e">
        <f t="shared" si="2"/>
        <v>#DIV/0!</v>
      </c>
    </row>
    <row r="18" spans="1:5" ht="14.25">
      <c r="A18" s="31" t="s">
        <v>232</v>
      </c>
      <c r="B18" s="31">
        <v>23.471999999999994</v>
      </c>
      <c r="C18" s="32" t="e">
        <f t="shared" si="0"/>
        <v>#DIV/0!</v>
      </c>
      <c r="D18" s="32" t="e">
        <f t="shared" si="1"/>
        <v>#DIV/0!</v>
      </c>
      <c r="E18" s="46" t="e">
        <f t="shared" si="2"/>
        <v>#DIV/0!</v>
      </c>
    </row>
    <row r="19" spans="1:5" ht="14.25">
      <c r="A19" s="30" t="s">
        <v>210</v>
      </c>
      <c r="B19" s="31">
        <v>23.402000000000001</v>
      </c>
      <c r="C19" s="32" t="e">
        <f t="shared" si="0"/>
        <v>#DIV/0!</v>
      </c>
      <c r="D19" s="32" t="e">
        <f t="shared" si="1"/>
        <v>#DIV/0!</v>
      </c>
      <c r="E19" s="46" t="e">
        <f t="shared" si="2"/>
        <v>#DIV/0!</v>
      </c>
    </row>
    <row r="20" spans="1:5" ht="14.25">
      <c r="A20" s="30" t="s">
        <v>195</v>
      </c>
      <c r="B20" s="31">
        <v>12</v>
      </c>
      <c r="C20" s="32" t="e">
        <f t="shared" si="0"/>
        <v>#DIV/0!</v>
      </c>
      <c r="D20" s="32" t="e">
        <f t="shared" si="1"/>
        <v>#DIV/0!</v>
      </c>
      <c r="E20" s="46" t="e">
        <f t="shared" si="2"/>
        <v>#DIV/0!</v>
      </c>
    </row>
    <row r="21" spans="1:5" ht="14.25">
      <c r="A21" s="30" t="s">
        <v>196</v>
      </c>
      <c r="B21" s="31">
        <v>12</v>
      </c>
      <c r="C21" s="32" t="e">
        <f t="shared" si="0"/>
        <v>#DIV/0!</v>
      </c>
      <c r="D21" s="32" t="e">
        <f t="shared" si="1"/>
        <v>#DIV/0!</v>
      </c>
      <c r="E21" s="46" t="e">
        <f t="shared" si="2"/>
        <v>#DIV/0!</v>
      </c>
    </row>
    <row r="22" spans="1:5" ht="14.25">
      <c r="A22" s="30" t="s">
        <v>197</v>
      </c>
      <c r="B22" s="31">
        <v>7</v>
      </c>
      <c r="C22" s="32" t="e">
        <f t="shared" si="0"/>
        <v>#DIV/0!</v>
      </c>
      <c r="D22" s="32" t="e">
        <f t="shared" si="1"/>
        <v>#DIV/0!</v>
      </c>
      <c r="E22" s="46" t="e">
        <f t="shared" si="2"/>
        <v>#DIV/0!</v>
      </c>
    </row>
    <row r="23" spans="1:5" ht="14.25">
      <c r="A23" s="30" t="s">
        <v>198</v>
      </c>
      <c r="B23" s="31">
        <v>4</v>
      </c>
      <c r="C23" s="32" t="e">
        <f t="shared" si="0"/>
        <v>#DIV/0!</v>
      </c>
      <c r="D23" s="32" t="e">
        <f t="shared" si="1"/>
        <v>#DIV/0!</v>
      </c>
      <c r="E23" s="46" t="e">
        <f t="shared" si="2"/>
        <v>#DIV/0!</v>
      </c>
    </row>
    <row r="24" spans="1:5" ht="14.25">
      <c r="A24" s="30" t="s">
        <v>199</v>
      </c>
      <c r="B24" s="31">
        <v>3</v>
      </c>
      <c r="C24" s="32" t="e">
        <f t="shared" si="0"/>
        <v>#DIV/0!</v>
      </c>
      <c r="D24" s="32" t="e">
        <f t="shared" si="1"/>
        <v>#DIV/0!</v>
      </c>
      <c r="E24" s="46" t="e">
        <f t="shared" si="2"/>
        <v>#DIV/0!</v>
      </c>
    </row>
    <row r="25" spans="1:5" ht="14.25">
      <c r="A25" s="31" t="s">
        <v>5</v>
      </c>
      <c r="B25" s="31">
        <v>2</v>
      </c>
      <c r="C25" s="32" t="e">
        <f t="shared" si="0"/>
        <v>#DIV/0!</v>
      </c>
      <c r="D25" s="32" t="e">
        <f t="shared" si="1"/>
        <v>#DIV/0!</v>
      </c>
      <c r="E25" s="46" t="e">
        <f t="shared" si="2"/>
        <v>#DIV/0!</v>
      </c>
    </row>
    <row r="26" spans="1:5" ht="14.25">
      <c r="A26" s="30" t="s">
        <v>41</v>
      </c>
      <c r="B26" s="31">
        <v>1</v>
      </c>
      <c r="C26" s="32" t="e">
        <f t="shared" si="0"/>
        <v>#DIV/0!</v>
      </c>
      <c r="D26" s="32" t="e">
        <f t="shared" si="1"/>
        <v>#DIV/0!</v>
      </c>
      <c r="E26" s="46" t="e">
        <f t="shared" si="2"/>
        <v>#DIV/0!</v>
      </c>
    </row>
    <row r="27" spans="1:5" ht="14.25">
      <c r="A27" s="30" t="s">
        <v>93</v>
      </c>
      <c r="B27" s="31">
        <v>1</v>
      </c>
      <c r="C27" s="32" t="e">
        <f t="shared" si="0"/>
        <v>#DIV/0!</v>
      </c>
      <c r="D27" s="32" t="e">
        <f t="shared" si="1"/>
        <v>#DIV/0!</v>
      </c>
      <c r="E27" s="46" t="e">
        <f t="shared" si="2"/>
        <v>#DIV/0!</v>
      </c>
    </row>
    <row r="28" spans="1:5" ht="14.25">
      <c r="A28" s="30" t="s">
        <v>6</v>
      </c>
      <c r="B28" s="31">
        <v>1</v>
      </c>
      <c r="C28" s="32" t="e">
        <f t="shared" si="0"/>
        <v>#DIV/0!</v>
      </c>
      <c r="D28" s="32" t="e">
        <f t="shared" si="1"/>
        <v>#DIV/0!</v>
      </c>
      <c r="E28" s="46" t="e">
        <f t="shared" si="2"/>
        <v>#DIV/0!</v>
      </c>
    </row>
    <row r="29" spans="1:5" ht="14.25">
      <c r="A29" s="31" t="s">
        <v>7</v>
      </c>
      <c r="B29" s="31">
        <v>1</v>
      </c>
      <c r="C29" s="32" t="e">
        <f t="shared" si="0"/>
        <v>#DIV/0!</v>
      </c>
      <c r="D29" s="32" t="e">
        <f t="shared" si="1"/>
        <v>#DIV/0!</v>
      </c>
      <c r="E29" s="46" t="e">
        <f t="shared" si="2"/>
        <v>#DIV/0!</v>
      </c>
    </row>
    <row r="30" spans="1:5" ht="14.25">
      <c r="A30" s="31" t="s">
        <v>8</v>
      </c>
      <c r="B30" s="31">
        <v>0</v>
      </c>
      <c r="C30" s="32" t="e">
        <f t="shared" si="0"/>
        <v>#DIV/0!</v>
      </c>
      <c r="D30" s="32" t="e">
        <f t="shared" si="1"/>
        <v>#DIV/0!</v>
      </c>
      <c r="E30" s="46" t="e">
        <f t="shared" si="2"/>
        <v>#DIV/0!</v>
      </c>
    </row>
    <row r="31" spans="1:5" ht="14.25">
      <c r="A31" s="31" t="s">
        <v>9</v>
      </c>
      <c r="B31" s="31">
        <v>0</v>
      </c>
      <c r="C31" s="32" t="e">
        <f t="shared" si="0"/>
        <v>#DIV/0!</v>
      </c>
      <c r="D31" s="32" t="e">
        <f t="shared" si="1"/>
        <v>#DIV/0!</v>
      </c>
      <c r="E31" s="46" t="e">
        <f t="shared" si="2"/>
        <v>#DIV/0!</v>
      </c>
    </row>
    <row r="32" spans="1:5" ht="14.25">
      <c r="A32" s="31" t="s">
        <v>10</v>
      </c>
      <c r="B32" s="31">
        <v>0</v>
      </c>
      <c r="C32" s="32" t="e">
        <f t="shared" si="0"/>
        <v>#DIV/0!</v>
      </c>
      <c r="D32" s="32" t="e">
        <f t="shared" si="1"/>
        <v>#DIV/0!</v>
      </c>
      <c r="E32" s="46" t="e">
        <f t="shared" si="2"/>
        <v>#DIV/0!</v>
      </c>
    </row>
    <row r="33" spans="1:5" ht="14.25">
      <c r="A33" s="30" t="s">
        <v>103</v>
      </c>
      <c r="B33" s="31">
        <v>0</v>
      </c>
      <c r="C33" s="32" t="e">
        <f t="shared" si="0"/>
        <v>#DIV/0!</v>
      </c>
      <c r="D33" s="32" t="e">
        <f t="shared" si="1"/>
        <v>#DIV/0!</v>
      </c>
      <c r="E33" s="46" t="e">
        <f t="shared" si="2"/>
        <v>#DIV/0!</v>
      </c>
    </row>
    <row r="34" spans="1:5" ht="14.25">
      <c r="A34" s="30" t="s">
        <v>11</v>
      </c>
      <c r="B34" s="31">
        <v>0</v>
      </c>
      <c r="C34" s="32" t="e">
        <f t="shared" si="0"/>
        <v>#DIV/0!</v>
      </c>
      <c r="D34" s="32" t="e">
        <f t="shared" si="1"/>
        <v>#DIV/0!</v>
      </c>
      <c r="E34" s="46" t="e">
        <f t="shared" si="2"/>
        <v>#DIV/0!</v>
      </c>
    </row>
    <row r="35" spans="1:5" ht="14.25">
      <c r="A35" s="30" t="s">
        <v>74</v>
      </c>
      <c r="B35" s="31">
        <v>0</v>
      </c>
      <c r="C35" s="32" t="e">
        <f t="shared" si="0"/>
        <v>#DIV/0!</v>
      </c>
      <c r="D35" s="32" t="e">
        <f t="shared" si="1"/>
        <v>#DIV/0!</v>
      </c>
      <c r="E35" s="46" t="e">
        <f t="shared" si="2"/>
        <v>#DIV/0!</v>
      </c>
    </row>
    <row r="36" spans="1:5" ht="14.25">
      <c r="A36" s="30" t="s">
        <v>86</v>
      </c>
      <c r="B36" s="31">
        <v>0</v>
      </c>
      <c r="C36" s="32" t="e">
        <f t="shared" si="0"/>
        <v>#DIV/0!</v>
      </c>
      <c r="D36" s="32" t="e">
        <f t="shared" si="1"/>
        <v>#DIV/0!</v>
      </c>
      <c r="E36" s="46" t="e">
        <f t="shared" si="2"/>
        <v>#DIV/0!</v>
      </c>
    </row>
    <row r="37" spans="1:5" ht="14.25">
      <c r="A37" s="31" t="s">
        <v>87</v>
      </c>
      <c r="B37" s="31">
        <v>0</v>
      </c>
      <c r="C37" s="32" t="e">
        <f t="shared" si="0"/>
        <v>#DIV/0!</v>
      </c>
      <c r="D37" s="32" t="e">
        <f t="shared" si="1"/>
        <v>#DIV/0!</v>
      </c>
      <c r="E37" s="46" t="e">
        <f t="shared" si="2"/>
        <v>#DIV/0!</v>
      </c>
    </row>
    <row r="38" spans="1:5" ht="14.25">
      <c r="A38" s="30" t="s">
        <v>73</v>
      </c>
      <c r="B38" s="31">
        <v>0</v>
      </c>
      <c r="C38" s="32" t="e">
        <f t="shared" si="0"/>
        <v>#DIV/0!</v>
      </c>
      <c r="D38" s="32" t="e">
        <f t="shared" si="1"/>
        <v>#DIV/0!</v>
      </c>
      <c r="E38" s="46" t="e">
        <f t="shared" si="2"/>
        <v>#DIV/0!</v>
      </c>
    </row>
    <row r="39" spans="1:5" ht="14.25">
      <c r="A39" s="30" t="s">
        <v>81</v>
      </c>
      <c r="B39" s="31">
        <v>0</v>
      </c>
      <c r="C39" s="32" t="e">
        <f t="shared" si="0"/>
        <v>#DIV/0!</v>
      </c>
      <c r="D39" s="32" t="e">
        <f t="shared" si="1"/>
        <v>#DIV/0!</v>
      </c>
      <c r="E39" s="46" t="e">
        <f t="shared" si="2"/>
        <v>#DIV/0!</v>
      </c>
    </row>
    <row r="40" spans="1:5" ht="14.25">
      <c r="A40" s="30" t="s">
        <v>12</v>
      </c>
      <c r="B40" s="31">
        <v>0</v>
      </c>
      <c r="C40" s="32" t="e">
        <f t="shared" si="0"/>
        <v>#DIV/0!</v>
      </c>
      <c r="D40" s="32" t="e">
        <f t="shared" si="1"/>
        <v>#DIV/0!</v>
      </c>
      <c r="E40" s="46" t="e">
        <f t="shared" si="2"/>
        <v>#DIV/0!</v>
      </c>
    </row>
    <row r="41" spans="1:5" ht="14.25">
      <c r="A41" s="31" t="s">
        <v>75</v>
      </c>
      <c r="B41" s="31">
        <v>0</v>
      </c>
      <c r="C41" s="32" t="e">
        <f t="shared" si="0"/>
        <v>#DIV/0!</v>
      </c>
      <c r="D41" s="32" t="e">
        <f t="shared" si="1"/>
        <v>#DIV/0!</v>
      </c>
      <c r="E41" s="46" t="e">
        <f t="shared" si="2"/>
        <v>#DIV/0!</v>
      </c>
    </row>
    <row r="42" spans="1:5" ht="14.25">
      <c r="A42" s="30" t="s">
        <v>85</v>
      </c>
      <c r="B42" s="31">
        <v>0</v>
      </c>
      <c r="C42" s="32" t="e">
        <f t="shared" si="0"/>
        <v>#DIV/0!</v>
      </c>
      <c r="D42" s="32" t="e">
        <f t="shared" si="1"/>
        <v>#DIV/0!</v>
      </c>
      <c r="E42" s="46" t="e">
        <f t="shared" si="2"/>
        <v>#DIV/0!</v>
      </c>
    </row>
    <row r="43" spans="1:5" ht="14.25">
      <c r="A43" s="30" t="s">
        <v>13</v>
      </c>
      <c r="B43" s="31">
        <v>0</v>
      </c>
      <c r="C43" s="32" t="e">
        <f t="shared" si="0"/>
        <v>#DIV/0!</v>
      </c>
      <c r="D43" s="32" t="e">
        <f t="shared" si="1"/>
        <v>#DIV/0!</v>
      </c>
      <c r="E43" s="46" t="e">
        <f t="shared" si="2"/>
        <v>#DIV/0!</v>
      </c>
    </row>
    <row r="44" spans="1:5" ht="14.25">
      <c r="A44" s="30" t="s">
        <v>14</v>
      </c>
      <c r="B44" s="31">
        <v>0</v>
      </c>
      <c r="C44" s="32" t="e">
        <f t="shared" si="0"/>
        <v>#DIV/0!</v>
      </c>
      <c r="D44" s="32" t="e">
        <f t="shared" si="1"/>
        <v>#DIV/0!</v>
      </c>
      <c r="E44" s="46" t="e">
        <f t="shared" si="2"/>
        <v>#DIV/0!</v>
      </c>
    </row>
    <row r="45" spans="1:5" ht="14.25">
      <c r="A45" s="30" t="s">
        <v>117</v>
      </c>
      <c r="B45" s="31">
        <v>0</v>
      </c>
      <c r="C45" s="32" t="e">
        <f t="shared" si="0"/>
        <v>#DIV/0!</v>
      </c>
      <c r="D45" s="32" t="e">
        <f t="shared" si="1"/>
        <v>#DIV/0!</v>
      </c>
      <c r="E45" s="46" t="e">
        <f t="shared" si="2"/>
        <v>#DIV/0!</v>
      </c>
    </row>
    <row r="46" spans="1:5" ht="14.25">
      <c r="A46" s="30" t="s">
        <v>15</v>
      </c>
      <c r="B46" s="31">
        <v>0</v>
      </c>
      <c r="C46" s="32" t="e">
        <f t="shared" si="0"/>
        <v>#DIV/0!</v>
      </c>
      <c r="D46" s="32" t="e">
        <f t="shared" si="1"/>
        <v>#DIV/0!</v>
      </c>
      <c r="E46" s="46" t="e">
        <f t="shared" si="2"/>
        <v>#DIV/0!</v>
      </c>
    </row>
    <row r="47" spans="1:5" ht="14.25">
      <c r="A47" s="30" t="s">
        <v>16</v>
      </c>
      <c r="B47" s="31">
        <v>0</v>
      </c>
      <c r="C47" s="32" t="e">
        <f t="shared" si="0"/>
        <v>#DIV/0!</v>
      </c>
      <c r="D47" s="32" t="e">
        <f t="shared" si="1"/>
        <v>#DIV/0!</v>
      </c>
      <c r="E47" s="46" t="e">
        <f t="shared" si="2"/>
        <v>#DIV/0!</v>
      </c>
    </row>
    <row r="48" spans="1:5" ht="14.25">
      <c r="A48" s="31" t="s">
        <v>17</v>
      </c>
      <c r="B48" s="31">
        <v>0</v>
      </c>
      <c r="C48" s="32" t="e">
        <f t="shared" si="0"/>
        <v>#DIV/0!</v>
      </c>
      <c r="D48" s="32" t="e">
        <f t="shared" si="1"/>
        <v>#DIV/0!</v>
      </c>
      <c r="E48" s="46" t="e">
        <f t="shared" si="2"/>
        <v>#DIV/0!</v>
      </c>
    </row>
    <row r="49" spans="1:5" ht="14.25">
      <c r="A49" s="30" t="s">
        <v>18</v>
      </c>
      <c r="B49" s="31">
        <v>0</v>
      </c>
      <c r="C49" s="32" t="e">
        <f t="shared" si="0"/>
        <v>#DIV/0!</v>
      </c>
      <c r="D49" s="32" t="e">
        <f t="shared" si="1"/>
        <v>#DIV/0!</v>
      </c>
      <c r="E49" s="46" t="e">
        <f t="shared" si="2"/>
        <v>#DIV/0!</v>
      </c>
    </row>
    <row r="50" spans="1:5" ht="14.25">
      <c r="A50" s="30" t="s">
        <v>19</v>
      </c>
      <c r="B50" s="31">
        <v>0</v>
      </c>
      <c r="C50" s="32" t="e">
        <f t="shared" si="0"/>
        <v>#DIV/0!</v>
      </c>
      <c r="D50" s="32" t="e">
        <f t="shared" ref="D50:D55" si="3">B50/B$8*B$5/B$3*1000000</f>
        <v>#DIV/0!</v>
      </c>
      <c r="E50" s="46" t="e">
        <f t="shared" si="2"/>
        <v>#DIV/0!</v>
      </c>
    </row>
    <row r="51" spans="1:5" ht="14.25">
      <c r="A51" s="31" t="s">
        <v>20</v>
      </c>
      <c r="B51" s="31">
        <v>0</v>
      </c>
      <c r="C51" s="32" t="e">
        <f t="shared" si="0"/>
        <v>#DIV/0!</v>
      </c>
      <c r="D51" s="32" t="e">
        <f t="shared" si="3"/>
        <v>#DIV/0!</v>
      </c>
      <c r="E51" s="46" t="e">
        <f t="shared" si="2"/>
        <v>#DIV/0!</v>
      </c>
    </row>
    <row r="52" spans="1:5" ht="14.25">
      <c r="A52" s="30" t="s">
        <v>21</v>
      </c>
      <c r="B52" s="31">
        <v>0</v>
      </c>
      <c r="C52" s="32" t="e">
        <f t="shared" si="0"/>
        <v>#DIV/0!</v>
      </c>
      <c r="D52" s="32" t="e">
        <f t="shared" si="3"/>
        <v>#DIV/0!</v>
      </c>
      <c r="E52" s="46" t="e">
        <f t="shared" si="2"/>
        <v>#DIV/0!</v>
      </c>
    </row>
    <row r="53" spans="1:5" ht="14.25">
      <c r="A53" s="30" t="s">
        <v>22</v>
      </c>
      <c r="B53" s="31"/>
      <c r="C53" s="32" t="e">
        <f t="shared" si="0"/>
        <v>#DIV/0!</v>
      </c>
      <c r="D53" s="32" t="e">
        <f t="shared" si="3"/>
        <v>#DIV/0!</v>
      </c>
      <c r="E53" s="46" t="e">
        <f t="shared" si="2"/>
        <v>#DIV/0!</v>
      </c>
    </row>
    <row r="54" spans="1:5" ht="14.25">
      <c r="A54" s="30" t="s">
        <v>23</v>
      </c>
      <c r="B54" s="31"/>
      <c r="C54" s="32"/>
      <c r="D54" s="32" t="e">
        <f t="shared" si="3"/>
        <v>#DIV/0!</v>
      </c>
      <c r="E54" s="46" t="e">
        <f t="shared" si="2"/>
        <v>#DIV/0!</v>
      </c>
    </row>
    <row r="55" spans="1:5" ht="14.25">
      <c r="A55" s="31" t="s">
        <v>91</v>
      </c>
      <c r="B55" s="33">
        <v>0</v>
      </c>
      <c r="C55" s="32" t="e">
        <f t="shared" ref="C55:C60" si="4">B55/B$8*100</f>
        <v>#DIV/0!</v>
      </c>
      <c r="D55" s="32" t="e">
        <f t="shared" si="3"/>
        <v>#DIV/0!</v>
      </c>
      <c r="E55" s="46" t="e">
        <f t="shared" si="2"/>
        <v>#DIV/0!</v>
      </c>
    </row>
    <row r="56" spans="1:5" ht="14.25">
      <c r="A56" s="31" t="s">
        <v>24</v>
      </c>
      <c r="B56" s="31">
        <v>0</v>
      </c>
      <c r="C56" s="32" t="e">
        <f t="shared" si="4"/>
        <v>#DIV/0!</v>
      </c>
      <c r="D56" s="32"/>
    </row>
    <row r="57" spans="1:5" ht="14.25">
      <c r="A57" s="31" t="s">
        <v>25</v>
      </c>
      <c r="B57" s="33">
        <v>0</v>
      </c>
      <c r="C57" s="32" t="e">
        <f t="shared" si="4"/>
        <v>#DIV/0!</v>
      </c>
      <c r="D57" s="32" t="e">
        <f>B57/B$8*B$5/B$3*1000000</f>
        <v>#DIV/0!</v>
      </c>
    </row>
    <row r="58" spans="1:5" ht="14.25">
      <c r="A58" s="31" t="s">
        <v>94</v>
      </c>
      <c r="B58" s="31">
        <v>0</v>
      </c>
      <c r="C58" s="32" t="e">
        <f t="shared" si="4"/>
        <v>#DIV/0!</v>
      </c>
      <c r="D58" s="32" t="e">
        <f t="shared" ref="D58:D72" si="5">B58/B$8*B$5/B$3*1000000</f>
        <v>#DIV/0!</v>
      </c>
    </row>
    <row r="59" spans="1:5" ht="14.25">
      <c r="A59" s="31" t="s">
        <v>234</v>
      </c>
      <c r="B59" s="31">
        <v>0</v>
      </c>
      <c r="C59" s="32" t="e">
        <f t="shared" si="4"/>
        <v>#DIV/0!</v>
      </c>
      <c r="D59" s="32" t="e">
        <f t="shared" si="5"/>
        <v>#DIV/0!</v>
      </c>
    </row>
    <row r="60" spans="1:5" ht="14.25">
      <c r="A60" s="31" t="s">
        <v>72</v>
      </c>
      <c r="B60" s="31">
        <v>5</v>
      </c>
      <c r="C60" s="32" t="e">
        <f t="shared" si="4"/>
        <v>#DIV/0!</v>
      </c>
      <c r="D60" s="32" t="e">
        <f t="shared" si="5"/>
        <v>#DIV/0!</v>
      </c>
    </row>
    <row r="61" spans="1:5" ht="14.25">
      <c r="A61" s="31" t="s">
        <v>90</v>
      </c>
      <c r="B61" s="31">
        <v>44</v>
      </c>
      <c r="C61" s="32">
        <f>B61/B$60*100</f>
        <v>880.00000000000011</v>
      </c>
      <c r="D61" s="32" t="e">
        <f t="shared" si="5"/>
        <v>#DIV/0!</v>
      </c>
      <c r="E61" s="46"/>
    </row>
    <row r="62" spans="1:5" ht="14.25">
      <c r="A62" s="31" t="s">
        <v>110</v>
      </c>
      <c r="B62" s="31">
        <v>3</v>
      </c>
      <c r="C62" s="32">
        <f t="shared" ref="C62:C80" si="6">B62/B$60*100</f>
        <v>60</v>
      </c>
      <c r="D62" s="32" t="e">
        <f t="shared" si="5"/>
        <v>#DIV/0!</v>
      </c>
      <c r="E62" s="46"/>
    </row>
    <row r="63" spans="1:5" ht="14.25">
      <c r="A63" s="31" t="s">
        <v>107</v>
      </c>
      <c r="B63" s="31">
        <v>39</v>
      </c>
      <c r="C63" s="32">
        <f t="shared" si="6"/>
        <v>780</v>
      </c>
      <c r="D63" s="32" t="e">
        <f t="shared" si="5"/>
        <v>#DIV/0!</v>
      </c>
      <c r="E63" s="46"/>
    </row>
    <row r="64" spans="1:5" ht="14.25">
      <c r="A64" t="s">
        <v>78</v>
      </c>
      <c r="B64">
        <v>1011977.7039096185</v>
      </c>
      <c r="C64" s="32">
        <f t="shared" si="6"/>
        <v>20239554.078192372</v>
      </c>
      <c r="D64" s="32" t="e">
        <f t="shared" si="5"/>
        <v>#DIV/0!</v>
      </c>
      <c r="E64" s="46" t="e">
        <f>C64+E55</f>
        <v>#DIV/0!</v>
      </c>
    </row>
    <row r="65" spans="1:5" ht="14.25">
      <c r="A65" s="31" t="s">
        <v>111</v>
      </c>
      <c r="B65" s="31">
        <v>1423</v>
      </c>
      <c r="C65" s="32">
        <f t="shared" si="6"/>
        <v>28460.000000000004</v>
      </c>
      <c r="D65" s="32" t="e">
        <f t="shared" si="5"/>
        <v>#DIV/0!</v>
      </c>
      <c r="E65" s="46" t="e">
        <f t="shared" ref="E65:E77" si="7">C65+E64</f>
        <v>#DIV/0!</v>
      </c>
    </row>
    <row r="66" spans="1:5" ht="14.25">
      <c r="A66" s="31" t="s">
        <v>109</v>
      </c>
      <c r="B66" s="31">
        <v>1179.3558652441293</v>
      </c>
      <c r="C66" s="32">
        <f t="shared" si="6"/>
        <v>23587.117304882584</v>
      </c>
      <c r="D66" s="32" t="e">
        <f t="shared" si="5"/>
        <v>#DIV/0!</v>
      </c>
      <c r="E66" s="46" t="e">
        <f t="shared" si="7"/>
        <v>#DIV/0!</v>
      </c>
    </row>
    <row r="67" spans="1:5" ht="14.25">
      <c r="A67" s="31" t="s">
        <v>42</v>
      </c>
      <c r="B67" s="31">
        <v>657</v>
      </c>
      <c r="C67" s="32">
        <f t="shared" si="6"/>
        <v>13140</v>
      </c>
      <c r="D67" s="32" t="e">
        <f t="shared" si="5"/>
        <v>#DIV/0!</v>
      </c>
      <c r="E67" s="46" t="e">
        <f t="shared" si="7"/>
        <v>#DIV/0!</v>
      </c>
    </row>
    <row r="68" spans="1:5" ht="14.25">
      <c r="A68" s="31" t="s">
        <v>49</v>
      </c>
      <c r="B68" s="31">
        <v>554</v>
      </c>
      <c r="C68" s="32">
        <f t="shared" si="6"/>
        <v>11080</v>
      </c>
      <c r="D68" s="32" t="e">
        <f t="shared" si="5"/>
        <v>#DIV/0!</v>
      </c>
      <c r="E68" s="46" t="e">
        <f t="shared" si="7"/>
        <v>#DIV/0!</v>
      </c>
    </row>
    <row r="69" spans="1:5" ht="14.25">
      <c r="A69" s="31" t="s">
        <v>26</v>
      </c>
      <c r="B69" s="31">
        <v>538.06457077345169</v>
      </c>
      <c r="C69" s="32">
        <f t="shared" si="6"/>
        <v>10761.291415469035</v>
      </c>
      <c r="D69" s="32" t="e">
        <f t="shared" si="5"/>
        <v>#DIV/0!</v>
      </c>
      <c r="E69" s="46" t="e">
        <f t="shared" si="7"/>
        <v>#DIV/0!</v>
      </c>
    </row>
    <row r="70" spans="1:5" ht="14.25">
      <c r="A70" t="s">
        <v>77</v>
      </c>
      <c r="B70">
        <v>146</v>
      </c>
      <c r="C70" s="32">
        <f t="shared" si="6"/>
        <v>2920</v>
      </c>
      <c r="D70" s="32" t="e">
        <f t="shared" si="5"/>
        <v>#DIV/0!</v>
      </c>
      <c r="E70" s="46" t="e">
        <f t="shared" si="7"/>
        <v>#DIV/0!</v>
      </c>
    </row>
    <row r="71" spans="1:5" ht="14.25">
      <c r="A71" s="31" t="s">
        <v>112</v>
      </c>
      <c r="B71" s="31">
        <v>52</v>
      </c>
      <c r="C71" s="32">
        <f t="shared" si="6"/>
        <v>1040</v>
      </c>
      <c r="D71" s="32" t="e">
        <f t="shared" si="5"/>
        <v>#DIV/0!</v>
      </c>
      <c r="E71" s="46" t="e">
        <f t="shared" si="7"/>
        <v>#DIV/0!</v>
      </c>
    </row>
    <row r="72" spans="1:5" ht="14.25">
      <c r="A72" s="31" t="s">
        <v>119</v>
      </c>
      <c r="B72" s="31">
        <v>13</v>
      </c>
      <c r="C72" s="32">
        <f t="shared" si="6"/>
        <v>260</v>
      </c>
      <c r="D72" s="32" t="e">
        <f t="shared" si="5"/>
        <v>#DIV/0!</v>
      </c>
      <c r="E72" s="46" t="e">
        <f t="shared" si="7"/>
        <v>#DIV/0!</v>
      </c>
    </row>
    <row r="73" spans="1:5" ht="14.25">
      <c r="A73" t="s">
        <v>76</v>
      </c>
      <c r="B73">
        <v>3</v>
      </c>
      <c r="C73" s="32">
        <f t="shared" si="6"/>
        <v>60</v>
      </c>
      <c r="D73" s="32" t="e">
        <f t="shared" ref="D73:D80" si="8">B73/B$8*B$5/B$3*1000000</f>
        <v>#DIV/0!</v>
      </c>
      <c r="E73" s="46" t="e">
        <f t="shared" si="7"/>
        <v>#DIV/0!</v>
      </c>
    </row>
    <row r="74" spans="1:5" ht="14.25">
      <c r="A74" t="s">
        <v>102</v>
      </c>
      <c r="B74">
        <v>2</v>
      </c>
      <c r="C74" s="32">
        <f t="shared" si="6"/>
        <v>40</v>
      </c>
      <c r="D74" s="32" t="e">
        <f t="shared" si="8"/>
        <v>#DIV/0!</v>
      </c>
      <c r="E74" s="46" t="e">
        <f t="shared" si="7"/>
        <v>#DIV/0!</v>
      </c>
    </row>
    <row r="75" spans="1:5" ht="14.25">
      <c r="A75" t="s">
        <v>214</v>
      </c>
      <c r="B75">
        <v>1</v>
      </c>
      <c r="C75" s="32">
        <f t="shared" si="6"/>
        <v>20</v>
      </c>
      <c r="D75" s="32" t="e">
        <f t="shared" si="8"/>
        <v>#DIV/0!</v>
      </c>
      <c r="E75" s="46" t="e">
        <f t="shared" si="7"/>
        <v>#DIV/0!</v>
      </c>
    </row>
    <row r="76" spans="1:5" ht="14.25">
      <c r="A76" s="31" t="s">
        <v>237</v>
      </c>
      <c r="B76" s="31">
        <v>0</v>
      </c>
      <c r="C76" s="32">
        <f t="shared" si="6"/>
        <v>0</v>
      </c>
      <c r="D76" s="32" t="e">
        <f t="shared" si="8"/>
        <v>#DIV/0!</v>
      </c>
      <c r="E76" s="46" t="e">
        <f t="shared" si="7"/>
        <v>#DIV/0!</v>
      </c>
    </row>
    <row r="77" spans="1:5" ht="14.25">
      <c r="A77" t="s">
        <v>28</v>
      </c>
      <c r="B77">
        <v>0</v>
      </c>
      <c r="C77" s="32">
        <f t="shared" si="6"/>
        <v>0</v>
      </c>
      <c r="D77" s="32" t="e">
        <f t="shared" si="8"/>
        <v>#DIV/0!</v>
      </c>
      <c r="E77" s="46" t="e">
        <f t="shared" si="7"/>
        <v>#DIV/0!</v>
      </c>
    </row>
    <row r="78" spans="1:5" ht="14.25">
      <c r="A78" t="s">
        <v>215</v>
      </c>
      <c r="B78">
        <v>0</v>
      </c>
      <c r="C78" s="32">
        <f t="shared" si="6"/>
        <v>0</v>
      </c>
      <c r="D78" s="32" t="e">
        <f t="shared" si="8"/>
        <v>#DIV/0!</v>
      </c>
      <c r="E78" s="46" t="e">
        <f>C78+E77</f>
        <v>#DIV/0!</v>
      </c>
    </row>
    <row r="79" spans="1:5" ht="14.25">
      <c r="A79" t="s">
        <v>216</v>
      </c>
      <c r="B79">
        <v>0</v>
      </c>
      <c r="C79" s="32">
        <f t="shared" si="6"/>
        <v>0</v>
      </c>
      <c r="D79" s="32" t="e">
        <f t="shared" si="8"/>
        <v>#DIV/0!</v>
      </c>
      <c r="E79" s="46" t="e">
        <f>C79+E78</f>
        <v>#DIV/0!</v>
      </c>
    </row>
    <row r="80" spans="1:5" ht="14.25">
      <c r="A80" t="s">
        <v>219</v>
      </c>
      <c r="B80" s="47">
        <v>0</v>
      </c>
      <c r="C80" s="32">
        <f t="shared" si="6"/>
        <v>0</v>
      </c>
      <c r="D80" s="32" t="e">
        <f t="shared" si="8"/>
        <v>#DIV/0!</v>
      </c>
      <c r="E80" s="46" t="e">
        <f>C80+E79</f>
        <v>#DIV/0!</v>
      </c>
    </row>
    <row r="81" spans="1:2">
      <c r="A81" t="s">
        <v>30</v>
      </c>
      <c r="B81">
        <v>0</v>
      </c>
    </row>
    <row r="82" spans="1:2">
      <c r="B82">
        <v>0</v>
      </c>
    </row>
    <row r="83" spans="1:2">
      <c r="B83">
        <v>0</v>
      </c>
    </row>
    <row r="84" spans="1:2">
      <c r="B84">
        <v>0</v>
      </c>
    </row>
    <row r="85" spans="1:2">
      <c r="B85">
        <v>0</v>
      </c>
    </row>
    <row r="86" spans="1:2">
      <c r="B86">
        <v>0</v>
      </c>
    </row>
    <row r="87" spans="1:2">
      <c r="B87">
        <v>0</v>
      </c>
    </row>
    <row r="88" spans="1:2"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1179.3558652441293</v>
      </c>
    </row>
  </sheetData>
  <sheetProtection algorithmName="SHA-512" hashValue="1A0OcEAF+M8uGU6V0luUbp7GE9R+NWbM+ExYqrYo72lqq2yvHlfJEzjvYaEJTsNx+68wqQ92AGCro5fPJRi8Sw==" saltValue="umpRn6ibbP7RypWmaqu/1w==" spinCount="100000" sheet="1" objects="1" scenarios="1" selectLockedCells="1"/>
  <sortState ref="A64:B79">
    <sortCondition descending="1" ref="B2"/>
  </sortState>
  <mergeCells count="2">
    <mergeCell ref="C1:C7"/>
    <mergeCell ref="D1:D7"/>
  </mergeCells>
  <phoneticPr fontId="0" type="noConversion"/>
  <conditionalFormatting sqref="D9:D55 D57:D80">
    <cfRule type="cellIs" dxfId="6" priority="1" stopIfTrue="1" operator="greaterThan">
      <formula>6.8</formula>
    </cfRule>
    <cfRule type="cellIs" dxfId="5" priority="2" stopIfTrue="1" operator="between">
      <formula>6.8</formula>
      <formula>1</formula>
    </cfRule>
    <cfRule type="cellIs" dxfId="4" priority="3" stopIfTrue="1" operator="lessThan">
      <formula>1</formula>
    </cfRule>
  </conditionalFormatting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</vt:i4>
      </vt:variant>
    </vt:vector>
  </HeadingPairs>
  <TitlesOfParts>
    <vt:vector size="31" baseType="lpstr">
      <vt:lpstr>Menu</vt:lpstr>
      <vt:lpstr>Tipos de Defeitos</vt:lpstr>
      <vt:lpstr>UM-4 - Dia</vt:lpstr>
      <vt:lpstr>UM-4 - 2T</vt:lpstr>
      <vt:lpstr>UM-4 - 3T</vt:lpstr>
      <vt:lpstr>Rascunho</vt:lpstr>
      <vt:lpstr>Dados do Gráfico Total</vt:lpstr>
      <vt:lpstr>Gráfico Falhas VA</vt:lpstr>
      <vt:lpstr>Falhas por Modelo</vt:lpstr>
      <vt:lpstr>Dados do Gráfico</vt:lpstr>
      <vt:lpstr>'Gráfico Falhas VA'!Area_de_impressao</vt:lpstr>
      <vt:lpstr>'UM-4 - Dia'!Area_de_impressao</vt:lpstr>
      <vt:lpstr>'Tipos de Defeitos'!PRODUTOS</vt:lpstr>
      <vt:lpstr>PRODUTOS</vt:lpstr>
      <vt:lpstr>TAXA_A_2T</vt:lpstr>
      <vt:lpstr>'UM-4 - 3T'!TAXA_A_3T</vt:lpstr>
      <vt:lpstr>TAXA_A_D</vt:lpstr>
      <vt:lpstr>TAXA_V_2T</vt:lpstr>
      <vt:lpstr>'UM-4 - 3T'!TAXA_V_3T</vt:lpstr>
      <vt:lpstr>TAXA_V_D</vt:lpstr>
      <vt:lpstr>TD_VA_2T</vt:lpstr>
      <vt:lpstr>'UM-4 - 3T'!TD_VA_3T</vt:lpstr>
      <vt:lpstr>TD_VA_D</vt:lpstr>
      <vt:lpstr>'UM-4 - 2T'!Total_Falhas_2T</vt:lpstr>
      <vt:lpstr>'UM-4 - 3T'!Total_Falhas_3T</vt:lpstr>
      <vt:lpstr>'Dados do Gráfico Total'!Total_Falhas_Dia</vt:lpstr>
      <vt:lpstr>Rascunho!Total_Falhas_Dia</vt:lpstr>
      <vt:lpstr>Total_Falhas_Dia</vt:lpstr>
      <vt:lpstr>'UM-4 - 3T'!TX_DA_TT</vt:lpstr>
      <vt:lpstr>TX_DA_TT</vt:lpstr>
      <vt:lpstr>TX_DV_TT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Jorge Sato Junior</cp:lastModifiedBy>
  <cp:lastPrinted>2021-12-08T18:45:11Z</cp:lastPrinted>
  <dcterms:created xsi:type="dcterms:W3CDTF">2003-07-23T18:28:53Z</dcterms:created>
  <dcterms:modified xsi:type="dcterms:W3CDTF">2022-02-25T19:10:53Z</dcterms:modified>
</cp:coreProperties>
</file>