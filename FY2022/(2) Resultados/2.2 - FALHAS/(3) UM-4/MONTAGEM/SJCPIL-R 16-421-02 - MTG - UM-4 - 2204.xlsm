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3) UM-4\MONTAGEM\"/>
    </mc:Choice>
  </mc:AlternateContent>
  <xr:revisionPtr revIDLastSave="0" documentId="13_ncr:1_{7495027A-C657-4A26-9BF1-2E4D7201596D}" xr6:coauthVersionLast="47" xr6:coauthVersionMax="47" xr10:uidLastSave="{00000000-0000-0000-0000-000000000000}"/>
  <workbookProtection workbookAlgorithmName="SHA-512" workbookHashValue="ngFz4/mS/ste2p8Ccy+NmAdgWKkn7d/QywZEKWPSGG9uaCXSWxEjZ39PWacZakkC4aqHM2fT05RKDyVzzQER/g==" workbookSaltValue="070MDeSLFP++Wp+gC+PjFw==" workbookSpinCount="100000" lockStructure="1"/>
  <bookViews>
    <workbookView xWindow="-120" yWindow="-120" windowWidth="29040" windowHeight="16440" tabRatio="606" activeTab="4" xr2:uid="{00000000-000D-0000-FFFF-FFFF00000000}"/>
  </bookViews>
  <sheets>
    <sheet name="Instruções de Uso" sheetId="8" r:id="rId1"/>
    <sheet name="Linha UM-4 - Dia" sheetId="1" r:id="rId2"/>
    <sheet name="Linha UM-4 - 2T" sheetId="12" r:id="rId3"/>
    <sheet name="Linha UM-4 - 3T" sheetId="14" r:id="rId4"/>
    <sheet name="Dados para grafico" sheetId="10" r:id="rId5"/>
    <sheet name="Gráf1" sheetId="11" r:id="rId6"/>
    <sheet name="Gráf2" sheetId="13" r:id="rId7"/>
    <sheet name="Gráf3" sheetId="15" r:id="rId8"/>
  </sheets>
  <externalReferences>
    <externalReference r:id="rId9"/>
    <externalReference r:id="rId10"/>
    <externalReference r:id="rId11"/>
  </externalReferences>
  <definedNames>
    <definedName name="_xlnm.Print_Area" localSheetId="2">'Linha UM-4 - 2T'!$A$1:$AD$32</definedName>
    <definedName name="_xlnm.Print_Area" localSheetId="3">'Linha UM-4 - 3T'!$A$1:$AD$32</definedName>
    <definedName name="_xlnm.Print_Area" localSheetId="1">'Linha UM-4 - Dia'!$A$1:$AD$32</definedName>
    <definedName name="FALHAS_L1D" localSheetId="2">'Linha UM-4 - 2T'!$AD$27</definedName>
    <definedName name="FALHAS_L1D" localSheetId="3">'Linha UM-4 - 3T'!$AD$27</definedName>
    <definedName name="FALHAS_L1D">'Linha UM-4 - Dia'!$AD$27</definedName>
    <definedName name="LinAC">OFFSET('Dados para grafico'!$N$4,0,0,COUNTIF('Dados para grafico'!$N$4:$N$12,"&lt;100")+1,1)</definedName>
    <definedName name="LinAC_2T">OFFSET('Dados para grafico'!$N$18,0,0,COUNTIF('Dados para grafico'!$N$18:$N$26,"&lt;100")+1,1)</definedName>
    <definedName name="LinAC_3T">OFFSET('Dados para grafico'!$N$32,0,0,COUNTIF('Dados para grafico'!$N$32:$N$40,"&lt;100")+1,1)</definedName>
    <definedName name="LinFalhas_X">OFFSET('Dados para grafico'!$J$4,0,0,COUNTIF('Dados para grafico'!$N$4:$N$12,"&lt;100")+1,1)</definedName>
    <definedName name="LinFalhas_Y">OFFSET('Dados para grafico'!$K$4,0,0,COUNTIF('Dados para grafico'!$N$4:$N$12,"&lt;100")+1,1)</definedName>
    <definedName name="LinFalhas2T_X">OFFSET('Dados para grafico'!$J$18,0,0,COUNTIF('Dados para grafico'!$N$18:$N$26,"&lt;100")+1,1)</definedName>
    <definedName name="LinFalhas2T_Y">OFFSET('Dados para grafico'!$K$18,0,0,COUNTIF('Dados para grafico'!$N$18:$N$26,"&lt;100")+1,1)</definedName>
    <definedName name="LinFalhas3T_X">OFFSET('Dados para grafico'!$J$32,0,0,COUNTIF('Dados para grafico'!$N$32:$N$40,"&lt;100")+1,1)</definedName>
    <definedName name="LinFalhas3T_Y">OFFSET('Dados para grafico'!$K$32,0,0,COUNTIF('Dados para grafico'!$N$32:$N$40,"&lt;100")+1,1)</definedName>
    <definedName name="LinPROB">OFFSET('Dados para grafico'!$O$4,0,0,COUNTIF('Dados para grafico'!$N$4:$N$12,"&lt;100")+1,1)</definedName>
    <definedName name="LinPROB_2T">OFFSET('Dados para grafico'!$O$18,0,0,COUNTIF('Dados para grafico'!$N$18:$N$26,"&lt;100")+1,1)</definedName>
    <definedName name="LinPROB_3T">OFFSET('Dados para grafico'!$O$32,0,0,COUNTIF('Dados para grafico'!$N$32:$N$40,"&lt;100")+1,1)</definedName>
    <definedName name="PERIODO">'Linha UM-4 - Dia'!$AB$1</definedName>
    <definedName name="PROD_2T" localSheetId="2">'Linha UM-4 - 2T'!$AD$6</definedName>
    <definedName name="PROD_3T" localSheetId="3">'Linha UM-4 - 3T'!$AD$6</definedName>
    <definedName name="PROD_D">'Linha UM-4 - Dia'!$AD$6</definedName>
    <definedName name="PROD_L1D" localSheetId="4">'Linha UM-4 - Dia'!$AD$6</definedName>
    <definedName name="TARGET_2T">'Linha UM-4 - 2T'!$B$33</definedName>
    <definedName name="TARGET_3T" localSheetId="3">'Linha UM-4 - 3T'!$B$33</definedName>
    <definedName name="TARGET_D">'Linha UM-4 - Dia'!$B$33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2" l="1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B39" i="12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B39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B40" i="14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B40" i="12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B40" i="1"/>
  <c r="B33" i="10" l="1"/>
  <c r="B34" i="10"/>
  <c r="B35" i="10"/>
  <c r="B36" i="10"/>
  <c r="B37" i="10"/>
  <c r="B38" i="10"/>
  <c r="B39" i="10"/>
  <c r="B40" i="10"/>
  <c r="B32" i="10"/>
  <c r="B33" i="1"/>
  <c r="AD1" i="1"/>
  <c r="C26" i="12"/>
  <c r="D26" i="12"/>
  <c r="D27" i="12" s="1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C21" i="12"/>
  <c r="E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B26" i="12"/>
  <c r="B26" i="14"/>
  <c r="B26" i="1"/>
  <c r="B21" i="12"/>
  <c r="B21" i="14"/>
  <c r="B21" i="1"/>
  <c r="C27" i="12" l="1"/>
  <c r="AB27" i="14"/>
  <c r="AC27" i="14"/>
  <c r="AB27" i="12"/>
  <c r="X27" i="12"/>
  <c r="W27" i="12"/>
  <c r="Y27" i="1"/>
  <c r="W27" i="1"/>
  <c r="Z27" i="14"/>
  <c r="AC27" i="12"/>
  <c r="U27" i="12"/>
  <c r="O27" i="12"/>
  <c r="U27" i="14"/>
  <c r="X27" i="1"/>
  <c r="T27" i="1"/>
  <c r="AA27" i="14"/>
  <c r="W27" i="14"/>
  <c r="S27" i="14"/>
  <c r="Z27" i="12"/>
  <c r="R27" i="12"/>
  <c r="Q27" i="1"/>
  <c r="P27" i="1"/>
  <c r="O27" i="14"/>
  <c r="M27" i="14"/>
  <c r="M27" i="12"/>
  <c r="L27" i="1"/>
  <c r="H27" i="1"/>
  <c r="G27" i="14"/>
  <c r="G28" i="14" s="1"/>
  <c r="G27" i="1"/>
  <c r="N27" i="14"/>
  <c r="T27" i="14"/>
  <c r="L27" i="14"/>
  <c r="D27" i="14"/>
  <c r="V27" i="12"/>
  <c r="N27" i="12"/>
  <c r="V27" i="1"/>
  <c r="Y27" i="12"/>
  <c r="Q27" i="12"/>
  <c r="H27" i="12"/>
  <c r="G27" i="12"/>
  <c r="T27" i="12"/>
  <c r="AC27" i="1"/>
  <c r="U27" i="1"/>
  <c r="M27" i="1"/>
  <c r="AA27" i="12"/>
  <c r="S27" i="12"/>
  <c r="P27" i="12"/>
  <c r="O27" i="1"/>
  <c r="N27" i="1"/>
  <c r="K27" i="14"/>
  <c r="J27" i="14"/>
  <c r="L27" i="12"/>
  <c r="K27" i="12"/>
  <c r="J27" i="12"/>
  <c r="I27" i="1"/>
  <c r="AB27" i="1"/>
  <c r="V27" i="14"/>
  <c r="R27" i="14"/>
  <c r="AA27" i="1"/>
  <c r="S27" i="1"/>
  <c r="K27" i="1"/>
  <c r="Y27" i="14"/>
  <c r="Q27" i="14"/>
  <c r="I27" i="14"/>
  <c r="Z27" i="1"/>
  <c r="R27" i="1"/>
  <c r="J27" i="1"/>
  <c r="I27" i="12"/>
  <c r="F27" i="14"/>
  <c r="F28" i="14" s="1"/>
  <c r="E27" i="14"/>
  <c r="E28" i="14" s="1"/>
  <c r="C27" i="14"/>
  <c r="B27" i="14"/>
  <c r="F27" i="12"/>
  <c r="E27" i="12"/>
  <c r="B27" i="12"/>
  <c r="F27" i="1"/>
  <c r="E27" i="1"/>
  <c r="D27" i="1"/>
  <c r="C27" i="1"/>
  <c r="B27" i="1"/>
  <c r="X27" i="14"/>
  <c r="P27" i="14"/>
  <c r="H27" i="14"/>
  <c r="H28" i="14" s="1"/>
  <c r="AD1" i="14"/>
  <c r="AD1" i="12" l="1"/>
  <c r="L28" i="12" l="1"/>
  <c r="J28" i="14"/>
  <c r="K28" i="12" l="1"/>
  <c r="L28" i="1" l="1"/>
  <c r="K28" i="1"/>
  <c r="E28" i="1" l="1"/>
  <c r="F28" i="1"/>
  <c r="AC38" i="14" l="1"/>
  <c r="AB38" i="14"/>
  <c r="AC35" i="14"/>
  <c r="AB35" i="14"/>
  <c r="AA35" i="14"/>
  <c r="Z35" i="14"/>
  <c r="Y35" i="14"/>
  <c r="X35" i="14"/>
  <c r="W35" i="14"/>
  <c r="V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B35" i="14"/>
  <c r="M28" i="14"/>
  <c r="D28" i="14"/>
  <c r="AD25" i="14"/>
  <c r="AD24" i="14"/>
  <c r="C40" i="10" s="1"/>
  <c r="F40" i="10" s="1"/>
  <c r="AD23" i="14"/>
  <c r="C39" i="10" s="1"/>
  <c r="AD22" i="14"/>
  <c r="C38" i="10" s="1"/>
  <c r="F38" i="10" s="1"/>
  <c r="AC28" i="14"/>
  <c r="Y28" i="14"/>
  <c r="U28" i="14"/>
  <c r="AD20" i="14"/>
  <c r="C36" i="10" s="1"/>
  <c r="F36" i="10" s="1"/>
  <c r="AD19" i="14"/>
  <c r="C35" i="10" s="1"/>
  <c r="AD18" i="14"/>
  <c r="C34" i="10" s="1"/>
  <c r="AD17" i="14"/>
  <c r="C33" i="10" s="1"/>
  <c r="AD16" i="14"/>
  <c r="C32" i="10" s="1"/>
  <c r="AC7" i="14"/>
  <c r="AB7" i="14"/>
  <c r="AA7" i="14"/>
  <c r="Z7" i="14"/>
  <c r="Y7" i="14"/>
  <c r="X7" i="14"/>
  <c r="W7" i="14"/>
  <c r="V7" i="14"/>
  <c r="Q7" i="14"/>
  <c r="O7" i="14"/>
  <c r="N7" i="14"/>
  <c r="M7" i="14"/>
  <c r="L7" i="14"/>
  <c r="K7" i="14"/>
  <c r="J7" i="14"/>
  <c r="I7" i="14"/>
  <c r="H7" i="14"/>
  <c r="G7" i="14"/>
  <c r="F7" i="14"/>
  <c r="E7" i="14"/>
  <c r="D7" i="14"/>
  <c r="C7" i="14"/>
  <c r="B7" i="14"/>
  <c r="AD6" i="14"/>
  <c r="C31" i="10" s="1"/>
  <c r="AD5" i="14"/>
  <c r="AD4" i="14"/>
  <c r="D33" i="10" l="1"/>
  <c r="D39" i="10"/>
  <c r="D34" i="10"/>
  <c r="D40" i="10"/>
  <c r="D38" i="10"/>
  <c r="D36" i="10"/>
  <c r="D32" i="10"/>
  <c r="D35" i="10"/>
  <c r="F35" i="10"/>
  <c r="F39" i="10"/>
  <c r="F34" i="10"/>
  <c r="F33" i="10"/>
  <c r="F32" i="10"/>
  <c r="AD21" i="14"/>
  <c r="C37" i="10" s="1"/>
  <c r="D37" i="10" s="1"/>
  <c r="AD26" i="14"/>
  <c r="C41" i="10" s="1"/>
  <c r="D41" i="10" s="1"/>
  <c r="I28" i="14"/>
  <c r="P28" i="14"/>
  <c r="X28" i="14"/>
  <c r="L28" i="14"/>
  <c r="T28" i="14"/>
  <c r="AB28" i="14"/>
  <c r="N28" i="14"/>
  <c r="R28" i="14"/>
  <c r="V28" i="14"/>
  <c r="Z28" i="14"/>
  <c r="O28" i="14"/>
  <c r="S28" i="14"/>
  <c r="W28" i="14"/>
  <c r="AA28" i="14"/>
  <c r="B28" i="14"/>
  <c r="C28" i="14"/>
  <c r="Q28" i="14"/>
  <c r="K28" i="14"/>
  <c r="AD39" i="14"/>
  <c r="AD38" i="14"/>
  <c r="B33" i="14"/>
  <c r="F37" i="10" l="1"/>
  <c r="G34" i="10" s="1"/>
  <c r="H34" i="10" s="1"/>
  <c r="AD27" i="14"/>
  <c r="AD28" i="14" s="1"/>
  <c r="AD6" i="12"/>
  <c r="AD5" i="12"/>
  <c r="AD4" i="12"/>
  <c r="G40" i="10" l="1"/>
  <c r="H40" i="10" s="1"/>
  <c r="K40" i="10" s="1"/>
  <c r="L34" i="10"/>
  <c r="K34" i="10"/>
  <c r="G38" i="10"/>
  <c r="H38" i="10" s="1"/>
  <c r="G35" i="10"/>
  <c r="H35" i="10" s="1"/>
  <c r="G33" i="10"/>
  <c r="H33" i="10" s="1"/>
  <c r="G39" i="10"/>
  <c r="H39" i="10" s="1"/>
  <c r="G37" i="10"/>
  <c r="H37" i="10" s="1"/>
  <c r="G36" i="10"/>
  <c r="H36" i="10" s="1"/>
  <c r="G32" i="10"/>
  <c r="H32" i="10" s="1"/>
  <c r="M28" i="12"/>
  <c r="M7" i="1"/>
  <c r="N7" i="1"/>
  <c r="L40" i="10" l="1"/>
  <c r="L35" i="10"/>
  <c r="K35" i="10"/>
  <c r="L37" i="10"/>
  <c r="K37" i="10"/>
  <c r="L38" i="10"/>
  <c r="K38" i="10"/>
  <c r="K32" i="10"/>
  <c r="L32" i="10"/>
  <c r="M32" i="10" s="1"/>
  <c r="L36" i="10"/>
  <c r="K36" i="10"/>
  <c r="L39" i="10"/>
  <c r="K39" i="10"/>
  <c r="L33" i="10"/>
  <c r="K33" i="10"/>
  <c r="L7" i="1"/>
  <c r="M33" i="10" l="1"/>
  <c r="M34" i="10" s="1"/>
  <c r="M35" i="10" s="1"/>
  <c r="H28" i="1"/>
  <c r="D35" i="12"/>
  <c r="M36" i="10" l="1"/>
  <c r="C28" i="12"/>
  <c r="M37" i="10" l="1"/>
  <c r="B28" i="12"/>
  <c r="L7" i="12"/>
  <c r="M38" i="10" l="1"/>
  <c r="R35" i="1"/>
  <c r="S35" i="1"/>
  <c r="T35" i="1"/>
  <c r="M39" i="10" l="1"/>
  <c r="B24" i="10"/>
  <c r="B25" i="10"/>
  <c r="B26" i="10"/>
  <c r="B23" i="10"/>
  <c r="B18" i="10"/>
  <c r="B19" i="10"/>
  <c r="B20" i="10"/>
  <c r="B21" i="10"/>
  <c r="B4" i="10"/>
  <c r="B5" i="10"/>
  <c r="B6" i="10"/>
  <c r="J38" i="10" s="1"/>
  <c r="B9" i="10"/>
  <c r="J33" i="10" s="1"/>
  <c r="B10" i="10"/>
  <c r="B11" i="10"/>
  <c r="B12" i="10"/>
  <c r="J32" i="10" s="1"/>
  <c r="B7" i="10"/>
  <c r="B8" i="10"/>
  <c r="J36" i="10" l="1"/>
  <c r="J39" i="10"/>
  <c r="J34" i="10"/>
  <c r="J35" i="10"/>
  <c r="J40" i="10"/>
  <c r="J37" i="10"/>
  <c r="M40" i="10"/>
  <c r="C28" i="1"/>
  <c r="N40" i="10" l="1"/>
  <c r="O40" i="10" s="1"/>
  <c r="N32" i="10"/>
  <c r="O32" i="10" s="1"/>
  <c r="N33" i="10"/>
  <c r="O33" i="10" s="1"/>
  <c r="N34" i="10"/>
  <c r="O34" i="10" s="1"/>
  <c r="N35" i="10"/>
  <c r="O35" i="10" s="1"/>
  <c r="N36" i="10"/>
  <c r="O36" i="10" s="1"/>
  <c r="N37" i="10"/>
  <c r="O37" i="10" s="1"/>
  <c r="N38" i="10"/>
  <c r="O38" i="10" s="1"/>
  <c r="N39" i="10"/>
  <c r="O39" i="10" s="1"/>
  <c r="E28" i="12"/>
  <c r="F7" i="12" l="1"/>
  <c r="W28" i="1" l="1"/>
  <c r="D28" i="1"/>
  <c r="G28" i="1"/>
  <c r="V28" i="1" l="1"/>
  <c r="U28" i="1"/>
  <c r="T28" i="1"/>
  <c r="S28" i="1"/>
  <c r="R28" i="1"/>
  <c r="P28" i="1"/>
  <c r="Q28" i="1"/>
  <c r="O28" i="1"/>
  <c r="N28" i="1"/>
  <c r="M28" i="1"/>
  <c r="J28" i="1"/>
  <c r="I28" i="1"/>
  <c r="B33" i="12"/>
  <c r="B22" i="10" l="1"/>
  <c r="AC38" i="12"/>
  <c r="AB38" i="12"/>
  <c r="AC35" i="12"/>
  <c r="AB35" i="12"/>
  <c r="AA35" i="12"/>
  <c r="Z35" i="12"/>
  <c r="Y35" i="12"/>
  <c r="X35" i="12"/>
  <c r="W35" i="12"/>
  <c r="V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C35" i="12"/>
  <c r="B35" i="12"/>
  <c r="V28" i="12"/>
  <c r="R28" i="12"/>
  <c r="N28" i="12"/>
  <c r="W28" i="12"/>
  <c r="S28" i="12"/>
  <c r="O28" i="12"/>
  <c r="G28" i="12"/>
  <c r="AD25" i="12"/>
  <c r="C26" i="10" s="1"/>
  <c r="AD24" i="12"/>
  <c r="C25" i="10" s="1"/>
  <c r="AD23" i="12"/>
  <c r="C24" i="10" s="1"/>
  <c r="AD22" i="12"/>
  <c r="AC28" i="12"/>
  <c r="AB28" i="12"/>
  <c r="AA28" i="12"/>
  <c r="Z28" i="12"/>
  <c r="Y28" i="12"/>
  <c r="X28" i="12"/>
  <c r="U28" i="12"/>
  <c r="T28" i="12"/>
  <c r="Q28" i="12"/>
  <c r="P28" i="12"/>
  <c r="J28" i="12"/>
  <c r="I28" i="12"/>
  <c r="H28" i="12"/>
  <c r="D28" i="12"/>
  <c r="AD20" i="12"/>
  <c r="C22" i="10" s="1"/>
  <c r="AD19" i="12"/>
  <c r="C21" i="10" s="1"/>
  <c r="AD18" i="12"/>
  <c r="C20" i="10" s="1"/>
  <c r="AD17" i="12"/>
  <c r="C19" i="10" s="1"/>
  <c r="AD16" i="12"/>
  <c r="AC7" i="12"/>
  <c r="AB7" i="12"/>
  <c r="AA7" i="12"/>
  <c r="Z7" i="12"/>
  <c r="Y7" i="12"/>
  <c r="X7" i="12"/>
  <c r="W7" i="12"/>
  <c r="V7" i="12"/>
  <c r="Q7" i="12"/>
  <c r="O7" i="12"/>
  <c r="M7" i="12"/>
  <c r="K7" i="12"/>
  <c r="J7" i="12"/>
  <c r="I7" i="12"/>
  <c r="H7" i="12"/>
  <c r="G7" i="12"/>
  <c r="E7" i="12"/>
  <c r="D7" i="12"/>
  <c r="C7" i="12"/>
  <c r="B7" i="12"/>
  <c r="C17" i="10"/>
  <c r="X28" i="1"/>
  <c r="B7" i="1"/>
  <c r="AD6" i="1"/>
  <c r="C3" i="10" s="1"/>
  <c r="Z28" i="1"/>
  <c r="AC28" i="1"/>
  <c r="AD5" i="1"/>
  <c r="AD16" i="1"/>
  <c r="AD17" i="1"/>
  <c r="C5" i="10" s="1"/>
  <c r="AD18" i="1"/>
  <c r="C6" i="10" s="1"/>
  <c r="AD19" i="1"/>
  <c r="C7" i="10" s="1"/>
  <c r="AD20" i="1"/>
  <c r="AD4" i="1"/>
  <c r="AD25" i="1"/>
  <c r="AB38" i="1"/>
  <c r="AC38" i="1"/>
  <c r="AD22" i="1"/>
  <c r="AD24" i="1"/>
  <c r="C11" i="10" s="1"/>
  <c r="AD23" i="1"/>
  <c r="C10" i="10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V35" i="1"/>
  <c r="W35" i="1"/>
  <c r="X35" i="1"/>
  <c r="Y35" i="1"/>
  <c r="Z35" i="1"/>
  <c r="AA35" i="1"/>
  <c r="AB35" i="1"/>
  <c r="AC35" i="1"/>
  <c r="B35" i="1"/>
  <c r="D7" i="1"/>
  <c r="E7" i="1"/>
  <c r="F7" i="1"/>
  <c r="G7" i="1"/>
  <c r="H7" i="1"/>
  <c r="I7" i="1"/>
  <c r="J7" i="1"/>
  <c r="K7" i="1"/>
  <c r="O7" i="1"/>
  <c r="Q7" i="1"/>
  <c r="V7" i="1"/>
  <c r="W7" i="1"/>
  <c r="X7" i="1"/>
  <c r="Y7" i="1"/>
  <c r="Z7" i="1"/>
  <c r="AA7" i="1"/>
  <c r="AB7" i="1"/>
  <c r="AC7" i="1"/>
  <c r="AB28" i="1"/>
  <c r="AA28" i="1"/>
  <c r="Y28" i="1"/>
  <c r="C23" i="10" l="1"/>
  <c r="F23" i="10" s="1"/>
  <c r="AD26" i="12"/>
  <c r="C27" i="10" s="1"/>
  <c r="D27" i="10" s="1"/>
  <c r="C18" i="10"/>
  <c r="D18" i="10" s="1"/>
  <c r="AD21" i="12"/>
  <c r="C4" i="10"/>
  <c r="F4" i="10" s="1"/>
  <c r="AD21" i="1"/>
  <c r="AD26" i="1"/>
  <c r="F19" i="10"/>
  <c r="D19" i="10"/>
  <c r="D24" i="10"/>
  <c r="F24" i="10"/>
  <c r="D20" i="10"/>
  <c r="F20" i="10"/>
  <c r="F25" i="10"/>
  <c r="D25" i="10"/>
  <c r="F21" i="10"/>
  <c r="D21" i="10"/>
  <c r="F26" i="10"/>
  <c r="D26" i="10"/>
  <c r="C12" i="10"/>
  <c r="D12" i="10" s="1"/>
  <c r="C9" i="10"/>
  <c r="D9" i="10" s="1"/>
  <c r="C8" i="10"/>
  <c r="F8" i="10" s="1"/>
  <c r="F6" i="10"/>
  <c r="F5" i="10"/>
  <c r="D6" i="10"/>
  <c r="D5" i="10"/>
  <c r="D7" i="10"/>
  <c r="AD39" i="1"/>
  <c r="D22" i="10"/>
  <c r="AD39" i="12"/>
  <c r="AD38" i="12"/>
  <c r="F10" i="10"/>
  <c r="F22" i="10"/>
  <c r="AD38" i="1"/>
  <c r="F11" i="10"/>
  <c r="D11" i="10"/>
  <c r="D23" i="10" l="1"/>
  <c r="AD27" i="12"/>
  <c r="AD28" i="12" s="1"/>
  <c r="F18" i="10"/>
  <c r="G23" i="10" s="1"/>
  <c r="H23" i="10" s="1"/>
  <c r="AD27" i="1"/>
  <c r="C13" i="10" s="1"/>
  <c r="D13" i="10" s="1"/>
  <c r="D4" i="10"/>
  <c r="D8" i="10"/>
  <c r="F12" i="10"/>
  <c r="F9" i="10"/>
  <c r="F7" i="10"/>
  <c r="D10" i="10"/>
  <c r="G20" i="10" l="1"/>
  <c r="H20" i="10" s="1"/>
  <c r="J20" i="10" s="1"/>
  <c r="G26" i="10"/>
  <c r="H26" i="10" s="1"/>
  <c r="J26" i="10" s="1"/>
  <c r="G25" i="10"/>
  <c r="H25" i="10" s="1"/>
  <c r="L25" i="10" s="1"/>
  <c r="G19" i="10"/>
  <c r="H19" i="10" s="1"/>
  <c r="L19" i="10" s="1"/>
  <c r="G21" i="10"/>
  <c r="H21" i="10" s="1"/>
  <c r="L21" i="10" s="1"/>
  <c r="G22" i="10"/>
  <c r="H22" i="10" s="1"/>
  <c r="L22" i="10" s="1"/>
  <c r="G24" i="10"/>
  <c r="H24" i="10" s="1"/>
  <c r="K24" i="10" s="1"/>
  <c r="G18" i="10"/>
  <c r="H18" i="10" s="1"/>
  <c r="K18" i="10" s="1"/>
  <c r="G9" i="10"/>
  <c r="H9" i="10" s="1"/>
  <c r="K9" i="10" s="1"/>
  <c r="J23" i="10"/>
  <c r="L23" i="10"/>
  <c r="K23" i="10"/>
  <c r="G4" i="10"/>
  <c r="H4" i="10" s="1"/>
  <c r="J4" i="10" s="1"/>
  <c r="G5" i="10"/>
  <c r="H5" i="10" s="1"/>
  <c r="K5" i="10" s="1"/>
  <c r="G6" i="10"/>
  <c r="H6" i="10" s="1"/>
  <c r="L6" i="10" s="1"/>
  <c r="AD28" i="1"/>
  <c r="G7" i="10"/>
  <c r="H7" i="10" s="1"/>
  <c r="K7" i="10" s="1"/>
  <c r="G10" i="10"/>
  <c r="H10" i="10" s="1"/>
  <c r="K10" i="10" s="1"/>
  <c r="G8" i="10"/>
  <c r="H8" i="10" s="1"/>
  <c r="K8" i="10" s="1"/>
  <c r="G12" i="10"/>
  <c r="H12" i="10" s="1"/>
  <c r="L12" i="10" s="1"/>
  <c r="G11" i="10"/>
  <c r="H11" i="10" s="1"/>
  <c r="K11" i="10" s="1"/>
  <c r="K20" i="10" l="1"/>
  <c r="L20" i="10"/>
  <c r="K26" i="10"/>
  <c r="J19" i="10"/>
  <c r="L26" i="10"/>
  <c r="K19" i="10"/>
  <c r="J25" i="10"/>
  <c r="K25" i="10"/>
  <c r="J24" i="10"/>
  <c r="L24" i="10"/>
  <c r="J21" i="10"/>
  <c r="J18" i="10"/>
  <c r="J22" i="10"/>
  <c r="K22" i="10"/>
  <c r="L18" i="10"/>
  <c r="M18" i="10" s="1"/>
  <c r="M19" i="10" s="1"/>
  <c r="K21" i="10"/>
  <c r="L9" i="10"/>
  <c r="J9" i="10"/>
  <c r="K6" i="10"/>
  <c r="L4" i="10"/>
  <c r="M4" i="10" s="1"/>
  <c r="J6" i="10"/>
  <c r="L5" i="10"/>
  <c r="K4" i="10"/>
  <c r="J5" i="10"/>
  <c r="L10" i="10"/>
  <c r="J7" i="10"/>
  <c r="J10" i="10"/>
  <c r="L7" i="10"/>
  <c r="L11" i="10"/>
  <c r="K12" i="10"/>
  <c r="J8" i="10"/>
  <c r="J12" i="10"/>
  <c r="J11" i="10"/>
  <c r="L8" i="10"/>
  <c r="M20" i="10" l="1"/>
  <c r="M5" i="10"/>
  <c r="M6" i="10" s="1"/>
  <c r="M7" i="10" s="1"/>
  <c r="M21" i="10" l="1"/>
  <c r="M8" i="10"/>
  <c r="M22" i="10" l="1"/>
  <c r="M9" i="10"/>
  <c r="M23" i="10" l="1"/>
  <c r="M10" i="10"/>
  <c r="M24" i="10" l="1"/>
  <c r="M11" i="10"/>
  <c r="M25" i="10" l="1"/>
  <c r="M12" i="10"/>
  <c r="M26" i="10" l="1"/>
  <c r="N25" i="10" s="1"/>
  <c r="O25" i="10" s="1"/>
  <c r="N6" i="10"/>
  <c r="O6" i="10" s="1"/>
  <c r="N5" i="10"/>
  <c r="O5" i="10" s="1"/>
  <c r="N4" i="10"/>
  <c r="O4" i="10" s="1"/>
  <c r="N12" i="10"/>
  <c r="O12" i="10" s="1"/>
  <c r="N7" i="10"/>
  <c r="O7" i="10" s="1"/>
  <c r="N8" i="10"/>
  <c r="O8" i="10" s="1"/>
  <c r="N9" i="10"/>
  <c r="O9" i="10" s="1"/>
  <c r="N10" i="10"/>
  <c r="O10" i="10" s="1"/>
  <c r="N11" i="10"/>
  <c r="O11" i="10" s="1"/>
  <c r="N26" i="10" l="1"/>
  <c r="O26" i="10" s="1"/>
  <c r="N18" i="10"/>
  <c r="O18" i="10" s="1"/>
  <c r="N19" i="10"/>
  <c r="O19" i="10" s="1"/>
  <c r="N20" i="10"/>
  <c r="O20" i="10" s="1"/>
  <c r="N21" i="10"/>
  <c r="O21" i="10" s="1"/>
  <c r="N22" i="10"/>
  <c r="O22" i="10" s="1"/>
  <c r="N23" i="10"/>
  <c r="O23" i="10" s="1"/>
  <c r="N24" i="10"/>
  <c r="O24" i="10" s="1"/>
  <c r="B28" i="1" l="1"/>
</calcChain>
</file>

<file path=xl/sharedStrings.xml><?xml version="1.0" encoding="utf-8"?>
<sst xmlns="http://schemas.openxmlformats.org/spreadsheetml/2006/main" count="127" uniqueCount="49">
  <si>
    <t>DIA</t>
  </si>
  <si>
    <t>OBS.</t>
  </si>
  <si>
    <t>T O T A L</t>
  </si>
  <si>
    <t>DIURNO</t>
  </si>
  <si>
    <t xml:space="preserve">Objetivo </t>
  </si>
  <si>
    <t>Ocorrências</t>
  </si>
  <si>
    <t>Diurno</t>
  </si>
  <si>
    <t>Inspetor:</t>
  </si>
  <si>
    <t>Data:</t>
  </si>
  <si>
    <t>Produção</t>
  </si>
  <si>
    <t>Controle da Qualidade:</t>
  </si>
  <si>
    <t>TOTAL</t>
  </si>
  <si>
    <t>ppm</t>
  </si>
  <si>
    <t>TAMPÃO</t>
  </si>
  <si>
    <t>ISOL. SUPERIOR</t>
  </si>
  <si>
    <t>CARVÃO</t>
  </si>
  <si>
    <t>EVERTACK</t>
  </si>
  <si>
    <t>PRODUÇÃO TAMPÃO</t>
  </si>
  <si>
    <t>PRODUÇÃO PY</t>
  </si>
  <si>
    <t>SUB-TOTAL ATÉ PY</t>
  </si>
  <si>
    <t>PRODUÇÃO FINAL</t>
  </si>
  <si>
    <t>Senhas: PANA.AAMM.CQ</t>
  </si>
  <si>
    <t>AA - Ano com 2 digitos</t>
  </si>
  <si>
    <t>MM - Mês com 2 dígitos</t>
  </si>
  <si>
    <t xml:space="preserve"> </t>
  </si>
  <si>
    <t>L1D</t>
  </si>
  <si>
    <t>CAP/PY</t>
  </si>
  <si>
    <t>FECHAMENTO</t>
  </si>
  <si>
    <t>BOTTOM PLATE</t>
  </si>
  <si>
    <t>ENCAXOTADEIRA</t>
  </si>
  <si>
    <t>TESTADOR VA</t>
  </si>
  <si>
    <t>SUB-TOTAL ATÉ ENCAIXOTADEIRA</t>
  </si>
  <si>
    <t xml:space="preserve">FALHAS NÃO RECUPERÁVEIS DA MONTAGEM UM-4 </t>
  </si>
  <si>
    <t>Visto Supervisor</t>
  </si>
  <si>
    <t>Visto CQ</t>
  </si>
  <si>
    <t>Qty</t>
  </si>
  <si>
    <t>Taxa</t>
  </si>
  <si>
    <t>Ac</t>
  </si>
  <si>
    <t>Ac%</t>
  </si>
  <si>
    <t>Problemas</t>
  </si>
  <si>
    <t>Falhas (ppm)</t>
  </si>
  <si>
    <t>Mês/Ano</t>
  </si>
  <si>
    <t>2º TURNO</t>
  </si>
  <si>
    <t>3º TURNO</t>
  </si>
  <si>
    <t xml:space="preserve">TURNO: </t>
  </si>
  <si>
    <t>2T</t>
  </si>
  <si>
    <t>3T</t>
  </si>
  <si>
    <t>Conferência Produção</t>
  </si>
  <si>
    <t>Conferência 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</si>
</sst>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_)"/>
    <numFmt numFmtId="166" formatCode="d/m;@"/>
  </numFmts>
  <fonts count="22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2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color indexed="8"/>
      <name val="Calibri"/>
      <family val="2"/>
    </font>
    <font>
      <sz val="10"/>
      <color theme="3" tint="0.39997558519241921"/>
      <name val="Arial"/>
      <family val="2"/>
    </font>
    <font>
      <sz val="10"/>
      <color theme="2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5" fontId="3" fillId="0" borderId="0"/>
    <xf numFmtId="0" fontId="2" fillId="0" borderId="0"/>
    <xf numFmtId="10" fontId="4" fillId="0" borderId="0" applyFont="0" applyFill="0" applyBorder="0" applyAlignment="0" applyProtection="0"/>
    <xf numFmtId="0" fontId="5" fillId="0" borderId="0"/>
  </cellStyleXfs>
  <cellXfs count="96">
    <xf numFmtId="0" fontId="0" fillId="0" borderId="0" xfId="0"/>
    <xf numFmtId="0" fontId="0" fillId="0" borderId="1" xfId="0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0" fillId="0" borderId="2" xfId="0" applyBorder="1"/>
    <xf numFmtId="0" fontId="0" fillId="0" borderId="3" xfId="0" applyBorder="1"/>
    <xf numFmtId="0" fontId="6" fillId="0" borderId="4" xfId="0" applyFont="1" applyBorder="1" applyAlignment="1">
      <alignment vertical="center"/>
    </xf>
    <xf numFmtId="0" fontId="1" fillId="0" borderId="1" xfId="0" applyFont="1" applyBorder="1" applyAlignment="1" applyProtection="1">
      <alignment horizontal="center" vertical="center" textRotation="90"/>
      <protection locked="0"/>
    </xf>
    <xf numFmtId="0" fontId="1" fillId="0" borderId="1" xfId="0" applyFont="1" applyBorder="1" applyAlignment="1" applyProtection="1">
      <alignment horizontal="center" vertical="center" textRotation="90" wrapText="1"/>
      <protection locked="0"/>
    </xf>
    <xf numFmtId="0" fontId="0" fillId="0" borderId="1" xfId="0" applyBorder="1" applyAlignment="1" applyProtection="1">
      <alignment horizontal="center" vertical="center" textRotation="90" wrapText="1"/>
      <protection locked="0"/>
    </xf>
    <xf numFmtId="164" fontId="12" fillId="0" borderId="3" xfId="0" applyNumberFormat="1" applyFont="1" applyBorder="1" applyAlignment="1">
      <alignment horizontal="left"/>
    </xf>
    <xf numFmtId="0" fontId="0" fillId="0" borderId="1" xfId="0" applyBorder="1"/>
    <xf numFmtId="0" fontId="12" fillId="0" borderId="4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left" vertical="center"/>
    </xf>
    <xf numFmtId="164" fontId="1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2" fillId="0" borderId="3" xfId="0" applyFont="1" applyBorder="1" applyAlignment="1">
      <alignment horizontal="left"/>
    </xf>
    <xf numFmtId="0" fontId="12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2" fillId="0" borderId="4" xfId="0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" fillId="0" borderId="0" xfId="0" applyFont="1"/>
    <xf numFmtId="1" fontId="0" fillId="0" borderId="0" xfId="0" applyNumberFormat="1" applyAlignment="1">
      <alignment shrinkToFit="1"/>
    </xf>
    <xf numFmtId="164" fontId="0" fillId="0" borderId="0" xfId="0" applyNumberFormat="1" applyAlignment="1">
      <alignment shrinkToFit="1"/>
    </xf>
    <xf numFmtId="0" fontId="0" fillId="0" borderId="1" xfId="0" applyBorder="1" applyAlignment="1">
      <alignment horizontal="center" vertical="center" textRotation="90"/>
    </xf>
    <xf numFmtId="0" fontId="8" fillId="0" borderId="13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10" fillId="0" borderId="0" xfId="0" applyNumberFormat="1" applyFont="1"/>
    <xf numFmtId="0" fontId="10" fillId="0" borderId="0" xfId="0" applyFont="1"/>
    <xf numFmtId="3" fontId="1" fillId="0" borderId="14" xfId="0" applyNumberFormat="1" applyFont="1" applyBorder="1" applyAlignment="1" applyProtection="1">
      <alignment horizontal="center" vertical="center" shrinkToFit="1"/>
      <protection locked="0"/>
    </xf>
    <xf numFmtId="0" fontId="13" fillId="4" borderId="0" xfId="4" applyFont="1" applyFill="1"/>
    <xf numFmtId="0" fontId="2" fillId="4" borderId="0" xfId="4" applyFill="1"/>
    <xf numFmtId="0" fontId="14" fillId="4" borderId="0" xfId="4" applyFont="1" applyFill="1"/>
    <xf numFmtId="0" fontId="17" fillId="4" borderId="0" xfId="4" applyFont="1" applyFill="1"/>
    <xf numFmtId="0" fontId="9" fillId="0" borderId="0" xfId="0" applyFont="1"/>
    <xf numFmtId="3" fontId="0" fillId="0" borderId="0" xfId="0" applyNumberFormat="1"/>
    <xf numFmtId="0" fontId="16" fillId="0" borderId="8" xfId="0" applyFont="1" applyBorder="1" applyAlignment="1">
      <alignment horizontal="center"/>
    </xf>
    <xf numFmtId="1" fontId="0" fillId="0" borderId="0" xfId="0" applyNumberFormat="1"/>
    <xf numFmtId="0" fontId="16" fillId="0" borderId="9" xfId="0" applyFont="1" applyBorder="1" applyAlignment="1">
      <alignment horizontal="center"/>
    </xf>
    <xf numFmtId="0" fontId="7" fillId="0" borderId="9" xfId="0" applyFont="1" applyBorder="1" applyAlignment="1">
      <alignment horizontal="left" vertical="center"/>
    </xf>
    <xf numFmtId="3" fontId="1" fillId="0" borderId="1" xfId="0" applyNumberFormat="1" applyFont="1" applyBorder="1" applyAlignment="1" applyProtection="1">
      <alignment horizontal="center" vertical="center" shrinkToFit="1"/>
      <protection locked="0"/>
    </xf>
    <xf numFmtId="3" fontId="2" fillId="0" borderId="15" xfId="0" applyNumberFormat="1" applyFont="1" applyBorder="1" applyAlignment="1" applyProtection="1">
      <alignment horizontal="center" shrinkToFit="1"/>
      <protection locked="0"/>
    </xf>
    <xf numFmtId="3" fontId="0" fillId="0" borderId="5" xfId="0" applyNumberFormat="1" applyBorder="1" applyAlignment="1">
      <alignment horizontal="center" shrinkToFit="1"/>
    </xf>
    <xf numFmtId="3" fontId="2" fillId="0" borderId="1" xfId="0" applyNumberFormat="1" applyFont="1" applyBorder="1" applyAlignment="1" applyProtection="1">
      <alignment horizontal="center" shrinkToFit="1"/>
      <protection locked="0"/>
    </xf>
    <xf numFmtId="3" fontId="0" fillId="0" borderId="2" xfId="0" applyNumberFormat="1" applyBorder="1" applyAlignment="1">
      <alignment horizontal="center" shrinkToFit="1"/>
    </xf>
    <xf numFmtId="3" fontId="2" fillId="0" borderId="1" xfId="0" applyNumberFormat="1" applyFont="1" applyBorder="1" applyAlignment="1">
      <alignment horizontal="center" shrinkToFit="1"/>
    </xf>
    <xf numFmtId="3" fontId="9" fillId="0" borderId="1" xfId="0" applyNumberFormat="1" applyFont="1" applyBorder="1" applyAlignment="1">
      <alignment horizontal="center" shrinkToFit="1"/>
    </xf>
    <xf numFmtId="3" fontId="9" fillId="0" borderId="2" xfId="0" applyNumberFormat="1" applyFont="1" applyBorder="1" applyAlignment="1">
      <alignment horizontal="center" shrinkToFit="1"/>
    </xf>
    <xf numFmtId="3" fontId="11" fillId="0" borderId="1" xfId="0" applyNumberFormat="1" applyFont="1" applyBorder="1" applyAlignment="1">
      <alignment horizontal="center" shrinkToFit="1"/>
    </xf>
    <xf numFmtId="3" fontId="11" fillId="0" borderId="2" xfId="0" applyNumberFormat="1" applyFont="1" applyBorder="1" applyAlignment="1">
      <alignment horizontal="center" shrinkToFit="1"/>
    </xf>
    <xf numFmtId="3" fontId="11" fillId="0" borderId="14" xfId="0" applyNumberFormat="1" applyFont="1" applyBorder="1" applyAlignment="1">
      <alignment horizontal="center" shrinkToFit="1"/>
    </xf>
    <xf numFmtId="3" fontId="1" fillId="0" borderId="14" xfId="0" applyNumberFormat="1" applyFont="1" applyBorder="1" applyAlignment="1">
      <alignment horizontal="center" shrinkToFit="1"/>
    </xf>
    <xf numFmtId="3" fontId="11" fillId="0" borderId="16" xfId="0" applyNumberFormat="1" applyFont="1" applyBorder="1" applyAlignment="1">
      <alignment horizontal="center" shrinkToFit="1"/>
    </xf>
    <xf numFmtId="3" fontId="2" fillId="0" borderId="17" xfId="0" applyNumberFormat="1" applyFont="1" applyBorder="1" applyAlignment="1" applyProtection="1">
      <alignment horizontal="center" vertical="center" shrinkToFit="1"/>
      <protection locked="0"/>
    </xf>
    <xf numFmtId="3" fontId="0" fillId="0" borderId="17" xfId="0" applyNumberFormat="1" applyBorder="1" applyAlignment="1" applyProtection="1">
      <alignment horizontal="center" vertical="center" shrinkToFit="1"/>
      <protection locked="0"/>
    </xf>
    <xf numFmtId="3" fontId="0" fillId="0" borderId="18" xfId="0" applyNumberFormat="1" applyBorder="1" applyAlignment="1">
      <alignment vertical="center" shrinkToFit="1"/>
    </xf>
    <xf numFmtId="3" fontId="2" fillId="0" borderId="16" xfId="0" applyNumberFormat="1" applyFont="1" applyBorder="1" applyAlignment="1">
      <alignment vertical="center" shrinkToFit="1"/>
    </xf>
    <xf numFmtId="0" fontId="18" fillId="0" borderId="0" xfId="0" applyFont="1"/>
    <xf numFmtId="0" fontId="8" fillId="0" borderId="19" xfId="0" applyFont="1" applyBorder="1" applyAlignment="1">
      <alignment horizontal="center" vertical="center" wrapText="1"/>
    </xf>
    <xf numFmtId="3" fontId="7" fillId="0" borderId="17" xfId="0" applyNumberFormat="1" applyFont="1" applyBorder="1" applyAlignment="1" applyProtection="1">
      <alignment horizontal="center" vertical="center" shrinkToFit="1"/>
      <protection locked="0"/>
    </xf>
    <xf numFmtId="0" fontId="0" fillId="0" borderId="0" xfId="0" applyAlignment="1">
      <alignment horizontal="center" vertical="center" textRotation="90" wrapText="1"/>
    </xf>
    <xf numFmtId="0" fontId="8" fillId="0" borderId="20" xfId="0" applyFont="1" applyBorder="1" applyAlignment="1">
      <alignment horizontal="center" vertical="center"/>
    </xf>
    <xf numFmtId="3" fontId="11" fillId="0" borderId="17" xfId="0" applyNumberFormat="1" applyFont="1" applyBorder="1" applyAlignment="1">
      <alignment horizontal="center" shrinkToFit="1"/>
    </xf>
    <xf numFmtId="3" fontId="11" fillId="0" borderId="18" xfId="0" applyNumberFormat="1" applyFont="1" applyBorder="1" applyAlignment="1">
      <alignment horizontal="center" shrinkToFit="1"/>
    </xf>
    <xf numFmtId="0" fontId="8" fillId="0" borderId="8" xfId="0" applyFont="1" applyBorder="1" applyAlignment="1">
      <alignment horizontal="center" vertical="center"/>
    </xf>
    <xf numFmtId="3" fontId="11" fillId="0" borderId="15" xfId="0" applyNumberFormat="1" applyFont="1" applyBorder="1" applyAlignment="1">
      <alignment horizontal="center" shrinkToFit="1"/>
    </xf>
    <xf numFmtId="3" fontId="1" fillId="0" borderId="15" xfId="0" applyNumberFormat="1" applyFont="1" applyBorder="1" applyAlignment="1">
      <alignment horizontal="center" shrinkToFit="1"/>
    </xf>
    <xf numFmtId="3" fontId="11" fillId="0" borderId="5" xfId="0" applyNumberFormat="1" applyFont="1" applyBorder="1" applyAlignment="1">
      <alignment horizontal="center" shrinkToFit="1"/>
    </xf>
    <xf numFmtId="3" fontId="1" fillId="0" borderId="17" xfId="0" applyNumberFormat="1" applyFont="1" applyBorder="1" applyAlignment="1" applyProtection="1">
      <alignment horizontal="center" vertical="center" wrapText="1" shrinkToFit="1"/>
      <protection locked="0"/>
    </xf>
    <xf numFmtId="166" fontId="11" fillId="0" borderId="1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6" fillId="0" borderId="25" xfId="0" quotePrefix="1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 wrapText="1"/>
    </xf>
    <xf numFmtId="166" fontId="9" fillId="0" borderId="15" xfId="0" applyNumberFormat="1" applyFont="1" applyBorder="1" applyAlignment="1" applyProtection="1">
      <alignment horizontal="center"/>
      <protection locked="0"/>
    </xf>
    <xf numFmtId="166" fontId="9" fillId="0" borderId="21" xfId="0" applyNumberFormat="1" applyFont="1" applyBorder="1" applyAlignment="1" applyProtection="1">
      <alignment horizontal="center"/>
      <protection locked="0"/>
    </xf>
    <xf numFmtId="0" fontId="2" fillId="0" borderId="0" xfId="0" applyFont="1"/>
    <xf numFmtId="0" fontId="2" fillId="0" borderId="0" xfId="0" applyFont="1" applyFill="1" applyBorder="1"/>
    <xf numFmtId="3" fontId="1" fillId="0" borderId="0" xfId="0" applyNumberFormat="1" applyFont="1"/>
    <xf numFmtId="3" fontId="1" fillId="0" borderId="26" xfId="0" applyNumberFormat="1" applyFont="1" applyBorder="1" applyAlignment="1" applyProtection="1">
      <alignment horizontal="center" vertical="center" wrapText="1" shrinkToFit="1"/>
      <protection locked="0"/>
    </xf>
    <xf numFmtId="3" fontId="2" fillId="0" borderId="26" xfId="0" applyNumberFormat="1" applyFont="1" applyBorder="1" applyAlignment="1" applyProtection="1">
      <alignment horizontal="center" vertical="center" shrinkToFit="1"/>
      <protection locked="0"/>
    </xf>
    <xf numFmtId="0" fontId="1" fillId="0" borderId="1" xfId="0" applyFont="1" applyBorder="1" applyAlignment="1" applyProtection="1">
      <alignment horizontal="center" vertical="center" shrinkToFit="1"/>
      <protection locked="0"/>
    </xf>
    <xf numFmtId="0" fontId="0" fillId="0" borderId="0" xfId="0" applyAlignment="1">
      <alignment horizontal="center" vertical="center" textRotation="90" wrapText="1"/>
    </xf>
    <xf numFmtId="0" fontId="14" fillId="0" borderId="0" xfId="0" applyFont="1" applyAlignment="1">
      <alignment horizontal="left" textRotation="90" wrapText="1"/>
    </xf>
    <xf numFmtId="0" fontId="6" fillId="0" borderId="23" xfId="0" quotePrefix="1" applyFont="1" applyBorder="1" applyAlignment="1">
      <alignment horizontal="center" vertical="center" wrapText="1"/>
    </xf>
    <xf numFmtId="0" fontId="6" fillId="0" borderId="24" xfId="0" quotePrefix="1" applyFont="1" applyBorder="1" applyAlignment="1">
      <alignment horizontal="center" vertical="center" wrapText="1"/>
    </xf>
    <xf numFmtId="0" fontId="15" fillId="0" borderId="10" xfId="0" applyFont="1" applyBorder="1" applyAlignment="1">
      <alignment horizontal="left" vertical="center" textRotation="90"/>
    </xf>
    <xf numFmtId="0" fontId="19" fillId="0" borderId="0" xfId="0" applyFont="1" applyAlignment="1">
      <alignment horizontal="left" textRotation="90" wrapText="1"/>
    </xf>
    <xf numFmtId="0" fontId="20" fillId="0" borderId="0" xfId="0" applyFont="1" applyAlignment="1">
      <alignment horizontal="center" textRotation="90" wrapText="1"/>
    </xf>
    <xf numFmtId="0" fontId="9" fillId="0" borderId="8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</cellXfs>
  <cellStyles count="7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4" xr:uid="{00000000-0005-0000-0000-000004000000}"/>
    <cellStyle name="Percent [2]" xfId="5" xr:uid="{00000000-0005-0000-0000-000005000000}"/>
    <cellStyle name="標準_品質検査" xfId="6" xr:uid="{00000000-0005-0000-0000-000006000000}"/>
  </cellStyles>
  <dxfs count="22"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66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51712463818296E-2"/>
          <c:y val="2.3817433347147397E-2"/>
          <c:w val="0.93112905257979628"/>
          <c:h val="0.95264959248514991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'Linha UM-4 - Dia'!$B$28:$AC$28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4-4DC8-BB2A-B97D9642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925272"/>
        <c:axId val="214019968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UM-4 - Dia'!$B$33:$AC$33</c:f>
              <c:numCache>
                <c:formatCode>0</c:formatCode>
                <c:ptCount val="28"/>
                <c:pt idx="0">
                  <c:v>620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D4-4DC8-BB2A-B97D9642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20736"/>
        <c:axId val="214020352"/>
      </c:scatterChart>
      <c:catAx>
        <c:axId val="21392527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4019968"/>
        <c:crosses val="autoZero"/>
        <c:auto val="1"/>
        <c:lblAlgn val="ctr"/>
        <c:lblOffset val="100"/>
        <c:noMultiLvlLbl val="0"/>
      </c:catAx>
      <c:valAx>
        <c:axId val="214019968"/>
        <c:scaling>
          <c:orientation val="minMax"/>
          <c:max val="16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3925272"/>
        <c:crosses val="autoZero"/>
        <c:crossBetween val="between"/>
        <c:minorUnit val="50"/>
      </c:valAx>
      <c:valAx>
        <c:axId val="214020352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214020736"/>
        <c:crosses val="max"/>
        <c:crossBetween val="midCat"/>
      </c:valAx>
      <c:valAx>
        <c:axId val="214020736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1402035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Falhas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151-44C5-B58F-28115421E1A7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UM-4 - Dia'!$B$33:$AC$33</c:f>
              <c:numCache>
                <c:formatCode>0</c:formatCode>
                <c:ptCount val="28"/>
                <c:pt idx="0">
                  <c:v>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51-44C5-B58F-28115421E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400720"/>
        <c:axId val="213401104"/>
      </c:lineChart>
      <c:catAx>
        <c:axId val="213400720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3401104"/>
        <c:crosses val="autoZero"/>
        <c:auto val="1"/>
        <c:lblAlgn val="ctr"/>
        <c:lblOffset val="100"/>
        <c:noMultiLvlLbl val="0"/>
      </c:catAx>
      <c:valAx>
        <c:axId val="213401104"/>
        <c:scaling>
          <c:orientation val="minMax"/>
          <c:max val="2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3400720"/>
        <c:crosses val="autoZero"/>
        <c:crossBetween val="between"/>
        <c:majorUnit val="600"/>
        <c:minorUnit val="30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51712463818296E-2"/>
          <c:y val="2.3817433347147397E-2"/>
          <c:w val="0.93112905257979628"/>
          <c:h val="0.94984257494129021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'Linha UM-4 - 2T'!$B$28:$AC$28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2F-4163-B974-72EFF0317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81464"/>
        <c:axId val="212439720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UM-4 - 2T'!$B$33:$AC$33</c:f>
              <c:numCache>
                <c:formatCode>0</c:formatCode>
                <c:ptCount val="28"/>
                <c:pt idx="0">
                  <c:v>620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2F-4163-B974-72EFF0317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40488"/>
        <c:axId val="212440104"/>
      </c:scatterChart>
      <c:catAx>
        <c:axId val="21298146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2439720"/>
        <c:crosses val="autoZero"/>
        <c:auto val="1"/>
        <c:lblAlgn val="ctr"/>
        <c:lblOffset val="100"/>
        <c:noMultiLvlLbl val="0"/>
      </c:catAx>
      <c:valAx>
        <c:axId val="212439720"/>
        <c:scaling>
          <c:orientation val="minMax"/>
          <c:max val="16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2981464"/>
        <c:crosses val="autoZero"/>
        <c:crossBetween val="between"/>
        <c:minorUnit val="50"/>
      </c:valAx>
      <c:valAx>
        <c:axId val="212440104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212440488"/>
        <c:crosses val="max"/>
        <c:crossBetween val="midCat"/>
      </c:valAx>
      <c:valAx>
        <c:axId val="21244048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1244010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Falhas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F58-4235-950D-BC47FDD6E0E8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UM-4 - 2T'!$B$33:$AC$33</c:f>
              <c:numCache>
                <c:formatCode>0</c:formatCode>
                <c:ptCount val="28"/>
                <c:pt idx="0">
                  <c:v>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8-4235-950D-BC47FDD6E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61416"/>
        <c:axId val="214760240"/>
      </c:lineChart>
      <c:catAx>
        <c:axId val="21476141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4760240"/>
        <c:crosses val="autoZero"/>
        <c:auto val="1"/>
        <c:lblAlgn val="ctr"/>
        <c:lblOffset val="100"/>
        <c:noMultiLvlLbl val="0"/>
      </c:catAx>
      <c:valAx>
        <c:axId val="214760240"/>
        <c:scaling>
          <c:orientation val="minMax"/>
          <c:max val="2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4761416"/>
        <c:crosses val="autoZero"/>
        <c:crossBetween val="between"/>
        <c:majorUnit val="600"/>
        <c:minorUnit val="30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51712463818296E-2"/>
          <c:y val="2.3817433347147397E-2"/>
          <c:w val="0.93112905257979628"/>
          <c:h val="0.94984257494129021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'Linha UM-4 - 3T'!$B$28:$AC$28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2B-449F-8EB4-CE849AA2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62984"/>
        <c:axId val="214761024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UM-4 - 3T'!$B$33:$AC$33</c:f>
              <c:numCache>
                <c:formatCode>0</c:formatCode>
                <c:ptCount val="28"/>
                <c:pt idx="0">
                  <c:v>620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2B-449F-8EB4-CE849AA2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62200"/>
        <c:axId val="214761808"/>
      </c:scatterChart>
      <c:catAx>
        <c:axId val="21476298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4761024"/>
        <c:crosses val="autoZero"/>
        <c:auto val="1"/>
        <c:lblAlgn val="ctr"/>
        <c:lblOffset val="100"/>
        <c:noMultiLvlLbl val="0"/>
      </c:catAx>
      <c:valAx>
        <c:axId val="214761024"/>
        <c:scaling>
          <c:orientation val="minMax"/>
          <c:max val="16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4762984"/>
        <c:crosses val="autoZero"/>
        <c:crossBetween val="between"/>
        <c:minorUnit val="50"/>
      </c:valAx>
      <c:valAx>
        <c:axId val="214761808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214762200"/>
        <c:crosses val="max"/>
        <c:crossBetween val="midCat"/>
      </c:valAx>
      <c:valAx>
        <c:axId val="214762200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1476180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Falhas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72C-4373-B046-50A3EDC6400E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UM-4 - 3T'!$B$33:$AC$33</c:f>
              <c:numCache>
                <c:formatCode>0</c:formatCode>
                <c:ptCount val="28"/>
                <c:pt idx="0">
                  <c:v>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2C-4373-B046-50A3EDC64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59848"/>
        <c:axId val="214763376"/>
      </c:lineChart>
      <c:catAx>
        <c:axId val="21475984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4763376"/>
        <c:crosses val="autoZero"/>
        <c:auto val="1"/>
        <c:lblAlgn val="ctr"/>
        <c:lblOffset val="100"/>
        <c:noMultiLvlLbl val="0"/>
      </c:catAx>
      <c:valAx>
        <c:axId val="214763376"/>
        <c:scaling>
          <c:orientation val="minMax"/>
          <c:max val="2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4759848"/>
        <c:crosses val="autoZero"/>
        <c:crossBetween val="between"/>
        <c:majorUnit val="600"/>
        <c:minorUnit val="30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Pareto de Falhas - Montagem UM-4 - Dia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511482254697E-2"/>
          <c:y val="0.12100840336134454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'Dados para grafico'!$K$3</c:f>
              <c:strCache>
                <c:ptCount val="1"/>
                <c:pt idx="0">
                  <c:v>Falhas (ppm)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50000">
                  <a:srgbClr val="00B0F0"/>
                </a:gs>
                <a:gs pos="100000">
                  <a:srgbClr val="002060"/>
                </a:gs>
              </a:gsLst>
              <a:lin ang="0" scaled="0"/>
            </a:gra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[0]!LinFalhas_X</c:f>
              <c:strCache>
                <c:ptCount val="1"/>
                <c:pt idx="0">
                  <c:v>ENCAXOTADEIRA</c:v>
                </c:pt>
              </c:strCache>
            </c:strRef>
          </c:cat>
          <c:val>
            <c:numRef>
              <c:f>[0]!LinFalhas_Y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6-46DE-951A-225ED9271964}"/>
            </c:ext>
          </c:extLst>
        </c:ser>
        <c:ser>
          <c:idx val="0"/>
          <c:order val="1"/>
          <c:tx>
            <c:strRef>
              <c:f>'Dados para grafico'!$O$3</c:f>
              <c:strCache>
                <c:ptCount val="1"/>
                <c:pt idx="0">
                  <c:v>Problemas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 w="25400">
              <a:noFill/>
            </a:ln>
          </c:spPr>
          <c:invertIfNegative val="0"/>
          <c:dLbls>
            <c:delete val="1"/>
          </c:dLbls>
          <c:cat>
            <c:strRef>
              <c:f>[0]!LinFalhas_X</c:f>
              <c:strCache>
                <c:ptCount val="1"/>
                <c:pt idx="0">
                  <c:v>ENCAXOTADEIRA</c:v>
                </c:pt>
              </c:strCache>
            </c:strRef>
          </c:cat>
          <c:val>
            <c:numRef>
              <c:f>[0]!LinPROB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F6-4D16-AD22-146888F412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100"/>
        <c:axId val="214829440"/>
        <c:axId val="214825912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7"/>
              <c:pt idx="0">
                <c:v>Blindagem</c:v>
              </c:pt>
              <c:pt idx="1">
                <c:v>Sem Arruela</c:v>
              </c:pt>
              <c:pt idx="2">
                <c:v>Outros (recuperáveis)</c:v>
              </c:pt>
              <c:pt idx="3">
                <c:v>Sem Terminal</c:v>
              </c:pt>
              <c:pt idx="4">
                <c:v>Chapa Riscada</c:v>
              </c:pt>
              <c:pt idx="5">
                <c:v>Fundo Amassado</c:v>
              </c:pt>
              <c:pt idx="6">
                <c:v>Sem Anel</c:v>
              </c:pt>
              <c:pt idx="7">
                <c:v>Falha de Impressão</c:v>
              </c:pt>
              <c:pt idx="8">
                <c:v>Sem Anel/ Dois Anéis</c:v>
              </c:pt>
              <c:pt idx="9">
                <c:v>Chapa Invertida</c:v>
              </c:pt>
              <c:pt idx="10">
                <c:v>Sem Cap</c:v>
              </c:pt>
              <c:pt idx="11">
                <c:v>Chapa Manchada</c:v>
              </c:pt>
              <c:pt idx="12">
                <c:v>Sem Cap/Amassado/Afundado</c:v>
              </c:pt>
              <c:pt idx="13">
                <c:v>Sem Arruela/ Sem Terminal</c:v>
              </c:pt>
              <c:pt idx="14">
                <c:v>Shima</c:v>
              </c:pt>
              <c:pt idx="15">
                <c:v>Chapa Aberta</c:v>
              </c:pt>
              <c:pt idx="16">
                <c:v>Outros (não recuperáveis)</c:v>
              </c:pt>
            </c:strLit>
          </c:cat>
          <c:val>
            <c:numRef>
              <c:f>[0]!LinAC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F6-4D16-AD22-146888F412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4833360"/>
        <c:axId val="214832968"/>
      </c:lineChart>
      <c:catAx>
        <c:axId val="214829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825912"/>
        <c:crosses val="autoZero"/>
        <c:auto val="1"/>
        <c:lblAlgn val="ctr"/>
        <c:lblOffset val="100"/>
        <c:noMultiLvlLbl val="0"/>
      </c:catAx>
      <c:valAx>
        <c:axId val="214825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829440"/>
        <c:crosses val="autoZero"/>
        <c:crossBetween val="between"/>
      </c:valAx>
      <c:catAx>
        <c:axId val="214833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832968"/>
        <c:crosses val="autoZero"/>
        <c:auto val="1"/>
        <c:lblAlgn val="ctr"/>
        <c:lblOffset val="100"/>
        <c:noMultiLvlLbl val="0"/>
      </c:catAx>
      <c:valAx>
        <c:axId val="214832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833360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5186169978010908"/>
          <c:y val="0.3115299458791817"/>
          <c:w val="0.16948911059708038"/>
          <c:h val="0.10731394664697119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Pareto de Falhas - Montagem UM-4 - 2º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45511482254697E-2"/>
          <c:y val="0.12100840336134454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'Dados para grafico'!$K$3</c:f>
              <c:strCache>
                <c:ptCount val="1"/>
                <c:pt idx="0">
                  <c:v>Falhas (ppm)</c:v>
                </c:pt>
              </c:strCache>
            </c:strRef>
          </c:tx>
          <c:spPr>
            <a:gradFill rotWithShape="1">
              <a:gsLst>
                <a:gs pos="0">
                  <a:srgbClr val="002060"/>
                </a:gs>
                <a:gs pos="50000">
                  <a:srgbClr val="00B0F0"/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[0]!LinFalhas2T_X</c:f>
              <c:strCache>
                <c:ptCount val="1"/>
                <c:pt idx="0">
                  <c:v>ENCAXOTADEIRA</c:v>
                </c:pt>
              </c:strCache>
            </c:strRef>
          </c:cat>
          <c:val>
            <c:numRef>
              <c:f>[0]!LinFalhas2T_Y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8-4ED2-9BAD-3608A2933B70}"/>
            </c:ext>
          </c:extLst>
        </c:ser>
        <c:ser>
          <c:idx val="0"/>
          <c:order val="1"/>
          <c:tx>
            <c:strRef>
              <c:f>'Dados para grafico'!$O$3</c:f>
              <c:strCache>
                <c:ptCount val="1"/>
                <c:pt idx="0">
                  <c:v>Problemas</c:v>
                </c:pt>
              </c:strCache>
            </c:strRef>
          </c:tx>
          <c:spPr>
            <a:gradFill rotWithShape="1"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f>[0]!LinFalhas2T_X</c:f>
              <c:strCache>
                <c:ptCount val="1"/>
                <c:pt idx="0">
                  <c:v>ENCAXOTADEIRA</c:v>
                </c:pt>
              </c:strCache>
            </c:strRef>
          </c:cat>
          <c:val>
            <c:numRef>
              <c:f>[0]!LinPROB_2T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9-44D0-B301-5521A3C0BC2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100"/>
        <c:axId val="214832576"/>
        <c:axId val="214826304"/>
      </c:barChart>
      <c:lineChart>
        <c:grouping val="standard"/>
        <c:varyColors val="0"/>
        <c:ser>
          <c:idx val="1"/>
          <c:order val="2"/>
          <c:tx>
            <c:strRef>
              <c:f>'Dados para grafico'!$N$3</c:f>
              <c:strCache>
                <c:ptCount val="1"/>
                <c:pt idx="0">
                  <c:v>Ac%</c:v>
                </c:pt>
              </c:strCache>
            </c:strRef>
          </c:tx>
          <c:spPr>
            <a:ln w="34925" cap="rnd">
              <a:solidFill>
                <a:srgbClr val="FF99FF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7"/>
              <c:pt idx="0">
                <c:v>Blindagem</c:v>
              </c:pt>
              <c:pt idx="1">
                <c:v>Sem Arruela</c:v>
              </c:pt>
              <c:pt idx="2">
                <c:v>Outros (recuperáveis)</c:v>
              </c:pt>
              <c:pt idx="3">
                <c:v>Sem Terminal</c:v>
              </c:pt>
              <c:pt idx="4">
                <c:v>Chapa Riscada</c:v>
              </c:pt>
              <c:pt idx="5">
                <c:v>Fundo Amassado</c:v>
              </c:pt>
              <c:pt idx="6">
                <c:v>Sem Anel</c:v>
              </c:pt>
              <c:pt idx="7">
                <c:v>Falha de Impressão</c:v>
              </c:pt>
              <c:pt idx="8">
                <c:v>Sem Anel/ Dois Anéis</c:v>
              </c:pt>
              <c:pt idx="9">
                <c:v>Chapa Invertida</c:v>
              </c:pt>
              <c:pt idx="10">
                <c:v>Sem Cap</c:v>
              </c:pt>
              <c:pt idx="11">
                <c:v>Chapa Manchada</c:v>
              </c:pt>
              <c:pt idx="12">
                <c:v>Sem Cap/Amassado/Afundado</c:v>
              </c:pt>
              <c:pt idx="13">
                <c:v>Sem Arruela/ Sem Terminal</c:v>
              </c:pt>
              <c:pt idx="14">
                <c:v>Shima</c:v>
              </c:pt>
              <c:pt idx="15">
                <c:v>Chapa Aberta</c:v>
              </c:pt>
              <c:pt idx="16">
                <c:v>Outros (não recuperáveis)</c:v>
              </c:pt>
            </c:strLit>
          </c:cat>
          <c:val>
            <c:numRef>
              <c:f>[0]!LinAC_2T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9-44D0-B301-5521A3C0BC2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4826696"/>
        <c:axId val="214828656"/>
      </c:lineChart>
      <c:catAx>
        <c:axId val="214832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826304"/>
        <c:crosses val="autoZero"/>
        <c:auto val="1"/>
        <c:lblAlgn val="ctr"/>
        <c:lblOffset val="100"/>
        <c:noMultiLvlLbl val="0"/>
      </c:catAx>
      <c:valAx>
        <c:axId val="21482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832576"/>
        <c:crosses val="autoZero"/>
        <c:crossBetween val="between"/>
      </c:valAx>
      <c:catAx>
        <c:axId val="214826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4828656"/>
        <c:crosses val="autoZero"/>
        <c:auto val="1"/>
        <c:lblAlgn val="ctr"/>
        <c:lblOffset val="100"/>
        <c:noMultiLvlLbl val="0"/>
      </c:catAx>
      <c:valAx>
        <c:axId val="2148286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826696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024837028902558"/>
          <c:y val="0.3749335069205379"/>
          <c:w val="0.13649623173957853"/>
          <c:h val="0.16083755826229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002060"/>
    </a:soli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Pareto de Falhas - Montagem UM-4 - 3º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45511482254697E-2"/>
          <c:y val="0.12100840336134454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'Dados para grafico'!$K$3</c:f>
              <c:strCache>
                <c:ptCount val="1"/>
                <c:pt idx="0">
                  <c:v>Falhas (ppm)</c:v>
                </c:pt>
              </c:strCache>
            </c:strRef>
          </c:tx>
          <c:spPr>
            <a:gradFill rotWithShape="1">
              <a:gsLst>
                <a:gs pos="0">
                  <a:srgbClr val="002060"/>
                </a:gs>
                <a:gs pos="50000">
                  <a:srgbClr val="00B0F0"/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[0]!LinFalhas3T_X</c:f>
              <c:strCache>
                <c:ptCount val="1"/>
                <c:pt idx="0">
                  <c:v>ENCAXOTADEIRA</c:v>
                </c:pt>
              </c:strCache>
            </c:strRef>
          </c:cat>
          <c:val>
            <c:numRef>
              <c:f>[0]!LinFalhas3T_Y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00-4B9C-B1E2-6B7EDC7AD4F3}"/>
            </c:ext>
          </c:extLst>
        </c:ser>
        <c:ser>
          <c:idx val="0"/>
          <c:order val="1"/>
          <c:tx>
            <c:strRef>
              <c:f>'Dados para grafico'!$O$3</c:f>
              <c:strCache>
                <c:ptCount val="1"/>
                <c:pt idx="0">
                  <c:v>Problemas</c:v>
                </c:pt>
              </c:strCache>
            </c:strRef>
          </c:tx>
          <c:spPr>
            <a:gradFill rotWithShape="1"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f>[0]!LinFalhas3T_X</c:f>
              <c:strCache>
                <c:ptCount val="1"/>
                <c:pt idx="0">
                  <c:v>ENCAXOTADEIRA</c:v>
                </c:pt>
              </c:strCache>
            </c:strRef>
          </c:cat>
          <c:val>
            <c:numRef>
              <c:f>[0]!LinPROB_3T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00-4B9C-B1E2-6B7EDC7AD4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100"/>
        <c:axId val="214827088"/>
        <c:axId val="214827480"/>
      </c:barChart>
      <c:lineChart>
        <c:grouping val="standard"/>
        <c:varyColors val="0"/>
        <c:ser>
          <c:idx val="1"/>
          <c:order val="2"/>
          <c:tx>
            <c:strRef>
              <c:f>'Dados para grafico'!$N$3</c:f>
              <c:strCache>
                <c:ptCount val="1"/>
                <c:pt idx="0">
                  <c:v>Ac%</c:v>
                </c:pt>
              </c:strCache>
            </c:strRef>
          </c:tx>
          <c:spPr>
            <a:ln w="34925" cap="rnd">
              <a:solidFill>
                <a:srgbClr val="FF99FF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7"/>
              <c:pt idx="0">
                <c:v>Blindagem</c:v>
              </c:pt>
              <c:pt idx="1">
                <c:v>Sem Arruela</c:v>
              </c:pt>
              <c:pt idx="2">
                <c:v>Outros (recuperáveis)</c:v>
              </c:pt>
              <c:pt idx="3">
                <c:v>Sem Terminal</c:v>
              </c:pt>
              <c:pt idx="4">
                <c:v>Chapa Riscada</c:v>
              </c:pt>
              <c:pt idx="5">
                <c:v>Fundo Amassado</c:v>
              </c:pt>
              <c:pt idx="6">
                <c:v>Sem Anel</c:v>
              </c:pt>
              <c:pt idx="7">
                <c:v>Falha de Impressão</c:v>
              </c:pt>
              <c:pt idx="8">
                <c:v>Sem Anel/ Dois Anéis</c:v>
              </c:pt>
              <c:pt idx="9">
                <c:v>Chapa Invertida</c:v>
              </c:pt>
              <c:pt idx="10">
                <c:v>Sem Cap</c:v>
              </c:pt>
              <c:pt idx="11">
                <c:v>Chapa Manchada</c:v>
              </c:pt>
              <c:pt idx="12">
                <c:v>Sem Cap/Amassado/Afundado</c:v>
              </c:pt>
              <c:pt idx="13">
                <c:v>Sem Arruela/ Sem Terminal</c:v>
              </c:pt>
              <c:pt idx="14">
                <c:v>Shima</c:v>
              </c:pt>
              <c:pt idx="15">
                <c:v>Chapa Aberta</c:v>
              </c:pt>
              <c:pt idx="16">
                <c:v>Outros (não recuperáveis)</c:v>
              </c:pt>
            </c:strLit>
          </c:cat>
          <c:val>
            <c:numRef>
              <c:f>[0]!LinAC_3T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00-4B9C-B1E2-6B7EDC7AD4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4830224"/>
        <c:axId val="214828264"/>
      </c:lineChart>
      <c:catAx>
        <c:axId val="214827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827480"/>
        <c:crosses val="autoZero"/>
        <c:auto val="1"/>
        <c:lblAlgn val="ctr"/>
        <c:lblOffset val="100"/>
        <c:noMultiLvlLbl val="0"/>
      </c:catAx>
      <c:valAx>
        <c:axId val="21482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827088"/>
        <c:crosses val="autoZero"/>
        <c:crossBetween val="between"/>
      </c:valAx>
      <c:catAx>
        <c:axId val="2148302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4828264"/>
        <c:crosses val="autoZero"/>
        <c:auto val="1"/>
        <c:lblAlgn val="ctr"/>
        <c:lblOffset val="100"/>
        <c:noMultiLvlLbl val="0"/>
      </c:catAx>
      <c:valAx>
        <c:axId val="2148282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830224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024837028902558"/>
          <c:y val="0.3749335069205379"/>
          <c:w val="0.13649623173957853"/>
          <c:h val="0.16083755826229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Gráf1"/>
  <sheetViews>
    <sheetView workbookViewId="0"/>
  </sheetViews>
  <sheetProtection algorithmName="SHA-512" hashValue="RswrUs0s2fI2eGQfKY5kslWO+AZl1kXeVIYASlbchI5IsYKOuoXvZ/ucrc1lTfrJF3HbVoRwlyJHnuGaxdwoiA==" saltValue="oinsSefGt9Qpi2EO08bne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2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áf3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1025" name="Texto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6287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723900</xdr:colOff>
      <xdr:row>6</xdr:row>
      <xdr:rowOff>19050</xdr:rowOff>
    </xdr:from>
    <xdr:to>
      <xdr:col>29</xdr:col>
      <xdr:colOff>66675</xdr:colOff>
      <xdr:row>15</xdr:row>
      <xdr:rowOff>0</xdr:rowOff>
    </xdr:to>
    <xdr:graphicFrame macro="">
      <xdr:nvGraphicFramePr>
        <xdr:cNvPr id="2050" name="Gráfico 3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742950</xdr:colOff>
      <xdr:row>27</xdr:row>
      <xdr:rowOff>0</xdr:rowOff>
    </xdr:from>
    <xdr:to>
      <xdr:col>29</xdr:col>
      <xdr:colOff>85725</xdr:colOff>
      <xdr:row>27</xdr:row>
      <xdr:rowOff>0</xdr:rowOff>
    </xdr:to>
    <xdr:graphicFrame macro="">
      <xdr:nvGraphicFramePr>
        <xdr:cNvPr id="2051" name="Gráfico 4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133350</xdr:colOff>
          <xdr:row>0</xdr:row>
          <xdr:rowOff>95250</xdr:rowOff>
        </xdr:from>
        <xdr:to>
          <xdr:col>22</xdr:col>
          <xdr:colOff>247650</xdr:colOff>
          <xdr:row>0</xdr:row>
          <xdr:rowOff>314325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152400</xdr:colOff>
          <xdr:row>0</xdr:row>
          <xdr:rowOff>95250</xdr:rowOff>
        </xdr:from>
        <xdr:to>
          <xdr:col>23</xdr:col>
          <xdr:colOff>266700</xdr:colOff>
          <xdr:row>0</xdr:row>
          <xdr:rowOff>314325</xdr:rowOff>
        </xdr:to>
        <xdr:sp macro="" textlink="">
          <xdr:nvSpPr>
            <xdr:cNvPr id="2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95250</xdr:rowOff>
        </xdr:from>
        <xdr:to>
          <xdr:col>24</xdr:col>
          <xdr:colOff>190500</xdr:colOff>
          <xdr:row>0</xdr:row>
          <xdr:rowOff>314325</xdr:rowOff>
        </xdr:to>
        <xdr:sp macro="" textlink="">
          <xdr:nvSpPr>
            <xdr:cNvPr id="3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6287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723900</xdr:colOff>
      <xdr:row>6</xdr:row>
      <xdr:rowOff>19050</xdr:rowOff>
    </xdr:from>
    <xdr:to>
      <xdr:col>29</xdr:col>
      <xdr:colOff>76200</xdr:colOff>
      <xdr:row>15</xdr:row>
      <xdr:rowOff>0</xdr:rowOff>
    </xdr:to>
    <xdr:graphicFrame macro="">
      <xdr:nvGraphicFramePr>
        <xdr:cNvPr id="3074" name="Gráfico 3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742950</xdr:colOff>
      <xdr:row>27</xdr:row>
      <xdr:rowOff>0</xdr:rowOff>
    </xdr:from>
    <xdr:to>
      <xdr:col>29</xdr:col>
      <xdr:colOff>85725</xdr:colOff>
      <xdr:row>27</xdr:row>
      <xdr:rowOff>0</xdr:rowOff>
    </xdr:to>
    <xdr:graphicFrame macro="">
      <xdr:nvGraphicFramePr>
        <xdr:cNvPr id="3075" name="Gráfico 4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133350</xdr:colOff>
          <xdr:row>0</xdr:row>
          <xdr:rowOff>95250</xdr:rowOff>
        </xdr:from>
        <xdr:to>
          <xdr:col>22</xdr:col>
          <xdr:colOff>247650</xdr:colOff>
          <xdr:row>0</xdr:row>
          <xdr:rowOff>314325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152400</xdr:colOff>
          <xdr:row>0</xdr:row>
          <xdr:rowOff>95250</xdr:rowOff>
        </xdr:from>
        <xdr:to>
          <xdr:col>23</xdr:col>
          <xdr:colOff>266700</xdr:colOff>
          <xdr:row>0</xdr:row>
          <xdr:rowOff>314325</xdr:rowOff>
        </xdr:to>
        <xdr:sp macro="" textlink="">
          <xdr:nvSpPr>
            <xdr:cNvPr id="3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95250</xdr:rowOff>
        </xdr:from>
        <xdr:to>
          <xdr:col>24</xdr:col>
          <xdr:colOff>190500</xdr:colOff>
          <xdr:row>0</xdr:row>
          <xdr:rowOff>314325</xdr:rowOff>
        </xdr:to>
        <xdr:sp macro="" textlink="">
          <xdr:nvSpPr>
            <xdr:cNvPr id="4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6287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723900</xdr:colOff>
      <xdr:row>6</xdr:row>
      <xdr:rowOff>19050</xdr:rowOff>
    </xdr:from>
    <xdr:to>
      <xdr:col>29</xdr:col>
      <xdr:colOff>76200</xdr:colOff>
      <xdr:row>15</xdr:row>
      <xdr:rowOff>0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742950</xdr:colOff>
      <xdr:row>27</xdr:row>
      <xdr:rowOff>0</xdr:rowOff>
    </xdr:from>
    <xdr:to>
      <xdr:col>29</xdr:col>
      <xdr:colOff>85725</xdr:colOff>
      <xdr:row>27</xdr:row>
      <xdr:rowOff>0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133350</xdr:colOff>
          <xdr:row>0</xdr:row>
          <xdr:rowOff>95250</xdr:rowOff>
        </xdr:from>
        <xdr:to>
          <xdr:col>22</xdr:col>
          <xdr:colOff>247650</xdr:colOff>
          <xdr:row>0</xdr:row>
          <xdr:rowOff>314325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152400</xdr:colOff>
          <xdr:row>0</xdr:row>
          <xdr:rowOff>95250</xdr:rowOff>
        </xdr:from>
        <xdr:to>
          <xdr:col>23</xdr:col>
          <xdr:colOff>266700</xdr:colOff>
          <xdr:row>0</xdr:row>
          <xdr:rowOff>314325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95250</xdr:rowOff>
        </xdr:from>
        <xdr:to>
          <xdr:col>24</xdr:col>
          <xdr:colOff>190500</xdr:colOff>
          <xdr:row>0</xdr:row>
          <xdr:rowOff>314325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29775" cy="59912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29775" cy="59912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29775" cy="59912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JCPIL-R%2016-422-02%20-%20MTG%20-%20UM-4%20-%20220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3)%20UM-4/VA/Montagem/SJCPIL-R%2015-115-00%20-%20MTG%20-%20UM-4%20-%20VA%20-%202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20">
          <cell r="Y20">
            <v>620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Linha UM-4 - Dia"/>
      <sheetName val="Linha UM-4 - 2T"/>
      <sheetName val="Linha UM-4 - 3T"/>
      <sheetName val="Dados para grafico"/>
      <sheetName val="Gráf1"/>
      <sheetName val="Gráf2"/>
      <sheetName val="Gráf3"/>
    </sheetNames>
    <sheetDataSet>
      <sheetData sheetId="0" refreshError="1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ipos de Defeitos"/>
      <sheetName val="UM-4 - Dia"/>
      <sheetName val="UM-4 - 2T"/>
      <sheetName val="UM-4 - 3T"/>
      <sheetName val="Rascunho"/>
      <sheetName val="Dados do Gráfico Total"/>
      <sheetName val="Gráfico Falhas VA"/>
      <sheetName val="Falhas por Modelo"/>
      <sheetName val="Dados do Gráfico"/>
    </sheetNames>
    <sheetDataSet>
      <sheetData sheetId="0"/>
      <sheetData sheetId="1"/>
      <sheetData sheetId="2">
        <row r="3">
          <cell r="D3">
            <v>44592</v>
          </cell>
          <cell r="E3">
            <v>44593</v>
          </cell>
          <cell r="F3">
            <v>44594</v>
          </cell>
          <cell r="G3">
            <v>44595</v>
          </cell>
          <cell r="H3">
            <v>44596</v>
          </cell>
          <cell r="I3">
            <v>44597</v>
          </cell>
          <cell r="J3">
            <v>44599</v>
          </cell>
          <cell r="K3">
            <v>44600</v>
          </cell>
          <cell r="L3">
            <v>44601</v>
          </cell>
          <cell r="M3">
            <v>44602</v>
          </cell>
          <cell r="N3">
            <v>44603</v>
          </cell>
          <cell r="O3">
            <v>44606</v>
          </cell>
          <cell r="P3">
            <v>44607</v>
          </cell>
          <cell r="Q3">
            <v>44608</v>
          </cell>
          <cell r="R3">
            <v>44609</v>
          </cell>
          <cell r="S3">
            <v>44610</v>
          </cell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/>
          <cell r="AG3"/>
          <cell r="AH3"/>
          <cell r="AI3"/>
          <cell r="AJ3"/>
          <cell r="AK3"/>
          <cell r="AL3"/>
          <cell r="AM3"/>
          <cell r="AN3"/>
          <cell r="AO3"/>
          <cell r="AP3"/>
          <cell r="AQ3"/>
          <cell r="AR3"/>
        </row>
        <row r="7">
          <cell r="D7">
            <v>60050</v>
          </cell>
          <cell r="E7">
            <v>120050</v>
          </cell>
          <cell r="F7">
            <v>180050</v>
          </cell>
          <cell r="G7">
            <v>210050</v>
          </cell>
          <cell r="H7">
            <v>210050</v>
          </cell>
          <cell r="I7">
            <v>210050</v>
          </cell>
          <cell r="J7">
            <v>210050</v>
          </cell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</row>
      </sheetData>
      <sheetData sheetId="3">
        <row r="3">
          <cell r="D3">
            <v>44592</v>
          </cell>
          <cell r="E3">
            <v>44593</v>
          </cell>
          <cell r="F3">
            <v>44594</v>
          </cell>
          <cell r="G3">
            <v>44595</v>
          </cell>
          <cell r="H3">
            <v>44596</v>
          </cell>
          <cell r="I3">
            <v>44597</v>
          </cell>
          <cell r="J3">
            <v>44599</v>
          </cell>
          <cell r="K3">
            <v>44600</v>
          </cell>
          <cell r="L3">
            <v>44601</v>
          </cell>
          <cell r="M3">
            <v>44602</v>
          </cell>
          <cell r="N3">
            <v>44603</v>
          </cell>
          <cell r="O3">
            <v>44606</v>
          </cell>
          <cell r="P3">
            <v>44607</v>
          </cell>
          <cell r="Q3">
            <v>44608</v>
          </cell>
          <cell r="R3">
            <v>44609</v>
          </cell>
          <cell r="S3">
            <v>44610</v>
          </cell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/>
          <cell r="AG3"/>
          <cell r="AH3"/>
          <cell r="AI3"/>
          <cell r="AJ3"/>
          <cell r="AK3"/>
          <cell r="AL3"/>
          <cell r="AM3"/>
          <cell r="AN3"/>
          <cell r="AO3"/>
          <cell r="AP3"/>
          <cell r="AQ3"/>
          <cell r="AR3"/>
        </row>
        <row r="7">
          <cell r="D7">
            <v>150050</v>
          </cell>
          <cell r="E7">
            <v>120050</v>
          </cell>
          <cell r="F7">
            <v>210050</v>
          </cell>
          <cell r="G7">
            <v>210050</v>
          </cell>
          <cell r="H7">
            <v>210050</v>
          </cell>
          <cell r="I7">
            <v>210050</v>
          </cell>
          <cell r="J7">
            <v>210050</v>
          </cell>
          <cell r="K7">
            <v>210050</v>
          </cell>
          <cell r="L7">
            <v>210050</v>
          </cell>
          <cell r="M7">
            <v>210050</v>
          </cell>
          <cell r="N7">
            <v>210050</v>
          </cell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</row>
      </sheetData>
      <sheetData sheetId="4">
        <row r="3">
          <cell r="D3">
            <v>44592</v>
          </cell>
          <cell r="E3">
            <v>44593</v>
          </cell>
          <cell r="F3">
            <v>44594</v>
          </cell>
          <cell r="G3">
            <v>44595</v>
          </cell>
          <cell r="H3">
            <v>44596</v>
          </cell>
          <cell r="I3">
            <v>44597</v>
          </cell>
          <cell r="J3">
            <v>44599</v>
          </cell>
          <cell r="K3">
            <v>44600</v>
          </cell>
          <cell r="L3">
            <v>44601</v>
          </cell>
          <cell r="M3">
            <v>44602</v>
          </cell>
          <cell r="N3">
            <v>44603</v>
          </cell>
          <cell r="O3">
            <v>44606</v>
          </cell>
          <cell r="P3">
            <v>44607</v>
          </cell>
          <cell r="Q3">
            <v>44608</v>
          </cell>
          <cell r="R3">
            <v>44609</v>
          </cell>
          <cell r="S3">
            <v>44610</v>
          </cell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/>
          <cell r="AG3"/>
          <cell r="AH3"/>
          <cell r="AI3"/>
          <cell r="AJ3"/>
          <cell r="AK3"/>
          <cell r="AL3"/>
          <cell r="AM3"/>
          <cell r="AN3"/>
          <cell r="AO3"/>
          <cell r="AP3"/>
          <cell r="AQ3"/>
          <cell r="AR3"/>
        </row>
        <row r="7">
          <cell r="D7">
            <v>120050</v>
          </cell>
          <cell r="E7">
            <v>120050</v>
          </cell>
          <cell r="F7">
            <v>120050</v>
          </cell>
          <cell r="G7">
            <v>120050</v>
          </cell>
          <cell r="H7">
            <v>120050</v>
          </cell>
          <cell r="I7">
            <v>120050</v>
          </cell>
          <cell r="J7">
            <v>120050</v>
          </cell>
          <cell r="K7">
            <v>120050</v>
          </cell>
          <cell r="L7">
            <v>120050</v>
          </cell>
          <cell r="M7">
            <v>120050</v>
          </cell>
          <cell r="N7">
            <v>120050</v>
          </cell>
          <cell r="O7">
            <v>120050</v>
          </cell>
          <cell r="P7">
            <v>120050</v>
          </cell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</row>
      </sheetData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S39"/>
  <sheetViews>
    <sheetView topLeftCell="A19" zoomScaleNormal="100" workbookViewId="0">
      <selection activeCell="C10" sqref="C10"/>
    </sheetView>
  </sheetViews>
  <sheetFormatPr defaultColWidth="9.140625" defaultRowHeight="12.75"/>
  <cols>
    <col min="1" max="16384" width="9.140625" style="36"/>
  </cols>
  <sheetData>
    <row r="2" spans="2:19" ht="27"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</row>
    <row r="7" spans="2:19" ht="18">
      <c r="N7" s="37"/>
    </row>
    <row r="8" spans="2:19" ht="18">
      <c r="N8" s="37"/>
    </row>
    <row r="9" spans="2:19" ht="18">
      <c r="H9" s="37"/>
    </row>
    <row r="11" spans="2:19" ht="18">
      <c r="H11" s="37"/>
      <c r="I11" s="37"/>
      <c r="K11" s="37"/>
      <c r="M11" s="37"/>
      <c r="N11" s="37"/>
      <c r="O11" s="37"/>
      <c r="P11" s="37"/>
      <c r="Q11" s="37"/>
      <c r="R11" s="37"/>
      <c r="S11" s="37"/>
    </row>
    <row r="12" spans="2:19" ht="18"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</row>
    <row r="13" spans="2:19" ht="18">
      <c r="B13" s="37"/>
      <c r="C13" s="37"/>
      <c r="D13" s="37"/>
      <c r="E13" s="37"/>
      <c r="F13" s="37"/>
      <c r="G13" s="37"/>
      <c r="H13" s="37"/>
      <c r="I13" s="37"/>
      <c r="K13" s="37"/>
      <c r="L13" s="37"/>
      <c r="M13" s="37"/>
      <c r="N13" s="37"/>
      <c r="O13" s="37"/>
      <c r="P13" s="37"/>
      <c r="Q13" s="37"/>
      <c r="R13" s="37"/>
      <c r="S13" s="37"/>
    </row>
    <row r="14" spans="2:19" ht="18"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</row>
    <row r="15" spans="2:19" ht="18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</row>
    <row r="16" spans="2:19" ht="18"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</row>
    <row r="17" spans="2:14" ht="18"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</row>
    <row r="18" spans="2:14" ht="18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</row>
    <row r="19" spans="2:14" ht="18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</row>
    <row r="20" spans="2:14" ht="18"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</row>
    <row r="21" spans="2:14" ht="18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</row>
    <row r="22" spans="2:14" ht="18"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</row>
    <row r="23" spans="2:14" ht="18"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</row>
    <row r="24" spans="2:14" ht="18"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</row>
    <row r="25" spans="2:14" ht="18"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</row>
    <row r="35" spans="2:6">
      <c r="B35" s="38"/>
      <c r="C35" s="38"/>
      <c r="D35" s="38"/>
      <c r="E35" s="38"/>
      <c r="F35" s="38"/>
    </row>
    <row r="36" spans="2:6">
      <c r="B36" s="38" t="s">
        <v>21</v>
      </c>
      <c r="C36" s="38"/>
      <c r="D36" s="38"/>
      <c r="E36" s="38"/>
      <c r="F36" s="38"/>
    </row>
    <row r="37" spans="2:6">
      <c r="B37" s="38"/>
      <c r="C37" s="38"/>
      <c r="D37" s="38"/>
      <c r="E37" s="38"/>
      <c r="F37" s="38"/>
    </row>
    <row r="38" spans="2:6">
      <c r="B38" s="38" t="s">
        <v>22</v>
      </c>
      <c r="C38" s="38"/>
      <c r="D38" s="38"/>
      <c r="E38" s="38"/>
      <c r="F38" s="38"/>
    </row>
    <row r="39" spans="2:6">
      <c r="B39" s="38" t="s">
        <v>23</v>
      </c>
      <c r="C39" s="38"/>
      <c r="D39" s="38"/>
      <c r="E39" s="38"/>
      <c r="F39" s="3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3">
    <tabColor indexed="13"/>
    <pageSetUpPr fitToPage="1"/>
  </sheetPr>
  <dimension ref="A1:AF40"/>
  <sheetViews>
    <sheetView showZeros="0" zoomScaleNormal="100" workbookViewId="0">
      <selection activeCell="B2" sqref="B2"/>
    </sheetView>
  </sheetViews>
  <sheetFormatPr defaultColWidth="11.42578125" defaultRowHeight="12.75"/>
  <cols>
    <col min="1" max="1" width="24.42578125" customWidth="1"/>
    <col min="2" max="29" width="6.7109375" customWidth="1"/>
    <col min="30" max="30" width="12.7109375" customWidth="1"/>
    <col min="31" max="31" width="3.28515625" customWidth="1"/>
  </cols>
  <sheetData>
    <row r="1" spans="1:32" ht="32.25" customHeight="1" thickBot="1">
      <c r="B1" s="5" t="s">
        <v>32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1" t="s">
        <v>44</v>
      </c>
      <c r="V1" s="5"/>
      <c r="W1" s="5"/>
      <c r="X1" s="11"/>
      <c r="Y1" s="5"/>
      <c r="Z1" s="5"/>
      <c r="AA1" s="5"/>
      <c r="AB1" s="89" t="s">
        <v>41</v>
      </c>
      <c r="AC1" s="90"/>
      <c r="AD1" s="76" t="str">
        <f ca="1">MID(CELL("nome.arquivo"),SEARCH(".xl",CELL("nome.arquivo"))-2,2)&amp;" / 20"&amp;MID(CELL("nome.arquivo"),SEARCH(".xl",CELL("nome.arquivo"))-4,2)</f>
        <v>03 / 2022</v>
      </c>
    </row>
    <row r="2" spans="1:32" ht="20.100000000000001" customHeight="1">
      <c r="A2" s="12" t="s">
        <v>0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80"/>
      <c r="AC2" s="80"/>
      <c r="AD2" s="75" t="s">
        <v>11</v>
      </c>
    </row>
    <row r="3" spans="1:32" ht="20.100000000000001" customHeight="1">
      <c r="A3" s="13" t="s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1"/>
      <c r="AC3" s="1"/>
      <c r="AD3" s="3"/>
    </row>
    <row r="4" spans="1:32" ht="20.100000000000001" customHeight="1">
      <c r="A4" s="30" t="s">
        <v>17</v>
      </c>
      <c r="B4" s="86"/>
      <c r="C4" s="86"/>
      <c r="D4" s="86"/>
      <c r="E4" s="86"/>
      <c r="F4" s="86"/>
      <c r="G4" s="86"/>
      <c r="H4" s="86"/>
      <c r="I4" s="86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9"/>
      <c r="Z4" s="59"/>
      <c r="AA4" s="59"/>
      <c r="AB4" s="59"/>
      <c r="AC4" s="59"/>
      <c r="AD4" s="60">
        <f>SUM(B4:AC4)</f>
        <v>0</v>
      </c>
    </row>
    <row r="5" spans="1:32" ht="20.100000000000001" customHeight="1">
      <c r="A5" s="30" t="s">
        <v>18</v>
      </c>
      <c r="B5" s="84"/>
      <c r="C5" s="84"/>
      <c r="D5" s="85"/>
      <c r="E5" s="85"/>
      <c r="F5" s="85"/>
      <c r="G5" s="85"/>
      <c r="H5" s="85"/>
      <c r="I5" s="85"/>
      <c r="J5" s="58"/>
      <c r="K5" s="45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9"/>
      <c r="Z5" s="59"/>
      <c r="AA5" s="59"/>
      <c r="AB5" s="59"/>
      <c r="AC5" s="59"/>
      <c r="AD5" s="60">
        <f>SUM(B5:AC5)</f>
        <v>0</v>
      </c>
    </row>
    <row r="6" spans="1:32" ht="20.100000000000001" customHeight="1" thickBot="1">
      <c r="A6" s="31" t="s">
        <v>20</v>
      </c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61">
        <f>SUM(B6:AC6)</f>
        <v>0</v>
      </c>
      <c r="AF6" s="62"/>
    </row>
    <row r="7" spans="1:32" ht="39.950000000000003" customHeight="1">
      <c r="A7" s="91" t="s">
        <v>3</v>
      </c>
      <c r="B7" s="88">
        <f>B36</f>
        <v>0</v>
      </c>
      <c r="C7" s="88"/>
      <c r="D7" s="88">
        <f t="shared" ref="D7:AC7" si="0">D36</f>
        <v>0</v>
      </c>
      <c r="E7" s="88">
        <f t="shared" si="0"/>
        <v>0</v>
      </c>
      <c r="F7" s="88">
        <f t="shared" si="0"/>
        <v>0</v>
      </c>
      <c r="G7" s="88">
        <f t="shared" si="0"/>
        <v>0</v>
      </c>
      <c r="H7" s="88">
        <f t="shared" si="0"/>
        <v>0</v>
      </c>
      <c r="I7" s="88">
        <f t="shared" si="0"/>
        <v>0</v>
      </c>
      <c r="J7" s="88">
        <f t="shared" si="0"/>
        <v>0</v>
      </c>
      <c r="K7" s="88">
        <f t="shared" si="0"/>
        <v>0</v>
      </c>
      <c r="L7" s="88">
        <f t="shared" ref="L7:N7" si="1">L36</f>
        <v>0</v>
      </c>
      <c r="M7" s="88">
        <f t="shared" si="1"/>
        <v>0</v>
      </c>
      <c r="N7" s="88">
        <f t="shared" si="1"/>
        <v>0</v>
      </c>
      <c r="O7" s="87">
        <f t="shared" si="0"/>
        <v>0</v>
      </c>
      <c r="P7" s="87"/>
      <c r="Q7" s="87">
        <f t="shared" si="0"/>
        <v>0</v>
      </c>
      <c r="R7" s="65"/>
      <c r="S7" s="65"/>
      <c r="T7" s="65"/>
      <c r="U7" s="65"/>
      <c r="V7" s="87">
        <f t="shared" si="0"/>
        <v>0</v>
      </c>
      <c r="W7" s="87">
        <f t="shared" si="0"/>
        <v>0</v>
      </c>
      <c r="X7" s="87">
        <f t="shared" si="0"/>
        <v>0</v>
      </c>
      <c r="Y7" s="87">
        <f t="shared" si="0"/>
        <v>0</v>
      </c>
      <c r="Z7" s="87">
        <f t="shared" si="0"/>
        <v>0</v>
      </c>
      <c r="AA7" s="87">
        <f t="shared" si="0"/>
        <v>0</v>
      </c>
      <c r="AB7" s="87">
        <f t="shared" si="0"/>
        <v>0</v>
      </c>
      <c r="AC7" s="87">
        <f t="shared" si="0"/>
        <v>0</v>
      </c>
      <c r="AD7" s="4"/>
    </row>
    <row r="8" spans="1:32" ht="39.950000000000003" customHeight="1">
      <c r="A8" s="91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7"/>
      <c r="P8" s="87"/>
      <c r="Q8" s="87"/>
      <c r="R8" s="65"/>
      <c r="S8" s="65"/>
      <c r="T8" s="65"/>
      <c r="U8" s="65"/>
      <c r="V8" s="87"/>
      <c r="W8" s="87"/>
      <c r="X8" s="87"/>
      <c r="Y8" s="87"/>
      <c r="Z8" s="87"/>
      <c r="AA8" s="87"/>
      <c r="AB8" s="87"/>
      <c r="AC8" s="87"/>
      <c r="AD8" s="4"/>
    </row>
    <row r="9" spans="1:32" ht="39.950000000000003" customHeight="1">
      <c r="A9" s="91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7"/>
      <c r="P9" s="87"/>
      <c r="Q9" s="87"/>
      <c r="R9" s="65"/>
      <c r="S9" s="65"/>
      <c r="T9" s="65"/>
      <c r="U9" s="65"/>
      <c r="V9" s="87"/>
      <c r="W9" s="87"/>
      <c r="X9" s="87"/>
      <c r="Y9" s="87"/>
      <c r="Z9" s="87"/>
      <c r="AA9" s="87"/>
      <c r="AB9" s="87"/>
      <c r="AC9" s="87"/>
      <c r="AD9" s="4"/>
    </row>
    <row r="10" spans="1:32" ht="39.950000000000003" customHeight="1">
      <c r="A10" s="91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7"/>
      <c r="P10" s="87"/>
      <c r="Q10" s="87"/>
      <c r="R10" s="65"/>
      <c r="S10" s="65"/>
      <c r="T10" s="65"/>
      <c r="U10" s="65"/>
      <c r="V10" s="87"/>
      <c r="W10" s="87"/>
      <c r="X10" s="87"/>
      <c r="Y10" s="87"/>
      <c r="Z10" s="87"/>
      <c r="AA10" s="87"/>
      <c r="AB10" s="87"/>
      <c r="AC10" s="87"/>
      <c r="AD10" s="4"/>
    </row>
    <row r="11" spans="1:32" ht="39.950000000000003" customHeight="1">
      <c r="A11" s="91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7"/>
      <c r="P11" s="87"/>
      <c r="Q11" s="87"/>
      <c r="R11" s="65"/>
      <c r="S11" s="65"/>
      <c r="T11" s="65"/>
      <c r="U11" s="65"/>
      <c r="V11" s="87"/>
      <c r="W11" s="87"/>
      <c r="X11" s="87"/>
      <c r="Y11" s="87"/>
      <c r="Z11" s="87"/>
      <c r="AA11" s="87"/>
      <c r="AB11" s="87"/>
      <c r="AC11" s="87"/>
      <c r="AD11" s="4"/>
    </row>
    <row r="12" spans="1:32" ht="39.950000000000003" customHeight="1">
      <c r="A12" s="91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7"/>
      <c r="P12" s="87"/>
      <c r="Q12" s="87"/>
      <c r="R12" s="65"/>
      <c r="S12" s="65"/>
      <c r="T12" s="65"/>
      <c r="U12" s="65"/>
      <c r="V12" s="87"/>
      <c r="W12" s="87"/>
      <c r="X12" s="87"/>
      <c r="Y12" s="87"/>
      <c r="Z12" s="87"/>
      <c r="AA12" s="87"/>
      <c r="AB12" s="87"/>
      <c r="AC12" s="87"/>
      <c r="AD12" s="4"/>
    </row>
    <row r="13" spans="1:32" ht="39.950000000000003" customHeight="1">
      <c r="A13" s="91"/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7"/>
      <c r="P13" s="87"/>
      <c r="Q13" s="87"/>
      <c r="R13" s="65"/>
      <c r="S13" s="65"/>
      <c r="T13" s="65"/>
      <c r="U13" s="65"/>
      <c r="V13" s="87"/>
      <c r="W13" s="87"/>
      <c r="X13" s="87"/>
      <c r="Y13" s="87"/>
      <c r="Z13" s="87"/>
      <c r="AA13" s="87"/>
      <c r="AB13" s="87"/>
      <c r="AC13" s="87"/>
      <c r="AD13" s="4"/>
    </row>
    <row r="14" spans="1:32" ht="39.950000000000003" customHeight="1">
      <c r="A14" s="91"/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7"/>
      <c r="P14" s="87"/>
      <c r="Q14" s="87"/>
      <c r="R14" s="65"/>
      <c r="S14" s="65"/>
      <c r="T14" s="65"/>
      <c r="U14" s="65"/>
      <c r="V14" s="87"/>
      <c r="W14" s="87"/>
      <c r="X14" s="87"/>
      <c r="Y14" s="87"/>
      <c r="Z14" s="87"/>
      <c r="AA14" s="87"/>
      <c r="AB14" s="87"/>
      <c r="AC14" s="87"/>
      <c r="AD14" s="4"/>
    </row>
    <row r="15" spans="1:32" ht="39.950000000000003" customHeight="1" thickBot="1">
      <c r="A15" s="91"/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7"/>
      <c r="P15" s="87"/>
      <c r="Q15" s="87"/>
      <c r="R15" s="65"/>
      <c r="S15" s="65"/>
      <c r="T15" s="65"/>
      <c r="U15" s="65"/>
      <c r="V15" s="87"/>
      <c r="W15" s="87"/>
      <c r="X15" s="87"/>
      <c r="Y15" s="87"/>
      <c r="Z15" s="87"/>
      <c r="AA15" s="87"/>
      <c r="AB15" s="87"/>
      <c r="AC15" s="87"/>
      <c r="AD15" s="4"/>
    </row>
    <row r="16" spans="1:32" ht="21" customHeight="1">
      <c r="A16" s="14" t="s">
        <v>13</v>
      </c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7">
        <f>SUM(B16:AC16)</f>
        <v>0</v>
      </c>
    </row>
    <row r="17" spans="1:30" ht="21" customHeight="1">
      <c r="A17" s="15" t="s">
        <v>14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9">
        <f>SUM(B17:AC17)</f>
        <v>0</v>
      </c>
    </row>
    <row r="18" spans="1:30" ht="21" customHeight="1">
      <c r="A18" s="15" t="s">
        <v>15</v>
      </c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9">
        <f>SUM(B18:AC18)</f>
        <v>0</v>
      </c>
    </row>
    <row r="19" spans="1:30" ht="21" customHeight="1">
      <c r="A19" s="15" t="s">
        <v>16</v>
      </c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9">
        <f>SUM(B19:AC19)</f>
        <v>0</v>
      </c>
    </row>
    <row r="20" spans="1:30" ht="21" customHeight="1">
      <c r="A20" s="15" t="s">
        <v>26</v>
      </c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9">
        <f>SUM(B20:AC20)</f>
        <v>0</v>
      </c>
    </row>
    <row r="21" spans="1:30" ht="21" customHeight="1">
      <c r="A21" s="16" t="s">
        <v>19</v>
      </c>
      <c r="B21" s="50">
        <f>SUBTOTAL(9,B16:B20)</f>
        <v>0</v>
      </c>
      <c r="C21" s="50">
        <f t="shared" ref="C21:AD21" si="2">SUBTOTAL(9,C16:C20)</f>
        <v>0</v>
      </c>
      <c r="D21" s="50">
        <f t="shared" si="2"/>
        <v>0</v>
      </c>
      <c r="E21" s="50">
        <f t="shared" si="2"/>
        <v>0</v>
      </c>
      <c r="F21" s="50">
        <f t="shared" si="2"/>
        <v>0</v>
      </c>
      <c r="G21" s="50">
        <f t="shared" si="2"/>
        <v>0</v>
      </c>
      <c r="H21" s="50">
        <f t="shared" si="2"/>
        <v>0</v>
      </c>
      <c r="I21" s="50">
        <f t="shared" si="2"/>
        <v>0</v>
      </c>
      <c r="J21" s="50">
        <f t="shared" si="2"/>
        <v>0</v>
      </c>
      <c r="K21" s="50">
        <f t="shared" si="2"/>
        <v>0</v>
      </c>
      <c r="L21" s="50">
        <f t="shared" si="2"/>
        <v>0</v>
      </c>
      <c r="M21" s="50">
        <f t="shared" si="2"/>
        <v>0</v>
      </c>
      <c r="N21" s="50">
        <f t="shared" si="2"/>
        <v>0</v>
      </c>
      <c r="O21" s="50">
        <f t="shared" si="2"/>
        <v>0</v>
      </c>
      <c r="P21" s="50">
        <f t="shared" si="2"/>
        <v>0</v>
      </c>
      <c r="Q21" s="50">
        <f t="shared" si="2"/>
        <v>0</v>
      </c>
      <c r="R21" s="50">
        <f t="shared" si="2"/>
        <v>0</v>
      </c>
      <c r="S21" s="50">
        <f t="shared" si="2"/>
        <v>0</v>
      </c>
      <c r="T21" s="50">
        <f t="shared" si="2"/>
        <v>0</v>
      </c>
      <c r="U21" s="50">
        <f t="shared" si="2"/>
        <v>0</v>
      </c>
      <c r="V21" s="50">
        <f t="shared" si="2"/>
        <v>0</v>
      </c>
      <c r="W21" s="50">
        <f t="shared" si="2"/>
        <v>0</v>
      </c>
      <c r="X21" s="50">
        <f t="shared" si="2"/>
        <v>0</v>
      </c>
      <c r="Y21" s="50">
        <f t="shared" si="2"/>
        <v>0</v>
      </c>
      <c r="Z21" s="50">
        <f t="shared" si="2"/>
        <v>0</v>
      </c>
      <c r="AA21" s="50">
        <f t="shared" si="2"/>
        <v>0</v>
      </c>
      <c r="AB21" s="50">
        <f t="shared" si="2"/>
        <v>0</v>
      </c>
      <c r="AC21" s="50">
        <f t="shared" si="2"/>
        <v>0</v>
      </c>
      <c r="AD21" s="52">
        <f t="shared" si="2"/>
        <v>0</v>
      </c>
    </row>
    <row r="22" spans="1:30" ht="21" customHeight="1">
      <c r="A22" s="15" t="s">
        <v>27</v>
      </c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9">
        <f>SUM(B22:AC22)</f>
        <v>0</v>
      </c>
    </row>
    <row r="23" spans="1:30" ht="21" customHeight="1">
      <c r="A23" s="15" t="s">
        <v>28</v>
      </c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9">
        <f>SUM(B23:AC23)</f>
        <v>0</v>
      </c>
    </row>
    <row r="24" spans="1:30" ht="21" customHeight="1">
      <c r="A24" s="15" t="s">
        <v>30</v>
      </c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9">
        <f>SUM(B24:AC24)</f>
        <v>0</v>
      </c>
    </row>
    <row r="25" spans="1:30" ht="21" customHeight="1">
      <c r="A25" s="15" t="s">
        <v>29</v>
      </c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 t="s">
        <v>24</v>
      </c>
      <c r="AB25" s="48"/>
      <c r="AC25" s="48"/>
      <c r="AD25" s="49">
        <f>SUM(B25:AC25)</f>
        <v>0</v>
      </c>
    </row>
    <row r="26" spans="1:30" ht="24">
      <c r="A26" s="63" t="s">
        <v>31</v>
      </c>
      <c r="B26" s="51">
        <f>SUBTOTAL(9,B22:B25)</f>
        <v>0</v>
      </c>
      <c r="C26" s="51">
        <f t="shared" ref="C26:AD26" si="3">SUBTOTAL(9,C22:C25)</f>
        <v>0</v>
      </c>
      <c r="D26" s="51">
        <f t="shared" si="3"/>
        <v>0</v>
      </c>
      <c r="E26" s="51">
        <f t="shared" si="3"/>
        <v>0</v>
      </c>
      <c r="F26" s="51">
        <f t="shared" si="3"/>
        <v>0</v>
      </c>
      <c r="G26" s="51">
        <f t="shared" si="3"/>
        <v>0</v>
      </c>
      <c r="H26" s="51">
        <f t="shared" si="3"/>
        <v>0</v>
      </c>
      <c r="I26" s="51">
        <f t="shared" si="3"/>
        <v>0</v>
      </c>
      <c r="J26" s="51">
        <f t="shared" si="3"/>
        <v>0</v>
      </c>
      <c r="K26" s="51">
        <f t="shared" si="3"/>
        <v>0</v>
      </c>
      <c r="L26" s="51">
        <f t="shared" si="3"/>
        <v>0</v>
      </c>
      <c r="M26" s="51">
        <f t="shared" si="3"/>
        <v>0</v>
      </c>
      <c r="N26" s="51">
        <f t="shared" si="3"/>
        <v>0</v>
      </c>
      <c r="O26" s="51">
        <f t="shared" si="3"/>
        <v>0</v>
      </c>
      <c r="P26" s="51">
        <f t="shared" si="3"/>
        <v>0</v>
      </c>
      <c r="Q26" s="51">
        <f t="shared" si="3"/>
        <v>0</v>
      </c>
      <c r="R26" s="51">
        <f t="shared" si="3"/>
        <v>0</v>
      </c>
      <c r="S26" s="51">
        <f t="shared" si="3"/>
        <v>0</v>
      </c>
      <c r="T26" s="51">
        <f t="shared" si="3"/>
        <v>0</v>
      </c>
      <c r="U26" s="51">
        <f t="shared" si="3"/>
        <v>0</v>
      </c>
      <c r="V26" s="51">
        <f t="shared" si="3"/>
        <v>0</v>
      </c>
      <c r="W26" s="51">
        <f t="shared" si="3"/>
        <v>0</v>
      </c>
      <c r="X26" s="51">
        <f t="shared" si="3"/>
        <v>0</v>
      </c>
      <c r="Y26" s="51">
        <f t="shared" si="3"/>
        <v>0</v>
      </c>
      <c r="Z26" s="51">
        <f t="shared" si="3"/>
        <v>0</v>
      </c>
      <c r="AA26" s="51">
        <f t="shared" si="3"/>
        <v>0</v>
      </c>
      <c r="AB26" s="51">
        <f t="shared" si="3"/>
        <v>0</v>
      </c>
      <c r="AC26" s="51">
        <f t="shared" si="3"/>
        <v>0</v>
      </c>
      <c r="AD26" s="52">
        <f t="shared" si="3"/>
        <v>0</v>
      </c>
    </row>
    <row r="27" spans="1:30" ht="21" customHeight="1">
      <c r="A27" s="16" t="s">
        <v>2</v>
      </c>
      <c r="B27" s="53">
        <f>SUBTOTAL(9,B16:B26)</f>
        <v>0</v>
      </c>
      <c r="C27" s="53">
        <f t="shared" ref="C27:AD27" si="4">SUBTOTAL(9,C16:C26)</f>
        <v>0</v>
      </c>
      <c r="D27" s="53">
        <f t="shared" si="4"/>
        <v>0</v>
      </c>
      <c r="E27" s="53">
        <f t="shared" si="4"/>
        <v>0</v>
      </c>
      <c r="F27" s="53">
        <f t="shared" si="4"/>
        <v>0</v>
      </c>
      <c r="G27" s="53">
        <f t="shared" si="4"/>
        <v>0</v>
      </c>
      <c r="H27" s="53">
        <f t="shared" si="4"/>
        <v>0</v>
      </c>
      <c r="I27" s="53">
        <f t="shared" si="4"/>
        <v>0</v>
      </c>
      <c r="J27" s="53">
        <f t="shared" si="4"/>
        <v>0</v>
      </c>
      <c r="K27" s="53">
        <f t="shared" si="4"/>
        <v>0</v>
      </c>
      <c r="L27" s="53">
        <f t="shared" si="4"/>
        <v>0</v>
      </c>
      <c r="M27" s="53">
        <f t="shared" si="4"/>
        <v>0</v>
      </c>
      <c r="N27" s="53">
        <f t="shared" si="4"/>
        <v>0</v>
      </c>
      <c r="O27" s="53">
        <f t="shared" si="4"/>
        <v>0</v>
      </c>
      <c r="P27" s="53">
        <f t="shared" si="4"/>
        <v>0</v>
      </c>
      <c r="Q27" s="53">
        <f t="shared" si="4"/>
        <v>0</v>
      </c>
      <c r="R27" s="53">
        <f t="shared" si="4"/>
        <v>0</v>
      </c>
      <c r="S27" s="53">
        <f t="shared" si="4"/>
        <v>0</v>
      </c>
      <c r="T27" s="53">
        <f t="shared" si="4"/>
        <v>0</v>
      </c>
      <c r="U27" s="53">
        <f t="shared" si="4"/>
        <v>0</v>
      </c>
      <c r="V27" s="53">
        <f t="shared" si="4"/>
        <v>0</v>
      </c>
      <c r="W27" s="53">
        <f t="shared" si="4"/>
        <v>0</v>
      </c>
      <c r="X27" s="53">
        <f t="shared" si="4"/>
        <v>0</v>
      </c>
      <c r="Y27" s="53">
        <f t="shared" si="4"/>
        <v>0</v>
      </c>
      <c r="Z27" s="53">
        <f t="shared" si="4"/>
        <v>0</v>
      </c>
      <c r="AA27" s="53">
        <f t="shared" si="4"/>
        <v>0</v>
      </c>
      <c r="AB27" s="53">
        <f t="shared" si="4"/>
        <v>0</v>
      </c>
      <c r="AC27" s="53">
        <f t="shared" si="4"/>
        <v>0</v>
      </c>
      <c r="AD27" s="54">
        <f t="shared" si="4"/>
        <v>0</v>
      </c>
    </row>
    <row r="28" spans="1:30" ht="21" customHeight="1" thickBot="1">
      <c r="A28" s="66" t="s">
        <v>12</v>
      </c>
      <c r="B28" s="67" t="str">
        <f>(IF(ISERR(B27/B6)," ",B27/B6*1000000))</f>
        <v xml:space="preserve"> </v>
      </c>
      <c r="C28" s="67" t="str">
        <f>(IF(ISERR(C27/C6)," ",C27/C6*1000000))</f>
        <v xml:space="preserve"> </v>
      </c>
      <c r="D28" s="67" t="str">
        <f>(IF(ISERR(D27/D6)," ",D27/D6*1000000))</f>
        <v xml:space="preserve"> </v>
      </c>
      <c r="E28" s="67" t="str">
        <f>(IF(ISERR(E27/E6)," ",E27/E6*1000000))</f>
        <v xml:space="preserve"> </v>
      </c>
      <c r="F28" s="67" t="str">
        <f>(IF(ISERR(F27/F6)," ",F27/F6*1000000))</f>
        <v xml:space="preserve"> </v>
      </c>
      <c r="G28" s="67" t="str">
        <f t="shared" ref="G28:AC28" si="5">(IF(ISERR(G27/G6)," ",G27/G6*1000000))</f>
        <v xml:space="preserve"> </v>
      </c>
      <c r="H28" s="67" t="str">
        <f t="shared" si="5"/>
        <v xml:space="preserve"> </v>
      </c>
      <c r="I28" s="67" t="str">
        <f t="shared" si="5"/>
        <v xml:space="preserve"> </v>
      </c>
      <c r="J28" s="67" t="str">
        <f t="shared" si="5"/>
        <v xml:space="preserve"> </v>
      </c>
      <c r="K28" s="67" t="str">
        <f>(IF(ISERR(K27/K6)," ",K27/K6*1000000))</f>
        <v xml:space="preserve"> </v>
      </c>
      <c r="L28" s="67" t="str">
        <f>(IF(ISERR(L27/L6)," ",L27/L6*1000000))</f>
        <v xml:space="preserve"> </v>
      </c>
      <c r="M28" s="67" t="str">
        <f t="shared" si="5"/>
        <v xml:space="preserve"> </v>
      </c>
      <c r="N28" s="67" t="str">
        <f t="shared" si="5"/>
        <v xml:space="preserve"> </v>
      </c>
      <c r="O28" s="67" t="str">
        <f t="shared" si="5"/>
        <v xml:space="preserve"> </v>
      </c>
      <c r="P28" s="67" t="str">
        <f t="shared" si="5"/>
        <v xml:space="preserve"> </v>
      </c>
      <c r="Q28" s="67" t="str">
        <f t="shared" si="5"/>
        <v xml:space="preserve"> </v>
      </c>
      <c r="R28" s="67" t="str">
        <f t="shared" si="5"/>
        <v xml:space="preserve"> </v>
      </c>
      <c r="S28" s="67" t="str">
        <f t="shared" si="5"/>
        <v xml:space="preserve"> </v>
      </c>
      <c r="T28" s="67" t="str">
        <f t="shared" si="5"/>
        <v xml:space="preserve"> </v>
      </c>
      <c r="U28" s="67" t="str">
        <f t="shared" si="5"/>
        <v xml:space="preserve"> </v>
      </c>
      <c r="V28" s="67" t="str">
        <f t="shared" si="5"/>
        <v xml:space="preserve"> </v>
      </c>
      <c r="W28" s="67" t="str">
        <f t="shared" si="5"/>
        <v xml:space="preserve"> </v>
      </c>
      <c r="X28" s="67" t="str">
        <f t="shared" si="5"/>
        <v xml:space="preserve"> </v>
      </c>
      <c r="Y28" s="67" t="str">
        <f t="shared" si="5"/>
        <v xml:space="preserve"> </v>
      </c>
      <c r="Z28" s="67" t="str">
        <f t="shared" si="5"/>
        <v xml:space="preserve"> </v>
      </c>
      <c r="AA28" s="67" t="str">
        <f t="shared" si="5"/>
        <v xml:space="preserve"> </v>
      </c>
      <c r="AB28" s="67" t="str">
        <f t="shared" si="5"/>
        <v xml:space="preserve"> </v>
      </c>
      <c r="AC28" s="67" t="str">
        <f t="shared" si="5"/>
        <v xml:space="preserve"> </v>
      </c>
      <c r="AD28" s="68" t="str">
        <f t="shared" ref="AD28" si="6">(IF(ISERR(AD27/AD6)," ",AD27/AD6*1000000))</f>
        <v xml:space="preserve"> </v>
      </c>
    </row>
    <row r="29" spans="1:30" ht="21" customHeight="1">
      <c r="A29" s="69" t="s">
        <v>33</v>
      </c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1"/>
      <c r="AA29" s="71"/>
      <c r="AB29" s="71"/>
      <c r="AC29" s="71"/>
      <c r="AD29" s="72"/>
    </row>
    <row r="30" spans="1:30" ht="21" customHeight="1" thickBot="1">
      <c r="A30" s="29" t="s">
        <v>34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6"/>
      <c r="AA30" s="56"/>
      <c r="AB30" s="56"/>
      <c r="AC30" s="56"/>
      <c r="AD30" s="57"/>
    </row>
    <row r="31" spans="1:30" ht="21" customHeight="1">
      <c r="A31" s="17" t="s">
        <v>7</v>
      </c>
      <c r="B31" s="18"/>
      <c r="C31" s="18"/>
      <c r="D31" s="18"/>
      <c r="E31" s="18"/>
      <c r="F31" s="18"/>
      <c r="G31" s="17" t="s">
        <v>9</v>
      </c>
      <c r="H31" s="18"/>
      <c r="I31" s="18"/>
      <c r="J31" s="18"/>
      <c r="K31" s="18"/>
      <c r="L31" s="18"/>
      <c r="M31" s="18"/>
      <c r="N31" s="18"/>
      <c r="O31" s="18"/>
      <c r="P31" s="19"/>
      <c r="Q31" s="20"/>
      <c r="R31" s="19"/>
      <c r="S31" s="19"/>
      <c r="T31" s="19"/>
      <c r="U31" s="19"/>
      <c r="V31" s="21" t="s">
        <v>10</v>
      </c>
      <c r="W31" s="19"/>
      <c r="X31" s="19"/>
      <c r="Y31" s="19"/>
      <c r="Z31" s="19"/>
      <c r="AA31" s="19"/>
      <c r="AB31" s="19"/>
      <c r="AC31" s="19"/>
      <c r="AD31" s="9"/>
    </row>
    <row r="32" spans="1:30" s="25" customFormat="1" ht="21" customHeight="1" thickBot="1">
      <c r="A32" s="22" t="s">
        <v>8</v>
      </c>
      <c r="B32" s="23"/>
      <c r="C32" s="23"/>
      <c r="D32" s="23"/>
      <c r="E32" s="23"/>
      <c r="F32" s="23"/>
      <c r="G32" s="22" t="s">
        <v>8</v>
      </c>
      <c r="H32" s="23"/>
      <c r="I32" s="23"/>
      <c r="J32" s="23"/>
      <c r="K32" s="23"/>
      <c r="L32" s="23"/>
      <c r="M32" s="23"/>
      <c r="N32" s="23"/>
      <c r="O32" s="23"/>
      <c r="P32" s="23"/>
      <c r="Q32" s="24"/>
      <c r="R32" s="23"/>
      <c r="S32" s="23"/>
      <c r="T32" s="23"/>
      <c r="U32" s="23"/>
      <c r="V32" s="22" t="s">
        <v>8</v>
      </c>
      <c r="W32" s="23"/>
      <c r="X32" s="23"/>
      <c r="Y32" s="23"/>
      <c r="Z32" s="23"/>
      <c r="AA32" s="23"/>
      <c r="AB32" s="23"/>
      <c r="AC32" s="23"/>
      <c r="AD32" s="24"/>
    </row>
    <row r="33" spans="1:30">
      <c r="A33" t="s">
        <v>4</v>
      </c>
      <c r="B33" s="26">
        <f>'[1]SJCPIL 16-006-08'!$Y$20</f>
        <v>620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</row>
    <row r="34" spans="1:30"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</row>
    <row r="35" spans="1:30">
      <c r="A35" s="10" t="s">
        <v>5</v>
      </c>
      <c r="B35" s="74">
        <f>B2</f>
        <v>0</v>
      </c>
      <c r="C35" s="74">
        <f>C2</f>
        <v>0</v>
      </c>
      <c r="D35" s="74">
        <f>D2</f>
        <v>0</v>
      </c>
      <c r="E35" s="74">
        <f>'Linha UM-4 - 2T'!D2</f>
        <v>0</v>
      </c>
      <c r="F35" s="74">
        <f t="shared" ref="F35:T35" si="7">F2</f>
        <v>0</v>
      </c>
      <c r="G35" s="74">
        <f t="shared" si="7"/>
        <v>0</v>
      </c>
      <c r="H35" s="74">
        <f t="shared" si="7"/>
        <v>0</v>
      </c>
      <c r="I35" s="74">
        <f t="shared" si="7"/>
        <v>0</v>
      </c>
      <c r="J35" s="74">
        <f t="shared" si="7"/>
        <v>0</v>
      </c>
      <c r="K35" s="74">
        <f t="shared" si="7"/>
        <v>0</v>
      </c>
      <c r="L35" s="74">
        <f t="shared" si="7"/>
        <v>0</v>
      </c>
      <c r="M35" s="74">
        <f t="shared" si="7"/>
        <v>0</v>
      </c>
      <c r="N35" s="74">
        <f t="shared" si="7"/>
        <v>0</v>
      </c>
      <c r="O35" s="74">
        <f t="shared" si="7"/>
        <v>0</v>
      </c>
      <c r="P35" s="74">
        <f t="shared" si="7"/>
        <v>0</v>
      </c>
      <c r="Q35" s="74">
        <f t="shared" si="7"/>
        <v>0</v>
      </c>
      <c r="R35" s="74">
        <f t="shared" si="7"/>
        <v>0</v>
      </c>
      <c r="S35" s="74">
        <f t="shared" si="7"/>
        <v>0</v>
      </c>
      <c r="T35" s="74">
        <f t="shared" si="7"/>
        <v>0</v>
      </c>
      <c r="U35" s="74"/>
      <c r="V35" s="74">
        <f t="shared" ref="V35:AC35" si="8">V2</f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  <c r="AA35" s="74">
        <f t="shared" si="8"/>
        <v>0</v>
      </c>
      <c r="AB35" s="74">
        <f t="shared" si="8"/>
        <v>0</v>
      </c>
      <c r="AC35" s="74">
        <f t="shared" si="8"/>
        <v>0</v>
      </c>
    </row>
    <row r="36" spans="1:30" ht="120" customHeight="1">
      <c r="A36" s="28" t="s">
        <v>6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"/>
      <c r="T36" s="6"/>
      <c r="U36" s="6"/>
      <c r="V36" s="6"/>
      <c r="W36" s="6"/>
      <c r="X36" s="7"/>
      <c r="Y36" s="7"/>
      <c r="Z36" s="7"/>
      <c r="AA36" s="7"/>
      <c r="AB36" s="7"/>
      <c r="AC36" s="8"/>
    </row>
    <row r="38" spans="1:30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>
        <f>AB5-AB6-AB25</f>
        <v>0</v>
      </c>
      <c r="AC38" s="32">
        <f>AC5-AC6-AC25</f>
        <v>0</v>
      </c>
      <c r="AD38">
        <f>AD5-AD6-AD25</f>
        <v>0</v>
      </c>
    </row>
    <row r="39" spans="1:30">
      <c r="A39" s="81" t="s">
        <v>47</v>
      </c>
      <c r="B39" s="33">
        <f>SUMIF('[2]Linha UM-4 - Dia'!$D$2:$AC$2,B2,'[2]Linha UM-4 - Dia'!$D$4:$AC$4)</f>
        <v>0</v>
      </c>
      <c r="C39" s="33">
        <f>SUMIF('[2]Linha UM-4 - Dia'!$D$2:$AC$2,C2,'[2]Linha UM-4 - Dia'!$D$4:$AC$4)</f>
        <v>0</v>
      </c>
      <c r="D39" s="33">
        <f>SUMIF('[2]Linha UM-4 - Dia'!$D$2:$AC$2,D2,'[2]Linha UM-4 - Dia'!$D$4:$AC$4)</f>
        <v>0</v>
      </c>
      <c r="E39" s="33">
        <f>SUMIF('[2]Linha UM-4 - Dia'!$D$2:$AC$2,E2,'[2]Linha UM-4 - Dia'!$D$4:$AC$4)</f>
        <v>0</v>
      </c>
      <c r="F39" s="33">
        <f>SUMIF('[2]Linha UM-4 - Dia'!$D$2:$AC$2,F2,'[2]Linha UM-4 - Dia'!$D$4:$AC$4)</f>
        <v>0</v>
      </c>
      <c r="G39" s="33">
        <f>SUMIF('[2]Linha UM-4 - Dia'!$D$2:$AC$2,G2,'[2]Linha UM-4 - Dia'!$D$4:$AC$4)</f>
        <v>0</v>
      </c>
      <c r="H39" s="33">
        <f>SUMIF('[2]Linha UM-4 - Dia'!$D$2:$AC$2,H2,'[2]Linha UM-4 - Dia'!$D$4:$AC$4)</f>
        <v>0</v>
      </c>
      <c r="I39" s="33">
        <f>SUMIF('[2]Linha UM-4 - Dia'!$D$2:$AC$2,I2,'[2]Linha UM-4 - Dia'!$D$4:$AC$4)</f>
        <v>0</v>
      </c>
      <c r="J39" s="33">
        <f>SUMIF('[2]Linha UM-4 - Dia'!$D$2:$AC$2,J2,'[2]Linha UM-4 - Dia'!$D$4:$AC$4)</f>
        <v>0</v>
      </c>
      <c r="K39" s="33">
        <f>SUMIF('[2]Linha UM-4 - Dia'!$D$2:$AC$2,K2,'[2]Linha UM-4 - Dia'!$D$4:$AC$4)</f>
        <v>0</v>
      </c>
      <c r="L39" s="33">
        <f>SUMIF('[2]Linha UM-4 - Dia'!$D$2:$AC$2,L2,'[2]Linha UM-4 - Dia'!$D$4:$AC$4)</f>
        <v>0</v>
      </c>
      <c r="M39" s="33">
        <f>SUMIF('[2]Linha UM-4 - Dia'!$D$2:$AC$2,M2,'[2]Linha UM-4 - Dia'!$D$4:$AC$4)</f>
        <v>0</v>
      </c>
      <c r="N39" s="33">
        <f>SUMIF('[2]Linha UM-4 - Dia'!$D$2:$AC$2,N2,'[2]Linha UM-4 - Dia'!$D$4:$AC$4)</f>
        <v>0</v>
      </c>
      <c r="O39" s="33">
        <f>SUMIF('[2]Linha UM-4 - Dia'!$D$2:$AC$2,O2,'[2]Linha UM-4 - Dia'!$D$4:$AC$4)</f>
        <v>0</v>
      </c>
      <c r="P39" s="33">
        <f>SUMIF('[2]Linha UM-4 - Dia'!$D$2:$AC$2,P2,'[2]Linha UM-4 - Dia'!$D$4:$AC$4)</f>
        <v>0</v>
      </c>
      <c r="Q39" s="33">
        <f>SUMIF('[2]Linha UM-4 - Dia'!$D$2:$AC$2,Q2,'[2]Linha UM-4 - Dia'!$D$4:$AC$4)</f>
        <v>0</v>
      </c>
      <c r="R39" s="33">
        <f>SUMIF('[2]Linha UM-4 - Dia'!$D$2:$AC$2,R2,'[2]Linha UM-4 - Dia'!$D$4:$AC$4)</f>
        <v>0</v>
      </c>
      <c r="S39" s="33">
        <f>SUMIF('[2]Linha UM-4 - Dia'!$D$2:$AC$2,S2,'[2]Linha UM-4 - Dia'!$D$4:$AC$4)</f>
        <v>0</v>
      </c>
      <c r="T39" s="33">
        <f>SUMIF('[2]Linha UM-4 - Dia'!$D$2:$AC$2,T2,'[2]Linha UM-4 - Dia'!$D$4:$AC$4)</f>
        <v>0</v>
      </c>
      <c r="U39" s="33">
        <f>SUMIF('[2]Linha UM-4 - Dia'!$D$2:$AC$2,U2,'[2]Linha UM-4 - Dia'!$D$4:$AC$4)</f>
        <v>0</v>
      </c>
      <c r="V39" s="33">
        <f>SUMIF('[2]Linha UM-4 - Dia'!$D$2:$AC$2,V2,'[2]Linha UM-4 - Dia'!$D$4:$AC$4)</f>
        <v>0</v>
      </c>
      <c r="W39" s="33">
        <f>SUMIF('[2]Linha UM-4 - Dia'!$D$2:$AC$2,W2,'[2]Linha UM-4 - Dia'!$D$4:$AC$4)</f>
        <v>0</v>
      </c>
      <c r="X39" s="33">
        <f>SUMIF('[2]Linha UM-4 - Dia'!$D$2:$AC$2,X2,'[2]Linha UM-4 - Dia'!$D$4:$AC$4)</f>
        <v>0</v>
      </c>
      <c r="Y39" s="33">
        <f>SUMIF('[2]Linha UM-4 - Dia'!$D$2:$AC$2,Y2,'[2]Linha UM-4 - Dia'!$D$4:$AC$4)</f>
        <v>0</v>
      </c>
      <c r="Z39" s="33">
        <f>SUMIF('[2]Linha UM-4 - Dia'!$D$2:$AC$2,Z2,'[2]Linha UM-4 - Dia'!$D$4:$AC$4)</f>
        <v>0</v>
      </c>
      <c r="AA39" s="33">
        <f>SUMIF('[2]Linha UM-4 - Dia'!$D$2:$AC$2,AA2,'[2]Linha UM-4 - Dia'!$D$4:$AC$4)</f>
        <v>0</v>
      </c>
      <c r="AB39" s="33">
        <f>SUMIF('[2]Linha UM-4 - Dia'!$D$2:$AC$2,AB2,'[2]Linha UM-4 - Dia'!$D$4:$AC$4)</f>
        <v>0</v>
      </c>
      <c r="AC39" s="33">
        <f>SUMIF('[2]Linha UM-4 - Dia'!$D$2:$AC$2,AC2,'[2]Linha UM-4 - Dia'!$D$4:$AC$4)</f>
        <v>0</v>
      </c>
      <c r="AD39" s="33">
        <f>AD5-AD6</f>
        <v>0</v>
      </c>
    </row>
    <row r="40" spans="1:30">
      <c r="A40" s="82" t="s">
        <v>48</v>
      </c>
      <c r="B40" s="83" t="e">
        <f>SUMIF('[3]UM-4 - Dia'!$D$3:$AR$3,B2,'[3]UM-4 - Dia'!$D$7:$AR$7)</f>
        <v>#VALUE!</v>
      </c>
      <c r="C40" s="83" t="e">
        <f>SUMIF('[3]UM-4 - Dia'!$D$3:$AR$3,C2,'[3]UM-4 - Dia'!$D$7:$AR$7)</f>
        <v>#VALUE!</v>
      </c>
      <c r="D40" s="83" t="e">
        <f>SUMIF('[3]UM-4 - Dia'!$D$3:$AR$3,D2,'[3]UM-4 - Dia'!$D$7:$AR$7)</f>
        <v>#VALUE!</v>
      </c>
      <c r="E40" s="83" t="e">
        <f>SUMIF('[3]UM-4 - Dia'!$D$3:$AR$3,E2,'[3]UM-4 - Dia'!$D$7:$AR$7)</f>
        <v>#VALUE!</v>
      </c>
      <c r="F40" s="83" t="e">
        <f>SUMIF('[3]UM-4 - Dia'!$D$3:$AR$3,F2,'[3]UM-4 - Dia'!$D$7:$AR$7)</f>
        <v>#VALUE!</v>
      </c>
      <c r="G40" s="83" t="e">
        <f>SUMIF('[3]UM-4 - Dia'!$D$3:$AR$3,G2,'[3]UM-4 - Dia'!$D$7:$AR$7)</f>
        <v>#VALUE!</v>
      </c>
      <c r="H40" s="83" t="e">
        <f>SUMIF('[3]UM-4 - Dia'!$D$3:$AR$3,H2,'[3]UM-4 - Dia'!$D$7:$AR$7)</f>
        <v>#VALUE!</v>
      </c>
      <c r="I40" s="83" t="e">
        <f>SUMIF('[3]UM-4 - Dia'!$D$3:$AR$3,I2,'[3]UM-4 - Dia'!$D$7:$AR$7)</f>
        <v>#VALUE!</v>
      </c>
      <c r="J40" s="83" t="e">
        <f>SUMIF('[3]UM-4 - Dia'!$D$3:$AR$3,J2,'[3]UM-4 - Dia'!$D$7:$AR$7)</f>
        <v>#VALUE!</v>
      </c>
      <c r="K40" s="83" t="e">
        <f>SUMIF('[3]UM-4 - Dia'!$D$3:$AR$3,K2,'[3]UM-4 - Dia'!$D$7:$AR$7)</f>
        <v>#VALUE!</v>
      </c>
      <c r="L40" s="83" t="e">
        <f>SUMIF('[3]UM-4 - Dia'!$D$3:$AR$3,L2,'[3]UM-4 - Dia'!$D$7:$AR$7)</f>
        <v>#VALUE!</v>
      </c>
      <c r="M40" s="83" t="e">
        <f>SUMIF('[3]UM-4 - Dia'!$D$3:$AR$3,M2,'[3]UM-4 - Dia'!$D$7:$AR$7)</f>
        <v>#VALUE!</v>
      </c>
      <c r="N40" s="83" t="e">
        <f>SUMIF('[3]UM-4 - Dia'!$D$3:$AR$3,N2,'[3]UM-4 - Dia'!$D$7:$AR$7)</f>
        <v>#VALUE!</v>
      </c>
      <c r="O40" s="83" t="e">
        <f>SUMIF('[3]UM-4 - Dia'!$D$3:$AR$3,O2,'[3]UM-4 - Dia'!$D$7:$AR$7)</f>
        <v>#VALUE!</v>
      </c>
      <c r="P40" s="83" t="e">
        <f>SUMIF('[3]UM-4 - Dia'!$D$3:$AR$3,P2,'[3]UM-4 - Dia'!$D$7:$AR$7)</f>
        <v>#VALUE!</v>
      </c>
      <c r="Q40" s="83" t="e">
        <f>SUMIF('[3]UM-4 - Dia'!$D$3:$AR$3,Q2,'[3]UM-4 - Dia'!$D$7:$AR$7)</f>
        <v>#VALUE!</v>
      </c>
      <c r="R40" s="83" t="e">
        <f>SUMIF('[3]UM-4 - Dia'!$D$3:$AR$3,R2,'[3]UM-4 - Dia'!$D$7:$AR$7)</f>
        <v>#VALUE!</v>
      </c>
      <c r="S40" s="83" t="e">
        <f>SUMIF('[3]UM-4 - Dia'!$D$3:$AR$3,S2,'[3]UM-4 - Dia'!$D$7:$AR$7)</f>
        <v>#VALUE!</v>
      </c>
      <c r="T40" s="83" t="e">
        <f>SUMIF('[3]UM-4 - Dia'!$D$3:$AR$3,T2,'[3]UM-4 - Dia'!$D$7:$AR$7)</f>
        <v>#VALUE!</v>
      </c>
      <c r="U40" s="83" t="e">
        <f>SUMIF('[3]UM-4 - Dia'!$D$3:$AR$3,U2,'[3]UM-4 - Dia'!$D$7:$AR$7)</f>
        <v>#VALUE!</v>
      </c>
      <c r="V40" s="83" t="e">
        <f>SUMIF('[3]UM-4 - Dia'!$D$3:$AR$3,V2,'[3]UM-4 - Dia'!$D$7:$AR$7)</f>
        <v>#VALUE!</v>
      </c>
      <c r="W40" s="83" t="e">
        <f>SUMIF('[3]UM-4 - Dia'!$D$3:$AR$3,W2,'[3]UM-4 - Dia'!$D$7:$AR$7)</f>
        <v>#VALUE!</v>
      </c>
      <c r="X40" s="83" t="e">
        <f>SUMIF('[3]UM-4 - Dia'!$D$3:$AR$3,X2,'[3]UM-4 - Dia'!$D$7:$AR$7)</f>
        <v>#VALUE!</v>
      </c>
      <c r="Y40" s="83" t="e">
        <f>SUMIF('[3]UM-4 - Dia'!$D$3:$AR$3,Y2,'[3]UM-4 - Dia'!$D$7:$AR$7)</f>
        <v>#VALUE!</v>
      </c>
      <c r="Z40" s="83" t="e">
        <f>SUMIF('[3]UM-4 - Dia'!$D$3:$AR$3,Z2,'[3]UM-4 - Dia'!$D$7:$AR$7)</f>
        <v>#VALUE!</v>
      </c>
      <c r="AA40" s="83" t="e">
        <f>SUMIF('[3]UM-4 - Dia'!$D$3:$AR$3,AA2,'[3]UM-4 - Dia'!$D$7:$AR$7)</f>
        <v>#VALUE!</v>
      </c>
      <c r="AB40" s="83" t="e">
        <f>SUMIF('[3]UM-4 - Dia'!$D$3:$AR$3,AB2,'[3]UM-4 - Dia'!$D$7:$AR$7)</f>
        <v>#VALUE!</v>
      </c>
      <c r="AC40" s="83" t="e">
        <f>SUMIF('[3]UM-4 - Dia'!$D$3:$AR$3,AC2,'[3]UM-4 - Dia'!$D$7:$AR$7)</f>
        <v>#VALUE!</v>
      </c>
    </row>
  </sheetData>
  <mergeCells count="26">
    <mergeCell ref="AB1:AC1"/>
    <mergeCell ref="H7:H15"/>
    <mergeCell ref="L7:L15"/>
    <mergeCell ref="I7:I15"/>
    <mergeCell ref="A7:A15"/>
    <mergeCell ref="B7:B15"/>
    <mergeCell ref="D7:D15"/>
    <mergeCell ref="C7:C15"/>
    <mergeCell ref="F7:F15"/>
    <mergeCell ref="G7:G15"/>
    <mergeCell ref="E7:E15"/>
    <mergeCell ref="Q7:Q15"/>
    <mergeCell ref="J7:J15"/>
    <mergeCell ref="K7:K15"/>
    <mergeCell ref="O7:O15"/>
    <mergeCell ref="P7:P15"/>
    <mergeCell ref="AA7:AA15"/>
    <mergeCell ref="AB7:AB15"/>
    <mergeCell ref="AC7:AC15"/>
    <mergeCell ref="M7:M15"/>
    <mergeCell ref="V7:V15"/>
    <mergeCell ref="N7:N15"/>
    <mergeCell ref="Z7:Z15"/>
    <mergeCell ref="X7:X15"/>
    <mergeCell ref="Y7:Y15"/>
    <mergeCell ref="W7:W15"/>
  </mergeCells>
  <phoneticPr fontId="0" type="noConversion"/>
  <conditionalFormatting sqref="AD27">
    <cfRule type="cellIs" dxfId="21" priority="21" stopIfTrue="1" operator="notEqual">
      <formula>SUM($AD$16:$AD$20,$AD$22:$AD$24)</formula>
    </cfRule>
  </conditionalFormatting>
  <conditionalFormatting sqref="B21:AD21">
    <cfRule type="cellIs" dxfId="20" priority="23" stopIfTrue="1" operator="notEqual">
      <formula>B$4-B$5</formula>
    </cfRule>
  </conditionalFormatting>
  <conditionalFormatting sqref="AD6">
    <cfRule type="expression" dxfId="19" priority="24">
      <formula>$AD$6&lt;&gt;$AF$6</formula>
    </cfRule>
  </conditionalFormatting>
  <conditionalFormatting sqref="AD26">
    <cfRule type="cellIs" dxfId="18" priority="25" stopIfTrue="1" operator="notEqual">
      <formula>AD$5-AD$6-AD$25</formula>
    </cfRule>
  </conditionalFormatting>
  <conditionalFormatting sqref="B26:AC26">
    <cfRule type="cellIs" dxfId="17" priority="10" stopIfTrue="1" operator="notEqual">
      <formula>B$5-B$6</formula>
    </cfRule>
  </conditionalFormatting>
  <conditionalFormatting sqref="B6:AC6">
    <cfRule type="expression" dxfId="16" priority="1">
      <formula>A$6&lt;&gt;A$40</formula>
    </cfRule>
    <cfRule type="expression" dxfId="15" priority="2">
      <formula>B$6&lt;&gt;B$39</formula>
    </cfRule>
  </conditionalFormatting>
  <dataValidations count="1">
    <dataValidation type="date" allowBlank="1" showInputMessage="1" showErrorMessage="1" promptTitle="Data:" prompt="Favor digitar uma data válida pelo menos da/mês." sqref="B2:AC2" xr:uid="{00000000-0002-0000-0100-000000000000}">
      <formula1>44287</formula1>
      <formula2>44651</formula2>
    </dataValidation>
  </dataValidations>
  <printOptions horizontalCentered="1" gridLines="1" gridLinesSet="0"/>
  <pageMargins left="0.39370078740157483" right="0.39370078740157483" top="0.78740157480314965" bottom="0.39370078740157483" header="0.27559055118110237" footer="0.19685039370078741"/>
  <pageSetup paperSize="9" scale="61" orientation="landscape" r:id="rId1"/>
  <headerFooter alignWithMargins="0">
    <oddFooter xml:space="preserve">&amp;RSJCPIL-R 16-421-02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21</xdr:col>
                    <xdr:colOff>133350</xdr:colOff>
                    <xdr:row>0</xdr:row>
                    <xdr:rowOff>95250</xdr:rowOff>
                  </from>
                  <to>
                    <xdr:col>22</xdr:col>
                    <xdr:colOff>247650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Check Box 2">
              <controlPr defaultSize="0" autoFill="0" autoLine="0" autoPict="0">
                <anchor moveWithCells="1">
                  <from>
                    <xdr:col>22</xdr:col>
                    <xdr:colOff>152400</xdr:colOff>
                    <xdr:row>0</xdr:row>
                    <xdr:rowOff>95250</xdr:rowOff>
                  </from>
                  <to>
                    <xdr:col>23</xdr:col>
                    <xdr:colOff>266700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6" name="Check Box 3">
              <controlPr defaultSize="0" autoFill="0" autoLine="0" autoPict="0">
                <anchor moveWithCells="1">
                  <from>
                    <xdr:col>23</xdr:col>
                    <xdr:colOff>76200</xdr:colOff>
                    <xdr:row>0</xdr:row>
                    <xdr:rowOff>95250</xdr:rowOff>
                  </from>
                  <to>
                    <xdr:col>24</xdr:col>
                    <xdr:colOff>190500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4">
    <tabColor theme="9" tint="-0.249977111117893"/>
    <pageSetUpPr fitToPage="1"/>
  </sheetPr>
  <dimension ref="A1:AF40"/>
  <sheetViews>
    <sheetView showZeros="0" zoomScaleNormal="100" workbookViewId="0">
      <selection activeCell="C7" sqref="C7:C15"/>
    </sheetView>
  </sheetViews>
  <sheetFormatPr defaultColWidth="11.42578125" defaultRowHeight="12.75"/>
  <cols>
    <col min="1" max="1" width="24.42578125" customWidth="1"/>
    <col min="2" max="29" width="6.7109375" customWidth="1"/>
    <col min="30" max="30" width="12.7109375" customWidth="1"/>
    <col min="31" max="31" width="3.28515625" customWidth="1"/>
  </cols>
  <sheetData>
    <row r="1" spans="1:32" ht="32.25" customHeight="1" thickBot="1">
      <c r="B1" s="5" t="s">
        <v>32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1" t="s">
        <v>44</v>
      </c>
      <c r="V1" s="5"/>
      <c r="W1" s="5"/>
      <c r="X1" s="11"/>
      <c r="Y1" s="5"/>
      <c r="Z1" s="5"/>
      <c r="AA1" s="5"/>
      <c r="AB1" s="89" t="s">
        <v>41</v>
      </c>
      <c r="AC1" s="90"/>
      <c r="AD1" s="77" t="str">
        <f ca="1">'Linha UM-4 - Dia'!AD1</f>
        <v>03 / 2022</v>
      </c>
    </row>
    <row r="2" spans="1:32" ht="20.100000000000001" customHeight="1">
      <c r="A2" s="12" t="s">
        <v>0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80"/>
      <c r="AC2" s="80"/>
      <c r="AD2" s="75" t="s">
        <v>11</v>
      </c>
    </row>
    <row r="3" spans="1:32" ht="20.100000000000001" customHeight="1">
      <c r="A3" s="13" t="s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1"/>
      <c r="AC3" s="1"/>
      <c r="AD3" s="3"/>
    </row>
    <row r="4" spans="1:32" ht="20.100000000000001" customHeight="1">
      <c r="A4" s="30" t="s">
        <v>17</v>
      </c>
      <c r="B4" s="73"/>
      <c r="C4" s="73"/>
      <c r="D4" s="73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9"/>
      <c r="Z4" s="59"/>
      <c r="AA4" s="59"/>
      <c r="AB4" s="59"/>
      <c r="AC4" s="59"/>
      <c r="AD4" s="60">
        <f>SUM(B4:AC4)</f>
        <v>0</v>
      </c>
    </row>
    <row r="5" spans="1:32" ht="20.100000000000001" customHeight="1">
      <c r="A5" s="30" t="s">
        <v>18</v>
      </c>
      <c r="B5" s="73"/>
      <c r="C5" s="73"/>
      <c r="D5" s="73"/>
      <c r="E5" s="58"/>
      <c r="F5" s="58"/>
      <c r="G5" s="58"/>
      <c r="H5" s="58"/>
      <c r="I5" s="58"/>
      <c r="J5" s="58"/>
      <c r="K5" s="45"/>
      <c r="L5" s="58"/>
      <c r="M5" s="58"/>
      <c r="N5" s="64"/>
      <c r="O5" s="58"/>
      <c r="P5" s="58"/>
      <c r="Q5" s="58"/>
      <c r="R5" s="58"/>
      <c r="S5" s="58"/>
      <c r="T5" s="58"/>
      <c r="U5" s="58"/>
      <c r="V5" s="58"/>
      <c r="W5" s="58"/>
      <c r="X5" s="58"/>
      <c r="Y5" s="59"/>
      <c r="Z5" s="59"/>
      <c r="AA5" s="59"/>
      <c r="AB5" s="59"/>
      <c r="AC5" s="59"/>
      <c r="AD5" s="60">
        <f>SUM(B5:AC5)</f>
        <v>0</v>
      </c>
    </row>
    <row r="6" spans="1:32" ht="20.100000000000001" customHeight="1" thickBot="1">
      <c r="A6" s="31" t="s">
        <v>20</v>
      </c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61">
        <f>SUM(B6:AC6)</f>
        <v>0</v>
      </c>
      <c r="AF6" s="62"/>
    </row>
    <row r="7" spans="1:32" ht="39.950000000000003" customHeight="1">
      <c r="A7" s="91" t="s">
        <v>42</v>
      </c>
      <c r="B7" s="92">
        <f>B36</f>
        <v>0</v>
      </c>
      <c r="C7" s="92">
        <f t="shared" ref="C7:AC7" si="0">C36</f>
        <v>0</v>
      </c>
      <c r="D7" s="92">
        <f t="shared" si="0"/>
        <v>0</v>
      </c>
      <c r="E7" s="92">
        <f t="shared" si="0"/>
        <v>0</v>
      </c>
      <c r="F7" s="93">
        <f t="shared" ref="F7" si="1">F36</f>
        <v>0</v>
      </c>
      <c r="G7" s="92">
        <f t="shared" si="0"/>
        <v>0</v>
      </c>
      <c r="H7" s="92">
        <f t="shared" si="0"/>
        <v>0</v>
      </c>
      <c r="I7" s="92">
        <f t="shared" si="0"/>
        <v>0</v>
      </c>
      <c r="J7" s="92">
        <f t="shared" si="0"/>
        <v>0</v>
      </c>
      <c r="K7" s="92">
        <f t="shared" si="0"/>
        <v>0</v>
      </c>
      <c r="L7" s="92">
        <f>L36</f>
        <v>0</v>
      </c>
      <c r="M7" s="92">
        <f t="shared" si="0"/>
        <v>0</v>
      </c>
      <c r="N7" s="92"/>
      <c r="O7" s="92">
        <f t="shared" si="0"/>
        <v>0</v>
      </c>
      <c r="P7" s="87"/>
      <c r="Q7" s="87">
        <f t="shared" si="0"/>
        <v>0</v>
      </c>
      <c r="R7" s="65"/>
      <c r="S7" s="65"/>
      <c r="T7" s="65"/>
      <c r="U7" s="65"/>
      <c r="V7" s="87">
        <f t="shared" si="0"/>
        <v>0</v>
      </c>
      <c r="W7" s="87">
        <f t="shared" si="0"/>
        <v>0</v>
      </c>
      <c r="X7" s="87">
        <f t="shared" si="0"/>
        <v>0</v>
      </c>
      <c r="Y7" s="87">
        <f t="shared" si="0"/>
        <v>0</v>
      </c>
      <c r="Z7" s="87">
        <f t="shared" si="0"/>
        <v>0</v>
      </c>
      <c r="AA7" s="87">
        <f t="shared" si="0"/>
        <v>0</v>
      </c>
      <c r="AB7" s="87">
        <f t="shared" si="0"/>
        <v>0</v>
      </c>
      <c r="AC7" s="87">
        <f t="shared" si="0"/>
        <v>0</v>
      </c>
      <c r="AD7" s="4"/>
    </row>
    <row r="8" spans="1:32" ht="39.950000000000003" customHeight="1">
      <c r="A8" s="91"/>
      <c r="B8" s="92"/>
      <c r="C8" s="92"/>
      <c r="D8" s="92"/>
      <c r="E8" s="92"/>
      <c r="F8" s="93"/>
      <c r="G8" s="92"/>
      <c r="H8" s="92"/>
      <c r="I8" s="92"/>
      <c r="J8" s="92"/>
      <c r="K8" s="92"/>
      <c r="L8" s="92"/>
      <c r="M8" s="92"/>
      <c r="N8" s="92"/>
      <c r="O8" s="92"/>
      <c r="P8" s="87"/>
      <c r="Q8" s="87"/>
      <c r="R8" s="65"/>
      <c r="S8" s="65"/>
      <c r="T8" s="65"/>
      <c r="U8" s="65"/>
      <c r="V8" s="87"/>
      <c r="W8" s="87"/>
      <c r="X8" s="87"/>
      <c r="Y8" s="87"/>
      <c r="Z8" s="87"/>
      <c r="AA8" s="87"/>
      <c r="AB8" s="87"/>
      <c r="AC8" s="87"/>
      <c r="AD8" s="4"/>
    </row>
    <row r="9" spans="1:32" ht="39.950000000000003" customHeight="1">
      <c r="A9" s="91"/>
      <c r="B9" s="92"/>
      <c r="C9" s="92"/>
      <c r="D9" s="92"/>
      <c r="E9" s="92"/>
      <c r="F9" s="93"/>
      <c r="G9" s="92"/>
      <c r="H9" s="92"/>
      <c r="I9" s="92"/>
      <c r="J9" s="92"/>
      <c r="K9" s="92"/>
      <c r="L9" s="92"/>
      <c r="M9" s="92"/>
      <c r="N9" s="92"/>
      <c r="O9" s="92"/>
      <c r="P9" s="87"/>
      <c r="Q9" s="87"/>
      <c r="R9" s="65"/>
      <c r="S9" s="65"/>
      <c r="T9" s="65"/>
      <c r="U9" s="65"/>
      <c r="V9" s="87"/>
      <c r="W9" s="87"/>
      <c r="X9" s="87"/>
      <c r="Y9" s="87"/>
      <c r="Z9" s="87"/>
      <c r="AA9" s="87"/>
      <c r="AB9" s="87"/>
      <c r="AC9" s="87"/>
      <c r="AD9" s="4"/>
    </row>
    <row r="10" spans="1:32" ht="39.950000000000003" customHeight="1">
      <c r="A10" s="91"/>
      <c r="B10" s="92"/>
      <c r="C10" s="92"/>
      <c r="D10" s="92"/>
      <c r="E10" s="92"/>
      <c r="F10" s="93"/>
      <c r="G10" s="92"/>
      <c r="H10" s="92"/>
      <c r="I10" s="92"/>
      <c r="J10" s="92"/>
      <c r="K10" s="92"/>
      <c r="L10" s="92"/>
      <c r="M10" s="92"/>
      <c r="N10" s="92"/>
      <c r="O10" s="92"/>
      <c r="P10" s="87"/>
      <c r="Q10" s="87"/>
      <c r="R10" s="65"/>
      <c r="S10" s="65"/>
      <c r="T10" s="65"/>
      <c r="U10" s="65"/>
      <c r="V10" s="87"/>
      <c r="W10" s="87"/>
      <c r="X10" s="87"/>
      <c r="Y10" s="87"/>
      <c r="Z10" s="87"/>
      <c r="AA10" s="87"/>
      <c r="AB10" s="87"/>
      <c r="AC10" s="87"/>
      <c r="AD10" s="4"/>
    </row>
    <row r="11" spans="1:32" ht="39.950000000000003" customHeight="1">
      <c r="A11" s="91"/>
      <c r="B11" s="92"/>
      <c r="C11" s="92"/>
      <c r="D11" s="92"/>
      <c r="E11" s="92"/>
      <c r="F11" s="93"/>
      <c r="G11" s="92"/>
      <c r="H11" s="92"/>
      <c r="I11" s="92"/>
      <c r="J11" s="92"/>
      <c r="K11" s="92"/>
      <c r="L11" s="92"/>
      <c r="M11" s="92"/>
      <c r="N11" s="92"/>
      <c r="O11" s="92"/>
      <c r="P11" s="87"/>
      <c r="Q11" s="87"/>
      <c r="R11" s="65"/>
      <c r="S11" s="65"/>
      <c r="T11" s="65"/>
      <c r="U11" s="65"/>
      <c r="V11" s="87"/>
      <c r="W11" s="87"/>
      <c r="X11" s="87"/>
      <c r="Y11" s="87"/>
      <c r="Z11" s="87"/>
      <c r="AA11" s="87"/>
      <c r="AB11" s="87"/>
      <c r="AC11" s="87"/>
      <c r="AD11" s="4"/>
    </row>
    <row r="12" spans="1:32" ht="39.950000000000003" customHeight="1">
      <c r="A12" s="91"/>
      <c r="B12" s="92"/>
      <c r="C12" s="92"/>
      <c r="D12" s="92"/>
      <c r="E12" s="92"/>
      <c r="F12" s="93"/>
      <c r="G12" s="92"/>
      <c r="H12" s="92"/>
      <c r="I12" s="92"/>
      <c r="J12" s="92"/>
      <c r="K12" s="92"/>
      <c r="L12" s="92"/>
      <c r="M12" s="92"/>
      <c r="N12" s="92"/>
      <c r="O12" s="92"/>
      <c r="P12" s="87"/>
      <c r="Q12" s="87"/>
      <c r="R12" s="65"/>
      <c r="S12" s="65"/>
      <c r="T12" s="65"/>
      <c r="U12" s="65"/>
      <c r="V12" s="87"/>
      <c r="W12" s="87"/>
      <c r="X12" s="87"/>
      <c r="Y12" s="87"/>
      <c r="Z12" s="87"/>
      <c r="AA12" s="87"/>
      <c r="AB12" s="87"/>
      <c r="AC12" s="87"/>
      <c r="AD12" s="4"/>
    </row>
    <row r="13" spans="1:32" ht="39.950000000000003" customHeight="1">
      <c r="A13" s="91"/>
      <c r="B13" s="92"/>
      <c r="C13" s="92"/>
      <c r="D13" s="92"/>
      <c r="E13" s="92"/>
      <c r="F13" s="93"/>
      <c r="G13" s="92"/>
      <c r="H13" s="92"/>
      <c r="I13" s="92"/>
      <c r="J13" s="92"/>
      <c r="K13" s="92"/>
      <c r="L13" s="92"/>
      <c r="M13" s="92"/>
      <c r="N13" s="92"/>
      <c r="O13" s="92"/>
      <c r="P13" s="87"/>
      <c r="Q13" s="87"/>
      <c r="R13" s="65"/>
      <c r="S13" s="65"/>
      <c r="T13" s="65"/>
      <c r="U13" s="65"/>
      <c r="V13" s="87"/>
      <c r="W13" s="87"/>
      <c r="X13" s="87"/>
      <c r="Y13" s="87"/>
      <c r="Z13" s="87"/>
      <c r="AA13" s="87"/>
      <c r="AB13" s="87"/>
      <c r="AC13" s="87"/>
      <c r="AD13" s="4"/>
    </row>
    <row r="14" spans="1:32" ht="39.950000000000003" customHeight="1">
      <c r="A14" s="91"/>
      <c r="B14" s="92"/>
      <c r="C14" s="92"/>
      <c r="D14" s="92"/>
      <c r="E14" s="92"/>
      <c r="F14" s="93"/>
      <c r="G14" s="92"/>
      <c r="H14" s="92"/>
      <c r="I14" s="92"/>
      <c r="J14" s="92"/>
      <c r="K14" s="92"/>
      <c r="L14" s="92"/>
      <c r="M14" s="92"/>
      <c r="N14" s="92"/>
      <c r="O14" s="92"/>
      <c r="P14" s="87"/>
      <c r="Q14" s="87"/>
      <c r="R14" s="65"/>
      <c r="S14" s="65"/>
      <c r="T14" s="65"/>
      <c r="U14" s="65"/>
      <c r="V14" s="87"/>
      <c r="W14" s="87"/>
      <c r="X14" s="87"/>
      <c r="Y14" s="87"/>
      <c r="Z14" s="87"/>
      <c r="AA14" s="87"/>
      <c r="AB14" s="87"/>
      <c r="AC14" s="87"/>
      <c r="AD14" s="4"/>
    </row>
    <row r="15" spans="1:32" ht="39.950000000000003" customHeight="1" thickBot="1">
      <c r="A15" s="91"/>
      <c r="B15" s="92"/>
      <c r="C15" s="92"/>
      <c r="D15" s="92"/>
      <c r="E15" s="92"/>
      <c r="F15" s="93"/>
      <c r="G15" s="92"/>
      <c r="H15" s="92"/>
      <c r="I15" s="92"/>
      <c r="J15" s="92"/>
      <c r="K15" s="92"/>
      <c r="L15" s="92"/>
      <c r="M15" s="92"/>
      <c r="N15" s="92"/>
      <c r="O15" s="92"/>
      <c r="P15" s="87"/>
      <c r="Q15" s="87"/>
      <c r="R15" s="65"/>
      <c r="S15" s="65"/>
      <c r="T15" s="65"/>
      <c r="U15" s="65"/>
      <c r="V15" s="87"/>
      <c r="W15" s="87"/>
      <c r="X15" s="87"/>
      <c r="Y15" s="87"/>
      <c r="Z15" s="87"/>
      <c r="AA15" s="87"/>
      <c r="AB15" s="87"/>
      <c r="AC15" s="87"/>
      <c r="AD15" s="4"/>
    </row>
    <row r="16" spans="1:32" ht="21" customHeight="1">
      <c r="A16" s="14" t="s">
        <v>13</v>
      </c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7">
        <f>SUM(B16:AC16)</f>
        <v>0</v>
      </c>
    </row>
    <row r="17" spans="1:30" ht="21" customHeight="1">
      <c r="A17" s="15" t="s">
        <v>14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9">
        <f>SUM(B17:AC17)</f>
        <v>0</v>
      </c>
    </row>
    <row r="18" spans="1:30" ht="21" customHeight="1">
      <c r="A18" s="15" t="s">
        <v>15</v>
      </c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9">
        <f>SUM(B18:AC18)</f>
        <v>0</v>
      </c>
    </row>
    <row r="19" spans="1:30" ht="21" customHeight="1">
      <c r="A19" s="15" t="s">
        <v>16</v>
      </c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9">
        <f>SUM(B19:AC19)</f>
        <v>0</v>
      </c>
    </row>
    <row r="20" spans="1:30" ht="21" customHeight="1">
      <c r="A20" s="15" t="s">
        <v>26</v>
      </c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9">
        <f>SUM(B20:AC20)</f>
        <v>0</v>
      </c>
    </row>
    <row r="21" spans="1:30" ht="21" customHeight="1">
      <c r="A21" s="16" t="s">
        <v>19</v>
      </c>
      <c r="B21" s="50">
        <f>SUBTOTAL(9,B16:B20)</f>
        <v>0</v>
      </c>
      <c r="C21" s="50">
        <f>SUBTOTAL(9,C16:C20)</f>
        <v>0</v>
      </c>
      <c r="D21" s="50">
        <f>SUBTOTAL(9,D16:D20)</f>
        <v>0</v>
      </c>
      <c r="E21" s="50">
        <f t="shared" ref="E21:AD21" si="2">SUBTOTAL(9,E16:E20)</f>
        <v>0</v>
      </c>
      <c r="F21" s="50">
        <f t="shared" si="2"/>
        <v>0</v>
      </c>
      <c r="G21" s="50">
        <f t="shared" si="2"/>
        <v>0</v>
      </c>
      <c r="H21" s="50">
        <f t="shared" si="2"/>
        <v>0</v>
      </c>
      <c r="I21" s="50">
        <f t="shared" si="2"/>
        <v>0</v>
      </c>
      <c r="J21" s="50">
        <f t="shared" si="2"/>
        <v>0</v>
      </c>
      <c r="K21" s="50">
        <f t="shared" si="2"/>
        <v>0</v>
      </c>
      <c r="L21" s="50">
        <f t="shared" si="2"/>
        <v>0</v>
      </c>
      <c r="M21" s="50">
        <f t="shared" si="2"/>
        <v>0</v>
      </c>
      <c r="N21" s="50">
        <f t="shared" si="2"/>
        <v>0</v>
      </c>
      <c r="O21" s="50">
        <f t="shared" si="2"/>
        <v>0</v>
      </c>
      <c r="P21" s="50">
        <f t="shared" si="2"/>
        <v>0</v>
      </c>
      <c r="Q21" s="50">
        <f t="shared" si="2"/>
        <v>0</v>
      </c>
      <c r="R21" s="50">
        <f t="shared" si="2"/>
        <v>0</v>
      </c>
      <c r="S21" s="50">
        <f t="shared" si="2"/>
        <v>0</v>
      </c>
      <c r="T21" s="50">
        <f t="shared" si="2"/>
        <v>0</v>
      </c>
      <c r="U21" s="50">
        <f t="shared" si="2"/>
        <v>0</v>
      </c>
      <c r="V21" s="50">
        <f t="shared" si="2"/>
        <v>0</v>
      </c>
      <c r="W21" s="50">
        <f t="shared" si="2"/>
        <v>0</v>
      </c>
      <c r="X21" s="50">
        <f t="shared" si="2"/>
        <v>0</v>
      </c>
      <c r="Y21" s="50">
        <f t="shared" si="2"/>
        <v>0</v>
      </c>
      <c r="Z21" s="50">
        <f t="shared" si="2"/>
        <v>0</v>
      </c>
      <c r="AA21" s="50">
        <f t="shared" si="2"/>
        <v>0</v>
      </c>
      <c r="AB21" s="50">
        <f t="shared" si="2"/>
        <v>0</v>
      </c>
      <c r="AC21" s="50">
        <f t="shared" si="2"/>
        <v>0</v>
      </c>
      <c r="AD21" s="52">
        <f t="shared" si="2"/>
        <v>0</v>
      </c>
    </row>
    <row r="22" spans="1:30" ht="21" customHeight="1">
      <c r="A22" s="15" t="s">
        <v>27</v>
      </c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9">
        <f>SUM(B22:AC22)</f>
        <v>0</v>
      </c>
    </row>
    <row r="23" spans="1:30" ht="21" customHeight="1">
      <c r="A23" s="15" t="s">
        <v>28</v>
      </c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9">
        <f>SUM(B23:AC23)</f>
        <v>0</v>
      </c>
    </row>
    <row r="24" spans="1:30" ht="21" customHeight="1">
      <c r="A24" s="15" t="s">
        <v>30</v>
      </c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9">
        <f>SUM(B24:AC24)</f>
        <v>0</v>
      </c>
    </row>
    <row r="25" spans="1:30" ht="21" customHeight="1">
      <c r="A25" s="15" t="s">
        <v>29</v>
      </c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 t="s">
        <v>24</v>
      </c>
      <c r="AB25" s="48"/>
      <c r="AC25" s="48"/>
      <c r="AD25" s="49">
        <f>SUM(B25:AC25)</f>
        <v>0</v>
      </c>
    </row>
    <row r="26" spans="1:30" ht="24">
      <c r="A26" s="63" t="s">
        <v>31</v>
      </c>
      <c r="B26" s="51">
        <f>SUBTOTAL(9,B22:B25)</f>
        <v>0</v>
      </c>
      <c r="C26" s="51">
        <f t="shared" ref="C26:AD26" si="3">SUBTOTAL(9,C22:C25)</f>
        <v>0</v>
      </c>
      <c r="D26" s="51">
        <f t="shared" si="3"/>
        <v>0</v>
      </c>
      <c r="E26" s="51">
        <f t="shared" si="3"/>
        <v>0</v>
      </c>
      <c r="F26" s="51">
        <f t="shared" si="3"/>
        <v>0</v>
      </c>
      <c r="G26" s="51">
        <f t="shared" si="3"/>
        <v>0</v>
      </c>
      <c r="H26" s="51">
        <f t="shared" si="3"/>
        <v>0</v>
      </c>
      <c r="I26" s="51">
        <f t="shared" si="3"/>
        <v>0</v>
      </c>
      <c r="J26" s="51">
        <f t="shared" si="3"/>
        <v>0</v>
      </c>
      <c r="K26" s="51">
        <f t="shared" si="3"/>
        <v>0</v>
      </c>
      <c r="L26" s="51">
        <f t="shared" si="3"/>
        <v>0</v>
      </c>
      <c r="M26" s="51">
        <f t="shared" si="3"/>
        <v>0</v>
      </c>
      <c r="N26" s="51">
        <f t="shared" si="3"/>
        <v>0</v>
      </c>
      <c r="O26" s="51">
        <f t="shared" si="3"/>
        <v>0</v>
      </c>
      <c r="P26" s="51">
        <f t="shared" si="3"/>
        <v>0</v>
      </c>
      <c r="Q26" s="51">
        <f t="shared" si="3"/>
        <v>0</v>
      </c>
      <c r="R26" s="51">
        <f t="shared" si="3"/>
        <v>0</v>
      </c>
      <c r="S26" s="51">
        <f t="shared" si="3"/>
        <v>0</v>
      </c>
      <c r="T26" s="51">
        <f t="shared" si="3"/>
        <v>0</v>
      </c>
      <c r="U26" s="51">
        <f t="shared" si="3"/>
        <v>0</v>
      </c>
      <c r="V26" s="51">
        <f t="shared" si="3"/>
        <v>0</v>
      </c>
      <c r="W26" s="51">
        <f t="shared" si="3"/>
        <v>0</v>
      </c>
      <c r="X26" s="51">
        <f t="shared" si="3"/>
        <v>0</v>
      </c>
      <c r="Y26" s="51">
        <f t="shared" si="3"/>
        <v>0</v>
      </c>
      <c r="Z26" s="51">
        <f t="shared" si="3"/>
        <v>0</v>
      </c>
      <c r="AA26" s="51">
        <f t="shared" si="3"/>
        <v>0</v>
      </c>
      <c r="AB26" s="51">
        <f t="shared" si="3"/>
        <v>0</v>
      </c>
      <c r="AC26" s="51">
        <f t="shared" si="3"/>
        <v>0</v>
      </c>
      <c r="AD26" s="52">
        <f t="shared" si="3"/>
        <v>0</v>
      </c>
    </row>
    <row r="27" spans="1:30" ht="21" customHeight="1">
      <c r="A27" s="16" t="s">
        <v>2</v>
      </c>
      <c r="B27" s="53">
        <f>SUBTOTAL(9,B16:B26)</f>
        <v>0</v>
      </c>
      <c r="C27" s="53">
        <f t="shared" ref="C27:D27" si="4">SUBTOTAL(9,C16:C26)</f>
        <v>0</v>
      </c>
      <c r="D27" s="53">
        <f t="shared" si="4"/>
        <v>0</v>
      </c>
      <c r="E27" s="53">
        <f t="shared" ref="E27:AD27" si="5">SUBTOTAL(9,E16:E26)</f>
        <v>0</v>
      </c>
      <c r="F27" s="53">
        <f t="shared" si="5"/>
        <v>0</v>
      </c>
      <c r="G27" s="53">
        <f t="shared" si="5"/>
        <v>0</v>
      </c>
      <c r="H27" s="53">
        <f t="shared" si="5"/>
        <v>0</v>
      </c>
      <c r="I27" s="53">
        <f t="shared" si="5"/>
        <v>0</v>
      </c>
      <c r="J27" s="53">
        <f t="shared" si="5"/>
        <v>0</v>
      </c>
      <c r="K27" s="53">
        <f t="shared" si="5"/>
        <v>0</v>
      </c>
      <c r="L27" s="53">
        <f t="shared" si="5"/>
        <v>0</v>
      </c>
      <c r="M27" s="53">
        <f t="shared" si="5"/>
        <v>0</v>
      </c>
      <c r="N27" s="53">
        <f t="shared" si="5"/>
        <v>0</v>
      </c>
      <c r="O27" s="53">
        <f t="shared" si="5"/>
        <v>0</v>
      </c>
      <c r="P27" s="53">
        <f t="shared" si="5"/>
        <v>0</v>
      </c>
      <c r="Q27" s="53">
        <f t="shared" si="5"/>
        <v>0</v>
      </c>
      <c r="R27" s="53">
        <f t="shared" si="5"/>
        <v>0</v>
      </c>
      <c r="S27" s="53">
        <f t="shared" si="5"/>
        <v>0</v>
      </c>
      <c r="T27" s="53">
        <f t="shared" si="5"/>
        <v>0</v>
      </c>
      <c r="U27" s="53">
        <f t="shared" si="5"/>
        <v>0</v>
      </c>
      <c r="V27" s="53">
        <f t="shared" si="5"/>
        <v>0</v>
      </c>
      <c r="W27" s="53">
        <f t="shared" si="5"/>
        <v>0</v>
      </c>
      <c r="X27" s="53">
        <f t="shared" si="5"/>
        <v>0</v>
      </c>
      <c r="Y27" s="53">
        <f t="shared" si="5"/>
        <v>0</v>
      </c>
      <c r="Z27" s="53">
        <f t="shared" si="5"/>
        <v>0</v>
      </c>
      <c r="AA27" s="53">
        <f t="shared" si="5"/>
        <v>0</v>
      </c>
      <c r="AB27" s="53">
        <f t="shared" si="5"/>
        <v>0</v>
      </c>
      <c r="AC27" s="53">
        <f t="shared" si="5"/>
        <v>0</v>
      </c>
      <c r="AD27" s="54">
        <f t="shared" si="5"/>
        <v>0</v>
      </c>
    </row>
    <row r="28" spans="1:30" ht="21" customHeight="1" thickBot="1">
      <c r="A28" s="66" t="s">
        <v>12</v>
      </c>
      <c r="B28" s="67" t="str">
        <f>(IF(ISERR(B27/B6)," ",B27/B6*1000000))</f>
        <v xml:space="preserve"> </v>
      </c>
      <c r="C28" s="67" t="str">
        <f>(IF(ISERR(C27/C6)," ",C27/C6*1000000))</f>
        <v xml:space="preserve"> </v>
      </c>
      <c r="D28" s="67" t="str">
        <f t="shared" ref="D28:AC28" si="6">(IF(ISERR(D27/D6)," ",D27/D6*1000000))</f>
        <v xml:space="preserve"> </v>
      </c>
      <c r="E28" s="67" t="str">
        <f t="shared" si="6"/>
        <v xml:space="preserve"> </v>
      </c>
      <c r="F28" s="67"/>
      <c r="G28" s="67" t="str">
        <f t="shared" si="6"/>
        <v xml:space="preserve"> </v>
      </c>
      <c r="H28" s="67" t="str">
        <f t="shared" si="6"/>
        <v xml:space="preserve"> </v>
      </c>
      <c r="I28" s="67" t="str">
        <f t="shared" si="6"/>
        <v xml:space="preserve"> </v>
      </c>
      <c r="J28" s="67" t="str">
        <f t="shared" si="6"/>
        <v xml:space="preserve"> </v>
      </c>
      <c r="K28" s="67" t="str">
        <f>(IF(ISERR(K27/K6)," ",K27/K6*1000000))</f>
        <v xml:space="preserve"> </v>
      </c>
      <c r="L28" s="67" t="str">
        <f>(IF(ISERR(L27/L6)," ",L27/L6*1000000))</f>
        <v xml:space="preserve"> </v>
      </c>
      <c r="M28" s="67" t="str">
        <f t="shared" si="6"/>
        <v xml:space="preserve"> </v>
      </c>
      <c r="N28" s="67" t="str">
        <f t="shared" si="6"/>
        <v xml:space="preserve"> </v>
      </c>
      <c r="O28" s="67" t="str">
        <f t="shared" si="6"/>
        <v xml:space="preserve"> </v>
      </c>
      <c r="P28" s="67" t="str">
        <f t="shared" si="6"/>
        <v xml:space="preserve"> </v>
      </c>
      <c r="Q28" s="67" t="str">
        <f t="shared" si="6"/>
        <v xml:space="preserve"> </v>
      </c>
      <c r="R28" s="67" t="str">
        <f t="shared" si="6"/>
        <v xml:space="preserve"> </v>
      </c>
      <c r="S28" s="67" t="str">
        <f t="shared" si="6"/>
        <v xml:space="preserve"> </v>
      </c>
      <c r="T28" s="67" t="str">
        <f t="shared" si="6"/>
        <v xml:space="preserve"> </v>
      </c>
      <c r="U28" s="67" t="str">
        <f t="shared" si="6"/>
        <v xml:space="preserve"> </v>
      </c>
      <c r="V28" s="67" t="str">
        <f t="shared" si="6"/>
        <v xml:space="preserve"> </v>
      </c>
      <c r="W28" s="67" t="str">
        <f t="shared" si="6"/>
        <v xml:space="preserve"> </v>
      </c>
      <c r="X28" s="67" t="str">
        <f t="shared" si="6"/>
        <v xml:space="preserve"> </v>
      </c>
      <c r="Y28" s="67" t="str">
        <f t="shared" si="6"/>
        <v xml:space="preserve"> </v>
      </c>
      <c r="Z28" s="67" t="str">
        <f t="shared" si="6"/>
        <v xml:space="preserve"> </v>
      </c>
      <c r="AA28" s="67" t="str">
        <f t="shared" si="6"/>
        <v xml:space="preserve"> </v>
      </c>
      <c r="AB28" s="67" t="str">
        <f t="shared" si="6"/>
        <v xml:space="preserve"> </v>
      </c>
      <c r="AC28" s="67" t="str">
        <f t="shared" si="6"/>
        <v xml:space="preserve"> </v>
      </c>
      <c r="AD28" s="68" t="str">
        <f t="shared" ref="AD28" si="7">(IF(ISERR(AD27/AD6)," ",AD27/AD6*1000000))</f>
        <v xml:space="preserve"> </v>
      </c>
    </row>
    <row r="29" spans="1:30" ht="21" customHeight="1">
      <c r="A29" s="69" t="s">
        <v>33</v>
      </c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1"/>
      <c r="AA29" s="71"/>
      <c r="AB29" s="71"/>
      <c r="AC29" s="71"/>
      <c r="AD29" s="72"/>
    </row>
    <row r="30" spans="1:30" ht="21" customHeight="1" thickBot="1">
      <c r="A30" s="29" t="s">
        <v>34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6"/>
      <c r="AA30" s="56"/>
      <c r="AB30" s="56"/>
      <c r="AC30" s="56"/>
      <c r="AD30" s="57"/>
    </row>
    <row r="31" spans="1:30" ht="21" customHeight="1">
      <c r="A31" s="17" t="s">
        <v>7</v>
      </c>
      <c r="B31" s="18"/>
      <c r="C31" s="18"/>
      <c r="D31" s="18"/>
      <c r="E31" s="18"/>
      <c r="F31" s="18"/>
      <c r="G31" s="17" t="s">
        <v>9</v>
      </c>
      <c r="H31" s="18"/>
      <c r="I31" s="18"/>
      <c r="J31" s="18"/>
      <c r="K31" s="18"/>
      <c r="L31" s="18"/>
      <c r="M31" s="18"/>
      <c r="N31" s="18"/>
      <c r="O31" s="18"/>
      <c r="P31" s="19"/>
      <c r="Q31" s="20"/>
      <c r="R31" s="19"/>
      <c r="S31" s="19"/>
      <c r="T31" s="19"/>
      <c r="U31" s="19"/>
      <c r="V31" s="21" t="s">
        <v>10</v>
      </c>
      <c r="W31" s="19"/>
      <c r="X31" s="19"/>
      <c r="Y31" s="19"/>
      <c r="Z31" s="19"/>
      <c r="AA31" s="19"/>
      <c r="AB31" s="19"/>
      <c r="AC31" s="19"/>
      <c r="AD31" s="9"/>
    </row>
    <row r="32" spans="1:30" s="25" customFormat="1" ht="21" customHeight="1" thickBot="1">
      <c r="A32" s="22" t="s">
        <v>8</v>
      </c>
      <c r="B32" s="23"/>
      <c r="C32" s="23"/>
      <c r="D32" s="23"/>
      <c r="E32" s="23"/>
      <c r="F32" s="23"/>
      <c r="G32" s="22" t="s">
        <v>8</v>
      </c>
      <c r="H32" s="23"/>
      <c r="I32" s="23"/>
      <c r="J32" s="23"/>
      <c r="K32" s="23"/>
      <c r="L32" s="23"/>
      <c r="M32" s="23"/>
      <c r="N32" s="23"/>
      <c r="O32" s="23"/>
      <c r="P32" s="23"/>
      <c r="Q32" s="24"/>
      <c r="R32" s="23"/>
      <c r="S32" s="23"/>
      <c r="T32" s="23"/>
      <c r="U32" s="23"/>
      <c r="V32" s="22" t="s">
        <v>8</v>
      </c>
      <c r="W32" s="23"/>
      <c r="X32" s="23"/>
      <c r="Y32" s="23"/>
      <c r="Z32" s="23"/>
      <c r="AA32" s="23"/>
      <c r="AB32" s="23"/>
      <c r="AC32" s="23"/>
      <c r="AD32" s="24"/>
    </row>
    <row r="33" spans="1:30">
      <c r="A33" t="s">
        <v>4</v>
      </c>
      <c r="B33" s="26">
        <f>'Linha UM-4 - Dia'!B33</f>
        <v>620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</row>
    <row r="34" spans="1:30"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</row>
    <row r="35" spans="1:30">
      <c r="A35" s="10" t="s">
        <v>5</v>
      </c>
      <c r="B35" s="74">
        <f t="shared" ref="B35:J35" si="8">B2</f>
        <v>0</v>
      </c>
      <c r="C35" s="74">
        <f t="shared" si="8"/>
        <v>0</v>
      </c>
      <c r="D35" s="74">
        <f t="shared" si="8"/>
        <v>0</v>
      </c>
      <c r="E35" s="74">
        <f t="shared" si="8"/>
        <v>0</v>
      </c>
      <c r="F35" s="74">
        <f t="shared" si="8"/>
        <v>0</v>
      </c>
      <c r="G35" s="74">
        <f t="shared" si="8"/>
        <v>0</v>
      </c>
      <c r="H35" s="74">
        <f t="shared" si="8"/>
        <v>0</v>
      </c>
      <c r="I35" s="74">
        <f t="shared" si="8"/>
        <v>0</v>
      </c>
      <c r="J35" s="74">
        <f t="shared" si="8"/>
        <v>0</v>
      </c>
      <c r="K35" s="74">
        <f t="shared" ref="K35:Q35" si="9">K2</f>
        <v>0</v>
      </c>
      <c r="L35" s="74">
        <f t="shared" si="9"/>
        <v>0</v>
      </c>
      <c r="M35" s="74">
        <f t="shared" si="9"/>
        <v>0</v>
      </c>
      <c r="N35" s="74">
        <f t="shared" si="9"/>
        <v>0</v>
      </c>
      <c r="O35" s="74">
        <f t="shared" si="9"/>
        <v>0</v>
      </c>
      <c r="P35" s="74">
        <f t="shared" si="9"/>
        <v>0</v>
      </c>
      <c r="Q35" s="74">
        <f t="shared" si="9"/>
        <v>0</v>
      </c>
      <c r="R35" s="74"/>
      <c r="S35" s="74"/>
      <c r="T35" s="74"/>
      <c r="U35" s="74"/>
      <c r="V35" s="74">
        <f t="shared" ref="V35:AC35" si="10">V2</f>
        <v>0</v>
      </c>
      <c r="W35" s="74">
        <f t="shared" si="10"/>
        <v>0</v>
      </c>
      <c r="X35" s="74">
        <f t="shared" si="10"/>
        <v>0</v>
      </c>
      <c r="Y35" s="74">
        <f t="shared" si="10"/>
        <v>0</v>
      </c>
      <c r="Z35" s="74">
        <f t="shared" si="10"/>
        <v>0</v>
      </c>
      <c r="AA35" s="74">
        <f t="shared" si="10"/>
        <v>0</v>
      </c>
      <c r="AB35" s="74">
        <f t="shared" si="10"/>
        <v>0</v>
      </c>
      <c r="AC35" s="74">
        <f t="shared" si="10"/>
        <v>0</v>
      </c>
    </row>
    <row r="36" spans="1:30" ht="120" customHeight="1">
      <c r="A36" s="28" t="s">
        <v>6</v>
      </c>
      <c r="B36" s="6"/>
      <c r="C36" s="6"/>
      <c r="D36" s="7"/>
      <c r="E36" s="7"/>
      <c r="F36" s="6"/>
      <c r="G36" s="6"/>
      <c r="H36" s="6"/>
      <c r="I36" s="6"/>
      <c r="J36" s="6"/>
      <c r="K36" s="7"/>
      <c r="L36" s="7"/>
      <c r="M36" s="7"/>
      <c r="N36" s="7"/>
      <c r="O36" s="7"/>
      <c r="P36" s="7"/>
      <c r="Q36" s="7"/>
      <c r="R36" s="6"/>
      <c r="S36" s="6"/>
      <c r="T36" s="6"/>
      <c r="U36" s="6"/>
      <c r="V36" s="6"/>
      <c r="W36" s="6"/>
      <c r="X36" s="7"/>
      <c r="Y36" s="7"/>
      <c r="Z36" s="7"/>
      <c r="AA36" s="7"/>
      <c r="AB36" s="7"/>
      <c r="AC36" s="8"/>
    </row>
    <row r="38" spans="1:30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>
        <f>AB5-AB6-AB25</f>
        <v>0</v>
      </c>
      <c r="AC38" s="32">
        <f>AC5-AC6-AC25</f>
        <v>0</v>
      </c>
      <c r="AD38">
        <f>AD5-AD6-AD25</f>
        <v>0</v>
      </c>
    </row>
    <row r="39" spans="1:30">
      <c r="A39" s="81" t="s">
        <v>47</v>
      </c>
      <c r="B39" s="33">
        <f>SUMIF('[2]Linha UM-4 - 2T'!$D$2:$AC$2,B2,'[2]Linha UM-4 - 2T'!$D$4:$AC$4)</f>
        <v>0</v>
      </c>
      <c r="C39" s="33">
        <f>SUMIF('[2]Linha UM-4 - 2T'!$D$2:$AC$2,C2,'[2]Linha UM-4 - 2T'!$D$4:$AC$4)</f>
        <v>0</v>
      </c>
      <c r="D39" s="33">
        <f>SUMIF('[2]Linha UM-4 - 2T'!$D$2:$AC$2,D2,'[2]Linha UM-4 - 2T'!$D$4:$AC$4)</f>
        <v>0</v>
      </c>
      <c r="E39" s="33">
        <f>SUMIF('[2]Linha UM-4 - 2T'!$D$2:$AC$2,E2,'[2]Linha UM-4 - 2T'!$D$4:$AC$4)</f>
        <v>0</v>
      </c>
      <c r="F39" s="33">
        <f>SUMIF('[2]Linha UM-4 - 2T'!$D$2:$AC$2,F2,'[2]Linha UM-4 - 2T'!$D$4:$AC$4)</f>
        <v>0</v>
      </c>
      <c r="G39" s="33">
        <f>SUMIF('[2]Linha UM-4 - 2T'!$D$2:$AC$2,G2,'[2]Linha UM-4 - 2T'!$D$4:$AC$4)</f>
        <v>0</v>
      </c>
      <c r="H39" s="33">
        <f>SUMIF('[2]Linha UM-4 - 2T'!$D$2:$AC$2,H2,'[2]Linha UM-4 - 2T'!$D$4:$AC$4)</f>
        <v>0</v>
      </c>
      <c r="I39" s="33">
        <f>SUMIF('[2]Linha UM-4 - 2T'!$D$2:$AC$2,I2,'[2]Linha UM-4 - 2T'!$D$4:$AC$4)</f>
        <v>0</v>
      </c>
      <c r="J39" s="33">
        <f>SUMIF('[2]Linha UM-4 - 2T'!$D$2:$AC$2,J2,'[2]Linha UM-4 - 2T'!$D$4:$AC$4)</f>
        <v>0</v>
      </c>
      <c r="K39" s="33">
        <f>SUMIF('[2]Linha UM-4 - 2T'!$D$2:$AC$2,K2,'[2]Linha UM-4 - 2T'!$D$4:$AC$4)</f>
        <v>0</v>
      </c>
      <c r="L39" s="33">
        <f>SUMIF('[2]Linha UM-4 - 2T'!$D$2:$AC$2,L2,'[2]Linha UM-4 - 2T'!$D$4:$AC$4)</f>
        <v>0</v>
      </c>
      <c r="M39" s="33">
        <f>SUMIF('[2]Linha UM-4 - 2T'!$D$2:$AC$2,M2,'[2]Linha UM-4 - 2T'!$D$4:$AC$4)</f>
        <v>0</v>
      </c>
      <c r="N39" s="33">
        <f>SUMIF('[2]Linha UM-4 - 2T'!$D$2:$AC$2,N2,'[2]Linha UM-4 - 2T'!$D$4:$AC$4)</f>
        <v>0</v>
      </c>
      <c r="O39" s="33">
        <f>SUMIF('[2]Linha UM-4 - 2T'!$D$2:$AC$2,O2,'[2]Linha UM-4 - 2T'!$D$4:$AC$4)</f>
        <v>0</v>
      </c>
      <c r="P39" s="33">
        <f>SUMIF('[2]Linha UM-4 - 2T'!$D$2:$AC$2,P2,'[2]Linha UM-4 - 2T'!$D$4:$AC$4)</f>
        <v>0</v>
      </c>
      <c r="Q39" s="33">
        <f>SUMIF('[2]Linha UM-4 - 2T'!$D$2:$AC$2,Q2,'[2]Linha UM-4 - 2T'!$D$4:$AC$4)</f>
        <v>0</v>
      </c>
      <c r="R39" s="33">
        <f>SUMIF('[2]Linha UM-4 - 2T'!$D$2:$AC$2,R2,'[2]Linha UM-4 - 2T'!$D$4:$AC$4)</f>
        <v>0</v>
      </c>
      <c r="S39" s="33">
        <f>SUMIF('[2]Linha UM-4 - 2T'!$D$2:$AC$2,S2,'[2]Linha UM-4 - 2T'!$D$4:$AC$4)</f>
        <v>0</v>
      </c>
      <c r="T39" s="33">
        <f>SUMIF('[2]Linha UM-4 - 2T'!$D$2:$AC$2,T2,'[2]Linha UM-4 - 2T'!$D$4:$AC$4)</f>
        <v>0</v>
      </c>
      <c r="U39" s="33">
        <f>SUMIF('[2]Linha UM-4 - 2T'!$D$2:$AC$2,U2,'[2]Linha UM-4 - 2T'!$D$4:$AC$4)</f>
        <v>0</v>
      </c>
      <c r="V39" s="33">
        <f>SUMIF('[2]Linha UM-4 - 2T'!$D$2:$AC$2,V2,'[2]Linha UM-4 - 2T'!$D$4:$AC$4)</f>
        <v>0</v>
      </c>
      <c r="W39" s="33">
        <f>SUMIF('[2]Linha UM-4 - 2T'!$D$2:$AC$2,W2,'[2]Linha UM-4 - 2T'!$D$4:$AC$4)</f>
        <v>0</v>
      </c>
      <c r="X39" s="33">
        <f>SUMIF('[2]Linha UM-4 - 2T'!$D$2:$AC$2,X2,'[2]Linha UM-4 - 2T'!$D$4:$AC$4)</f>
        <v>0</v>
      </c>
      <c r="Y39" s="33">
        <f>SUMIF('[2]Linha UM-4 - 2T'!$D$2:$AC$2,Y2,'[2]Linha UM-4 - 2T'!$D$4:$AC$4)</f>
        <v>0</v>
      </c>
      <c r="Z39" s="33">
        <f>SUMIF('[2]Linha UM-4 - 2T'!$D$2:$AC$2,Z2,'[2]Linha UM-4 - 2T'!$D$4:$AC$4)</f>
        <v>0</v>
      </c>
      <c r="AA39" s="33">
        <f>SUMIF('[2]Linha UM-4 - 2T'!$D$2:$AC$2,AA2,'[2]Linha UM-4 - 2T'!$D$4:$AC$4)</f>
        <v>0</v>
      </c>
      <c r="AB39" s="33">
        <f>SUMIF('[2]Linha UM-4 - 2T'!$D$2:$AC$2,AB2,'[2]Linha UM-4 - 2T'!$D$4:$AC$4)</f>
        <v>0</v>
      </c>
      <c r="AC39" s="33">
        <f>SUMIF('[2]Linha UM-4 - 2T'!$D$2:$AC$2,AC2,'[2]Linha UM-4 - 2T'!$D$4:$AC$4)</f>
        <v>0</v>
      </c>
      <c r="AD39" s="33">
        <f>AD5-AD6</f>
        <v>0</v>
      </c>
    </row>
    <row r="40" spans="1:30">
      <c r="A40" s="82" t="s">
        <v>48</v>
      </c>
      <c r="B40" s="83" t="e">
        <f>SUMIF('[3]UM-4 - 2T'!$D$3:$AR$3,B2,'[3]UM-4 - 2T'!$D$7:$AR$7)</f>
        <v>#VALUE!</v>
      </c>
      <c r="C40" s="83" t="e">
        <f>SUMIF('[3]UM-4 - 2T'!$D$3:$AR$3,C2,'[3]UM-4 - 2T'!$D$7:$AR$7)</f>
        <v>#VALUE!</v>
      </c>
      <c r="D40" s="83" t="e">
        <f>SUMIF('[3]UM-4 - 2T'!$D$3:$AR$3,D2,'[3]UM-4 - 2T'!$D$7:$AR$7)</f>
        <v>#VALUE!</v>
      </c>
      <c r="E40" s="83" t="e">
        <f>SUMIF('[3]UM-4 - 2T'!$D$3:$AR$3,E2,'[3]UM-4 - 2T'!$D$7:$AR$7)</f>
        <v>#VALUE!</v>
      </c>
      <c r="F40" s="83" t="e">
        <f>SUMIF('[3]UM-4 - 2T'!$D$3:$AR$3,F2,'[3]UM-4 - 2T'!$D$7:$AR$7)</f>
        <v>#VALUE!</v>
      </c>
      <c r="G40" s="83" t="e">
        <f>SUMIF('[3]UM-4 - 2T'!$D$3:$AR$3,G2,'[3]UM-4 - 2T'!$D$7:$AR$7)</f>
        <v>#VALUE!</v>
      </c>
      <c r="H40" s="83" t="e">
        <f>SUMIF('[3]UM-4 - 2T'!$D$3:$AR$3,H2,'[3]UM-4 - 2T'!$D$7:$AR$7)</f>
        <v>#VALUE!</v>
      </c>
      <c r="I40" s="83" t="e">
        <f>SUMIF('[3]UM-4 - 2T'!$D$3:$AR$3,I2,'[3]UM-4 - 2T'!$D$7:$AR$7)</f>
        <v>#VALUE!</v>
      </c>
      <c r="J40" s="83" t="e">
        <f>SUMIF('[3]UM-4 - 2T'!$D$3:$AR$3,J2,'[3]UM-4 - 2T'!$D$7:$AR$7)</f>
        <v>#VALUE!</v>
      </c>
      <c r="K40" s="83" t="e">
        <f>SUMIF('[3]UM-4 - 2T'!$D$3:$AR$3,K2,'[3]UM-4 - 2T'!$D$7:$AR$7)</f>
        <v>#VALUE!</v>
      </c>
      <c r="L40" s="83" t="e">
        <f>SUMIF('[3]UM-4 - 2T'!$D$3:$AR$3,L2,'[3]UM-4 - 2T'!$D$7:$AR$7)</f>
        <v>#VALUE!</v>
      </c>
      <c r="M40" s="83" t="e">
        <f>SUMIF('[3]UM-4 - 2T'!$D$3:$AR$3,M2,'[3]UM-4 - 2T'!$D$7:$AR$7)</f>
        <v>#VALUE!</v>
      </c>
      <c r="N40" s="83" t="e">
        <f>SUMIF('[3]UM-4 - 2T'!$D$3:$AR$3,N2,'[3]UM-4 - 2T'!$D$7:$AR$7)</f>
        <v>#VALUE!</v>
      </c>
      <c r="O40" s="83" t="e">
        <f>SUMIF('[3]UM-4 - 2T'!$D$3:$AR$3,O2,'[3]UM-4 - 2T'!$D$7:$AR$7)</f>
        <v>#VALUE!</v>
      </c>
      <c r="P40" s="83" t="e">
        <f>SUMIF('[3]UM-4 - 2T'!$D$3:$AR$3,P2,'[3]UM-4 - 2T'!$D$7:$AR$7)</f>
        <v>#VALUE!</v>
      </c>
      <c r="Q40" s="83" t="e">
        <f>SUMIF('[3]UM-4 - 2T'!$D$3:$AR$3,Q2,'[3]UM-4 - 2T'!$D$7:$AR$7)</f>
        <v>#VALUE!</v>
      </c>
      <c r="R40" s="83" t="e">
        <f>SUMIF('[3]UM-4 - 2T'!$D$3:$AR$3,R2,'[3]UM-4 - 2T'!$D$7:$AR$7)</f>
        <v>#VALUE!</v>
      </c>
      <c r="S40" s="83" t="e">
        <f>SUMIF('[3]UM-4 - 2T'!$D$3:$AR$3,S2,'[3]UM-4 - 2T'!$D$7:$AR$7)</f>
        <v>#VALUE!</v>
      </c>
      <c r="T40" s="83" t="e">
        <f>SUMIF('[3]UM-4 - 2T'!$D$3:$AR$3,T2,'[3]UM-4 - 2T'!$D$7:$AR$7)</f>
        <v>#VALUE!</v>
      </c>
      <c r="U40" s="83" t="e">
        <f>SUMIF('[3]UM-4 - 2T'!$D$3:$AR$3,U2,'[3]UM-4 - 2T'!$D$7:$AR$7)</f>
        <v>#VALUE!</v>
      </c>
      <c r="V40" s="83" t="e">
        <f>SUMIF('[3]UM-4 - 2T'!$D$3:$AR$3,V2,'[3]UM-4 - 2T'!$D$7:$AR$7)</f>
        <v>#VALUE!</v>
      </c>
      <c r="W40" s="83" t="e">
        <f>SUMIF('[3]UM-4 - 2T'!$D$3:$AR$3,W2,'[3]UM-4 - 2T'!$D$7:$AR$7)</f>
        <v>#VALUE!</v>
      </c>
      <c r="X40" s="83" t="e">
        <f>SUMIF('[3]UM-4 - 2T'!$D$3:$AR$3,X2,'[3]UM-4 - 2T'!$D$7:$AR$7)</f>
        <v>#VALUE!</v>
      </c>
      <c r="Y40" s="83" t="e">
        <f>SUMIF('[3]UM-4 - 2T'!$D$3:$AR$3,Y2,'[3]UM-4 - 2T'!$D$7:$AR$7)</f>
        <v>#VALUE!</v>
      </c>
      <c r="Z40" s="83" t="e">
        <f>SUMIF('[3]UM-4 - 2T'!$D$3:$AR$3,Z2,'[3]UM-4 - 2T'!$D$7:$AR$7)</f>
        <v>#VALUE!</v>
      </c>
      <c r="AA40" s="83" t="e">
        <f>SUMIF('[3]UM-4 - 2T'!$D$3:$AR$3,AA2,'[3]UM-4 - 2T'!$D$7:$AR$7)</f>
        <v>#VALUE!</v>
      </c>
      <c r="AB40" s="83" t="e">
        <f>SUMIF('[3]UM-4 - 2T'!$D$3:$AR$3,AB2,'[3]UM-4 - 2T'!$D$7:$AR$7)</f>
        <v>#VALUE!</v>
      </c>
      <c r="AC40" s="83" t="e">
        <f>SUMIF('[3]UM-4 - 2T'!$D$3:$AR$3,AC2,'[3]UM-4 - 2T'!$D$7:$AR$7)</f>
        <v>#VALUE!</v>
      </c>
    </row>
  </sheetData>
  <mergeCells count="26">
    <mergeCell ref="AB1:AC1"/>
    <mergeCell ref="N7:N15"/>
    <mergeCell ref="O7:O15"/>
    <mergeCell ref="A7:A15"/>
    <mergeCell ref="B7:B15"/>
    <mergeCell ref="C7:C15"/>
    <mergeCell ref="D7:D15"/>
    <mergeCell ref="E7:E15"/>
    <mergeCell ref="F7:F15"/>
    <mergeCell ref="G7:G15"/>
    <mergeCell ref="H7:H15"/>
    <mergeCell ref="I7:I15"/>
    <mergeCell ref="J7:J15"/>
    <mergeCell ref="K7:K15"/>
    <mergeCell ref="L7:L15"/>
    <mergeCell ref="M7:M15"/>
    <mergeCell ref="Z7:Z15"/>
    <mergeCell ref="AA7:AA15"/>
    <mergeCell ref="AB7:AB15"/>
    <mergeCell ref="AC7:AC15"/>
    <mergeCell ref="P7:P15"/>
    <mergeCell ref="Q7:Q15"/>
    <mergeCell ref="V7:V15"/>
    <mergeCell ref="W7:W15"/>
    <mergeCell ref="X7:X15"/>
    <mergeCell ref="Y7:Y15"/>
  </mergeCells>
  <conditionalFormatting sqref="AD27">
    <cfRule type="cellIs" dxfId="14" priority="10" stopIfTrue="1" operator="notEqual">
      <formula>SUM($AD$16:$AD$20,$AD$22:$AD$24)</formula>
    </cfRule>
  </conditionalFormatting>
  <conditionalFormatting sqref="AD21">
    <cfRule type="cellIs" dxfId="13" priority="11" stopIfTrue="1" operator="notEqual">
      <formula>AD$4-AD$5</formula>
    </cfRule>
  </conditionalFormatting>
  <conditionalFormatting sqref="AD6">
    <cfRule type="expression" dxfId="12" priority="12">
      <formula>$AD$6&lt;&gt;$AF$6</formula>
    </cfRule>
  </conditionalFormatting>
  <conditionalFormatting sqref="AD26">
    <cfRule type="cellIs" dxfId="11" priority="13" stopIfTrue="1" operator="notEqual">
      <formula>AD$5-AD$6-AD$25</formula>
    </cfRule>
  </conditionalFormatting>
  <conditionalFormatting sqref="B21:AC21">
    <cfRule type="cellIs" dxfId="10" priority="28" stopIfTrue="1" operator="notEqual">
      <formula>B$4-B$5</formula>
    </cfRule>
  </conditionalFormatting>
  <conditionalFormatting sqref="B26:AC26">
    <cfRule type="cellIs" dxfId="9" priority="32" stopIfTrue="1" operator="notEqual">
      <formula>B$5-B$6</formula>
    </cfRule>
  </conditionalFormatting>
  <conditionalFormatting sqref="B6:AC6">
    <cfRule type="expression" dxfId="8" priority="1">
      <formula>A$6&lt;&gt;A$40</formula>
    </cfRule>
    <cfRule type="expression" dxfId="7" priority="2">
      <formula>B$6&lt;&gt;B$39</formula>
    </cfRule>
  </conditionalFormatting>
  <dataValidations count="1">
    <dataValidation type="date" allowBlank="1" showInputMessage="1" showErrorMessage="1" promptTitle="Data:" prompt="Favor digitar uma data válida pelo menos da/mês." sqref="B2:AC2" xr:uid="{00000000-0002-0000-0200-000000000000}">
      <formula1>44287</formula1>
      <formula2>44651</formula2>
    </dataValidation>
  </dataValidations>
  <printOptions horizontalCentered="1" gridLines="1" gridLinesSet="0"/>
  <pageMargins left="0.39370078740157483" right="0.39370078740157483" top="0.78740157480314965" bottom="0.39370078740157483" header="0.27559055118110237" footer="0.19685039370078741"/>
  <pageSetup paperSize="9" scale="59" orientation="landscape" r:id="rId1"/>
  <headerFooter alignWithMargins="0">
    <oddFooter xml:space="preserve">&amp;RSJCPIL-R 16-421-02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21</xdr:col>
                    <xdr:colOff>133350</xdr:colOff>
                    <xdr:row>0</xdr:row>
                    <xdr:rowOff>95250</xdr:rowOff>
                  </from>
                  <to>
                    <xdr:col>22</xdr:col>
                    <xdr:colOff>247650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2">
              <controlPr defaultSize="0" autoFill="0" autoLine="0" autoPict="0">
                <anchor moveWithCells="1">
                  <from>
                    <xdr:col>22</xdr:col>
                    <xdr:colOff>152400</xdr:colOff>
                    <xdr:row>0</xdr:row>
                    <xdr:rowOff>95250</xdr:rowOff>
                  </from>
                  <to>
                    <xdr:col>23</xdr:col>
                    <xdr:colOff>266700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Check Box 3">
              <controlPr defaultSize="0" autoFill="0" autoLine="0" autoPict="0">
                <anchor moveWithCells="1">
                  <from>
                    <xdr:col>23</xdr:col>
                    <xdr:colOff>76200</xdr:colOff>
                    <xdr:row>0</xdr:row>
                    <xdr:rowOff>95250</xdr:rowOff>
                  </from>
                  <to>
                    <xdr:col>24</xdr:col>
                    <xdr:colOff>190500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5">
    <tabColor theme="9" tint="-0.249977111117893"/>
    <pageSetUpPr fitToPage="1"/>
  </sheetPr>
  <dimension ref="A1:AF40"/>
  <sheetViews>
    <sheetView showZeros="0" zoomScaleNormal="100" workbookViewId="0">
      <selection activeCell="C7" sqref="C7:C15"/>
    </sheetView>
  </sheetViews>
  <sheetFormatPr defaultColWidth="11.42578125" defaultRowHeight="12.75"/>
  <cols>
    <col min="1" max="1" width="24.42578125" customWidth="1"/>
    <col min="2" max="29" width="6.7109375" customWidth="1"/>
    <col min="30" max="30" width="12.7109375" customWidth="1"/>
    <col min="31" max="31" width="3.28515625" customWidth="1"/>
  </cols>
  <sheetData>
    <row r="1" spans="1:32" ht="32.25" customHeight="1" thickBot="1">
      <c r="B1" s="5" t="s">
        <v>32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1" t="s">
        <v>44</v>
      </c>
      <c r="V1" s="5"/>
      <c r="W1" s="5"/>
      <c r="X1" s="11"/>
      <c r="Y1" s="5"/>
      <c r="Z1" s="5"/>
      <c r="AA1" s="5"/>
      <c r="AB1" s="89" t="s">
        <v>41</v>
      </c>
      <c r="AC1" s="90"/>
      <c r="AD1" s="77" t="str">
        <f ca="1">'Linha UM-4 - Dia'!AD1</f>
        <v>03 / 2022</v>
      </c>
    </row>
    <row r="2" spans="1:32" ht="20.100000000000001" customHeight="1">
      <c r="A2" s="12" t="s">
        <v>0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80"/>
      <c r="AC2" s="80"/>
      <c r="AD2" s="75" t="s">
        <v>11</v>
      </c>
    </row>
    <row r="3" spans="1:32" ht="20.100000000000001" customHeight="1">
      <c r="A3" s="13" t="s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1"/>
      <c r="Z3" s="1"/>
      <c r="AA3" s="1"/>
      <c r="AB3" s="1"/>
      <c r="AC3" s="1"/>
      <c r="AD3" s="3"/>
    </row>
    <row r="4" spans="1:32" ht="20.100000000000001" customHeight="1">
      <c r="A4" s="30" t="s">
        <v>17</v>
      </c>
      <c r="B4" s="73"/>
      <c r="C4" s="73"/>
      <c r="D4" s="73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9"/>
      <c r="Z4" s="59"/>
      <c r="AA4" s="59"/>
      <c r="AB4" s="59"/>
      <c r="AC4" s="59"/>
      <c r="AD4" s="60">
        <f>SUM(B4:AC4)</f>
        <v>0</v>
      </c>
    </row>
    <row r="5" spans="1:32" ht="20.100000000000001" customHeight="1">
      <c r="A5" s="30" t="s">
        <v>18</v>
      </c>
      <c r="B5" s="73"/>
      <c r="C5" s="73"/>
      <c r="D5" s="73"/>
      <c r="E5" s="58"/>
      <c r="F5" s="58"/>
      <c r="G5" s="58"/>
      <c r="H5" s="58"/>
      <c r="I5" s="58"/>
      <c r="J5" s="58"/>
      <c r="K5" s="45"/>
      <c r="L5" s="58"/>
      <c r="M5" s="58"/>
      <c r="N5" s="64"/>
      <c r="O5" s="58"/>
      <c r="P5" s="58"/>
      <c r="Q5" s="58"/>
      <c r="R5" s="58"/>
      <c r="S5" s="58"/>
      <c r="T5" s="58"/>
      <c r="U5" s="58"/>
      <c r="V5" s="58"/>
      <c r="W5" s="58"/>
      <c r="X5" s="58"/>
      <c r="Y5" s="59"/>
      <c r="Z5" s="59"/>
      <c r="AA5" s="59"/>
      <c r="AB5" s="59"/>
      <c r="AC5" s="59"/>
      <c r="AD5" s="60">
        <f>SUM(B5:AC5)</f>
        <v>0</v>
      </c>
    </row>
    <row r="6" spans="1:32" ht="20.100000000000001" customHeight="1" thickBot="1">
      <c r="A6" s="31" t="s">
        <v>20</v>
      </c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61">
        <f>SUM(B6:AC6)</f>
        <v>0</v>
      </c>
      <c r="AF6" s="62"/>
    </row>
    <row r="7" spans="1:32" ht="39.950000000000003" customHeight="1">
      <c r="A7" s="91" t="s">
        <v>43</v>
      </c>
      <c r="B7" s="92">
        <f>B36</f>
        <v>0</v>
      </c>
      <c r="C7" s="92">
        <f t="shared" ref="C7:AC7" si="0">C36</f>
        <v>0</v>
      </c>
      <c r="D7" s="92">
        <f t="shared" si="0"/>
        <v>0</v>
      </c>
      <c r="E7" s="92">
        <f t="shared" si="0"/>
        <v>0</v>
      </c>
      <c r="F7" s="93">
        <f t="shared" si="0"/>
        <v>0</v>
      </c>
      <c r="G7" s="92">
        <f t="shared" si="0"/>
        <v>0</v>
      </c>
      <c r="H7" s="92">
        <f t="shared" si="0"/>
        <v>0</v>
      </c>
      <c r="I7" s="92">
        <f t="shared" si="0"/>
        <v>0</v>
      </c>
      <c r="J7" s="92">
        <f t="shared" si="0"/>
        <v>0</v>
      </c>
      <c r="K7" s="92">
        <f t="shared" si="0"/>
        <v>0</v>
      </c>
      <c r="L7" s="92">
        <f>L36</f>
        <v>0</v>
      </c>
      <c r="M7" s="92">
        <f t="shared" si="0"/>
        <v>0</v>
      </c>
      <c r="N7" s="92">
        <f t="shared" si="0"/>
        <v>0</v>
      </c>
      <c r="O7" s="92">
        <f t="shared" si="0"/>
        <v>0</v>
      </c>
      <c r="P7" s="87"/>
      <c r="Q7" s="87">
        <f t="shared" si="0"/>
        <v>0</v>
      </c>
      <c r="R7" s="78"/>
      <c r="S7" s="78"/>
      <c r="T7" s="78"/>
      <c r="U7" s="78"/>
      <c r="V7" s="87">
        <f t="shared" si="0"/>
        <v>0</v>
      </c>
      <c r="W7" s="87">
        <f t="shared" si="0"/>
        <v>0</v>
      </c>
      <c r="X7" s="87">
        <f t="shared" si="0"/>
        <v>0</v>
      </c>
      <c r="Y7" s="87">
        <f t="shared" si="0"/>
        <v>0</v>
      </c>
      <c r="Z7" s="87">
        <f t="shared" si="0"/>
        <v>0</v>
      </c>
      <c r="AA7" s="87">
        <f t="shared" si="0"/>
        <v>0</v>
      </c>
      <c r="AB7" s="87">
        <f t="shared" si="0"/>
        <v>0</v>
      </c>
      <c r="AC7" s="87">
        <f t="shared" si="0"/>
        <v>0</v>
      </c>
      <c r="AD7" s="4"/>
    </row>
    <row r="8" spans="1:32" ht="39.950000000000003" customHeight="1">
      <c r="A8" s="91"/>
      <c r="B8" s="92"/>
      <c r="C8" s="92"/>
      <c r="D8" s="92"/>
      <c r="E8" s="92"/>
      <c r="F8" s="93"/>
      <c r="G8" s="92"/>
      <c r="H8" s="92"/>
      <c r="I8" s="92"/>
      <c r="J8" s="92"/>
      <c r="K8" s="92"/>
      <c r="L8" s="92"/>
      <c r="M8" s="92"/>
      <c r="N8" s="92"/>
      <c r="O8" s="92"/>
      <c r="P8" s="87"/>
      <c r="Q8" s="87"/>
      <c r="R8" s="78"/>
      <c r="S8" s="78"/>
      <c r="T8" s="78"/>
      <c r="U8" s="78"/>
      <c r="V8" s="87"/>
      <c r="W8" s="87"/>
      <c r="X8" s="87"/>
      <c r="Y8" s="87"/>
      <c r="Z8" s="87"/>
      <c r="AA8" s="87"/>
      <c r="AB8" s="87"/>
      <c r="AC8" s="87"/>
      <c r="AD8" s="4"/>
    </row>
    <row r="9" spans="1:32" ht="39.950000000000003" customHeight="1">
      <c r="A9" s="91"/>
      <c r="B9" s="92"/>
      <c r="C9" s="92"/>
      <c r="D9" s="92"/>
      <c r="E9" s="92"/>
      <c r="F9" s="93"/>
      <c r="G9" s="92"/>
      <c r="H9" s="92"/>
      <c r="I9" s="92"/>
      <c r="J9" s="92"/>
      <c r="K9" s="92"/>
      <c r="L9" s="92"/>
      <c r="M9" s="92"/>
      <c r="N9" s="92"/>
      <c r="O9" s="92"/>
      <c r="P9" s="87"/>
      <c r="Q9" s="87"/>
      <c r="R9" s="78"/>
      <c r="S9" s="78"/>
      <c r="T9" s="78"/>
      <c r="U9" s="78"/>
      <c r="V9" s="87"/>
      <c r="W9" s="87"/>
      <c r="X9" s="87"/>
      <c r="Y9" s="87"/>
      <c r="Z9" s="87"/>
      <c r="AA9" s="87"/>
      <c r="AB9" s="87"/>
      <c r="AC9" s="87"/>
      <c r="AD9" s="4"/>
    </row>
    <row r="10" spans="1:32" ht="39.950000000000003" customHeight="1">
      <c r="A10" s="91"/>
      <c r="B10" s="92"/>
      <c r="C10" s="92"/>
      <c r="D10" s="92"/>
      <c r="E10" s="92"/>
      <c r="F10" s="93"/>
      <c r="G10" s="92"/>
      <c r="H10" s="92"/>
      <c r="I10" s="92"/>
      <c r="J10" s="92"/>
      <c r="K10" s="92"/>
      <c r="L10" s="92"/>
      <c r="M10" s="92"/>
      <c r="N10" s="92"/>
      <c r="O10" s="92"/>
      <c r="P10" s="87"/>
      <c r="Q10" s="87"/>
      <c r="R10" s="78"/>
      <c r="S10" s="78"/>
      <c r="T10" s="78"/>
      <c r="U10" s="78"/>
      <c r="V10" s="87"/>
      <c r="W10" s="87"/>
      <c r="X10" s="87"/>
      <c r="Y10" s="87"/>
      <c r="Z10" s="87"/>
      <c r="AA10" s="87"/>
      <c r="AB10" s="87"/>
      <c r="AC10" s="87"/>
      <c r="AD10" s="4"/>
    </row>
    <row r="11" spans="1:32" ht="39.950000000000003" customHeight="1">
      <c r="A11" s="91"/>
      <c r="B11" s="92"/>
      <c r="C11" s="92"/>
      <c r="D11" s="92"/>
      <c r="E11" s="92"/>
      <c r="F11" s="93"/>
      <c r="G11" s="92"/>
      <c r="H11" s="92"/>
      <c r="I11" s="92"/>
      <c r="J11" s="92"/>
      <c r="K11" s="92"/>
      <c r="L11" s="92"/>
      <c r="M11" s="92"/>
      <c r="N11" s="92"/>
      <c r="O11" s="92"/>
      <c r="P11" s="87"/>
      <c r="Q11" s="87"/>
      <c r="R11" s="78"/>
      <c r="S11" s="78"/>
      <c r="T11" s="78"/>
      <c r="U11" s="78"/>
      <c r="V11" s="87"/>
      <c r="W11" s="87"/>
      <c r="X11" s="87"/>
      <c r="Y11" s="87"/>
      <c r="Z11" s="87"/>
      <c r="AA11" s="87"/>
      <c r="AB11" s="87"/>
      <c r="AC11" s="87"/>
      <c r="AD11" s="4"/>
    </row>
    <row r="12" spans="1:32" ht="39.950000000000003" customHeight="1">
      <c r="A12" s="91"/>
      <c r="B12" s="92"/>
      <c r="C12" s="92"/>
      <c r="D12" s="92"/>
      <c r="E12" s="92"/>
      <c r="F12" s="93"/>
      <c r="G12" s="92"/>
      <c r="H12" s="92"/>
      <c r="I12" s="92"/>
      <c r="J12" s="92"/>
      <c r="K12" s="92"/>
      <c r="L12" s="92"/>
      <c r="M12" s="92"/>
      <c r="N12" s="92"/>
      <c r="O12" s="92"/>
      <c r="P12" s="87"/>
      <c r="Q12" s="87"/>
      <c r="R12" s="78"/>
      <c r="S12" s="78"/>
      <c r="T12" s="78"/>
      <c r="U12" s="78"/>
      <c r="V12" s="87"/>
      <c r="W12" s="87"/>
      <c r="X12" s="87"/>
      <c r="Y12" s="87"/>
      <c r="Z12" s="87"/>
      <c r="AA12" s="87"/>
      <c r="AB12" s="87"/>
      <c r="AC12" s="87"/>
      <c r="AD12" s="4"/>
    </row>
    <row r="13" spans="1:32" ht="39.950000000000003" customHeight="1">
      <c r="A13" s="91"/>
      <c r="B13" s="92"/>
      <c r="C13" s="92"/>
      <c r="D13" s="92"/>
      <c r="E13" s="92"/>
      <c r="F13" s="93"/>
      <c r="G13" s="92"/>
      <c r="H13" s="92"/>
      <c r="I13" s="92"/>
      <c r="J13" s="92"/>
      <c r="K13" s="92"/>
      <c r="L13" s="92"/>
      <c r="M13" s="92"/>
      <c r="N13" s="92"/>
      <c r="O13" s="92"/>
      <c r="P13" s="87"/>
      <c r="Q13" s="87"/>
      <c r="R13" s="78"/>
      <c r="S13" s="78"/>
      <c r="T13" s="78"/>
      <c r="U13" s="78"/>
      <c r="V13" s="87"/>
      <c r="W13" s="87"/>
      <c r="X13" s="87"/>
      <c r="Y13" s="87"/>
      <c r="Z13" s="87"/>
      <c r="AA13" s="87"/>
      <c r="AB13" s="87"/>
      <c r="AC13" s="87"/>
      <c r="AD13" s="4"/>
    </row>
    <row r="14" spans="1:32" ht="39.950000000000003" customHeight="1">
      <c r="A14" s="91"/>
      <c r="B14" s="92"/>
      <c r="C14" s="92"/>
      <c r="D14" s="92"/>
      <c r="E14" s="92"/>
      <c r="F14" s="93"/>
      <c r="G14" s="92"/>
      <c r="H14" s="92"/>
      <c r="I14" s="92"/>
      <c r="J14" s="92"/>
      <c r="K14" s="92"/>
      <c r="L14" s="92"/>
      <c r="M14" s="92"/>
      <c r="N14" s="92"/>
      <c r="O14" s="92"/>
      <c r="P14" s="87"/>
      <c r="Q14" s="87"/>
      <c r="R14" s="78"/>
      <c r="S14" s="78"/>
      <c r="T14" s="78"/>
      <c r="U14" s="78"/>
      <c r="V14" s="87"/>
      <c r="W14" s="87"/>
      <c r="X14" s="87"/>
      <c r="Y14" s="87"/>
      <c r="Z14" s="87"/>
      <c r="AA14" s="87"/>
      <c r="AB14" s="87"/>
      <c r="AC14" s="87"/>
      <c r="AD14" s="4"/>
    </row>
    <row r="15" spans="1:32" ht="39.950000000000003" customHeight="1" thickBot="1">
      <c r="A15" s="91"/>
      <c r="B15" s="92"/>
      <c r="C15" s="92"/>
      <c r="D15" s="92"/>
      <c r="E15" s="92"/>
      <c r="F15" s="93"/>
      <c r="G15" s="92"/>
      <c r="H15" s="92"/>
      <c r="I15" s="92"/>
      <c r="J15" s="92"/>
      <c r="K15" s="92"/>
      <c r="L15" s="92"/>
      <c r="M15" s="92"/>
      <c r="N15" s="92"/>
      <c r="O15" s="92"/>
      <c r="P15" s="87"/>
      <c r="Q15" s="87"/>
      <c r="R15" s="78"/>
      <c r="S15" s="78"/>
      <c r="T15" s="78"/>
      <c r="U15" s="78"/>
      <c r="V15" s="87"/>
      <c r="W15" s="87"/>
      <c r="X15" s="87"/>
      <c r="Y15" s="87"/>
      <c r="Z15" s="87"/>
      <c r="AA15" s="87"/>
      <c r="AB15" s="87"/>
      <c r="AC15" s="87"/>
      <c r="AD15" s="4"/>
    </row>
    <row r="16" spans="1:32" ht="21" customHeight="1">
      <c r="A16" s="14" t="s">
        <v>13</v>
      </c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7">
        <f>SUM(B16:AC16)</f>
        <v>0</v>
      </c>
    </row>
    <row r="17" spans="1:30" ht="21" customHeight="1">
      <c r="A17" s="15" t="s">
        <v>14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9">
        <f>SUM(B17:AC17)</f>
        <v>0</v>
      </c>
    </row>
    <row r="18" spans="1:30" ht="21" customHeight="1">
      <c r="A18" s="15" t="s">
        <v>15</v>
      </c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9">
        <f>SUM(B18:AC18)</f>
        <v>0</v>
      </c>
    </row>
    <row r="19" spans="1:30" ht="21" customHeight="1">
      <c r="A19" s="15" t="s">
        <v>16</v>
      </c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9">
        <f>SUM(B19:AC19)</f>
        <v>0</v>
      </c>
    </row>
    <row r="20" spans="1:30" ht="21" customHeight="1">
      <c r="A20" s="15" t="s">
        <v>26</v>
      </c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9">
        <f>SUM(B20:AC20)</f>
        <v>0</v>
      </c>
    </row>
    <row r="21" spans="1:30" ht="21" customHeight="1">
      <c r="A21" s="16" t="s">
        <v>19</v>
      </c>
      <c r="B21" s="50">
        <f>SUBTOTAL(9,B16:B20)</f>
        <v>0</v>
      </c>
      <c r="C21" s="50">
        <f t="shared" ref="C21:AD21" si="1">SUBTOTAL(9,C16:C20)</f>
        <v>0</v>
      </c>
      <c r="D21" s="50">
        <f t="shared" si="1"/>
        <v>0</v>
      </c>
      <c r="E21" s="50">
        <f t="shared" si="1"/>
        <v>0</v>
      </c>
      <c r="F21" s="50">
        <f t="shared" si="1"/>
        <v>0</v>
      </c>
      <c r="G21" s="50">
        <f t="shared" si="1"/>
        <v>0</v>
      </c>
      <c r="H21" s="50">
        <f t="shared" si="1"/>
        <v>0</v>
      </c>
      <c r="I21" s="50">
        <f t="shared" si="1"/>
        <v>0</v>
      </c>
      <c r="J21" s="50">
        <f t="shared" si="1"/>
        <v>0</v>
      </c>
      <c r="K21" s="50">
        <f t="shared" si="1"/>
        <v>0</v>
      </c>
      <c r="L21" s="50">
        <f t="shared" si="1"/>
        <v>0</v>
      </c>
      <c r="M21" s="50">
        <f t="shared" si="1"/>
        <v>0</v>
      </c>
      <c r="N21" s="50">
        <f t="shared" si="1"/>
        <v>0</v>
      </c>
      <c r="O21" s="50">
        <f t="shared" si="1"/>
        <v>0</v>
      </c>
      <c r="P21" s="50">
        <f t="shared" si="1"/>
        <v>0</v>
      </c>
      <c r="Q21" s="50">
        <f t="shared" si="1"/>
        <v>0</v>
      </c>
      <c r="R21" s="50">
        <f t="shared" si="1"/>
        <v>0</v>
      </c>
      <c r="S21" s="50">
        <f t="shared" si="1"/>
        <v>0</v>
      </c>
      <c r="T21" s="50">
        <f t="shared" si="1"/>
        <v>0</v>
      </c>
      <c r="U21" s="50">
        <f t="shared" si="1"/>
        <v>0</v>
      </c>
      <c r="V21" s="50">
        <f t="shared" si="1"/>
        <v>0</v>
      </c>
      <c r="W21" s="50">
        <f t="shared" si="1"/>
        <v>0</v>
      </c>
      <c r="X21" s="50">
        <f t="shared" si="1"/>
        <v>0</v>
      </c>
      <c r="Y21" s="50">
        <f t="shared" si="1"/>
        <v>0</v>
      </c>
      <c r="Z21" s="50">
        <f t="shared" si="1"/>
        <v>0</v>
      </c>
      <c r="AA21" s="50">
        <f t="shared" si="1"/>
        <v>0</v>
      </c>
      <c r="AB21" s="50">
        <f t="shared" si="1"/>
        <v>0</v>
      </c>
      <c r="AC21" s="50">
        <f t="shared" si="1"/>
        <v>0</v>
      </c>
      <c r="AD21" s="49">
        <f t="shared" si="1"/>
        <v>0</v>
      </c>
    </row>
    <row r="22" spans="1:30" ht="21" customHeight="1">
      <c r="A22" s="15" t="s">
        <v>27</v>
      </c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9">
        <f>SUM(B22:AC22)</f>
        <v>0</v>
      </c>
    </row>
    <row r="23" spans="1:30" ht="21" customHeight="1">
      <c r="A23" s="15" t="s">
        <v>28</v>
      </c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9">
        <f>SUM(B23:AC23)</f>
        <v>0</v>
      </c>
    </row>
    <row r="24" spans="1:30" ht="21" customHeight="1">
      <c r="A24" s="15" t="s">
        <v>30</v>
      </c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9">
        <f>SUM(B24:AC24)</f>
        <v>0</v>
      </c>
    </row>
    <row r="25" spans="1:30" ht="21" customHeight="1">
      <c r="A25" s="15" t="s">
        <v>29</v>
      </c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 t="s">
        <v>24</v>
      </c>
      <c r="AB25" s="48"/>
      <c r="AC25" s="48"/>
      <c r="AD25" s="49">
        <f>SUM(B25:AC25)</f>
        <v>0</v>
      </c>
    </row>
    <row r="26" spans="1:30" ht="24">
      <c r="A26" s="63" t="s">
        <v>31</v>
      </c>
      <c r="B26" s="51">
        <f>SUBTOTAL(9,B22:B25)</f>
        <v>0</v>
      </c>
      <c r="C26" s="51">
        <f t="shared" ref="C26:AD26" si="2">SUBTOTAL(9,C22:C25)</f>
        <v>0</v>
      </c>
      <c r="D26" s="51">
        <f t="shared" si="2"/>
        <v>0</v>
      </c>
      <c r="E26" s="51">
        <f t="shared" si="2"/>
        <v>0</v>
      </c>
      <c r="F26" s="51">
        <f t="shared" si="2"/>
        <v>0</v>
      </c>
      <c r="G26" s="51">
        <f t="shared" si="2"/>
        <v>0</v>
      </c>
      <c r="H26" s="51">
        <f t="shared" si="2"/>
        <v>0</v>
      </c>
      <c r="I26" s="51">
        <f t="shared" si="2"/>
        <v>0</v>
      </c>
      <c r="J26" s="51">
        <f t="shared" si="2"/>
        <v>0</v>
      </c>
      <c r="K26" s="51">
        <f t="shared" si="2"/>
        <v>0</v>
      </c>
      <c r="L26" s="51">
        <f t="shared" si="2"/>
        <v>0</v>
      </c>
      <c r="M26" s="51">
        <f t="shared" si="2"/>
        <v>0</v>
      </c>
      <c r="N26" s="51">
        <f t="shared" si="2"/>
        <v>0</v>
      </c>
      <c r="O26" s="51">
        <f t="shared" si="2"/>
        <v>0</v>
      </c>
      <c r="P26" s="51">
        <f t="shared" si="2"/>
        <v>0</v>
      </c>
      <c r="Q26" s="51">
        <f t="shared" si="2"/>
        <v>0</v>
      </c>
      <c r="R26" s="51">
        <f t="shared" si="2"/>
        <v>0</v>
      </c>
      <c r="S26" s="51">
        <f t="shared" si="2"/>
        <v>0</v>
      </c>
      <c r="T26" s="51">
        <f t="shared" si="2"/>
        <v>0</v>
      </c>
      <c r="U26" s="51">
        <f t="shared" si="2"/>
        <v>0</v>
      </c>
      <c r="V26" s="51">
        <f t="shared" si="2"/>
        <v>0</v>
      </c>
      <c r="W26" s="51">
        <f t="shared" si="2"/>
        <v>0</v>
      </c>
      <c r="X26" s="51">
        <f t="shared" si="2"/>
        <v>0</v>
      </c>
      <c r="Y26" s="51">
        <f t="shared" si="2"/>
        <v>0</v>
      </c>
      <c r="Z26" s="51">
        <f t="shared" si="2"/>
        <v>0</v>
      </c>
      <c r="AA26" s="51">
        <f t="shared" si="2"/>
        <v>0</v>
      </c>
      <c r="AB26" s="51">
        <f t="shared" si="2"/>
        <v>0</v>
      </c>
      <c r="AC26" s="51">
        <f t="shared" si="2"/>
        <v>0</v>
      </c>
      <c r="AD26" s="52">
        <f t="shared" si="2"/>
        <v>0</v>
      </c>
    </row>
    <row r="27" spans="1:30" ht="21" customHeight="1">
      <c r="A27" s="16" t="s">
        <v>2</v>
      </c>
      <c r="B27" s="53">
        <f>SUBTOTAL(9,B16:B26)</f>
        <v>0</v>
      </c>
      <c r="C27" s="53">
        <f t="shared" ref="C27:AD27" si="3">SUBTOTAL(9,C16:C26)</f>
        <v>0</v>
      </c>
      <c r="D27" s="53">
        <f t="shared" si="3"/>
        <v>0</v>
      </c>
      <c r="E27" s="53">
        <f t="shared" si="3"/>
        <v>0</v>
      </c>
      <c r="F27" s="53">
        <f t="shared" si="3"/>
        <v>0</v>
      </c>
      <c r="G27" s="53">
        <f t="shared" si="3"/>
        <v>0</v>
      </c>
      <c r="H27" s="53">
        <f t="shared" si="3"/>
        <v>0</v>
      </c>
      <c r="I27" s="53">
        <f t="shared" si="3"/>
        <v>0</v>
      </c>
      <c r="J27" s="53">
        <f t="shared" si="3"/>
        <v>0</v>
      </c>
      <c r="K27" s="53">
        <f t="shared" si="3"/>
        <v>0</v>
      </c>
      <c r="L27" s="53">
        <f t="shared" si="3"/>
        <v>0</v>
      </c>
      <c r="M27" s="53">
        <f t="shared" si="3"/>
        <v>0</v>
      </c>
      <c r="N27" s="53">
        <f t="shared" si="3"/>
        <v>0</v>
      </c>
      <c r="O27" s="53">
        <f t="shared" si="3"/>
        <v>0</v>
      </c>
      <c r="P27" s="53">
        <f t="shared" si="3"/>
        <v>0</v>
      </c>
      <c r="Q27" s="53">
        <f t="shared" si="3"/>
        <v>0</v>
      </c>
      <c r="R27" s="53">
        <f t="shared" si="3"/>
        <v>0</v>
      </c>
      <c r="S27" s="53">
        <f t="shared" si="3"/>
        <v>0</v>
      </c>
      <c r="T27" s="53">
        <f t="shared" si="3"/>
        <v>0</v>
      </c>
      <c r="U27" s="53">
        <f t="shared" si="3"/>
        <v>0</v>
      </c>
      <c r="V27" s="53">
        <f t="shared" si="3"/>
        <v>0</v>
      </c>
      <c r="W27" s="53">
        <f t="shared" si="3"/>
        <v>0</v>
      </c>
      <c r="X27" s="53">
        <f t="shared" si="3"/>
        <v>0</v>
      </c>
      <c r="Y27" s="53">
        <f t="shared" si="3"/>
        <v>0</v>
      </c>
      <c r="Z27" s="53">
        <f t="shared" si="3"/>
        <v>0</v>
      </c>
      <c r="AA27" s="53">
        <f t="shared" si="3"/>
        <v>0</v>
      </c>
      <c r="AB27" s="53">
        <f t="shared" si="3"/>
        <v>0</v>
      </c>
      <c r="AC27" s="53">
        <f t="shared" si="3"/>
        <v>0</v>
      </c>
      <c r="AD27" s="54">
        <f t="shared" si="3"/>
        <v>0</v>
      </c>
    </row>
    <row r="28" spans="1:30" ht="21" customHeight="1" thickBot="1">
      <c r="A28" s="66" t="s">
        <v>12</v>
      </c>
      <c r="B28" s="67" t="str">
        <f>(IF(ISERR(B27/B6)," ",B27/B6*1000000))</f>
        <v xml:space="preserve"> </v>
      </c>
      <c r="C28" s="67" t="str">
        <f>(IF(ISERR(C27/C6)," ",C27/C6*1000000))</f>
        <v xml:space="preserve"> </v>
      </c>
      <c r="D28" s="67" t="str">
        <f>(IF(ISERR(D27/D6)," ",D27/D6*1000000))</f>
        <v xml:space="preserve"> </v>
      </c>
      <c r="E28" s="67" t="str">
        <f t="shared" ref="E28:H28" si="4">(IF(ISERR(E27/E6)," ",E27/E6*1000000))</f>
        <v xml:space="preserve"> </v>
      </c>
      <c r="F28" s="67" t="str">
        <f t="shared" si="4"/>
        <v xml:space="preserve"> </v>
      </c>
      <c r="G28" s="67" t="str">
        <f t="shared" si="4"/>
        <v xml:space="preserve"> </v>
      </c>
      <c r="H28" s="67" t="str">
        <f t="shared" si="4"/>
        <v xml:space="preserve"> </v>
      </c>
      <c r="I28" s="67" t="str">
        <f t="shared" ref="I28:AD28" si="5">(IF(ISERR(I27/I6)," ",I27/I6*1000000))</f>
        <v xml:space="preserve"> </v>
      </c>
      <c r="J28" s="67" t="str">
        <f>(IF(ISERR(J27/J6)," ",J27/J6*1000000))</f>
        <v xml:space="preserve"> </v>
      </c>
      <c r="K28" s="67" t="str">
        <f t="shared" si="5"/>
        <v xml:space="preserve"> </v>
      </c>
      <c r="L28" s="67" t="str">
        <f t="shared" si="5"/>
        <v xml:space="preserve"> </v>
      </c>
      <c r="M28" s="67" t="str">
        <f t="shared" si="5"/>
        <v xml:space="preserve"> </v>
      </c>
      <c r="N28" s="67" t="str">
        <f t="shared" si="5"/>
        <v xml:space="preserve"> </v>
      </c>
      <c r="O28" s="67" t="str">
        <f t="shared" si="5"/>
        <v xml:space="preserve"> </v>
      </c>
      <c r="P28" s="67" t="str">
        <f t="shared" si="5"/>
        <v xml:space="preserve"> </v>
      </c>
      <c r="Q28" s="67" t="str">
        <f t="shared" si="5"/>
        <v xml:space="preserve"> </v>
      </c>
      <c r="R28" s="67" t="str">
        <f t="shared" si="5"/>
        <v xml:space="preserve"> </v>
      </c>
      <c r="S28" s="67" t="str">
        <f t="shared" si="5"/>
        <v xml:space="preserve"> </v>
      </c>
      <c r="T28" s="67" t="str">
        <f t="shared" si="5"/>
        <v xml:space="preserve"> </v>
      </c>
      <c r="U28" s="67" t="str">
        <f t="shared" si="5"/>
        <v xml:space="preserve"> </v>
      </c>
      <c r="V28" s="67" t="str">
        <f t="shared" si="5"/>
        <v xml:space="preserve"> </v>
      </c>
      <c r="W28" s="67" t="str">
        <f t="shared" si="5"/>
        <v xml:space="preserve"> </v>
      </c>
      <c r="X28" s="67" t="str">
        <f t="shared" si="5"/>
        <v xml:space="preserve"> </v>
      </c>
      <c r="Y28" s="67" t="str">
        <f t="shared" si="5"/>
        <v xml:space="preserve"> </v>
      </c>
      <c r="Z28" s="67" t="str">
        <f t="shared" si="5"/>
        <v xml:space="preserve"> </v>
      </c>
      <c r="AA28" s="67" t="str">
        <f t="shared" si="5"/>
        <v xml:space="preserve"> </v>
      </c>
      <c r="AB28" s="67" t="str">
        <f t="shared" si="5"/>
        <v xml:space="preserve"> </v>
      </c>
      <c r="AC28" s="67" t="str">
        <f t="shared" si="5"/>
        <v xml:space="preserve"> </v>
      </c>
      <c r="AD28" s="68" t="str">
        <f t="shared" si="5"/>
        <v xml:space="preserve"> </v>
      </c>
    </row>
    <row r="29" spans="1:30" ht="21" customHeight="1">
      <c r="A29" s="69" t="s">
        <v>33</v>
      </c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1"/>
      <c r="AA29" s="71"/>
      <c r="AB29" s="71"/>
      <c r="AC29" s="71"/>
      <c r="AD29" s="72"/>
    </row>
    <row r="30" spans="1:30" ht="21" customHeight="1" thickBot="1">
      <c r="A30" s="29" t="s">
        <v>34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6"/>
      <c r="AA30" s="56"/>
      <c r="AB30" s="56"/>
      <c r="AC30" s="56"/>
      <c r="AD30" s="57"/>
    </row>
    <row r="31" spans="1:30" ht="21" customHeight="1">
      <c r="A31" s="17" t="s">
        <v>7</v>
      </c>
      <c r="B31" s="18"/>
      <c r="C31" s="18"/>
      <c r="D31" s="18"/>
      <c r="E31" s="18"/>
      <c r="F31" s="18"/>
      <c r="G31" s="17" t="s">
        <v>9</v>
      </c>
      <c r="H31" s="18"/>
      <c r="I31" s="18"/>
      <c r="J31" s="18"/>
      <c r="K31" s="18"/>
      <c r="L31" s="18"/>
      <c r="M31" s="18"/>
      <c r="N31" s="18"/>
      <c r="O31" s="18"/>
      <c r="P31" s="19"/>
      <c r="Q31" s="20"/>
      <c r="R31" s="19"/>
      <c r="S31" s="19"/>
      <c r="T31" s="19"/>
      <c r="U31" s="19"/>
      <c r="V31" s="21" t="s">
        <v>10</v>
      </c>
      <c r="W31" s="19"/>
      <c r="X31" s="19"/>
      <c r="Y31" s="19"/>
      <c r="Z31" s="19"/>
      <c r="AA31" s="19"/>
      <c r="AB31" s="19"/>
      <c r="AC31" s="19"/>
      <c r="AD31" s="9"/>
    </row>
    <row r="32" spans="1:30" s="25" customFormat="1" ht="21" customHeight="1" thickBot="1">
      <c r="A32" s="22" t="s">
        <v>8</v>
      </c>
      <c r="B32" s="23"/>
      <c r="C32" s="23"/>
      <c r="D32" s="23"/>
      <c r="E32" s="23"/>
      <c r="F32" s="23"/>
      <c r="G32" s="22" t="s">
        <v>8</v>
      </c>
      <c r="H32" s="23"/>
      <c r="I32" s="23"/>
      <c r="J32" s="23"/>
      <c r="K32" s="23"/>
      <c r="L32" s="23"/>
      <c r="M32" s="23"/>
      <c r="N32" s="23"/>
      <c r="O32" s="23"/>
      <c r="P32" s="23"/>
      <c r="Q32" s="24"/>
      <c r="R32" s="23"/>
      <c r="S32" s="23"/>
      <c r="T32" s="23"/>
      <c r="U32" s="23"/>
      <c r="V32" s="22" t="s">
        <v>8</v>
      </c>
      <c r="W32" s="23"/>
      <c r="X32" s="23"/>
      <c r="Y32" s="23"/>
      <c r="Z32" s="23"/>
      <c r="AA32" s="23"/>
      <c r="AB32" s="23"/>
      <c r="AC32" s="23"/>
      <c r="AD32" s="24"/>
    </row>
    <row r="33" spans="1:30">
      <c r="A33" t="s">
        <v>4</v>
      </c>
      <c r="B33" s="26">
        <f>'Linha UM-4 - Dia'!B33</f>
        <v>620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</row>
    <row r="34" spans="1:30"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</row>
    <row r="35" spans="1:30">
      <c r="A35" s="10" t="s">
        <v>5</v>
      </c>
      <c r="B35" s="74">
        <f t="shared" ref="B35:O35" si="6">B2</f>
        <v>0</v>
      </c>
      <c r="C35" s="74">
        <f t="shared" si="6"/>
        <v>0</v>
      </c>
      <c r="D35" s="74">
        <f t="shared" si="6"/>
        <v>0</v>
      </c>
      <c r="E35" s="74">
        <f t="shared" si="6"/>
        <v>0</v>
      </c>
      <c r="F35" s="74">
        <f t="shared" si="6"/>
        <v>0</v>
      </c>
      <c r="G35" s="74">
        <f t="shared" si="6"/>
        <v>0</v>
      </c>
      <c r="H35" s="74">
        <f t="shared" si="6"/>
        <v>0</v>
      </c>
      <c r="I35" s="74">
        <f t="shared" si="6"/>
        <v>0</v>
      </c>
      <c r="J35" s="74">
        <f t="shared" si="6"/>
        <v>0</v>
      </c>
      <c r="K35" s="74">
        <f t="shared" si="6"/>
        <v>0</v>
      </c>
      <c r="L35" s="74">
        <f t="shared" si="6"/>
        <v>0</v>
      </c>
      <c r="M35" s="74">
        <f t="shared" si="6"/>
        <v>0</v>
      </c>
      <c r="N35" s="74">
        <f t="shared" si="6"/>
        <v>0</v>
      </c>
      <c r="O35" s="74">
        <f t="shared" si="6"/>
        <v>0</v>
      </c>
      <c r="P35" s="74">
        <f>P2</f>
        <v>0</v>
      </c>
      <c r="Q35" s="74">
        <f>Q2</f>
        <v>0</v>
      </c>
      <c r="R35" s="74"/>
      <c r="S35" s="74"/>
      <c r="T35" s="74"/>
      <c r="U35" s="74"/>
      <c r="V35" s="74">
        <f t="shared" ref="V35:AC35" si="7">V2</f>
        <v>0</v>
      </c>
      <c r="W35" s="74">
        <f t="shared" si="7"/>
        <v>0</v>
      </c>
      <c r="X35" s="74">
        <f t="shared" si="7"/>
        <v>0</v>
      </c>
      <c r="Y35" s="74">
        <f t="shared" si="7"/>
        <v>0</v>
      </c>
      <c r="Z35" s="74">
        <f t="shared" si="7"/>
        <v>0</v>
      </c>
      <c r="AA35" s="74">
        <f t="shared" si="7"/>
        <v>0</v>
      </c>
      <c r="AB35" s="74">
        <f t="shared" si="7"/>
        <v>0</v>
      </c>
      <c r="AC35" s="74">
        <f t="shared" si="7"/>
        <v>0</v>
      </c>
    </row>
    <row r="36" spans="1:30" ht="120" customHeight="1">
      <c r="A36" s="28" t="s">
        <v>6</v>
      </c>
      <c r="B36" s="6"/>
      <c r="C36" s="7"/>
      <c r="D36" s="6"/>
      <c r="E36" s="7"/>
      <c r="F36" s="6"/>
      <c r="G36" s="6"/>
      <c r="H36" s="6"/>
      <c r="I36" s="6"/>
      <c r="J36" s="7"/>
      <c r="K36" s="7"/>
      <c r="L36" s="7"/>
      <c r="M36" s="7"/>
      <c r="N36" s="7"/>
      <c r="O36" s="7"/>
      <c r="P36" s="7"/>
      <c r="Q36" s="6"/>
      <c r="R36" s="6"/>
      <c r="S36" s="6"/>
      <c r="T36" s="6"/>
      <c r="U36" s="6"/>
      <c r="V36" s="6"/>
      <c r="W36" s="6"/>
      <c r="X36" s="7"/>
      <c r="Y36" s="7"/>
      <c r="Z36" s="7"/>
      <c r="AA36" s="7"/>
      <c r="AB36" s="7"/>
      <c r="AC36" s="8"/>
    </row>
    <row r="38" spans="1:30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>
        <f>AB5-AB6-AB25</f>
        <v>0</v>
      </c>
      <c r="AC38" s="32">
        <f>AC5-AC6-AC25</f>
        <v>0</v>
      </c>
      <c r="AD38">
        <f>AD5-AD6-AD25</f>
        <v>0</v>
      </c>
    </row>
    <row r="39" spans="1:30">
      <c r="A39" s="81" t="s">
        <v>47</v>
      </c>
      <c r="B39" s="33">
        <f>SUMIF('[2]Linha UM-4 - 3T'!$D$2:$AC$2,B2,'[2]Linha UM-4 - 3T'!$D$4:$AC$4)</f>
        <v>0</v>
      </c>
      <c r="C39" s="33">
        <f>SUMIF('[2]Linha UM-4 - 3T'!$D$2:$AC$2,C2,'[2]Linha UM-4 - 3T'!$D$4:$AC$4)</f>
        <v>0</v>
      </c>
      <c r="D39" s="33">
        <f>SUMIF('[2]Linha UM-4 - 3T'!$D$2:$AC$2,D2,'[2]Linha UM-4 - 3T'!$D$4:$AC$4)</f>
        <v>0</v>
      </c>
      <c r="E39" s="33">
        <f>SUMIF('[2]Linha UM-4 - 3T'!$D$2:$AC$2,E2,'[2]Linha UM-4 - 3T'!$D$4:$AC$4)</f>
        <v>0</v>
      </c>
      <c r="F39" s="33">
        <f>SUMIF('[2]Linha UM-4 - 3T'!$D$2:$AC$2,F2,'[2]Linha UM-4 - 3T'!$D$4:$AC$4)</f>
        <v>0</v>
      </c>
      <c r="G39" s="33">
        <f>SUMIF('[2]Linha UM-4 - 3T'!$D$2:$AC$2,G2,'[2]Linha UM-4 - 3T'!$D$4:$AC$4)</f>
        <v>0</v>
      </c>
      <c r="H39" s="33">
        <f>SUMIF('[2]Linha UM-4 - 3T'!$D$2:$AC$2,H2,'[2]Linha UM-4 - 3T'!$D$4:$AC$4)</f>
        <v>0</v>
      </c>
      <c r="I39" s="33">
        <f>SUMIF('[2]Linha UM-4 - 3T'!$D$2:$AC$2,I2,'[2]Linha UM-4 - 3T'!$D$4:$AC$4)</f>
        <v>0</v>
      </c>
      <c r="J39" s="33">
        <f>SUMIF('[2]Linha UM-4 - 3T'!$D$2:$AC$2,J2,'[2]Linha UM-4 - 3T'!$D$4:$AC$4)</f>
        <v>0</v>
      </c>
      <c r="K39" s="33">
        <f>SUMIF('[2]Linha UM-4 - 3T'!$D$2:$AC$2,K2,'[2]Linha UM-4 - 3T'!$D$4:$AC$4)</f>
        <v>0</v>
      </c>
      <c r="L39" s="33">
        <f>SUMIF('[2]Linha UM-4 - 3T'!$D$2:$AC$2,L2,'[2]Linha UM-4 - 3T'!$D$4:$AC$4)</f>
        <v>0</v>
      </c>
      <c r="M39" s="33">
        <f>SUMIF('[2]Linha UM-4 - 3T'!$D$2:$AC$2,M2,'[2]Linha UM-4 - 3T'!$D$4:$AC$4)</f>
        <v>0</v>
      </c>
      <c r="N39" s="33">
        <f>SUMIF('[2]Linha UM-4 - 3T'!$D$2:$AC$2,N2,'[2]Linha UM-4 - 3T'!$D$4:$AC$4)</f>
        <v>0</v>
      </c>
      <c r="O39" s="33">
        <f>SUMIF('[2]Linha UM-4 - 3T'!$D$2:$AC$2,O2,'[2]Linha UM-4 - 3T'!$D$4:$AC$4)</f>
        <v>0</v>
      </c>
      <c r="P39" s="33">
        <f>SUMIF('[2]Linha UM-4 - 3T'!$D$2:$AC$2,P2,'[2]Linha UM-4 - 3T'!$D$4:$AC$4)</f>
        <v>0</v>
      </c>
      <c r="Q39" s="33">
        <f>SUMIF('[2]Linha UM-4 - 3T'!$D$2:$AC$2,Q2,'[2]Linha UM-4 - 3T'!$D$4:$AC$4)</f>
        <v>0</v>
      </c>
      <c r="R39" s="33">
        <f>SUMIF('[2]Linha UM-4 - 3T'!$D$2:$AC$2,R2,'[2]Linha UM-4 - 3T'!$D$4:$AC$4)</f>
        <v>0</v>
      </c>
      <c r="S39" s="33">
        <f>SUMIF('[2]Linha UM-4 - 3T'!$D$2:$AC$2,S2,'[2]Linha UM-4 - 3T'!$D$4:$AC$4)</f>
        <v>0</v>
      </c>
      <c r="T39" s="33">
        <f>SUMIF('[2]Linha UM-4 - 3T'!$D$2:$AC$2,T2,'[2]Linha UM-4 - 3T'!$D$4:$AC$4)</f>
        <v>0</v>
      </c>
      <c r="U39" s="33">
        <f>SUMIF('[2]Linha UM-4 - 3T'!$D$2:$AC$2,U2,'[2]Linha UM-4 - 3T'!$D$4:$AC$4)</f>
        <v>0</v>
      </c>
      <c r="V39" s="33">
        <f>SUMIF('[2]Linha UM-4 - 3T'!$D$2:$AC$2,V2,'[2]Linha UM-4 - 3T'!$D$4:$AC$4)</f>
        <v>0</v>
      </c>
      <c r="W39" s="33">
        <f>SUMIF('[2]Linha UM-4 - 3T'!$D$2:$AC$2,W2,'[2]Linha UM-4 - 3T'!$D$4:$AC$4)</f>
        <v>0</v>
      </c>
      <c r="X39" s="33">
        <f>SUMIF('[2]Linha UM-4 - 3T'!$D$2:$AC$2,X2,'[2]Linha UM-4 - 3T'!$D$4:$AC$4)</f>
        <v>0</v>
      </c>
      <c r="Y39" s="33">
        <f>SUMIF('[2]Linha UM-4 - 3T'!$D$2:$AC$2,Y2,'[2]Linha UM-4 - 3T'!$D$4:$AC$4)</f>
        <v>0</v>
      </c>
      <c r="Z39" s="33">
        <f>SUMIF('[2]Linha UM-4 - 3T'!$D$2:$AC$2,Z2,'[2]Linha UM-4 - 3T'!$D$4:$AC$4)</f>
        <v>0</v>
      </c>
      <c r="AA39" s="33">
        <f>SUMIF('[2]Linha UM-4 - 3T'!$D$2:$AC$2,AA2,'[2]Linha UM-4 - 3T'!$D$4:$AC$4)</f>
        <v>0</v>
      </c>
      <c r="AB39" s="33">
        <f>SUMIF('[2]Linha UM-4 - 3T'!$D$2:$AC$2,AB2,'[2]Linha UM-4 - 3T'!$D$4:$AC$4)</f>
        <v>0</v>
      </c>
      <c r="AC39" s="33">
        <f>SUMIF('[2]Linha UM-4 - 3T'!$D$2:$AC$2,AC2,'[2]Linha UM-4 - 3T'!$D$4:$AC$4)</f>
        <v>0</v>
      </c>
      <c r="AD39" s="33">
        <f>AD5-AD6</f>
        <v>0</v>
      </c>
    </row>
    <row r="40" spans="1:30">
      <c r="A40" s="82" t="s">
        <v>48</v>
      </c>
      <c r="B40" s="83" t="e">
        <f>SUMIF('[3]UM-4 - 3T'!$D$3:$AR$3,B2,'[3]UM-4 - 3T'!$D$7:$AR$7)</f>
        <v>#VALUE!</v>
      </c>
      <c r="C40" s="83" t="e">
        <f>SUMIF('[3]UM-4 - 3T'!$D$3:$AR$3,C2,'[3]UM-4 - 3T'!$D$7:$AR$7)</f>
        <v>#VALUE!</v>
      </c>
      <c r="D40" s="83" t="e">
        <f>SUMIF('[3]UM-4 - 3T'!$D$3:$AR$3,D2,'[3]UM-4 - 3T'!$D$7:$AR$7)</f>
        <v>#VALUE!</v>
      </c>
      <c r="E40" s="83" t="e">
        <f>SUMIF('[3]UM-4 - 3T'!$D$3:$AR$3,E2,'[3]UM-4 - 3T'!$D$7:$AR$7)</f>
        <v>#VALUE!</v>
      </c>
      <c r="F40" s="83" t="e">
        <f>SUMIF('[3]UM-4 - 3T'!$D$3:$AR$3,F2,'[3]UM-4 - 3T'!$D$7:$AR$7)</f>
        <v>#VALUE!</v>
      </c>
      <c r="G40" s="83" t="e">
        <f>SUMIF('[3]UM-4 - 3T'!$D$3:$AR$3,G2,'[3]UM-4 - 3T'!$D$7:$AR$7)</f>
        <v>#VALUE!</v>
      </c>
      <c r="H40" s="83" t="e">
        <f>SUMIF('[3]UM-4 - 3T'!$D$3:$AR$3,H2,'[3]UM-4 - 3T'!$D$7:$AR$7)</f>
        <v>#VALUE!</v>
      </c>
      <c r="I40" s="83" t="e">
        <f>SUMIF('[3]UM-4 - 3T'!$D$3:$AR$3,I2,'[3]UM-4 - 3T'!$D$7:$AR$7)</f>
        <v>#VALUE!</v>
      </c>
      <c r="J40" s="83" t="e">
        <f>SUMIF('[3]UM-4 - 3T'!$D$3:$AR$3,J2,'[3]UM-4 - 3T'!$D$7:$AR$7)</f>
        <v>#VALUE!</v>
      </c>
      <c r="K40" s="83" t="e">
        <f>SUMIF('[3]UM-4 - 3T'!$D$3:$AR$3,K2,'[3]UM-4 - 3T'!$D$7:$AR$7)</f>
        <v>#VALUE!</v>
      </c>
      <c r="L40" s="83" t="e">
        <f>SUMIF('[3]UM-4 - 3T'!$D$3:$AR$3,L2,'[3]UM-4 - 3T'!$D$7:$AR$7)</f>
        <v>#VALUE!</v>
      </c>
      <c r="M40" s="83" t="e">
        <f>SUMIF('[3]UM-4 - 3T'!$D$3:$AR$3,M2,'[3]UM-4 - 3T'!$D$7:$AR$7)</f>
        <v>#VALUE!</v>
      </c>
      <c r="N40" s="83" t="e">
        <f>SUMIF('[3]UM-4 - 3T'!$D$3:$AR$3,N2,'[3]UM-4 - 3T'!$D$7:$AR$7)</f>
        <v>#VALUE!</v>
      </c>
      <c r="O40" s="83" t="e">
        <f>SUMIF('[3]UM-4 - 3T'!$D$3:$AR$3,O2,'[3]UM-4 - 3T'!$D$7:$AR$7)</f>
        <v>#VALUE!</v>
      </c>
      <c r="P40" s="83" t="e">
        <f>SUMIF('[3]UM-4 - 3T'!$D$3:$AR$3,P2,'[3]UM-4 - 3T'!$D$7:$AR$7)</f>
        <v>#VALUE!</v>
      </c>
      <c r="Q40" s="83" t="e">
        <f>SUMIF('[3]UM-4 - 3T'!$D$3:$AR$3,Q2,'[3]UM-4 - 3T'!$D$7:$AR$7)</f>
        <v>#VALUE!</v>
      </c>
      <c r="R40" s="83" t="e">
        <f>SUMIF('[3]UM-4 - 3T'!$D$3:$AR$3,R2,'[3]UM-4 - 3T'!$D$7:$AR$7)</f>
        <v>#VALUE!</v>
      </c>
      <c r="S40" s="83" t="e">
        <f>SUMIF('[3]UM-4 - 3T'!$D$3:$AR$3,S2,'[3]UM-4 - 3T'!$D$7:$AR$7)</f>
        <v>#VALUE!</v>
      </c>
      <c r="T40" s="83" t="e">
        <f>SUMIF('[3]UM-4 - 3T'!$D$3:$AR$3,T2,'[3]UM-4 - 3T'!$D$7:$AR$7)</f>
        <v>#VALUE!</v>
      </c>
      <c r="U40" s="83" t="e">
        <f>SUMIF('[3]UM-4 - 3T'!$D$3:$AR$3,U2,'[3]UM-4 - 3T'!$D$7:$AR$7)</f>
        <v>#VALUE!</v>
      </c>
      <c r="V40" s="83" t="e">
        <f>SUMIF('[3]UM-4 - 3T'!$D$3:$AR$3,V2,'[3]UM-4 - 3T'!$D$7:$AR$7)</f>
        <v>#VALUE!</v>
      </c>
      <c r="W40" s="83" t="e">
        <f>SUMIF('[3]UM-4 - 3T'!$D$3:$AR$3,W2,'[3]UM-4 - 3T'!$D$7:$AR$7)</f>
        <v>#VALUE!</v>
      </c>
      <c r="X40" s="83" t="e">
        <f>SUMIF('[3]UM-4 - 3T'!$D$3:$AR$3,X2,'[3]UM-4 - 3T'!$D$7:$AR$7)</f>
        <v>#VALUE!</v>
      </c>
      <c r="Y40" s="83" t="e">
        <f>SUMIF('[3]UM-4 - 3T'!$D$3:$AR$3,Y2,'[3]UM-4 - 3T'!$D$7:$AR$7)</f>
        <v>#VALUE!</v>
      </c>
      <c r="Z40" s="83" t="e">
        <f>SUMIF('[3]UM-4 - 3T'!$D$3:$AR$3,Z2,'[3]UM-4 - 3T'!$D$7:$AR$7)</f>
        <v>#VALUE!</v>
      </c>
      <c r="AA40" s="83" t="e">
        <f>SUMIF('[3]UM-4 - 3T'!$D$3:$AR$3,AA2,'[3]UM-4 - 3T'!$D$7:$AR$7)</f>
        <v>#VALUE!</v>
      </c>
      <c r="AB40" s="83" t="e">
        <f>SUMIF('[3]UM-4 - 3T'!$D$3:$AR$3,AB2,'[3]UM-4 - 3T'!$D$7:$AR$7)</f>
        <v>#VALUE!</v>
      </c>
      <c r="AC40" s="83" t="e">
        <f>SUMIF('[3]UM-4 - 3T'!$D$3:$AR$3,AC2,'[3]UM-4 - 3T'!$D$7:$AR$7)</f>
        <v>#VALUE!</v>
      </c>
    </row>
  </sheetData>
  <mergeCells count="26">
    <mergeCell ref="Z7:Z15"/>
    <mergeCell ref="AA7:AA15"/>
    <mergeCell ref="AB7:AB15"/>
    <mergeCell ref="AC7:AC15"/>
    <mergeCell ref="P7:P15"/>
    <mergeCell ref="Q7:Q15"/>
    <mergeCell ref="V7:V15"/>
    <mergeCell ref="W7:W15"/>
    <mergeCell ref="X7:X15"/>
    <mergeCell ref="Y7:Y15"/>
    <mergeCell ref="O7:O15"/>
    <mergeCell ref="AB1:AC1"/>
    <mergeCell ref="A7:A15"/>
    <mergeCell ref="B7:B15"/>
    <mergeCell ref="C7:C15"/>
    <mergeCell ref="D7:D15"/>
    <mergeCell ref="E7:E15"/>
    <mergeCell ref="F7:F15"/>
    <mergeCell ref="G7:G15"/>
    <mergeCell ref="H7:H15"/>
    <mergeCell ref="I7:I15"/>
    <mergeCell ref="J7:J15"/>
    <mergeCell ref="K7:K15"/>
    <mergeCell ref="L7:L15"/>
    <mergeCell ref="M7:M15"/>
    <mergeCell ref="N7:N15"/>
  </mergeCells>
  <conditionalFormatting sqref="AD27">
    <cfRule type="cellIs" dxfId="6" priority="3" stopIfTrue="1" operator="notEqual">
      <formula>SUM($AD$16:$AD$20,$AD$22:$AD$24)</formula>
    </cfRule>
  </conditionalFormatting>
  <conditionalFormatting sqref="AD6">
    <cfRule type="expression" dxfId="5" priority="5">
      <formula>$AD$6&lt;&gt;$AF$6</formula>
    </cfRule>
  </conditionalFormatting>
  <conditionalFormatting sqref="AD26">
    <cfRule type="cellIs" dxfId="4" priority="6" stopIfTrue="1" operator="notEqual">
      <formula>AD$5-AD$6-AD$25</formula>
    </cfRule>
  </conditionalFormatting>
  <conditionalFormatting sqref="B21:AC21">
    <cfRule type="cellIs" dxfId="3" priority="7" stopIfTrue="1" operator="notEqual">
      <formula>B$4-B$5</formula>
    </cfRule>
  </conditionalFormatting>
  <conditionalFormatting sqref="B26:AC26">
    <cfRule type="cellIs" dxfId="2" priority="8" stopIfTrue="1" operator="notEqual">
      <formula>B$5-B$6</formula>
    </cfRule>
  </conditionalFormatting>
  <conditionalFormatting sqref="B6:AC6">
    <cfRule type="expression" dxfId="1" priority="1">
      <formula>A$6&lt;&gt;A$40</formula>
    </cfRule>
    <cfRule type="expression" dxfId="0" priority="2">
      <formula>B$6&lt;&gt;B$39</formula>
    </cfRule>
  </conditionalFormatting>
  <dataValidations count="1">
    <dataValidation type="date" allowBlank="1" showInputMessage="1" showErrorMessage="1" promptTitle="Data:" prompt="Favor digitar uma data válida pelo menos da/mês." sqref="B2:AC2" xr:uid="{00000000-0002-0000-0300-000000000000}">
      <formula1>44287</formula1>
      <formula2>44651</formula2>
    </dataValidation>
  </dataValidations>
  <printOptions horizontalCentered="1" gridLines="1" gridLinesSet="0"/>
  <pageMargins left="0.39370078740157483" right="0.39370078740157483" top="0.78740157480314965" bottom="0.39370078740157483" header="0.27559055118110237" footer="0.19685039370078741"/>
  <pageSetup paperSize="9" scale="59" orientation="landscape" r:id="rId1"/>
  <headerFooter alignWithMargins="0">
    <oddFooter xml:space="preserve">&amp;RSJCPIL-R 16-421-02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21</xdr:col>
                    <xdr:colOff>133350</xdr:colOff>
                    <xdr:row>0</xdr:row>
                    <xdr:rowOff>95250</xdr:rowOff>
                  </from>
                  <to>
                    <xdr:col>22</xdr:col>
                    <xdr:colOff>247650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22</xdr:col>
                    <xdr:colOff>152400</xdr:colOff>
                    <xdr:row>0</xdr:row>
                    <xdr:rowOff>95250</xdr:rowOff>
                  </from>
                  <to>
                    <xdr:col>23</xdr:col>
                    <xdr:colOff>266700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23</xdr:col>
                    <xdr:colOff>76200</xdr:colOff>
                    <xdr:row>0</xdr:row>
                    <xdr:rowOff>95250</xdr:rowOff>
                  </from>
                  <to>
                    <xdr:col>24</xdr:col>
                    <xdr:colOff>190500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/>
  <dimension ref="A1:R41"/>
  <sheetViews>
    <sheetView tabSelected="1" zoomScaleNormal="100" workbookViewId="0">
      <selection activeCell="B1" sqref="B1"/>
    </sheetView>
  </sheetViews>
  <sheetFormatPr defaultRowHeight="12.75"/>
  <cols>
    <col min="2" max="2" width="25.140625" bestFit="1" customWidth="1"/>
    <col min="6" max="6" width="11.140625" bestFit="1" customWidth="1"/>
    <col min="10" max="10" width="29.42578125" customWidth="1"/>
    <col min="17" max="17" width="12.5703125" bestFit="1" customWidth="1"/>
  </cols>
  <sheetData>
    <row r="1" spans="1:18">
      <c r="C1" s="39" t="s">
        <v>25</v>
      </c>
    </row>
    <row r="2" spans="1:18">
      <c r="C2" t="s">
        <v>35</v>
      </c>
      <c r="D2" t="s">
        <v>36</v>
      </c>
    </row>
    <row r="3" spans="1:18" ht="13.5" thickBot="1">
      <c r="C3" s="40">
        <f>'Linha UM-4 - Dia'!AD6</f>
        <v>0</v>
      </c>
      <c r="D3" s="40"/>
      <c r="K3" t="s">
        <v>40</v>
      </c>
      <c r="L3" t="s">
        <v>35</v>
      </c>
      <c r="M3" t="s">
        <v>37</v>
      </c>
      <c r="N3" t="s">
        <v>38</v>
      </c>
      <c r="O3" t="s">
        <v>39</v>
      </c>
      <c r="R3" s="42"/>
    </row>
    <row r="4" spans="1:18" ht="12.75" customHeight="1">
      <c r="A4" s="41">
        <v>1</v>
      </c>
      <c r="B4" s="44" t="str">
        <f>'Linha UM-4 - Dia'!A16</f>
        <v>TAMPÃO</v>
      </c>
      <c r="C4" s="40">
        <f>'Linha UM-4 - Dia'!AD16</f>
        <v>0</v>
      </c>
      <c r="D4" s="40" t="e">
        <f t="shared" ref="D4:D6" si="0">C4/C$3*1000000</f>
        <v>#DIV/0!</v>
      </c>
      <c r="F4" s="40">
        <f t="shared" ref="F4:F6" si="1">C4*1000+A4</f>
        <v>1</v>
      </c>
      <c r="G4">
        <f t="shared" ref="G4:G6" si="2">LARGE(F$4:F$12,A4)</f>
        <v>9</v>
      </c>
      <c r="H4">
        <f t="shared" ref="H4:H6" si="3">MATCH(G4,F$4:F$12,0)</f>
        <v>9</v>
      </c>
      <c r="J4" t="str">
        <f t="shared" ref="J4:J6" si="4">VLOOKUP(H4,A$4:D$12,2,TRUE)</f>
        <v>ENCAXOTADEIRA</v>
      </c>
      <c r="K4" s="42" t="e">
        <f t="shared" ref="K4:K6" si="5">VLOOKUP(H4,A$4:D$12,4,FALSE)</f>
        <v>#DIV/0!</v>
      </c>
      <c r="L4" s="42">
        <f t="shared" ref="L4:L6" si="6">VLOOKUP(H4,A$4:C$12,3,FALSE)</f>
        <v>0</v>
      </c>
      <c r="M4" s="42">
        <f>L4</f>
        <v>0</v>
      </c>
      <c r="N4" s="42" t="e">
        <f t="shared" ref="N4:N6" si="7">M4/M$12*100</f>
        <v>#DIV/0!</v>
      </c>
      <c r="O4" s="42" t="e">
        <f t="shared" ref="O4:O12" si="8">IF(($D$13&gt;TARGET_D)*(N4&lt;=80),K4,0)</f>
        <v>#DIV/0!</v>
      </c>
    </row>
    <row r="5" spans="1:18">
      <c r="A5" s="43">
        <v>2</v>
      </c>
      <c r="B5" s="44" t="str">
        <f>'Linha UM-4 - Dia'!A17</f>
        <v>ISOL. SUPERIOR</v>
      </c>
      <c r="C5" s="40">
        <f>'Linha UM-4 - Dia'!AD17</f>
        <v>0</v>
      </c>
      <c r="D5" s="40" t="e">
        <f t="shared" si="0"/>
        <v>#DIV/0!</v>
      </c>
      <c r="F5" s="40">
        <f t="shared" si="1"/>
        <v>2</v>
      </c>
      <c r="G5">
        <f t="shared" si="2"/>
        <v>8</v>
      </c>
      <c r="H5">
        <f t="shared" si="3"/>
        <v>8</v>
      </c>
      <c r="J5" t="str">
        <f t="shared" si="4"/>
        <v>TESTADOR VA</v>
      </c>
      <c r="K5" s="42" t="e">
        <f t="shared" si="5"/>
        <v>#DIV/0!</v>
      </c>
      <c r="L5" s="42">
        <f t="shared" si="6"/>
        <v>0</v>
      </c>
      <c r="M5" s="42">
        <f t="shared" ref="M5:M6" si="9">L5+M4</f>
        <v>0</v>
      </c>
      <c r="N5" s="42" t="e">
        <f t="shared" si="7"/>
        <v>#DIV/0!</v>
      </c>
      <c r="O5" s="42" t="e">
        <f t="shared" si="8"/>
        <v>#DIV/0!</v>
      </c>
    </row>
    <row r="6" spans="1:18">
      <c r="A6" s="43">
        <v>3</v>
      </c>
      <c r="B6" s="44" t="str">
        <f>'Linha UM-4 - Dia'!A18</f>
        <v>CARVÃO</v>
      </c>
      <c r="C6" s="40">
        <f>'Linha UM-4 - Dia'!AD18</f>
        <v>0</v>
      </c>
      <c r="D6" s="40" t="e">
        <f t="shared" si="0"/>
        <v>#DIV/0!</v>
      </c>
      <c r="F6" s="40">
        <f t="shared" si="1"/>
        <v>3</v>
      </c>
      <c r="G6">
        <f t="shared" si="2"/>
        <v>7</v>
      </c>
      <c r="H6">
        <f t="shared" si="3"/>
        <v>7</v>
      </c>
      <c r="J6" t="str">
        <f t="shared" si="4"/>
        <v>BOTTOM PLATE</v>
      </c>
      <c r="K6" s="42" t="e">
        <f t="shared" si="5"/>
        <v>#DIV/0!</v>
      </c>
      <c r="L6" s="42">
        <f t="shared" si="6"/>
        <v>0</v>
      </c>
      <c r="M6" s="42">
        <f t="shared" si="9"/>
        <v>0</v>
      </c>
      <c r="N6" s="42" t="e">
        <f t="shared" si="7"/>
        <v>#DIV/0!</v>
      </c>
      <c r="O6" s="42" t="e">
        <f t="shared" si="8"/>
        <v>#DIV/0!</v>
      </c>
    </row>
    <row r="7" spans="1:18">
      <c r="A7" s="43">
        <v>4</v>
      </c>
      <c r="B7" s="44" t="str">
        <f>'Linha UM-4 - Dia'!A19</f>
        <v>EVERTACK</v>
      </c>
      <c r="C7" s="40">
        <f>'Linha UM-4 - Dia'!AD19</f>
        <v>0</v>
      </c>
      <c r="D7" s="40" t="e">
        <f t="shared" ref="D7:D13" si="10">C7/C$3*1000000</f>
        <v>#DIV/0!</v>
      </c>
      <c r="F7" s="40">
        <f t="shared" ref="F7:F12" si="11">C7*1000+A7</f>
        <v>4</v>
      </c>
      <c r="G7">
        <f t="shared" ref="G7:G12" si="12">LARGE(F$4:F$12,A7)</f>
        <v>6</v>
      </c>
      <c r="H7">
        <f t="shared" ref="H7:H12" si="13">MATCH(G7,F$4:F$12,0)</f>
        <v>6</v>
      </c>
      <c r="J7" t="str">
        <f t="shared" ref="J7:J12" si="14">VLOOKUP(H7,A$4:D$12,2,TRUE)</f>
        <v>FECHAMENTO</v>
      </c>
      <c r="K7" s="42" t="e">
        <f t="shared" ref="K7:K12" si="15">VLOOKUP(H7,A$4:D$12,4,FALSE)</f>
        <v>#DIV/0!</v>
      </c>
      <c r="L7" s="42">
        <f t="shared" ref="L7:L12" si="16">VLOOKUP(H7,A$4:C$12,3,FALSE)</f>
        <v>0</v>
      </c>
      <c r="M7" s="42">
        <f t="shared" ref="M7:M12" si="17">L7+M6</f>
        <v>0</v>
      </c>
      <c r="N7" s="42" t="e">
        <f t="shared" ref="N7:N12" si="18">M7/M$12*100</f>
        <v>#DIV/0!</v>
      </c>
      <c r="O7" s="42" t="e">
        <f t="shared" si="8"/>
        <v>#DIV/0!</v>
      </c>
    </row>
    <row r="8" spans="1:18">
      <c r="A8" s="43">
        <v>5</v>
      </c>
      <c r="B8" s="44" t="str">
        <f>'Linha UM-4 - Dia'!A20</f>
        <v>CAP/PY</v>
      </c>
      <c r="C8" s="40">
        <f>'Linha UM-4 - Dia'!AD20</f>
        <v>0</v>
      </c>
      <c r="D8" s="40" t="e">
        <f t="shared" si="10"/>
        <v>#DIV/0!</v>
      </c>
      <c r="F8" s="40">
        <f t="shared" si="11"/>
        <v>5</v>
      </c>
      <c r="G8">
        <f t="shared" si="12"/>
        <v>5</v>
      </c>
      <c r="H8">
        <f t="shared" si="13"/>
        <v>5</v>
      </c>
      <c r="J8" t="str">
        <f t="shared" si="14"/>
        <v>CAP/PY</v>
      </c>
      <c r="K8" s="42" t="e">
        <f t="shared" si="15"/>
        <v>#DIV/0!</v>
      </c>
      <c r="L8" s="42">
        <f t="shared" si="16"/>
        <v>0</v>
      </c>
      <c r="M8" s="42">
        <f t="shared" si="17"/>
        <v>0</v>
      </c>
      <c r="N8" s="42" t="e">
        <f t="shared" si="18"/>
        <v>#DIV/0!</v>
      </c>
      <c r="O8" s="42" t="e">
        <f t="shared" si="8"/>
        <v>#DIV/0!</v>
      </c>
    </row>
    <row r="9" spans="1:18" ht="12.75" customHeight="1">
      <c r="A9" s="43">
        <v>6</v>
      </c>
      <c r="B9" s="44" t="str">
        <f>'Linha UM-4 - Dia'!A22</f>
        <v>FECHAMENTO</v>
      </c>
      <c r="C9" s="40">
        <f>'Linha UM-4 - Dia'!AD22</f>
        <v>0</v>
      </c>
      <c r="D9" s="40" t="e">
        <f t="shared" si="10"/>
        <v>#DIV/0!</v>
      </c>
      <c r="F9" s="40">
        <f t="shared" si="11"/>
        <v>6</v>
      </c>
      <c r="G9">
        <f t="shared" si="12"/>
        <v>4</v>
      </c>
      <c r="H9">
        <f t="shared" si="13"/>
        <v>4</v>
      </c>
      <c r="J9" t="str">
        <f t="shared" si="14"/>
        <v>EVERTACK</v>
      </c>
      <c r="K9" s="42" t="e">
        <f t="shared" si="15"/>
        <v>#DIV/0!</v>
      </c>
      <c r="L9" s="42">
        <f t="shared" si="16"/>
        <v>0</v>
      </c>
      <c r="M9" s="42">
        <f t="shared" si="17"/>
        <v>0</v>
      </c>
      <c r="N9" s="42" t="e">
        <f t="shared" si="18"/>
        <v>#DIV/0!</v>
      </c>
      <c r="O9" s="42" t="e">
        <f t="shared" si="8"/>
        <v>#DIV/0!</v>
      </c>
    </row>
    <row r="10" spans="1:18">
      <c r="A10" s="43">
        <v>7</v>
      </c>
      <c r="B10" s="44" t="str">
        <f>'Linha UM-4 - Dia'!A23</f>
        <v>BOTTOM PLATE</v>
      </c>
      <c r="C10" s="40">
        <f>'Linha UM-4 - Dia'!AD23</f>
        <v>0</v>
      </c>
      <c r="D10" s="40" t="e">
        <f t="shared" si="10"/>
        <v>#DIV/0!</v>
      </c>
      <c r="F10" s="40">
        <f t="shared" si="11"/>
        <v>7</v>
      </c>
      <c r="G10">
        <f t="shared" si="12"/>
        <v>3</v>
      </c>
      <c r="H10">
        <f t="shared" si="13"/>
        <v>3</v>
      </c>
      <c r="J10" t="str">
        <f t="shared" si="14"/>
        <v>CARVÃO</v>
      </c>
      <c r="K10" s="42" t="e">
        <f t="shared" si="15"/>
        <v>#DIV/0!</v>
      </c>
      <c r="L10" s="42">
        <f t="shared" si="16"/>
        <v>0</v>
      </c>
      <c r="M10" s="42">
        <f t="shared" si="17"/>
        <v>0</v>
      </c>
      <c r="N10" s="42" t="e">
        <f t="shared" si="18"/>
        <v>#DIV/0!</v>
      </c>
      <c r="O10" s="42" t="e">
        <f t="shared" si="8"/>
        <v>#DIV/0!</v>
      </c>
    </row>
    <row r="11" spans="1:18">
      <c r="A11" s="43">
        <v>8</v>
      </c>
      <c r="B11" s="44" t="str">
        <f>'Linha UM-4 - Dia'!A24</f>
        <v>TESTADOR VA</v>
      </c>
      <c r="C11" s="40">
        <f>'Linha UM-4 - Dia'!AD24</f>
        <v>0</v>
      </c>
      <c r="D11" s="40" t="e">
        <f t="shared" si="10"/>
        <v>#DIV/0!</v>
      </c>
      <c r="F11" s="40">
        <f t="shared" si="11"/>
        <v>8</v>
      </c>
      <c r="G11">
        <f t="shared" si="12"/>
        <v>2</v>
      </c>
      <c r="H11">
        <f t="shared" si="13"/>
        <v>2</v>
      </c>
      <c r="J11" t="str">
        <f t="shared" si="14"/>
        <v>ISOL. SUPERIOR</v>
      </c>
      <c r="K11" s="42" t="e">
        <f t="shared" si="15"/>
        <v>#DIV/0!</v>
      </c>
      <c r="L11" s="42">
        <f t="shared" si="16"/>
        <v>0</v>
      </c>
      <c r="M11" s="42">
        <f t="shared" si="17"/>
        <v>0</v>
      </c>
      <c r="N11" s="42" t="e">
        <f t="shared" si="18"/>
        <v>#DIV/0!</v>
      </c>
      <c r="O11" s="42" t="e">
        <f t="shared" si="8"/>
        <v>#DIV/0!</v>
      </c>
    </row>
    <row r="12" spans="1:18" ht="13.5" thickBot="1">
      <c r="A12" s="43">
        <v>9</v>
      </c>
      <c r="B12" s="44" t="str">
        <f>'Linha UM-4 - Dia'!A25</f>
        <v>ENCAXOTADEIRA</v>
      </c>
      <c r="C12" s="40">
        <f>'Linha UM-4 - Dia'!AD25</f>
        <v>0</v>
      </c>
      <c r="D12" s="40" t="e">
        <f t="shared" si="10"/>
        <v>#DIV/0!</v>
      </c>
      <c r="F12" s="40">
        <f t="shared" si="11"/>
        <v>9</v>
      </c>
      <c r="G12">
        <f t="shared" si="12"/>
        <v>1</v>
      </c>
      <c r="H12">
        <f t="shared" si="13"/>
        <v>1</v>
      </c>
      <c r="J12" t="str">
        <f t="shared" si="14"/>
        <v>TAMPÃO</v>
      </c>
      <c r="K12" s="42" t="e">
        <f t="shared" si="15"/>
        <v>#DIV/0!</v>
      </c>
      <c r="L12" s="42">
        <f t="shared" si="16"/>
        <v>0</v>
      </c>
      <c r="M12" s="42">
        <f t="shared" si="17"/>
        <v>0</v>
      </c>
      <c r="N12" s="42" t="e">
        <f t="shared" si="18"/>
        <v>#DIV/0!</v>
      </c>
      <c r="O12" s="42" t="e">
        <f t="shared" si="8"/>
        <v>#DIV/0!</v>
      </c>
    </row>
    <row r="13" spans="1:18">
      <c r="A13" s="94" t="s">
        <v>2</v>
      </c>
      <c r="B13" s="95"/>
      <c r="C13" s="40">
        <f>FALHAS_L1D</f>
        <v>0</v>
      </c>
      <c r="D13" s="40" t="e">
        <f t="shared" si="10"/>
        <v>#DIV/0!</v>
      </c>
      <c r="K13" s="42"/>
    </row>
    <row r="15" spans="1:18">
      <c r="C15" s="39" t="s">
        <v>45</v>
      </c>
    </row>
    <row r="17" spans="1:18" ht="13.5" thickBot="1">
      <c r="C17" s="40">
        <f>'Linha UM-4 - 2T'!AD6</f>
        <v>0</v>
      </c>
      <c r="R17" s="42"/>
    </row>
    <row r="18" spans="1:18" ht="12.75" customHeight="1">
      <c r="A18" s="41">
        <v>1</v>
      </c>
      <c r="B18" s="44" t="str">
        <f>'Linha UM-4 - 2T'!A16</f>
        <v>TAMPÃO</v>
      </c>
      <c r="C18" s="40">
        <f>'Linha UM-4 - 2T'!AD16</f>
        <v>0</v>
      </c>
      <c r="D18" s="40" t="e">
        <f t="shared" ref="D18:D21" si="19">C18/C$17*1000000</f>
        <v>#DIV/0!</v>
      </c>
      <c r="F18" s="40">
        <f t="shared" ref="F18:F21" si="20">C18*1000+A18</f>
        <v>1</v>
      </c>
      <c r="G18">
        <f>LARGE(F$18:F$26,A18)</f>
        <v>9</v>
      </c>
      <c r="H18">
        <f t="shared" ref="H18:H21" si="21">MATCH(G18,F$18:F$26,0)</f>
        <v>9</v>
      </c>
      <c r="J18" t="str">
        <f t="shared" ref="J18:J21" si="22">VLOOKUP(H18,A$4:D$12,2,TRUE)</f>
        <v>ENCAXOTADEIRA</v>
      </c>
      <c r="K18" s="42" t="e">
        <f>VLOOKUP(H18,A$18:D$26,4,FALSE)</f>
        <v>#DIV/0!</v>
      </c>
      <c r="L18" s="42">
        <f>VLOOKUP(H18,A$18:C$26,3,FALSE)</f>
        <v>0</v>
      </c>
      <c r="M18" s="42">
        <f t="shared" ref="M18" si="23">L18+M17</f>
        <v>0</v>
      </c>
      <c r="N18" s="42" t="e">
        <f>M18/M$26*100</f>
        <v>#DIV/0!</v>
      </c>
      <c r="O18" s="42" t="e">
        <f t="shared" ref="O18:O26" si="24">IF(($D$27&gt;TARGET_D)*(N18&lt;=80),K18,0)</f>
        <v>#DIV/0!</v>
      </c>
    </row>
    <row r="19" spans="1:18">
      <c r="A19" s="43">
        <v>2</v>
      </c>
      <c r="B19" s="44" t="str">
        <f>'Linha UM-4 - 2T'!A17</f>
        <v>ISOL. SUPERIOR</v>
      </c>
      <c r="C19" s="40">
        <f>'Linha UM-4 - 2T'!AD17</f>
        <v>0</v>
      </c>
      <c r="D19" s="40" t="e">
        <f t="shared" si="19"/>
        <v>#DIV/0!</v>
      </c>
      <c r="F19" s="40">
        <f t="shared" si="20"/>
        <v>2</v>
      </c>
      <c r="G19">
        <f t="shared" ref="G19:G26" si="25">LARGE(F$18:F$26,A19)</f>
        <v>8</v>
      </c>
      <c r="H19">
        <f t="shared" si="21"/>
        <v>8</v>
      </c>
      <c r="J19" t="str">
        <f t="shared" si="22"/>
        <v>TESTADOR VA</v>
      </c>
      <c r="K19" s="42" t="e">
        <f t="shared" ref="K19:K26" si="26">VLOOKUP(H19,A$18:D$26,4,FALSE)</f>
        <v>#DIV/0!</v>
      </c>
      <c r="L19" s="42">
        <f t="shared" ref="L19:L26" si="27">VLOOKUP(H19,A$18:C$26,3,FALSE)</f>
        <v>0</v>
      </c>
      <c r="M19" s="42">
        <f t="shared" ref="M19:M26" si="28">L19+M18</f>
        <v>0</v>
      </c>
      <c r="N19" s="42" t="e">
        <f t="shared" ref="N19:N26" si="29">M19/M$26*100</f>
        <v>#DIV/0!</v>
      </c>
      <c r="O19" s="42" t="e">
        <f t="shared" si="24"/>
        <v>#DIV/0!</v>
      </c>
    </row>
    <row r="20" spans="1:18">
      <c r="A20" s="43">
        <v>3</v>
      </c>
      <c r="B20" s="44" t="str">
        <f>'Linha UM-4 - 2T'!A18</f>
        <v>CARVÃO</v>
      </c>
      <c r="C20" s="40">
        <f>'Linha UM-4 - 2T'!AD18</f>
        <v>0</v>
      </c>
      <c r="D20" s="40" t="e">
        <f t="shared" si="19"/>
        <v>#DIV/0!</v>
      </c>
      <c r="F20" s="40">
        <f t="shared" si="20"/>
        <v>3</v>
      </c>
      <c r="G20">
        <f t="shared" si="25"/>
        <v>7</v>
      </c>
      <c r="H20">
        <f t="shared" si="21"/>
        <v>7</v>
      </c>
      <c r="J20" t="str">
        <f t="shared" si="22"/>
        <v>BOTTOM PLATE</v>
      </c>
      <c r="K20" s="42" t="e">
        <f t="shared" si="26"/>
        <v>#DIV/0!</v>
      </c>
      <c r="L20" s="42">
        <f t="shared" si="27"/>
        <v>0</v>
      </c>
      <c r="M20" s="42">
        <f t="shared" si="28"/>
        <v>0</v>
      </c>
      <c r="N20" s="42" t="e">
        <f t="shared" si="29"/>
        <v>#DIV/0!</v>
      </c>
      <c r="O20" s="42" t="e">
        <f t="shared" si="24"/>
        <v>#DIV/0!</v>
      </c>
    </row>
    <row r="21" spans="1:18">
      <c r="A21" s="43">
        <v>4</v>
      </c>
      <c r="B21" s="44" t="str">
        <f>'Linha UM-4 - 2T'!A19</f>
        <v>EVERTACK</v>
      </c>
      <c r="C21" s="40">
        <f>'Linha UM-4 - 2T'!AD19</f>
        <v>0</v>
      </c>
      <c r="D21" s="40" t="e">
        <f t="shared" si="19"/>
        <v>#DIV/0!</v>
      </c>
      <c r="F21" s="40">
        <f t="shared" si="20"/>
        <v>4</v>
      </c>
      <c r="G21">
        <f t="shared" si="25"/>
        <v>6</v>
      </c>
      <c r="H21">
        <f t="shared" si="21"/>
        <v>6</v>
      </c>
      <c r="J21" t="str">
        <f t="shared" si="22"/>
        <v>FECHAMENTO</v>
      </c>
      <c r="K21" s="42" t="e">
        <f t="shared" si="26"/>
        <v>#DIV/0!</v>
      </c>
      <c r="L21" s="42">
        <f t="shared" si="27"/>
        <v>0</v>
      </c>
      <c r="M21" s="42">
        <f t="shared" si="28"/>
        <v>0</v>
      </c>
      <c r="N21" s="42" t="e">
        <f t="shared" si="29"/>
        <v>#DIV/0!</v>
      </c>
      <c r="O21" s="42" t="e">
        <f t="shared" si="24"/>
        <v>#DIV/0!</v>
      </c>
    </row>
    <row r="22" spans="1:18">
      <c r="A22" s="43">
        <v>5</v>
      </c>
      <c r="B22" s="44" t="str">
        <f>'Linha UM-4 - 2T'!A20</f>
        <v>CAP/PY</v>
      </c>
      <c r="C22" s="40">
        <f>'Linha UM-4 - 2T'!AD20</f>
        <v>0</v>
      </c>
      <c r="D22" s="40" t="e">
        <f t="shared" ref="D22" si="30">C22/C$17*1000000</f>
        <v>#DIV/0!</v>
      </c>
      <c r="F22" s="40">
        <f t="shared" ref="F22" si="31">C22*1000+A22</f>
        <v>5</v>
      </c>
      <c r="G22">
        <f t="shared" si="25"/>
        <v>5</v>
      </c>
      <c r="H22">
        <f t="shared" ref="H22" si="32">MATCH(G22,F$18:F$26,0)</f>
        <v>5</v>
      </c>
      <c r="J22" t="str">
        <f t="shared" ref="J22" si="33">VLOOKUP(H22,A$4:D$12,2,TRUE)</f>
        <v>CAP/PY</v>
      </c>
      <c r="K22" s="42" t="e">
        <f t="shared" si="26"/>
        <v>#DIV/0!</v>
      </c>
      <c r="L22" s="42">
        <f t="shared" si="27"/>
        <v>0</v>
      </c>
      <c r="M22" s="42">
        <f t="shared" si="28"/>
        <v>0</v>
      </c>
      <c r="N22" s="42" t="e">
        <f t="shared" si="29"/>
        <v>#DIV/0!</v>
      </c>
      <c r="O22" s="42" t="e">
        <f t="shared" si="24"/>
        <v>#DIV/0!</v>
      </c>
    </row>
    <row r="23" spans="1:18" ht="12.75" customHeight="1">
      <c r="A23" s="43">
        <v>6</v>
      </c>
      <c r="B23" s="44" t="str">
        <f>'Linha UM-4 - 2T'!A22</f>
        <v>FECHAMENTO</v>
      </c>
      <c r="C23" s="40">
        <f>'Linha UM-4 - 2T'!AD22</f>
        <v>0</v>
      </c>
      <c r="D23" s="40" t="e">
        <f t="shared" ref="D23:D26" si="34">C23/C$17*1000000</f>
        <v>#DIV/0!</v>
      </c>
      <c r="F23" s="40">
        <f t="shared" ref="F23:F26" si="35">C23*1000+A23</f>
        <v>6</v>
      </c>
      <c r="G23">
        <f t="shared" si="25"/>
        <v>4</v>
      </c>
      <c r="H23">
        <f t="shared" ref="H23:H26" si="36">MATCH(G23,F$18:F$26,0)</f>
        <v>4</v>
      </c>
      <c r="J23" t="str">
        <f t="shared" ref="J23:J26" si="37">VLOOKUP(H23,A$4:D$12,2,TRUE)</f>
        <v>EVERTACK</v>
      </c>
      <c r="K23" s="42" t="e">
        <f t="shared" si="26"/>
        <v>#DIV/0!</v>
      </c>
      <c r="L23" s="42">
        <f t="shared" si="27"/>
        <v>0</v>
      </c>
      <c r="M23" s="42">
        <f t="shared" si="28"/>
        <v>0</v>
      </c>
      <c r="N23" s="42" t="e">
        <f t="shared" si="29"/>
        <v>#DIV/0!</v>
      </c>
      <c r="O23" s="42" t="e">
        <f t="shared" si="24"/>
        <v>#DIV/0!</v>
      </c>
    </row>
    <row r="24" spans="1:18">
      <c r="A24" s="43">
        <v>7</v>
      </c>
      <c r="B24" s="44" t="str">
        <f>'Linha UM-4 - 2T'!A23</f>
        <v>BOTTOM PLATE</v>
      </c>
      <c r="C24" s="40">
        <f>'Linha UM-4 - 2T'!AD23</f>
        <v>0</v>
      </c>
      <c r="D24" s="40" t="e">
        <f t="shared" si="34"/>
        <v>#DIV/0!</v>
      </c>
      <c r="F24" s="40">
        <f t="shared" si="35"/>
        <v>7</v>
      </c>
      <c r="G24">
        <f t="shared" si="25"/>
        <v>3</v>
      </c>
      <c r="H24">
        <f t="shared" si="36"/>
        <v>3</v>
      </c>
      <c r="J24" t="str">
        <f t="shared" si="37"/>
        <v>CARVÃO</v>
      </c>
      <c r="K24" s="42" t="e">
        <f t="shared" si="26"/>
        <v>#DIV/0!</v>
      </c>
      <c r="L24" s="42">
        <f t="shared" si="27"/>
        <v>0</v>
      </c>
      <c r="M24" s="42">
        <f t="shared" si="28"/>
        <v>0</v>
      </c>
      <c r="N24" s="42" t="e">
        <f t="shared" si="29"/>
        <v>#DIV/0!</v>
      </c>
      <c r="O24" s="42" t="e">
        <f t="shared" si="24"/>
        <v>#DIV/0!</v>
      </c>
    </row>
    <row r="25" spans="1:18">
      <c r="A25" s="43">
        <v>8</v>
      </c>
      <c r="B25" s="44" t="str">
        <f>'Linha UM-4 - 2T'!A24</f>
        <v>TESTADOR VA</v>
      </c>
      <c r="C25" s="40">
        <f>'Linha UM-4 - 2T'!AD24</f>
        <v>0</v>
      </c>
      <c r="D25" s="40" t="e">
        <f t="shared" si="34"/>
        <v>#DIV/0!</v>
      </c>
      <c r="F25" s="40">
        <f t="shared" si="35"/>
        <v>8</v>
      </c>
      <c r="G25">
        <f t="shared" si="25"/>
        <v>2</v>
      </c>
      <c r="H25">
        <f t="shared" si="36"/>
        <v>2</v>
      </c>
      <c r="J25" t="str">
        <f t="shared" si="37"/>
        <v>ISOL. SUPERIOR</v>
      </c>
      <c r="K25" s="42" t="e">
        <f t="shared" si="26"/>
        <v>#DIV/0!</v>
      </c>
      <c r="L25" s="42">
        <f t="shared" si="27"/>
        <v>0</v>
      </c>
      <c r="M25" s="42">
        <f t="shared" si="28"/>
        <v>0</v>
      </c>
      <c r="N25" s="42" t="e">
        <f t="shared" si="29"/>
        <v>#DIV/0!</v>
      </c>
      <c r="O25" s="42" t="e">
        <f t="shared" si="24"/>
        <v>#DIV/0!</v>
      </c>
    </row>
    <row r="26" spans="1:18" ht="13.5" thickBot="1">
      <c r="A26" s="43">
        <v>9</v>
      </c>
      <c r="B26" s="44" t="str">
        <f>'Linha UM-4 - 2T'!A25</f>
        <v>ENCAXOTADEIRA</v>
      </c>
      <c r="C26" s="40">
        <f>'Linha UM-4 - 2T'!AD25</f>
        <v>0</v>
      </c>
      <c r="D26" s="40" t="e">
        <f t="shared" si="34"/>
        <v>#DIV/0!</v>
      </c>
      <c r="F26" s="40">
        <f t="shared" si="35"/>
        <v>9</v>
      </c>
      <c r="G26">
        <f t="shared" si="25"/>
        <v>1</v>
      </c>
      <c r="H26">
        <f t="shared" si="36"/>
        <v>1</v>
      </c>
      <c r="J26" t="str">
        <f t="shared" si="37"/>
        <v>TAMPÃO</v>
      </c>
      <c r="K26" s="42" t="e">
        <f t="shared" si="26"/>
        <v>#DIV/0!</v>
      </c>
      <c r="L26" s="42">
        <f t="shared" si="27"/>
        <v>0</v>
      </c>
      <c r="M26" s="42">
        <f t="shared" si="28"/>
        <v>0</v>
      </c>
      <c r="N26" s="42" t="e">
        <f t="shared" si="29"/>
        <v>#DIV/0!</v>
      </c>
      <c r="O26" s="42" t="e">
        <f t="shared" si="24"/>
        <v>#DIV/0!</v>
      </c>
    </row>
    <row r="27" spans="1:18">
      <c r="A27" s="94" t="s">
        <v>2</v>
      </c>
      <c r="B27" s="95"/>
      <c r="C27" s="40">
        <f>'Linha UM-4 - 2T'!AD26</f>
        <v>0</v>
      </c>
      <c r="D27" s="40" t="e">
        <f>C27/C$17*1000000</f>
        <v>#DIV/0!</v>
      </c>
      <c r="F27" s="40"/>
    </row>
    <row r="29" spans="1:18">
      <c r="C29" s="39" t="s">
        <v>46</v>
      </c>
    </row>
    <row r="31" spans="1:18" ht="13.5" thickBot="1">
      <c r="C31" s="40">
        <f>'Linha UM-4 - 3T'!AD6</f>
        <v>0</v>
      </c>
    </row>
    <row r="32" spans="1:18">
      <c r="A32" s="41">
        <v>1</v>
      </c>
      <c r="B32" s="44" t="str">
        <f>'Linha UM-4 - 3T'!A16</f>
        <v>TAMPÃO</v>
      </c>
      <c r="C32" s="40">
        <f>'Linha UM-4 - 3T'!AD16</f>
        <v>0</v>
      </c>
      <c r="D32" s="40" t="e">
        <f>C32/C$31*1000000</f>
        <v>#DIV/0!</v>
      </c>
      <c r="F32" s="40">
        <f t="shared" ref="F32:F40" si="38">C32*1000+A32</f>
        <v>1</v>
      </c>
      <c r="G32">
        <f>LARGE(F$32:F$40,A32)</f>
        <v>9</v>
      </c>
      <c r="H32">
        <f>MATCH(G32,F$32:F$40,0)</f>
        <v>9</v>
      </c>
      <c r="J32" t="str">
        <f t="shared" ref="J32:J40" si="39">VLOOKUP(H32,A$4:D$12,2,TRUE)</f>
        <v>ENCAXOTADEIRA</v>
      </c>
      <c r="K32" s="42" t="e">
        <f>VLOOKUP(H32,A$32:D$40,4,FALSE)</f>
        <v>#DIV/0!</v>
      </c>
      <c r="L32" s="42">
        <f>VLOOKUP(H32,A$32:C$40,3,FALSE)</f>
        <v>0</v>
      </c>
      <c r="M32" s="42">
        <f t="shared" ref="M32:M40" si="40">L32+M31</f>
        <v>0</v>
      </c>
      <c r="N32" s="42" t="e">
        <f>M32/M$40*100</f>
        <v>#DIV/0!</v>
      </c>
      <c r="O32" s="42" t="e">
        <f t="shared" ref="O32:O40" si="41">IF(($D$41&gt;TARGET_D)*(N32&lt;=80),K32,0)</f>
        <v>#DIV/0!</v>
      </c>
    </row>
    <row r="33" spans="1:15">
      <c r="A33" s="43">
        <v>2</v>
      </c>
      <c r="B33" s="44" t="str">
        <f>'Linha UM-4 - 3T'!A17</f>
        <v>ISOL. SUPERIOR</v>
      </c>
      <c r="C33" s="40">
        <f>'Linha UM-4 - 3T'!AD17</f>
        <v>0</v>
      </c>
      <c r="D33" s="40" t="e">
        <f t="shared" ref="D33:D41" si="42">C33/C$31*1000000</f>
        <v>#DIV/0!</v>
      </c>
      <c r="F33" s="40">
        <f t="shared" si="38"/>
        <v>2</v>
      </c>
      <c r="G33">
        <f t="shared" ref="G33:G40" si="43">LARGE(F$32:F$40,A33)</f>
        <v>8</v>
      </c>
      <c r="H33">
        <f t="shared" ref="H33:H40" si="44">MATCH(G33,F$32:F$40,0)</f>
        <v>8</v>
      </c>
      <c r="J33" t="str">
        <f t="shared" si="39"/>
        <v>TESTADOR VA</v>
      </c>
      <c r="K33" s="42" t="e">
        <f t="shared" ref="K33:K40" si="45">VLOOKUP(H33,A$32:D$40,4,FALSE)</f>
        <v>#DIV/0!</v>
      </c>
      <c r="L33" s="42">
        <f t="shared" ref="L33:L40" si="46">VLOOKUP(H33,A$32:C$40,3,FALSE)</f>
        <v>0</v>
      </c>
      <c r="M33" s="42">
        <f t="shared" si="40"/>
        <v>0</v>
      </c>
      <c r="N33" s="42" t="e">
        <f t="shared" ref="N33:N40" si="47">M33/M$40*100</f>
        <v>#DIV/0!</v>
      </c>
      <c r="O33" s="42" t="e">
        <f t="shared" si="41"/>
        <v>#DIV/0!</v>
      </c>
    </row>
    <row r="34" spans="1:15">
      <c r="A34" s="43">
        <v>3</v>
      </c>
      <c r="B34" s="44" t="str">
        <f>'Linha UM-4 - 3T'!A18</f>
        <v>CARVÃO</v>
      </c>
      <c r="C34" s="40">
        <f>'Linha UM-4 - 3T'!AD18</f>
        <v>0</v>
      </c>
      <c r="D34" s="40" t="e">
        <f t="shared" si="42"/>
        <v>#DIV/0!</v>
      </c>
      <c r="F34" s="40">
        <f t="shared" si="38"/>
        <v>3</v>
      </c>
      <c r="G34">
        <f t="shared" si="43"/>
        <v>7</v>
      </c>
      <c r="H34">
        <f t="shared" si="44"/>
        <v>7</v>
      </c>
      <c r="J34" t="str">
        <f t="shared" si="39"/>
        <v>BOTTOM PLATE</v>
      </c>
      <c r="K34" s="42" t="e">
        <f t="shared" si="45"/>
        <v>#DIV/0!</v>
      </c>
      <c r="L34" s="42">
        <f t="shared" si="46"/>
        <v>0</v>
      </c>
      <c r="M34" s="42">
        <f t="shared" si="40"/>
        <v>0</v>
      </c>
      <c r="N34" s="42" t="e">
        <f t="shared" si="47"/>
        <v>#DIV/0!</v>
      </c>
      <c r="O34" s="42" t="e">
        <f t="shared" si="41"/>
        <v>#DIV/0!</v>
      </c>
    </row>
    <row r="35" spans="1:15">
      <c r="A35" s="43">
        <v>4</v>
      </c>
      <c r="B35" s="44" t="str">
        <f>'Linha UM-4 - 3T'!A19</f>
        <v>EVERTACK</v>
      </c>
      <c r="C35" s="40">
        <f>'Linha UM-4 - 3T'!AD19</f>
        <v>0</v>
      </c>
      <c r="D35" s="40" t="e">
        <f t="shared" si="42"/>
        <v>#DIV/0!</v>
      </c>
      <c r="F35" s="40">
        <f t="shared" si="38"/>
        <v>4</v>
      </c>
      <c r="G35">
        <f t="shared" si="43"/>
        <v>6</v>
      </c>
      <c r="H35">
        <f t="shared" si="44"/>
        <v>6</v>
      </c>
      <c r="J35" t="str">
        <f t="shared" si="39"/>
        <v>FECHAMENTO</v>
      </c>
      <c r="K35" s="42" t="e">
        <f t="shared" si="45"/>
        <v>#DIV/0!</v>
      </c>
      <c r="L35" s="42">
        <f t="shared" si="46"/>
        <v>0</v>
      </c>
      <c r="M35" s="42">
        <f t="shared" si="40"/>
        <v>0</v>
      </c>
      <c r="N35" s="42" t="e">
        <f t="shared" si="47"/>
        <v>#DIV/0!</v>
      </c>
      <c r="O35" s="42" t="e">
        <f t="shared" si="41"/>
        <v>#DIV/0!</v>
      </c>
    </row>
    <row r="36" spans="1:15">
      <c r="A36" s="43">
        <v>5</v>
      </c>
      <c r="B36" s="44" t="str">
        <f>'Linha UM-4 - 3T'!A20</f>
        <v>CAP/PY</v>
      </c>
      <c r="C36" s="40">
        <f>'Linha UM-4 - 3T'!AD20</f>
        <v>0</v>
      </c>
      <c r="D36" s="40" t="e">
        <f t="shared" si="42"/>
        <v>#DIV/0!</v>
      </c>
      <c r="F36" s="40">
        <f t="shared" si="38"/>
        <v>5</v>
      </c>
      <c r="G36">
        <f t="shared" si="43"/>
        <v>5</v>
      </c>
      <c r="H36">
        <f t="shared" si="44"/>
        <v>5</v>
      </c>
      <c r="J36" t="str">
        <f t="shared" si="39"/>
        <v>CAP/PY</v>
      </c>
      <c r="K36" s="42" t="e">
        <f t="shared" si="45"/>
        <v>#DIV/0!</v>
      </c>
      <c r="L36" s="42">
        <f t="shared" si="46"/>
        <v>0</v>
      </c>
      <c r="M36" s="42">
        <f t="shared" si="40"/>
        <v>0</v>
      </c>
      <c r="N36" s="42" t="e">
        <f t="shared" si="47"/>
        <v>#DIV/0!</v>
      </c>
      <c r="O36" s="42" t="e">
        <f t="shared" si="41"/>
        <v>#DIV/0!</v>
      </c>
    </row>
    <row r="37" spans="1:15">
      <c r="A37" s="43">
        <v>6</v>
      </c>
      <c r="B37" s="44" t="str">
        <f>'Linha UM-4 - 3T'!A21</f>
        <v>SUB-TOTAL ATÉ PY</v>
      </c>
      <c r="C37" s="40">
        <f>'Linha UM-4 - 3T'!AD21</f>
        <v>0</v>
      </c>
      <c r="D37" s="40" t="e">
        <f t="shared" si="42"/>
        <v>#DIV/0!</v>
      </c>
      <c r="F37" s="40">
        <f t="shared" si="38"/>
        <v>6</v>
      </c>
      <c r="G37">
        <f t="shared" si="43"/>
        <v>4</v>
      </c>
      <c r="H37">
        <f t="shared" si="44"/>
        <v>4</v>
      </c>
      <c r="J37" t="str">
        <f t="shared" si="39"/>
        <v>EVERTACK</v>
      </c>
      <c r="K37" s="42" t="e">
        <f t="shared" si="45"/>
        <v>#DIV/0!</v>
      </c>
      <c r="L37" s="42">
        <f t="shared" si="46"/>
        <v>0</v>
      </c>
      <c r="M37" s="42">
        <f t="shared" si="40"/>
        <v>0</v>
      </c>
      <c r="N37" s="42" t="e">
        <f t="shared" si="47"/>
        <v>#DIV/0!</v>
      </c>
      <c r="O37" s="42" t="e">
        <f t="shared" si="41"/>
        <v>#DIV/0!</v>
      </c>
    </row>
    <row r="38" spans="1:15">
      <c r="A38" s="43">
        <v>7</v>
      </c>
      <c r="B38" s="44" t="str">
        <f>'Linha UM-4 - 3T'!A22</f>
        <v>FECHAMENTO</v>
      </c>
      <c r="C38" s="40">
        <f>'Linha UM-4 - 3T'!AD22</f>
        <v>0</v>
      </c>
      <c r="D38" s="40" t="e">
        <f t="shared" si="42"/>
        <v>#DIV/0!</v>
      </c>
      <c r="F38" s="40">
        <f t="shared" si="38"/>
        <v>7</v>
      </c>
      <c r="G38">
        <f t="shared" si="43"/>
        <v>3</v>
      </c>
      <c r="H38">
        <f t="shared" si="44"/>
        <v>3</v>
      </c>
      <c r="J38" t="str">
        <f t="shared" si="39"/>
        <v>CARVÃO</v>
      </c>
      <c r="K38" s="42" t="e">
        <f t="shared" si="45"/>
        <v>#DIV/0!</v>
      </c>
      <c r="L38" s="42">
        <f t="shared" si="46"/>
        <v>0</v>
      </c>
      <c r="M38" s="42">
        <f t="shared" si="40"/>
        <v>0</v>
      </c>
      <c r="N38" s="42" t="e">
        <f t="shared" si="47"/>
        <v>#DIV/0!</v>
      </c>
      <c r="O38" s="42" t="e">
        <f t="shared" si="41"/>
        <v>#DIV/0!</v>
      </c>
    </row>
    <row r="39" spans="1:15">
      <c r="A39" s="43">
        <v>8</v>
      </c>
      <c r="B39" s="44" t="str">
        <f>'Linha UM-4 - 3T'!A23</f>
        <v>BOTTOM PLATE</v>
      </c>
      <c r="C39" s="40">
        <f>'Linha UM-4 - 3T'!AD23</f>
        <v>0</v>
      </c>
      <c r="D39" s="40" t="e">
        <f t="shared" si="42"/>
        <v>#DIV/0!</v>
      </c>
      <c r="F39" s="40">
        <f t="shared" si="38"/>
        <v>8</v>
      </c>
      <c r="G39">
        <f t="shared" si="43"/>
        <v>2</v>
      </c>
      <c r="H39">
        <f t="shared" si="44"/>
        <v>2</v>
      </c>
      <c r="J39" t="str">
        <f t="shared" si="39"/>
        <v>ISOL. SUPERIOR</v>
      </c>
      <c r="K39" s="42" t="e">
        <f t="shared" si="45"/>
        <v>#DIV/0!</v>
      </c>
      <c r="L39" s="42">
        <f t="shared" si="46"/>
        <v>0</v>
      </c>
      <c r="M39" s="42">
        <f t="shared" si="40"/>
        <v>0</v>
      </c>
      <c r="N39" s="42" t="e">
        <f t="shared" si="47"/>
        <v>#DIV/0!</v>
      </c>
      <c r="O39" s="42" t="e">
        <f t="shared" si="41"/>
        <v>#DIV/0!</v>
      </c>
    </row>
    <row r="40" spans="1:15" ht="13.5" thickBot="1">
      <c r="A40" s="43">
        <v>9</v>
      </c>
      <c r="B40" s="44" t="str">
        <f>'Linha UM-4 - 3T'!A24</f>
        <v>TESTADOR VA</v>
      </c>
      <c r="C40" s="40">
        <f>'Linha UM-4 - 3T'!AD24</f>
        <v>0</v>
      </c>
      <c r="D40" s="40" t="e">
        <f t="shared" si="42"/>
        <v>#DIV/0!</v>
      </c>
      <c r="F40" s="40">
        <f t="shared" si="38"/>
        <v>9</v>
      </c>
      <c r="G40">
        <f t="shared" si="43"/>
        <v>1</v>
      </c>
      <c r="H40">
        <f t="shared" si="44"/>
        <v>1</v>
      </c>
      <c r="J40" t="str">
        <f t="shared" si="39"/>
        <v>TAMPÃO</v>
      </c>
      <c r="K40" s="42" t="e">
        <f t="shared" si="45"/>
        <v>#DIV/0!</v>
      </c>
      <c r="L40" s="42">
        <f t="shared" si="46"/>
        <v>0</v>
      </c>
      <c r="M40" s="42">
        <f t="shared" si="40"/>
        <v>0</v>
      </c>
      <c r="N40" s="42" t="e">
        <f t="shared" si="47"/>
        <v>#DIV/0!</v>
      </c>
      <c r="O40" s="42" t="e">
        <f t="shared" si="41"/>
        <v>#DIV/0!</v>
      </c>
    </row>
    <row r="41" spans="1:15">
      <c r="A41" s="94" t="s">
        <v>2</v>
      </c>
      <c r="B41" s="95"/>
      <c r="C41" s="40">
        <f>'Linha UM-4 - 3T'!AD26</f>
        <v>0</v>
      </c>
      <c r="D41" s="40" t="e">
        <f t="shared" si="42"/>
        <v>#DIV/0!</v>
      </c>
      <c r="F41" s="40"/>
    </row>
  </sheetData>
  <mergeCells count="3">
    <mergeCell ref="A13:B13"/>
    <mergeCell ref="A27:B27"/>
    <mergeCell ref="A41:B4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5</vt:i4>
      </vt:variant>
      <vt:variant>
        <vt:lpstr>Gráficos</vt:lpstr>
      </vt:variant>
      <vt:variant>
        <vt:i4>3</vt:i4>
      </vt:variant>
      <vt:variant>
        <vt:lpstr>Intervalos Nomeados</vt:lpstr>
      </vt:variant>
      <vt:variant>
        <vt:i4>14</vt:i4>
      </vt:variant>
    </vt:vector>
  </HeadingPairs>
  <TitlesOfParts>
    <vt:vector size="22" baseType="lpstr">
      <vt:lpstr>Instruções de Uso</vt:lpstr>
      <vt:lpstr>Linha UM-4 - Dia</vt:lpstr>
      <vt:lpstr>Linha UM-4 - 2T</vt:lpstr>
      <vt:lpstr>Linha UM-4 - 3T</vt:lpstr>
      <vt:lpstr>Dados para grafico</vt:lpstr>
      <vt:lpstr>Gráf1</vt:lpstr>
      <vt:lpstr>Gráf2</vt:lpstr>
      <vt:lpstr>Gráf3</vt:lpstr>
      <vt:lpstr>'Linha UM-4 - 2T'!Area_de_impressao</vt:lpstr>
      <vt:lpstr>'Linha UM-4 - 3T'!Area_de_impressao</vt:lpstr>
      <vt:lpstr>'Linha UM-4 - Dia'!Area_de_impressao</vt:lpstr>
      <vt:lpstr>'Linha UM-4 - 2T'!FALHAS_L1D</vt:lpstr>
      <vt:lpstr>'Linha UM-4 - 3T'!FALHAS_L1D</vt:lpstr>
      <vt:lpstr>FALHAS_L1D</vt:lpstr>
      <vt:lpstr>PERIODO</vt:lpstr>
      <vt:lpstr>'Linha UM-4 - 2T'!PROD_2T</vt:lpstr>
      <vt:lpstr>'Linha UM-4 - 3T'!PROD_3T</vt:lpstr>
      <vt:lpstr>PROD_D</vt:lpstr>
      <vt:lpstr>'Dados para grafico'!PROD_L1D</vt:lpstr>
      <vt:lpstr>TARGET_2T</vt:lpstr>
      <vt:lpstr>'Linha UM-4 - 3T'!TARGET_3T</vt:lpstr>
      <vt:lpstr>TARGET_D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2021-11-17T11:13:10Z</cp:lastPrinted>
  <dcterms:created xsi:type="dcterms:W3CDTF">2003-08-12T11:39:14Z</dcterms:created>
  <dcterms:modified xsi:type="dcterms:W3CDTF">2022-02-21T11:46:08Z</dcterms:modified>
</cp:coreProperties>
</file>