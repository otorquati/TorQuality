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3) UM-4\MONTAGEM\"/>
    </mc:Choice>
  </mc:AlternateContent>
  <xr:revisionPtr revIDLastSave="0" documentId="13_ncr:1_{EB4F87AE-F07D-4746-A7D0-AF561AC79C9B}" xr6:coauthVersionLast="47" xr6:coauthVersionMax="47" xr10:uidLastSave="{00000000-0000-0000-0000-000000000000}"/>
  <workbookProtection workbookAlgorithmName="SHA-512" workbookHashValue="B9XRxuVwTqPDDQNRQqvwhVfdXpwc9M6cUaVLv3gQ/GqMeTWrrVq0KGJg66vqip/T6NgKTS3TtcgRDaBruBBIhw==" workbookSaltValue="IUnetsOb1SVXZoF21ftYig==" workbookSpinCount="100000" lockStructure="1"/>
  <bookViews>
    <workbookView xWindow="-120" yWindow="-120" windowWidth="29040" windowHeight="16440" activeTab="4" xr2:uid="{00000000-000D-0000-FFFF-FFFF00000000}"/>
  </bookViews>
  <sheets>
    <sheet name="Instruções de Uso" sheetId="16" r:id="rId1"/>
    <sheet name="Linha UM-4 - Dia" sheetId="1" r:id="rId2"/>
    <sheet name="Linha UM-4 - 2T" sheetId="19" r:id="rId3"/>
    <sheet name="Linha UM-4 - 3T" sheetId="20" r:id="rId4"/>
    <sheet name="Dados para grafico" sheetId="13" r:id="rId5"/>
    <sheet name="Gráf1" sheetId="18" r:id="rId6"/>
    <sheet name="Gráf2" sheetId="15" r:id="rId7"/>
    <sheet name="Gráf3" sheetId="21" r:id="rId8"/>
  </sheets>
  <externalReferences>
    <externalReference r:id="rId9"/>
  </externalReferences>
  <definedNames>
    <definedName name="_xlnm.Print_Area" localSheetId="2">'Linha UM-4 - 2T'!$A$1:$AD$36</definedName>
    <definedName name="_xlnm.Print_Area" localSheetId="3">'Linha UM-4 - 3T'!$A$1:$AD$36</definedName>
    <definedName name="_xlnm.Print_Area" localSheetId="1">'Linha UM-4 - Dia'!$A$1:$AD$36</definedName>
    <definedName name="FALHAS_2T" localSheetId="2">'Linha UM-4 - 2T'!$AD$31</definedName>
    <definedName name="FALHAS_3T" localSheetId="3">'Linha UM-4 - 3T'!$AD$31</definedName>
    <definedName name="FALHAS_D">'Linha UM-4 - Dia'!$AD$31</definedName>
    <definedName name="LinAC2T">OFFSET('Dados para grafico'!$N$25,0,0,COUNTIF('Dados para grafico'!$N$25:$N$40,"&lt;100")+1,1)</definedName>
    <definedName name="LinAC3T">OFFSET('Dados para grafico'!$N$46,0,0,COUNTIF('Dados para grafico'!$N$46:$N$61,"&lt;100")+1,1)</definedName>
    <definedName name="LinACD">OFFSET('Dados para grafico'!$N$4,0,0,COUNTIF('Dados para grafico'!$N$4:$N$19,"&lt;100")+1,1)</definedName>
    <definedName name="LinFalhas2T_X">OFFSET('Dados para grafico'!$J$25,0,0,COUNTIF('Dados para grafico'!$N$25:$N$40,"&lt;100")+1,1)</definedName>
    <definedName name="LinFalhas2T_Y">OFFSET('Dados para grafico'!$K$25,0,0,COUNTIF('Dados para grafico'!$N$25:$N$40,"&lt;100")+1,1)</definedName>
    <definedName name="LinFalhas3T_X">OFFSET('Dados para grafico'!$J$46,0,0,COUNTIF('Dados para grafico'!$N$46:$N$61,"&lt;100")+1,1)</definedName>
    <definedName name="LinFalhas3T_Y">OFFSET('Dados para grafico'!$K$46,0,0,COUNTIF('Dados para grafico'!$N$46:$N$61,"&lt;100")+1,1)</definedName>
    <definedName name="LinFalhasD_X">OFFSET('Dados para grafico'!$J$4,0,0,COUNTIF('Dados para grafico'!$N$4:$N$19,"&lt;100")+1,1)</definedName>
    <definedName name="LinFalhasD_Y">OFFSET('Dados para grafico'!$K$4,0,0,COUNTIF('Dados para grafico'!$N$4:$N$19,"&lt;100")+1,1)</definedName>
    <definedName name="LinProb2T">OFFSET('Dados para grafico'!$O$25,0,0,COUNTIF('Dados para grafico'!$N$25:$N$40,"&lt;100")+1,1)</definedName>
    <definedName name="LinProb3T">OFFSET('Dados para grafico'!$O$46,0,0,COUNTIF('Dados para grafico'!$N$46:$N$61,"&lt;100")+1,1)</definedName>
    <definedName name="LinProbD">OFFSET('Dados para grafico'!$O$4,0,0,COUNTIF('Dados para grafico'!$N$4:$N$19,"&lt;100")+1,1)</definedName>
    <definedName name="PERIODO">'Linha UM-4 - Dia'!$Z$1</definedName>
    <definedName name="PROD_2T" localSheetId="2">'Linha UM-4 - 2T'!$AD$4</definedName>
    <definedName name="PROD_3T" localSheetId="3">'Linha UM-4 - 3T'!$AD$4</definedName>
    <definedName name="PROD_D">'Linha UM-4 - Dia'!$AD$4</definedName>
    <definedName name="TARGET_D">'Linha UM-4 - Dia'!$D$37</definedName>
    <definedName name="TARGET_N" localSheetId="3">'Linha UM-4 - 3T'!$D$37</definedName>
    <definedName name="TARGET_N">'Linha UM-4 - 2T'!$D$37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1" i="13" l="1"/>
  <c r="B60" i="13"/>
  <c r="B59" i="13"/>
  <c r="B58" i="13"/>
  <c r="B57" i="13"/>
  <c r="B56" i="13"/>
  <c r="B55" i="13"/>
  <c r="B54" i="13"/>
  <c r="B53" i="13"/>
  <c r="B52" i="13"/>
  <c r="B49" i="13"/>
  <c r="B48" i="13"/>
  <c r="B47" i="13"/>
  <c r="B46" i="13"/>
  <c r="D37" i="1"/>
  <c r="D31" i="20"/>
  <c r="D32" i="20" s="1"/>
  <c r="E31" i="20"/>
  <c r="E32" i="20" s="1"/>
  <c r="F31" i="20"/>
  <c r="F32" i="20" s="1"/>
  <c r="G31" i="20"/>
  <c r="G32" i="20" s="1"/>
  <c r="AD1" i="1" l="1"/>
  <c r="AC39" i="20" l="1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AC31" i="20"/>
  <c r="AB31" i="20"/>
  <c r="AA31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O32" i="20" s="1"/>
  <c r="N31" i="20"/>
  <c r="N32" i="20" s="1"/>
  <c r="M31" i="20"/>
  <c r="M32" i="20" s="1"/>
  <c r="L31" i="20"/>
  <c r="L32" i="20" s="1"/>
  <c r="K31" i="20"/>
  <c r="K32" i="20" s="1"/>
  <c r="J31" i="20"/>
  <c r="J32" i="20" s="1"/>
  <c r="I31" i="20"/>
  <c r="I32" i="20" s="1"/>
  <c r="H31" i="20"/>
  <c r="H32" i="20" s="1"/>
  <c r="AD30" i="20"/>
  <c r="AD29" i="20"/>
  <c r="AD28" i="20"/>
  <c r="C61" i="13" s="1"/>
  <c r="F61" i="13" s="1"/>
  <c r="AD27" i="20"/>
  <c r="C60" i="13" s="1"/>
  <c r="F60" i="13" s="1"/>
  <c r="AD26" i="20"/>
  <c r="C59" i="13" s="1"/>
  <c r="F59" i="13" s="1"/>
  <c r="AD25" i="20"/>
  <c r="C58" i="13" s="1"/>
  <c r="F58" i="13" s="1"/>
  <c r="AD24" i="20"/>
  <c r="C57" i="13" s="1"/>
  <c r="F57" i="13" s="1"/>
  <c r="AD23" i="20"/>
  <c r="C56" i="13" s="1"/>
  <c r="F56" i="13" s="1"/>
  <c r="AD22" i="20"/>
  <c r="C55" i="13" s="1"/>
  <c r="F55" i="13" s="1"/>
  <c r="AD21" i="20"/>
  <c r="C54" i="13" s="1"/>
  <c r="F54" i="13" s="1"/>
  <c r="AD20" i="20"/>
  <c r="C53" i="13" s="1"/>
  <c r="AD19" i="20"/>
  <c r="C52" i="13" s="1"/>
  <c r="F52" i="13" s="1"/>
  <c r="AD18" i="20"/>
  <c r="C51" i="13" s="1"/>
  <c r="F51" i="13" s="1"/>
  <c r="C18" i="20"/>
  <c r="AD17" i="20"/>
  <c r="C50" i="13" s="1"/>
  <c r="F50" i="13" s="1"/>
  <c r="C17" i="20"/>
  <c r="AD16" i="20"/>
  <c r="C49" i="13" s="1"/>
  <c r="F49" i="13" s="1"/>
  <c r="AD15" i="20"/>
  <c r="C48" i="13" s="1"/>
  <c r="AD14" i="20"/>
  <c r="C47" i="13" s="1"/>
  <c r="AD13" i="20"/>
  <c r="C46" i="13" s="1"/>
  <c r="F46" i="13" s="1"/>
  <c r="AC5" i="20"/>
  <c r="Z5" i="20"/>
  <c r="Y5" i="20"/>
  <c r="X5" i="20"/>
  <c r="W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AD4" i="20"/>
  <c r="C45" i="13" s="1"/>
  <c r="D48" i="13" l="1"/>
  <c r="D56" i="13"/>
  <c r="D58" i="13"/>
  <c r="D53" i="13"/>
  <c r="D54" i="13"/>
  <c r="D46" i="13"/>
  <c r="D55" i="13"/>
  <c r="D49" i="13"/>
  <c r="D57" i="13"/>
  <c r="D50" i="13"/>
  <c r="D51" i="13"/>
  <c r="D59" i="13"/>
  <c r="D61" i="13"/>
  <c r="D47" i="13"/>
  <c r="D52" i="13"/>
  <c r="D60" i="13"/>
  <c r="F53" i="13"/>
  <c r="F48" i="13"/>
  <c r="F47" i="13"/>
  <c r="AD31" i="20"/>
  <c r="D37" i="20"/>
  <c r="G50" i="13" l="1"/>
  <c r="H50" i="13" s="1"/>
  <c r="G58" i="13"/>
  <c r="H58" i="13" s="1"/>
  <c r="G51" i="13"/>
  <c r="H51" i="13" s="1"/>
  <c r="G59" i="13"/>
  <c r="H59" i="13" s="1"/>
  <c r="G52" i="13"/>
  <c r="H52" i="13" s="1"/>
  <c r="G53" i="13"/>
  <c r="H53" i="13" s="1"/>
  <c r="G54" i="13"/>
  <c r="H54" i="13" s="1"/>
  <c r="G46" i="13"/>
  <c r="H46" i="13" s="1"/>
  <c r="G47" i="13"/>
  <c r="H47" i="13" s="1"/>
  <c r="G55" i="13"/>
  <c r="H55" i="13" s="1"/>
  <c r="G48" i="13"/>
  <c r="H48" i="13" s="1"/>
  <c r="G56" i="13"/>
  <c r="H56" i="13" s="1"/>
  <c r="G49" i="13"/>
  <c r="H49" i="13" s="1"/>
  <c r="G57" i="13"/>
  <c r="H57" i="13" s="1"/>
  <c r="G60" i="13"/>
  <c r="H60" i="13" s="1"/>
  <c r="G61" i="13"/>
  <c r="H61" i="13" s="1"/>
  <c r="AD32" i="20"/>
  <c r="C62" i="13"/>
  <c r="D62" i="13" s="1"/>
  <c r="AD1" i="19"/>
  <c r="AD1" i="20"/>
  <c r="I31" i="1"/>
  <c r="L55" i="13" l="1"/>
  <c r="K55" i="13"/>
  <c r="J55" i="13"/>
  <c r="L50" i="13"/>
  <c r="K50" i="13"/>
  <c r="J50" i="13"/>
  <c r="L61" i="13"/>
  <c r="K61" i="13"/>
  <c r="J61" i="13"/>
  <c r="L46" i="13"/>
  <c r="M46" i="13" s="1"/>
  <c r="K46" i="13"/>
  <c r="J60" i="13"/>
  <c r="K60" i="13"/>
  <c r="L60" i="13"/>
  <c r="L54" i="13"/>
  <c r="K54" i="13"/>
  <c r="J54" i="13"/>
  <c r="L58" i="13"/>
  <c r="K58" i="13"/>
  <c r="J58" i="13"/>
  <c r="L47" i="13"/>
  <c r="K47" i="13"/>
  <c r="L57" i="13"/>
  <c r="K57" i="13"/>
  <c r="J53" i="13"/>
  <c r="L53" i="13"/>
  <c r="K53" i="13"/>
  <c r="L49" i="13"/>
  <c r="K49" i="13"/>
  <c r="J49" i="13"/>
  <c r="L52" i="13"/>
  <c r="K52" i="13"/>
  <c r="J52" i="13"/>
  <c r="L56" i="13"/>
  <c r="K56" i="13"/>
  <c r="J56" i="13"/>
  <c r="L59" i="13"/>
  <c r="K59" i="13"/>
  <c r="J59" i="13"/>
  <c r="L48" i="13"/>
  <c r="K48" i="13"/>
  <c r="L51" i="13"/>
  <c r="K51" i="13"/>
  <c r="J51" i="13"/>
  <c r="W32" i="19"/>
  <c r="X32" i="19"/>
  <c r="Y32" i="19"/>
  <c r="Z32" i="19"/>
  <c r="AA32" i="19"/>
  <c r="AB32" i="19"/>
  <c r="AC32" i="19"/>
  <c r="X32" i="1"/>
  <c r="Y32" i="1"/>
  <c r="Z32" i="1"/>
  <c r="AA32" i="1"/>
  <c r="AB32" i="1"/>
  <c r="AC32" i="1"/>
  <c r="M47" i="13" l="1"/>
  <c r="M48" i="13" s="1"/>
  <c r="H5" i="19"/>
  <c r="M49" i="13" l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4" i="1"/>
  <c r="M50" i="13" l="1"/>
  <c r="G31" i="19"/>
  <c r="G32" i="19" s="1"/>
  <c r="H31" i="19"/>
  <c r="H32" i="19" s="1"/>
  <c r="I31" i="19"/>
  <c r="I32" i="19" s="1"/>
  <c r="J31" i="19"/>
  <c r="J32" i="19" s="1"/>
  <c r="M51" i="13" l="1"/>
  <c r="D37" i="19"/>
  <c r="B19" i="13"/>
  <c r="M52" i="13" l="1"/>
  <c r="AD17" i="19"/>
  <c r="AD18" i="19"/>
  <c r="C18" i="19"/>
  <c r="B51" i="13" s="1"/>
  <c r="C17" i="19"/>
  <c r="B50" i="13" s="1"/>
  <c r="J57" i="13" l="1"/>
  <c r="J48" i="13"/>
  <c r="J46" i="13"/>
  <c r="J47" i="13"/>
  <c r="M53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AC39" i="19"/>
  <c r="AB39" i="19"/>
  <c r="AA39" i="19"/>
  <c r="Z39" i="19"/>
  <c r="Y39" i="19"/>
  <c r="X39" i="19"/>
  <c r="W39" i="19"/>
  <c r="V39" i="19"/>
  <c r="U39" i="19"/>
  <c r="T39" i="19"/>
  <c r="S39" i="19"/>
  <c r="R39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AC31" i="19"/>
  <c r="AB31" i="19"/>
  <c r="AA31" i="19"/>
  <c r="Z31" i="19"/>
  <c r="Y31" i="19"/>
  <c r="X31" i="19"/>
  <c r="W31" i="19"/>
  <c r="V31" i="19"/>
  <c r="V32" i="19" s="1"/>
  <c r="U31" i="19"/>
  <c r="U32" i="19" s="1"/>
  <c r="T31" i="19"/>
  <c r="T32" i="19" s="1"/>
  <c r="S31" i="19"/>
  <c r="S32" i="19" s="1"/>
  <c r="R31" i="19"/>
  <c r="R32" i="19" s="1"/>
  <c r="Q31" i="19"/>
  <c r="Q32" i="19" s="1"/>
  <c r="P31" i="19"/>
  <c r="P32" i="19" s="1"/>
  <c r="O31" i="19"/>
  <c r="O32" i="19" s="1"/>
  <c r="N31" i="19"/>
  <c r="N32" i="19" s="1"/>
  <c r="M31" i="19"/>
  <c r="M32" i="19" s="1"/>
  <c r="L31" i="19"/>
  <c r="L32" i="19" s="1"/>
  <c r="K31" i="19"/>
  <c r="K32" i="19" s="1"/>
  <c r="F31" i="19"/>
  <c r="F32" i="19" s="1"/>
  <c r="E31" i="19"/>
  <c r="E32" i="19" s="1"/>
  <c r="D31" i="19"/>
  <c r="AD30" i="19"/>
  <c r="C40" i="13" s="1"/>
  <c r="F40" i="13" s="1"/>
  <c r="AD29" i="19"/>
  <c r="C39" i="13" s="1"/>
  <c r="AD28" i="19"/>
  <c r="C38" i="13" s="1"/>
  <c r="AD27" i="19"/>
  <c r="C37" i="13" s="1"/>
  <c r="AD26" i="19"/>
  <c r="C36" i="13" s="1"/>
  <c r="F36" i="13" s="1"/>
  <c r="AD25" i="19"/>
  <c r="C35" i="13" s="1"/>
  <c r="AD24" i="19"/>
  <c r="C34" i="13" s="1"/>
  <c r="F34" i="13" s="1"/>
  <c r="AD23" i="19"/>
  <c r="C33" i="13" s="1"/>
  <c r="F33" i="13" s="1"/>
  <c r="AD22" i="19"/>
  <c r="C32" i="13" s="1"/>
  <c r="F32" i="13" s="1"/>
  <c r="AD21" i="19"/>
  <c r="C31" i="13" s="1"/>
  <c r="AD20" i="19"/>
  <c r="C30" i="13" s="1"/>
  <c r="F30" i="13" s="1"/>
  <c r="AD19" i="19"/>
  <c r="C29" i="13" s="1"/>
  <c r="F29" i="13" s="1"/>
  <c r="AD16" i="19"/>
  <c r="C28" i="13" s="1"/>
  <c r="F28" i="13" s="1"/>
  <c r="AD15" i="19"/>
  <c r="C27" i="13" s="1"/>
  <c r="F27" i="13" s="1"/>
  <c r="AD14" i="19"/>
  <c r="C26" i="13" s="1"/>
  <c r="F26" i="13" s="1"/>
  <c r="AD13" i="19"/>
  <c r="C25" i="13" s="1"/>
  <c r="AC5" i="19"/>
  <c r="Z5" i="19"/>
  <c r="Y5" i="19"/>
  <c r="X5" i="19"/>
  <c r="W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G5" i="19"/>
  <c r="F5" i="19"/>
  <c r="E5" i="19"/>
  <c r="D5" i="19"/>
  <c r="AD4" i="19"/>
  <c r="C24" i="13" s="1" a="1"/>
  <c r="C24" i="13" s="1"/>
  <c r="L5" i="1"/>
  <c r="N5" i="1"/>
  <c r="V39" i="1"/>
  <c r="W39" i="1"/>
  <c r="X39" i="1"/>
  <c r="Y39" i="1"/>
  <c r="Z39" i="1"/>
  <c r="AA39" i="1"/>
  <c r="AB39" i="1"/>
  <c r="AC39" i="1"/>
  <c r="D39" i="1"/>
  <c r="AC31" i="1"/>
  <c r="AB31" i="1"/>
  <c r="AA31" i="1"/>
  <c r="Z31" i="1"/>
  <c r="Y31" i="1"/>
  <c r="X31" i="1"/>
  <c r="W31" i="1"/>
  <c r="W32" i="1" s="1"/>
  <c r="V31" i="1"/>
  <c r="V32" i="1" s="1"/>
  <c r="U31" i="1"/>
  <c r="U32" i="1" s="1"/>
  <c r="T31" i="1"/>
  <c r="T32" i="1" s="1"/>
  <c r="S31" i="1"/>
  <c r="S32" i="1" s="1"/>
  <c r="R31" i="1"/>
  <c r="R32" i="1" s="1"/>
  <c r="Q31" i="1"/>
  <c r="Q32" i="1" s="1"/>
  <c r="P31" i="1"/>
  <c r="P32" i="1" s="1"/>
  <c r="O31" i="1"/>
  <c r="O32" i="1" s="1"/>
  <c r="N31" i="1"/>
  <c r="N32" i="1" s="1"/>
  <c r="M31" i="1"/>
  <c r="M32" i="1" s="1"/>
  <c r="L31" i="1"/>
  <c r="L32" i="1" s="1"/>
  <c r="K31" i="1"/>
  <c r="K32" i="1" s="1"/>
  <c r="J31" i="1"/>
  <c r="J32" i="1" s="1"/>
  <c r="I32" i="1"/>
  <c r="H31" i="1"/>
  <c r="H32" i="1" s="1"/>
  <c r="G31" i="1"/>
  <c r="G32" i="1" s="1"/>
  <c r="F31" i="1"/>
  <c r="F32" i="1" s="1"/>
  <c r="E31" i="1"/>
  <c r="E32" i="1" s="1"/>
  <c r="D31" i="1"/>
  <c r="D32" i="1" s="1"/>
  <c r="AC5" i="1"/>
  <c r="C13" i="13"/>
  <c r="F13" i="13" s="1"/>
  <c r="C5" i="13"/>
  <c r="C6" i="13"/>
  <c r="F6" i="13" s="1"/>
  <c r="C7" i="13"/>
  <c r="F7" i="13" s="1"/>
  <c r="C8" i="13"/>
  <c r="F8" i="13" s="1"/>
  <c r="C9" i="13"/>
  <c r="F9" i="13" s="1"/>
  <c r="C10" i="13"/>
  <c r="F10" i="13" s="1"/>
  <c r="C11" i="13"/>
  <c r="F11" i="13" s="1"/>
  <c r="C17" i="13"/>
  <c r="F17" i="13" s="1"/>
  <c r="C16" i="13"/>
  <c r="F16" i="13" s="1"/>
  <c r="M5" i="1"/>
  <c r="O5" i="1"/>
  <c r="P5" i="1"/>
  <c r="Q5" i="1"/>
  <c r="R5" i="1"/>
  <c r="S5" i="1"/>
  <c r="C14" i="13"/>
  <c r="F14" i="13" s="1"/>
  <c r="T5" i="1"/>
  <c r="F5" i="1"/>
  <c r="I5" i="1"/>
  <c r="F39" i="1"/>
  <c r="G39" i="1"/>
  <c r="H39" i="1"/>
  <c r="I39" i="1"/>
  <c r="J39" i="1"/>
  <c r="K39" i="1"/>
  <c r="L39" i="1"/>
  <c r="M39" i="1"/>
  <c r="N39" i="1"/>
  <c r="S39" i="1"/>
  <c r="T39" i="1"/>
  <c r="U39" i="1"/>
  <c r="O39" i="1"/>
  <c r="P39" i="1"/>
  <c r="Q39" i="1"/>
  <c r="R39" i="1"/>
  <c r="E39" i="1"/>
  <c r="Z5" i="1"/>
  <c r="Y5" i="1"/>
  <c r="X5" i="1"/>
  <c r="W5" i="1"/>
  <c r="U5" i="1"/>
  <c r="K5" i="1"/>
  <c r="J5" i="1"/>
  <c r="H5" i="1"/>
  <c r="G5" i="1"/>
  <c r="E5" i="1"/>
  <c r="D5" i="1"/>
  <c r="AD30" i="1"/>
  <c r="C19" i="13" s="1"/>
  <c r="F19" i="13" s="1"/>
  <c r="C18" i="13"/>
  <c r="F18" i="13" s="1"/>
  <c r="C15" i="13"/>
  <c r="F15" i="13" s="1"/>
  <c r="C12" i="13"/>
  <c r="C4" i="13"/>
  <c r="F4" i="13" s="1"/>
  <c r="M54" i="13" l="1"/>
  <c r="AD31" i="19"/>
  <c r="C41" i="13" s="1"/>
  <c r="D32" i="19"/>
  <c r="AD31" i="1"/>
  <c r="C3" i="13"/>
  <c r="D5" i="13" s="1"/>
  <c r="F25" i="13"/>
  <c r="F38" i="13"/>
  <c r="F31" i="13"/>
  <c r="F39" i="13"/>
  <c r="F35" i="13"/>
  <c r="F5" i="13"/>
  <c r="F12" i="13"/>
  <c r="F37" i="13"/>
  <c r="M55" i="13" l="1"/>
  <c r="C20" i="13"/>
  <c r="D20" i="13" s="1"/>
  <c r="AD32" i="1"/>
  <c r="G15" i="13"/>
  <c r="H15" i="13" s="1"/>
  <c r="J15" i="13" s="1"/>
  <c r="D41" i="13"/>
  <c r="AD32" i="19"/>
  <c r="D33" i="13"/>
  <c r="D31" i="13"/>
  <c r="D26" i="13"/>
  <c r="D35" i="13"/>
  <c r="D40" i="13"/>
  <c r="D32" i="13"/>
  <c r="D29" i="13"/>
  <c r="D37" i="13"/>
  <c r="D27" i="13"/>
  <c r="D11" i="13"/>
  <c r="D8" i="13"/>
  <c r="D16" i="13"/>
  <c r="D6" i="13"/>
  <c r="D10" i="13"/>
  <c r="D9" i="13"/>
  <c r="D7" i="13"/>
  <c r="D4" i="13"/>
  <c r="D17" i="13"/>
  <c r="D14" i="13"/>
  <c r="D12" i="13"/>
  <c r="D15" i="13"/>
  <c r="D19" i="13"/>
  <c r="D18" i="13"/>
  <c r="D13" i="13"/>
  <c r="G17" i="13"/>
  <c r="H17" i="13" s="1"/>
  <c r="L17" i="13" s="1"/>
  <c r="G4" i="13"/>
  <c r="H4" i="13" s="1"/>
  <c r="G9" i="13"/>
  <c r="H9" i="13" s="1"/>
  <c r="L9" i="13" s="1"/>
  <c r="D36" i="13"/>
  <c r="D28" i="13"/>
  <c r="D34" i="13"/>
  <c r="D25" i="13"/>
  <c r="G26" i="13"/>
  <c r="H26" i="13" s="1"/>
  <c r="L26" i="13" s="1"/>
  <c r="D30" i="13"/>
  <c r="D39" i="13"/>
  <c r="D38" i="13"/>
  <c r="G19" i="13"/>
  <c r="H19" i="13" s="1"/>
  <c r="L19" i="13" s="1"/>
  <c r="G11" i="13"/>
  <c r="H11" i="13" s="1"/>
  <c r="L11" i="13" s="1"/>
  <c r="G14" i="13"/>
  <c r="H14" i="13" s="1"/>
  <c r="J14" i="13" s="1"/>
  <c r="G5" i="13"/>
  <c r="H5" i="13" s="1"/>
  <c r="J5" i="13" s="1"/>
  <c r="G16" i="13"/>
  <c r="H16" i="13" s="1"/>
  <c r="J16" i="13" s="1"/>
  <c r="G7" i="13"/>
  <c r="H7" i="13" s="1"/>
  <c r="G8" i="13"/>
  <c r="H8" i="13" s="1"/>
  <c r="L8" i="13" s="1"/>
  <c r="G6" i="13"/>
  <c r="H6" i="13" s="1"/>
  <c r="J6" i="13" s="1"/>
  <c r="G10" i="13"/>
  <c r="H10" i="13" s="1"/>
  <c r="J10" i="13" s="1"/>
  <c r="G18" i="13"/>
  <c r="H18" i="13" s="1"/>
  <c r="L18" i="13" s="1"/>
  <c r="G13" i="13"/>
  <c r="H13" i="13" s="1"/>
  <c r="L13" i="13" s="1"/>
  <c r="G12" i="13"/>
  <c r="H12" i="13" s="1"/>
  <c r="J12" i="13" s="1"/>
  <c r="G29" i="13"/>
  <c r="H29" i="13" s="1"/>
  <c r="G27" i="13"/>
  <c r="H27" i="13" s="1"/>
  <c r="L27" i="13" s="1"/>
  <c r="G30" i="13"/>
  <c r="H30" i="13" s="1"/>
  <c r="L30" i="13" s="1"/>
  <c r="G38" i="13"/>
  <c r="H38" i="13" s="1"/>
  <c r="J38" i="13" s="1"/>
  <c r="G36" i="13"/>
  <c r="H36" i="13" s="1"/>
  <c r="L36" i="13" s="1"/>
  <c r="G33" i="13"/>
  <c r="H33" i="13" s="1"/>
  <c r="J33" i="13" s="1"/>
  <c r="G31" i="13"/>
  <c r="H31" i="13" s="1"/>
  <c r="J31" i="13" s="1"/>
  <c r="G40" i="13"/>
  <c r="H40" i="13" s="1"/>
  <c r="J40" i="13" s="1"/>
  <c r="G25" i="13"/>
  <c r="H25" i="13" s="1"/>
  <c r="G37" i="13"/>
  <c r="H37" i="13" s="1"/>
  <c r="G32" i="13"/>
  <c r="H32" i="13" s="1"/>
  <c r="G39" i="13"/>
  <c r="H39" i="13" s="1"/>
  <c r="G35" i="13"/>
  <c r="H35" i="13" s="1"/>
  <c r="G28" i="13"/>
  <c r="H28" i="13" s="1"/>
  <c r="G34" i="13"/>
  <c r="H34" i="13" s="1"/>
  <c r="M56" i="13" l="1"/>
  <c r="K29" i="13"/>
  <c r="J18" i="13"/>
  <c r="K15" i="13"/>
  <c r="L15" i="13"/>
  <c r="K7" i="13"/>
  <c r="K4" i="13"/>
  <c r="J27" i="13"/>
  <c r="K36" i="13"/>
  <c r="J29" i="13"/>
  <c r="K26" i="13"/>
  <c r="K33" i="13"/>
  <c r="J26" i="13"/>
  <c r="K9" i="13"/>
  <c r="J9" i="13"/>
  <c r="J11" i="13"/>
  <c r="K11" i="13"/>
  <c r="L7" i="13"/>
  <c r="K18" i="13"/>
  <c r="K8" i="13"/>
  <c r="K13" i="13"/>
  <c r="J4" i="13"/>
  <c r="J7" i="13"/>
  <c r="K17" i="13"/>
  <c r="J17" i="13"/>
  <c r="L4" i="13"/>
  <c r="M4" i="13" s="1"/>
  <c r="L14" i="13"/>
  <c r="J13" i="13"/>
  <c r="K14" i="13"/>
  <c r="J8" i="13"/>
  <c r="L16" i="13"/>
  <c r="K10" i="13"/>
  <c r="K16" i="13"/>
  <c r="J19" i="13"/>
  <c r="K19" i="13"/>
  <c r="L10" i="13"/>
  <c r="L38" i="13"/>
  <c r="L40" i="13"/>
  <c r="L29" i="13"/>
  <c r="K40" i="13"/>
  <c r="K38" i="13"/>
  <c r="L33" i="13"/>
  <c r="K27" i="13"/>
  <c r="K5" i="13"/>
  <c r="L5" i="13"/>
  <c r="K6" i="13"/>
  <c r="L6" i="13"/>
  <c r="K12" i="13"/>
  <c r="L12" i="13"/>
  <c r="L31" i="13"/>
  <c r="K31" i="13"/>
  <c r="J30" i="13"/>
  <c r="J36" i="13"/>
  <c r="K30" i="13"/>
  <c r="L32" i="13"/>
  <c r="K32" i="13"/>
  <c r="J32" i="13"/>
  <c r="J34" i="13"/>
  <c r="K34" i="13"/>
  <c r="L34" i="13"/>
  <c r="K35" i="13"/>
  <c r="L35" i="13"/>
  <c r="J35" i="13"/>
  <c r="J37" i="13"/>
  <c r="K37" i="13"/>
  <c r="L37" i="13"/>
  <c r="L28" i="13"/>
  <c r="K28" i="13"/>
  <c r="J28" i="13"/>
  <c r="K39" i="13"/>
  <c r="L39" i="13"/>
  <c r="J39" i="13"/>
  <c r="J25" i="13"/>
  <c r="K25" i="13"/>
  <c r="L25" i="13"/>
  <c r="M25" i="13" s="1"/>
  <c r="M57" i="13" l="1"/>
  <c r="M26" i="13"/>
  <c r="M5" i="13"/>
  <c r="M58" i="13" l="1"/>
  <c r="M6" i="13"/>
  <c r="M27" i="13"/>
  <c r="M28" i="13" s="1"/>
  <c r="M59" i="13" l="1"/>
  <c r="M7" i="13"/>
  <c r="M29" i="13"/>
  <c r="M60" i="13" l="1"/>
  <c r="M8" i="13"/>
  <c r="M30" i="13"/>
  <c r="M61" i="13" l="1"/>
  <c r="N60" i="13" s="1"/>
  <c r="O60" i="13" s="1"/>
  <c r="M9" i="13"/>
  <c r="M31" i="13"/>
  <c r="N61" i="13" l="1"/>
  <c r="O61" i="13" s="1"/>
  <c r="N46" i="13"/>
  <c r="O46" i="13" s="1"/>
  <c r="N48" i="13"/>
  <c r="O48" i="13" s="1"/>
  <c r="N47" i="13"/>
  <c r="O47" i="13" s="1"/>
  <c r="N49" i="13"/>
  <c r="O49" i="13" s="1"/>
  <c r="N50" i="13"/>
  <c r="O50" i="13" s="1"/>
  <c r="N51" i="13"/>
  <c r="O51" i="13" s="1"/>
  <c r="N52" i="13"/>
  <c r="O52" i="13" s="1"/>
  <c r="N53" i="13"/>
  <c r="O53" i="13" s="1"/>
  <c r="N54" i="13"/>
  <c r="O54" i="13" s="1"/>
  <c r="N55" i="13"/>
  <c r="O55" i="13" s="1"/>
  <c r="N56" i="13"/>
  <c r="O56" i="13" s="1"/>
  <c r="N57" i="13"/>
  <c r="O57" i="13" s="1"/>
  <c r="N58" i="13"/>
  <c r="O58" i="13" s="1"/>
  <c r="N59" i="13"/>
  <c r="O59" i="13" s="1"/>
  <c r="M10" i="13"/>
  <c r="M32" i="13"/>
  <c r="M11" i="13" l="1"/>
  <c r="M33" i="13"/>
  <c r="M12" i="13" l="1"/>
  <c r="M34" i="13"/>
  <c r="M13" i="13" l="1"/>
  <c r="M35" i="13"/>
  <c r="M14" i="13" l="1"/>
  <c r="M36" i="13"/>
  <c r="M15" i="13" l="1"/>
  <c r="M37" i="13"/>
  <c r="M16" i="13" l="1"/>
  <c r="M38" i="13"/>
  <c r="M17" i="13" l="1"/>
  <c r="M39" i="13"/>
  <c r="M18" i="13" l="1"/>
  <c r="M40" i="13"/>
  <c r="M19" i="13" l="1"/>
  <c r="N40" i="13"/>
  <c r="O40" i="13" s="1"/>
  <c r="N25" i="13"/>
  <c r="O25" i="13" s="1"/>
  <c r="N26" i="13"/>
  <c r="O26" i="13" s="1"/>
  <c r="N27" i="13"/>
  <c r="O27" i="13" s="1"/>
  <c r="N28" i="13"/>
  <c r="O28" i="13" s="1"/>
  <c r="N29" i="13"/>
  <c r="O29" i="13" s="1"/>
  <c r="N30" i="13"/>
  <c r="O30" i="13" s="1"/>
  <c r="N31" i="13"/>
  <c r="O31" i="13" s="1"/>
  <c r="N32" i="13"/>
  <c r="O32" i="13" s="1"/>
  <c r="N33" i="13"/>
  <c r="O33" i="13" s="1"/>
  <c r="N34" i="13"/>
  <c r="O34" i="13" s="1"/>
  <c r="N35" i="13"/>
  <c r="O35" i="13" s="1"/>
  <c r="N36" i="13"/>
  <c r="O36" i="13" s="1"/>
  <c r="N37" i="13"/>
  <c r="O37" i="13" s="1"/>
  <c r="N38" i="13"/>
  <c r="O38" i="13" s="1"/>
  <c r="N39" i="13"/>
  <c r="O39" i="13" s="1"/>
  <c r="N19" i="13" l="1"/>
  <c r="O19" i="13" s="1"/>
  <c r="N4" i="13"/>
  <c r="O4" i="13" s="1"/>
  <c r="N5" i="13"/>
  <c r="O5" i="13" s="1"/>
  <c r="N6" i="13"/>
  <c r="O6" i="13" s="1"/>
  <c r="N7" i="13"/>
  <c r="O7" i="13" s="1"/>
  <c r="N8" i="13"/>
  <c r="O8" i="13" s="1"/>
  <c r="N9" i="13"/>
  <c r="O9" i="13" s="1"/>
  <c r="N10" i="13"/>
  <c r="O10" i="13" s="1"/>
  <c r="N11" i="13"/>
  <c r="O11" i="13" s="1"/>
  <c r="N12" i="13"/>
  <c r="O12" i="13" s="1"/>
  <c r="N13" i="13"/>
  <c r="O13" i="13" s="1"/>
  <c r="N14" i="13"/>
  <c r="O14" i="13" s="1"/>
  <c r="N15" i="13"/>
  <c r="O15" i="13" s="1"/>
  <c r="N16" i="13"/>
  <c r="O16" i="13" s="1"/>
  <c r="N17" i="13"/>
  <c r="O17" i="13" s="1"/>
  <c r="N18" i="13"/>
  <c r="O18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<sst xmlns="http://schemas.openxmlformats.org/spreadsheetml/2006/main" count="145" uniqueCount="56">
  <si>
    <t>DIA</t>
  </si>
  <si>
    <t>OBS.</t>
  </si>
  <si>
    <t>PRODUÇÃO</t>
  </si>
  <si>
    <t>T O T A L</t>
  </si>
  <si>
    <t>TOTAL</t>
  </si>
  <si>
    <t>Objetivo</t>
  </si>
  <si>
    <t>Ocorrências</t>
  </si>
  <si>
    <t>Diurno</t>
  </si>
  <si>
    <t>Inspetor:</t>
  </si>
  <si>
    <t>Data:</t>
  </si>
  <si>
    <t>Produção:</t>
  </si>
  <si>
    <t>Controle da Qualidade:</t>
  </si>
  <si>
    <t>ppm</t>
  </si>
  <si>
    <t>Montagem</t>
  </si>
  <si>
    <t>Sem Cap</t>
  </si>
  <si>
    <t>Outros</t>
  </si>
  <si>
    <t>L1D</t>
  </si>
  <si>
    <t>Qt</t>
  </si>
  <si>
    <t>Qt.</t>
  </si>
  <si>
    <t>Calculo</t>
  </si>
  <si>
    <t>maior</t>
  </si>
  <si>
    <t>corresp</t>
  </si>
  <si>
    <t>TURNO: Diurno</t>
  </si>
  <si>
    <t>Senhas: PANA.AAMM.CQ</t>
  </si>
  <si>
    <t>AA - Ano com 2 digitos</t>
  </si>
  <si>
    <t>MM - Mês com 2 dígitos</t>
  </si>
  <si>
    <t>Cap Amassado / Afundado</t>
  </si>
  <si>
    <t>Cap Rachado</t>
  </si>
  <si>
    <t>Sem Bottom Plate</t>
  </si>
  <si>
    <t>Bottom Plate Amassado</t>
  </si>
  <si>
    <t>Fundo sujo</t>
  </si>
  <si>
    <t>TUBO DE PVC (SLEEVE)</t>
  </si>
  <si>
    <t>PY Deslocado</t>
  </si>
  <si>
    <t>Sem PY</t>
  </si>
  <si>
    <t>Tubo de Zinco Trincado</t>
  </si>
  <si>
    <t>Pilha amassada</t>
  </si>
  <si>
    <t>Pilha deformada</t>
  </si>
  <si>
    <t>FALHAS DA  MONTAGEM  UM-4 ( ACABAMENTO )</t>
  </si>
  <si>
    <t>PVC Mal impresso</t>
  </si>
  <si>
    <t>PVC rasgado</t>
  </si>
  <si>
    <t>PVC deformado</t>
  </si>
  <si>
    <t>Pilha caida no prato</t>
  </si>
  <si>
    <t>Pilha Queimada</t>
  </si>
  <si>
    <t>Visto CQ</t>
  </si>
  <si>
    <t>Visto Supervisor</t>
  </si>
  <si>
    <t>Taxa</t>
  </si>
  <si>
    <t>Qtd</t>
  </si>
  <si>
    <t>Ac</t>
  </si>
  <si>
    <t>Ac%</t>
  </si>
  <si>
    <t>Problemas</t>
  </si>
  <si>
    <t>Mês/Ano</t>
  </si>
  <si>
    <t>2º TURNO</t>
  </si>
  <si>
    <t>3º TURNO</t>
  </si>
  <si>
    <t>TURNO:</t>
  </si>
  <si>
    <t>2T</t>
  </si>
  <si>
    <t>3T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</si>
</sst>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_)"/>
    <numFmt numFmtId="166" formatCode="d/m;@"/>
  </numFmts>
  <fonts count="17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0"/>
      <color indexed="8"/>
      <name val="Calibri"/>
      <family val="2"/>
    </font>
    <font>
      <sz val="22"/>
      <name val="Arial"/>
      <family val="2"/>
    </font>
    <font>
      <sz val="14"/>
      <name val="Arial"/>
      <family val="2"/>
    </font>
    <font>
      <sz val="10"/>
      <color theme="3" tint="0.39997558519241921"/>
      <name val="Arial"/>
      <family val="2"/>
    </font>
    <font>
      <sz val="10"/>
      <color theme="0"/>
      <name val="Arial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0" fontId="3" fillId="0" borderId="0"/>
    <xf numFmtId="10" fontId="5" fillId="0" borderId="0" applyFont="0" applyFill="0" applyBorder="0" applyAlignment="0" applyProtection="0"/>
    <xf numFmtId="0" fontId="6" fillId="0" borderId="0"/>
  </cellStyleXfs>
  <cellXfs count="142">
    <xf numFmtId="0" fontId="0" fillId="0" borderId="0" xfId="0"/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vertical="center"/>
    </xf>
    <xf numFmtId="3" fontId="0" fillId="0" borderId="3" xfId="0" applyNumberFormat="1" applyBorder="1"/>
    <xf numFmtId="0" fontId="0" fillId="0" borderId="4" xfId="0" applyBorder="1"/>
    <xf numFmtId="3" fontId="0" fillId="0" borderId="5" xfId="0" applyNumberFormat="1" applyBorder="1"/>
    <xf numFmtId="0" fontId="0" fillId="0" borderId="1" xfId="0" applyBorder="1"/>
    <xf numFmtId="164" fontId="9" fillId="0" borderId="6" xfId="0" applyNumberFormat="1" applyFont="1" applyBorder="1" applyAlignment="1">
      <alignment horizontal="left" vertical="top" shrinkToFit="1"/>
    </xf>
    <xf numFmtId="164" fontId="9" fillId="0" borderId="7" xfId="0" applyNumberFormat="1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164" fontId="9" fillId="0" borderId="8" xfId="0" applyNumberFormat="1" applyFont="1" applyBorder="1" applyAlignment="1">
      <alignment horizontal="left" vertical="top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14" fontId="9" fillId="0" borderId="10" xfId="0" quotePrefix="1" applyNumberFormat="1" applyFont="1" applyBorder="1" applyAlignment="1">
      <alignment horizontal="left"/>
    </xf>
    <xf numFmtId="14" fontId="9" fillId="0" borderId="10" xfId="0" applyNumberFormat="1" applyFont="1" applyBorder="1" applyAlignment="1">
      <alignment horizontal="left"/>
    </xf>
    <xf numFmtId="0" fontId="2" fillId="0" borderId="0" xfId="0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 wrapText="1"/>
    </xf>
    <xf numFmtId="1" fontId="10" fillId="0" borderId="12" xfId="0" applyNumberFormat="1" applyFont="1" applyBorder="1" applyAlignment="1">
      <alignment shrinkToFit="1"/>
    </xf>
    <xf numFmtId="164" fontId="9" fillId="0" borderId="6" xfId="0" applyNumberFormat="1" applyFont="1" applyBorder="1" applyAlignment="1">
      <alignment horizontal="left" vertical="top"/>
    </xf>
    <xf numFmtId="3" fontId="0" fillId="0" borderId="14" xfId="0" applyNumberFormat="1" applyBorder="1"/>
    <xf numFmtId="0" fontId="7" fillId="0" borderId="0" xfId="0" applyFont="1" applyAlignment="1">
      <alignment vertical="center"/>
    </xf>
    <xf numFmtId="0" fontId="0" fillId="0" borderId="16" xfId="0" applyBorder="1"/>
    <xf numFmtId="0" fontId="0" fillId="0" borderId="2" xfId="0" applyBorder="1" applyAlignment="1" applyProtection="1">
      <alignment shrinkToFit="1"/>
      <protection locked="0"/>
    </xf>
    <xf numFmtId="3" fontId="0" fillId="0" borderId="17" xfId="0" applyNumberFormat="1" applyBorder="1"/>
    <xf numFmtId="0" fontId="0" fillId="0" borderId="7" xfId="0" applyBorder="1"/>
    <xf numFmtId="0" fontId="0" fillId="0" borderId="6" xfId="0" applyBorder="1"/>
    <xf numFmtId="0" fontId="5" fillId="0" borderId="6" xfId="0" applyFont="1" applyBorder="1" applyAlignment="1">
      <alignment horizontal="center" vertical="center"/>
    </xf>
    <xf numFmtId="0" fontId="0" fillId="0" borderId="8" xfId="0" applyBorder="1"/>
    <xf numFmtId="0" fontId="0" fillId="0" borderId="1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0" xfId="0" applyFont="1" applyBorder="1"/>
    <xf numFmtId="0" fontId="2" fillId="0" borderId="11" xfId="0" applyFont="1" applyBorder="1"/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3" fontId="8" fillId="0" borderId="14" xfId="0" applyNumberFormat="1" applyFont="1" applyBorder="1"/>
    <xf numFmtId="0" fontId="11" fillId="0" borderId="21" xfId="0" applyFont="1" applyBorder="1" applyAlignment="1">
      <alignment horizontal="center"/>
    </xf>
    <xf numFmtId="0" fontId="11" fillId="0" borderId="15" xfId="0" applyFont="1" applyBorder="1"/>
    <xf numFmtId="0" fontId="11" fillId="0" borderId="16" xfId="0" applyFont="1" applyBorder="1"/>
    <xf numFmtId="0" fontId="11" fillId="0" borderId="17" xfId="0" applyFont="1" applyBorder="1"/>
    <xf numFmtId="0" fontId="11" fillId="0" borderId="12" xfId="0" applyFont="1" applyBorder="1"/>
    <xf numFmtId="0" fontId="9" fillId="0" borderId="18" xfId="0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 shrinkToFit="1"/>
    </xf>
    <xf numFmtId="3" fontId="0" fillId="0" borderId="15" xfId="0" applyNumberFormat="1" applyBorder="1"/>
    <xf numFmtId="3" fontId="0" fillId="0" borderId="16" xfId="0" applyNumberFormat="1" applyBorder="1"/>
    <xf numFmtId="3" fontId="0" fillId="0" borderId="0" xfId="0" applyNumberFormat="1"/>
    <xf numFmtId="1" fontId="0" fillId="0" borderId="0" xfId="0" applyNumberFormat="1"/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0" fontId="8" fillId="0" borderId="23" xfId="0" applyFont="1" applyBorder="1" applyAlignment="1">
      <alignment horizontal="center"/>
    </xf>
    <xf numFmtId="1" fontId="10" fillId="0" borderId="24" xfId="0" applyNumberFormat="1" applyFont="1" applyBorder="1" applyAlignment="1">
      <alignment horizontal="center" shrinkToFit="1"/>
    </xf>
    <xf numFmtId="1" fontId="10" fillId="0" borderId="25" xfId="0" applyNumberFormat="1" applyFont="1" applyBorder="1" applyAlignment="1">
      <alignment horizontal="center" shrinkToFit="1"/>
    </xf>
    <xf numFmtId="0" fontId="8" fillId="0" borderId="26" xfId="0" applyFont="1" applyBorder="1" applyAlignment="1">
      <alignment horizontal="center"/>
    </xf>
    <xf numFmtId="0" fontId="1" fillId="0" borderId="0" xfId="0" applyFont="1"/>
    <xf numFmtId="0" fontId="12" fillId="4" borderId="0" xfId="4" applyFont="1" applyFill="1"/>
    <xf numFmtId="0" fontId="3" fillId="4" borderId="0" xfId="4" applyFill="1"/>
    <xf numFmtId="0" fontId="13" fillId="4" borderId="0" xfId="4" applyFont="1" applyFill="1"/>
    <xf numFmtId="0" fontId="14" fillId="4" borderId="0" xfId="4" applyFont="1" applyFill="1"/>
    <xf numFmtId="0" fontId="0" fillId="0" borderId="2" xfId="0" applyBorder="1" applyAlignment="1" applyProtection="1">
      <alignment horizontal="center" vertical="center" shrinkToFit="1"/>
      <protection locked="0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3" fillId="0" borderId="23" xfId="0" applyFont="1" applyBorder="1" applyAlignment="1">
      <alignment horizontal="center"/>
    </xf>
    <xf numFmtId="0" fontId="15" fillId="0" borderId="0" xfId="0" applyFont="1"/>
    <xf numFmtId="0" fontId="11" fillId="0" borderId="27" xfId="0" applyFont="1" applyBorder="1"/>
    <xf numFmtId="0" fontId="11" fillId="0" borderId="28" xfId="0" applyFont="1" applyBorder="1" applyAlignment="1">
      <alignment horizontal="center"/>
    </xf>
    <xf numFmtId="3" fontId="3" fillId="0" borderId="13" xfId="0" applyNumberFormat="1" applyFont="1" applyBorder="1" applyAlignment="1" applyProtection="1">
      <alignment horizontal="center"/>
      <protection locked="0"/>
    </xf>
    <xf numFmtId="3" fontId="3" fillId="0" borderId="23" xfId="0" applyNumberFormat="1" applyFont="1" applyBorder="1" applyAlignment="1" applyProtection="1">
      <alignment horizontal="center"/>
      <protection locked="0"/>
    </xf>
    <xf numFmtId="3" fontId="3" fillId="0" borderId="30" xfId="0" applyNumberFormat="1" applyFont="1" applyBorder="1" applyAlignment="1" applyProtection="1">
      <alignment horizontal="center"/>
      <protection locked="0"/>
    </xf>
    <xf numFmtId="3" fontId="3" fillId="0" borderId="1" xfId="0" applyNumberFormat="1" applyFont="1" applyBorder="1" applyAlignment="1" applyProtection="1">
      <alignment horizontal="center"/>
      <protection locked="0"/>
    </xf>
    <xf numFmtId="3" fontId="3" fillId="0" borderId="31" xfId="0" applyNumberFormat="1" applyFont="1" applyBorder="1" applyAlignment="1" applyProtection="1">
      <alignment horizontal="center"/>
      <protection locked="0"/>
    </xf>
    <xf numFmtId="3" fontId="3" fillId="0" borderId="25" xfId="0" applyNumberFormat="1" applyFont="1" applyBorder="1" applyAlignment="1" applyProtection="1">
      <alignment horizontal="center"/>
      <protection locked="0"/>
    </xf>
    <xf numFmtId="3" fontId="3" fillId="0" borderId="2" xfId="0" applyNumberFormat="1" applyFont="1" applyBorder="1" applyAlignment="1" applyProtection="1">
      <alignment horizontal="center"/>
      <protection locked="0"/>
    </xf>
    <xf numFmtId="3" fontId="3" fillId="0" borderId="2" xfId="0" applyNumberFormat="1" applyFont="1" applyBorder="1" applyAlignment="1" applyProtection="1">
      <alignment horizontal="center" shrinkToFit="1"/>
      <protection locked="0"/>
    </xf>
    <xf numFmtId="3" fontId="3" fillId="0" borderId="32" xfId="0" applyNumberFormat="1" applyFont="1" applyBorder="1" applyAlignment="1" applyProtection="1">
      <alignment horizontal="center"/>
      <protection locked="0"/>
    </xf>
    <xf numFmtId="3" fontId="3" fillId="0" borderId="26" xfId="0" applyNumberFormat="1" applyFont="1" applyBorder="1" applyAlignment="1" applyProtection="1">
      <alignment horizontal="center"/>
      <protection locked="0"/>
    </xf>
    <xf numFmtId="3" fontId="3" fillId="0" borderId="33" xfId="0" applyNumberFormat="1" applyFont="1" applyBorder="1" applyAlignment="1" applyProtection="1">
      <alignment horizontal="center"/>
      <protection locked="0"/>
    </xf>
    <xf numFmtId="0" fontId="11" fillId="0" borderId="34" xfId="0" applyFont="1" applyBorder="1"/>
    <xf numFmtId="0" fontId="0" fillId="0" borderId="35" xfId="0" applyBorder="1"/>
    <xf numFmtId="0" fontId="11" fillId="0" borderId="29" xfId="0" applyFont="1" applyBorder="1"/>
    <xf numFmtId="0" fontId="11" fillId="0" borderId="36" xfId="0" applyFont="1" applyBorder="1"/>
    <xf numFmtId="0" fontId="11" fillId="0" borderId="42" xfId="0" applyFont="1" applyBorder="1"/>
    <xf numFmtId="3" fontId="0" fillId="0" borderId="43" xfId="0" applyNumberFormat="1" applyBorder="1"/>
    <xf numFmtId="164" fontId="9" fillId="0" borderId="18" xfId="0" applyNumberFormat="1" applyFont="1" applyBorder="1" applyAlignment="1">
      <alignment horizontal="left" vertical="top"/>
    </xf>
    <xf numFmtId="164" fontId="9" fillId="0" borderId="0" xfId="0" applyNumberFormat="1" applyFont="1" applyAlignment="1">
      <alignment horizontal="left" vertical="top"/>
    </xf>
    <xf numFmtId="0" fontId="9" fillId="0" borderId="0" xfId="0" applyFont="1" applyAlignment="1">
      <alignment horizontal="left" vertical="top"/>
    </xf>
    <xf numFmtId="164" fontId="9" fillId="0" borderId="4" xfId="0" applyNumberFormat="1" applyFont="1" applyBorder="1" applyAlignment="1">
      <alignment horizontal="left" vertical="top"/>
    </xf>
    <xf numFmtId="1" fontId="10" fillId="0" borderId="13" xfId="0" applyNumberFormat="1" applyFont="1" applyBorder="1" applyAlignment="1">
      <alignment horizontal="center" shrinkToFit="1"/>
    </xf>
    <xf numFmtId="1" fontId="10" fillId="0" borderId="15" xfId="0" applyNumberFormat="1" applyFont="1" applyBorder="1" applyAlignment="1">
      <alignment shrinkToFit="1"/>
    </xf>
    <xf numFmtId="1" fontId="10" fillId="0" borderId="2" xfId="0" applyNumberFormat="1" applyFont="1" applyBorder="1" applyAlignment="1">
      <alignment horizontal="center" shrinkToFit="1"/>
    </xf>
    <xf numFmtId="1" fontId="10" fillId="0" borderId="17" xfId="0" applyNumberFormat="1" applyFont="1" applyBorder="1" applyAlignment="1">
      <alignment shrinkToFit="1"/>
    </xf>
    <xf numFmtId="1" fontId="10" fillId="0" borderId="32" xfId="0" applyNumberFormat="1" applyFont="1" applyBorder="1" applyAlignment="1">
      <alignment horizontal="center" shrinkToFit="1"/>
    </xf>
    <xf numFmtId="1" fontId="10" fillId="0" borderId="41" xfId="0" applyNumberFormat="1" applyFont="1" applyBorder="1" applyAlignment="1">
      <alignment horizontal="center" shrinkToFit="1"/>
    </xf>
    <xf numFmtId="0" fontId="3" fillId="0" borderId="40" xfId="0" quotePrefix="1" applyFont="1" applyBorder="1" applyAlignment="1">
      <alignment vertical="center" wrapText="1"/>
    </xf>
    <xf numFmtId="0" fontId="0" fillId="0" borderId="27" xfId="0" applyBorder="1" applyAlignment="1">
      <alignment horizontal="center"/>
    </xf>
    <xf numFmtId="0" fontId="9" fillId="0" borderId="46" xfId="0" quotePrefix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166" fontId="1" fillId="0" borderId="13" xfId="0" applyNumberFormat="1" applyFont="1" applyBorder="1" applyAlignment="1" applyProtection="1">
      <alignment horizontal="center"/>
      <protection locked="0"/>
    </xf>
    <xf numFmtId="166" fontId="8" fillId="0" borderId="13" xfId="0" applyNumberFormat="1" applyFont="1" applyBorder="1" applyAlignment="1" applyProtection="1">
      <alignment horizontal="center"/>
      <protection locked="0"/>
    </xf>
    <xf numFmtId="166" fontId="0" fillId="0" borderId="13" xfId="0" applyNumberFormat="1" applyBorder="1" applyProtection="1">
      <protection locked="0"/>
    </xf>
    <xf numFmtId="166" fontId="0" fillId="0" borderId="23" xfId="0" applyNumberFormat="1" applyBorder="1" applyProtection="1">
      <protection locked="0"/>
    </xf>
    <xf numFmtId="166" fontId="8" fillId="0" borderId="1" xfId="0" applyNumberFormat="1" applyFont="1" applyBorder="1" applyAlignment="1">
      <alignment horizontal="center"/>
    </xf>
    <xf numFmtId="0" fontId="3" fillId="0" borderId="0" xfId="0" applyFont="1" applyAlignment="1">
      <alignment vertical="center"/>
    </xf>
    <xf numFmtId="0" fontId="9" fillId="0" borderId="44" xfId="0" quotePrefix="1" applyFont="1" applyBorder="1" applyAlignment="1">
      <alignment horizontal="center" vertical="center" wrapText="1"/>
    </xf>
    <xf numFmtId="0" fontId="9" fillId="0" borderId="45" xfId="0" quotePrefix="1" applyFont="1" applyBorder="1" applyAlignment="1">
      <alignment horizontal="center" vertical="center" wrapText="1"/>
    </xf>
    <xf numFmtId="0" fontId="0" fillId="0" borderId="6" xfId="0" applyBorder="1" applyAlignment="1">
      <alignment horizontal="left" vertical="center" textRotation="90" wrapText="1"/>
    </xf>
    <xf numFmtId="0" fontId="0" fillId="0" borderId="0" xfId="0" applyAlignment="1">
      <alignment horizontal="left" vertical="center" textRotation="90" wrapText="1"/>
    </xf>
    <xf numFmtId="0" fontId="0" fillId="0" borderId="10" xfId="0" applyBorder="1" applyAlignment="1">
      <alignment horizontal="left" vertical="center" textRotation="90" wrapText="1"/>
    </xf>
    <xf numFmtId="0" fontId="0" fillId="0" borderId="6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0" xfId="0" applyBorder="1" applyAlignment="1">
      <alignment horizontal="center" vertical="center" textRotation="90" wrapText="1"/>
    </xf>
    <xf numFmtId="0" fontId="1" fillId="0" borderId="19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7" xfId="0" applyFont="1" applyBorder="1" applyAlignment="1">
      <alignment horizontal="center" vertical="center" textRotation="90"/>
    </xf>
    <xf numFmtId="0" fontId="11" fillId="0" borderId="18" xfId="0" applyFont="1" applyBorder="1" applyAlignment="1">
      <alignment horizontal="center" vertical="center" textRotation="90"/>
    </xf>
    <xf numFmtId="0" fontId="11" fillId="0" borderId="9" xfId="0" applyFont="1" applyBorder="1" applyAlignment="1">
      <alignment horizontal="center" vertical="center" textRotation="90"/>
    </xf>
    <xf numFmtId="0" fontId="1" fillId="0" borderId="0" xfId="0" applyFont="1" applyAlignment="1">
      <alignment horizontal="left" vertical="center" textRotation="90"/>
    </xf>
    <xf numFmtId="0" fontId="8" fillId="0" borderId="0" xfId="0" applyFont="1" applyAlignment="1">
      <alignment horizontal="left" vertical="center" textRotation="90"/>
    </xf>
    <xf numFmtId="0" fontId="8" fillId="0" borderId="10" xfId="0" applyFont="1" applyBorder="1" applyAlignment="1">
      <alignment horizontal="left" vertical="center" textRotation="90"/>
    </xf>
    <xf numFmtId="0" fontId="11" fillId="0" borderId="37" xfId="0" applyFont="1" applyBorder="1" applyAlignment="1">
      <alignment horizontal="center" vertical="center" textRotation="90"/>
    </xf>
    <xf numFmtId="0" fontId="11" fillId="0" borderId="38" xfId="0" applyFont="1" applyBorder="1" applyAlignment="1">
      <alignment horizontal="center" vertical="center" textRotation="90"/>
    </xf>
    <xf numFmtId="0" fontId="11" fillId="0" borderId="39" xfId="0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7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4" xr:uid="{00000000-0005-0000-0000-000004000000}"/>
    <cellStyle name="Percent [2]" xfId="5" xr:uid="{00000000-0005-0000-0000-000005000000}"/>
    <cellStyle name="標準_品質検査" xfId="6" xr:uid="{00000000-0005-0000-0000-000006000000}"/>
  </cellStyles>
  <dxfs count="3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46660404862257E-2"/>
          <c:y val="2.4615384615384615E-2"/>
          <c:w val="0.94728617869319398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'Linha UM-4 - Dia'!$D$32:$AC$32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AB-4DD0-813D-DFDA3BD3B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72504"/>
        <c:axId val="496574072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Dia'!$D$37:$AC$37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B-4DD0-813D-DFDA3BD3B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568584"/>
        <c:axId val="496574856"/>
      </c:scatterChart>
      <c:catAx>
        <c:axId val="496572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spPr>
          <a:ln w="6350">
            <a:noFill/>
          </a:ln>
        </c:spPr>
        <c:crossAx val="496574072"/>
        <c:crosses val="autoZero"/>
        <c:auto val="1"/>
        <c:lblAlgn val="ctr"/>
        <c:lblOffset val="100"/>
        <c:noMultiLvlLbl val="0"/>
      </c:catAx>
      <c:valAx>
        <c:axId val="496574072"/>
        <c:scaling>
          <c:orientation val="minMax"/>
          <c:max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6572504"/>
        <c:crosses val="autoZero"/>
        <c:crossBetween val="between"/>
      </c:valAx>
      <c:valAx>
        <c:axId val="49657485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496568584"/>
        <c:crosses val="max"/>
        <c:crossBetween val="midCat"/>
      </c:valAx>
      <c:valAx>
        <c:axId val="49656858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49657485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UM-4 - Dia'!$D$32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UM-4 - Dia'!$D$2:$AC$2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CC1-47DB-8527-DD78423CD963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Dia'!$D$37:$AC$37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1-47DB-8527-DD78423C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03560"/>
        <c:axId val="493601600"/>
      </c:lineChart>
      <c:catAx>
        <c:axId val="4936035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493601600"/>
        <c:crosses val="autoZero"/>
        <c:auto val="1"/>
        <c:lblAlgn val="ctr"/>
        <c:lblOffset val="100"/>
        <c:tickMarkSkip val="1"/>
        <c:noMultiLvlLbl val="1"/>
      </c:catAx>
      <c:valAx>
        <c:axId val="493601600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3603560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46660404862257E-2"/>
          <c:y val="2.4615384615384615E-2"/>
          <c:w val="0.94728617869319398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'Linha UM-4 - 2T'!$D$32:$AC$32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9B-4F8F-A201-C112924E0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02776"/>
        <c:axId val="493603168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UM-4 - 2T'!$D$37:$AC$37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9B-4F8F-A201-C112924E0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600784"/>
        <c:axId val="496753224"/>
      </c:scatterChart>
      <c:catAx>
        <c:axId val="493602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spPr>
          <a:ln w="6350">
            <a:noFill/>
          </a:ln>
        </c:spPr>
        <c:crossAx val="493603168"/>
        <c:crosses val="autoZero"/>
        <c:auto val="1"/>
        <c:lblAlgn val="ctr"/>
        <c:lblOffset val="100"/>
        <c:noMultiLvlLbl val="0"/>
      </c:catAx>
      <c:valAx>
        <c:axId val="493603168"/>
        <c:scaling>
          <c:orientation val="minMax"/>
          <c:max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3602776"/>
        <c:crosses val="autoZero"/>
        <c:crossBetween val="between"/>
      </c:valAx>
      <c:valAx>
        <c:axId val="49675322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495600784"/>
        <c:crosses val="max"/>
        <c:crossBetween val="midCat"/>
      </c:valAx>
      <c:valAx>
        <c:axId val="49560078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496753224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UM-4 - 2T'!$D$32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UM-4 - 2T'!$D$2:$AC$2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79D-4503-818D-1B7D62A55B6D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UM-4 - 2T'!$D$37:$AC$37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D-4503-818D-1B7D62A55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598432"/>
        <c:axId val="495597648"/>
      </c:lineChart>
      <c:catAx>
        <c:axId val="4955984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495597648"/>
        <c:crosses val="autoZero"/>
        <c:auto val="1"/>
        <c:lblAlgn val="ctr"/>
        <c:lblOffset val="100"/>
        <c:tickMarkSkip val="1"/>
        <c:noMultiLvlLbl val="1"/>
      </c:catAx>
      <c:valAx>
        <c:axId val="495597648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5598432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46660404862257E-2"/>
          <c:y val="2.4615384615384615E-2"/>
          <c:w val="0.94728617869319398"/>
          <c:h val="0.93538461538461537"/>
        </c:manualLayout>
      </c:layout>
      <c:lineChart>
        <c:grouping val="standard"/>
        <c:varyColors val="0"/>
        <c:ser>
          <c:idx val="0"/>
          <c:order val="1"/>
          <c:tx>
            <c:v>Falhas</c:v>
          </c:tx>
          <c:spPr>
            <a:ln w="25400">
              <a:solidFill>
                <a:srgbClr val="000080"/>
              </a:solidFill>
            </a:ln>
          </c:spPr>
          <c:marker>
            <c:symbol val="none"/>
          </c:marker>
          <c:val>
            <c:numRef>
              <c:f>'Linha UM-4 - 3T'!$D$32:$AC$32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F-4DDA-9D8E-68792700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600000"/>
        <c:axId val="495598824"/>
      </c:lineChart>
      <c:scatterChart>
        <c:scatterStyle val="lineMarker"/>
        <c:varyColors val="0"/>
        <c:ser>
          <c:idx val="1"/>
          <c:order val="0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'Linha UM-4 - 3T'!$D$37:$AC$37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5F-4DDA-9D8E-68792700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600392"/>
        <c:axId val="495599216"/>
      </c:scatterChart>
      <c:catAx>
        <c:axId val="495600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majorTickMark val="none"/>
        <c:minorTickMark val="none"/>
        <c:tickLblPos val="none"/>
        <c:spPr>
          <a:ln w="6350">
            <a:noFill/>
          </a:ln>
        </c:spPr>
        <c:crossAx val="495598824"/>
        <c:crosses val="autoZero"/>
        <c:auto val="1"/>
        <c:lblAlgn val="ctr"/>
        <c:lblOffset val="100"/>
        <c:noMultiLvlLbl val="0"/>
      </c:catAx>
      <c:valAx>
        <c:axId val="495598824"/>
        <c:scaling>
          <c:orientation val="minMax"/>
          <c:max val="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5600000"/>
        <c:crosses val="autoZero"/>
        <c:crossBetween val="between"/>
      </c:valAx>
      <c:valAx>
        <c:axId val="495599216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495600392"/>
        <c:crosses val="max"/>
        <c:crossBetween val="midCat"/>
      </c:valAx>
      <c:valAx>
        <c:axId val="49560039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495599216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'Linha UM-4 - 3T'!$D$32</c:f>
              <c:strCache>
                <c:ptCount val="1"/>
                <c:pt idx="0">
                  <c:v> 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'Linha UM-4 - 3T'!$D$2:$AC$2</c:f>
              <c:numCache>
                <c:formatCode>d/m;@</c:formatCode>
                <c:ptCount val="26"/>
              </c:numCache>
            </c:num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810-4AC1-BE64-67D6F1236146}"/>
            </c:ext>
          </c:extLst>
        </c:ser>
        <c:ser>
          <c:idx val="1"/>
          <c:order val="1"/>
          <c:tx>
            <c:v>Objetivo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'Linha UM-4 - 3T'!$D$37:$AC$37</c:f>
              <c:numCache>
                <c:formatCode>0</c:formatCode>
                <c:ptCount val="26"/>
                <c:pt idx="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0-4AC1-BE64-67D6F1236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836640"/>
        <c:axId val="211833896"/>
      </c:lineChart>
      <c:catAx>
        <c:axId val="211836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numFmt formatCode="d/m;@" sourceLinked="1"/>
        <c:majorTickMark val="none"/>
        <c:minorTickMark val="none"/>
        <c:tickLblPos val="none"/>
        <c:spPr>
          <a:ln w="6350">
            <a:noFill/>
          </a:ln>
        </c:spPr>
        <c:crossAx val="211833896"/>
        <c:crosses val="autoZero"/>
        <c:auto val="1"/>
        <c:lblAlgn val="ctr"/>
        <c:lblOffset val="100"/>
        <c:tickMarkSkip val="1"/>
        <c:noMultiLvlLbl val="1"/>
      </c:catAx>
      <c:valAx>
        <c:axId val="211833896"/>
        <c:scaling>
          <c:orientation val="minMax"/>
          <c:max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11836640"/>
        <c:crosses val="autoZero"/>
        <c:crossBetween val="between"/>
        <c:majorUnit val="400"/>
        <c:minorUnit val="2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899999989" l="0.78740157499999996" r="0.78740157499999996" t="0.98425196899999989" header="0.4921259850000001" footer="0.492125985000000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Paretto de Falhas - Montagem UM-4</a:t>
            </a:r>
            <a:r>
              <a:rPr lang="pt-BR" baseline="0"/>
              <a:t> - Dia</a:t>
            </a:r>
            <a:endParaRPr lang="pt-BR"/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45511482254697E-2"/>
          <c:y val="0.12100840336134454"/>
          <c:w val="0.8789144050104383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grafico'!$J$4:$J$19</c:f>
              <c:strCache>
                <c:ptCount val="16"/>
                <c:pt idx="0">
                  <c:v>Outros</c:v>
                </c:pt>
                <c:pt idx="1">
                  <c:v>Pilha amassada</c:v>
                </c:pt>
                <c:pt idx="2">
                  <c:v>Tubo de Zinco Trincado</c:v>
                </c:pt>
                <c:pt idx="3">
                  <c:v>Fundo sujo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Sem PY</c:v>
                </c:pt>
                <c:pt idx="7">
                  <c:v>PY Deslocado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Outros</c:v>
                </c:pt>
                <c:pt idx="12">
                  <c:v>PVC deformado</c:v>
                </c:pt>
                <c:pt idx="13">
                  <c:v>PVC rasgado</c:v>
                </c:pt>
                <c:pt idx="14">
                  <c:v>PVC Mal impresso</c:v>
                </c:pt>
                <c:pt idx="15">
                  <c:v>Pilha deformada</c:v>
                </c:pt>
              </c:strCache>
            </c:strRef>
          </c:cat>
          <c:val>
            <c:numRef>
              <c:f>[0]!LinFalhasD_Y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5-465B-82E5-BFBAA3120547}"/>
            </c:ext>
          </c:extLst>
        </c:ser>
        <c:ser>
          <c:idx val="2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</c:spPr>
          <c:invertIfNegative val="0"/>
          <c:val>
            <c:numRef>
              <c:f>[0]!LinProbD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5-4CF1-A21D-9887AE326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211834288"/>
        <c:axId val="211834680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[0]!LinFalhasD_X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[0]!LinACD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5-465B-82E5-BFBAA312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835464"/>
        <c:axId val="211836248"/>
      </c:lineChart>
      <c:catAx>
        <c:axId val="2118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834680"/>
        <c:crosses val="autoZero"/>
        <c:auto val="1"/>
        <c:lblAlgn val="ctr"/>
        <c:lblOffset val="100"/>
        <c:noMultiLvlLbl val="0"/>
      </c:catAx>
      <c:valAx>
        <c:axId val="21183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333333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834288"/>
        <c:crosses val="autoZero"/>
        <c:crossBetween val="between"/>
      </c:valAx>
      <c:catAx>
        <c:axId val="211835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836248"/>
        <c:crosses val="autoZero"/>
        <c:auto val="1"/>
        <c:lblAlgn val="ctr"/>
        <c:lblOffset val="100"/>
        <c:noMultiLvlLbl val="0"/>
      </c:catAx>
      <c:valAx>
        <c:axId val="211836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835464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010766087473483"/>
          <c:y val="0.32000901318177832"/>
          <c:w val="0.11409840832210513"/>
          <c:h val="0.1073139466469711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Paretto de Falhas  - Montagem UM-4 - 2º TURNO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586638830897704E-2"/>
          <c:y val="0.12100840336134454"/>
          <c:w val="0.8768267223382045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grafico'!$J$25:$J$40</c:f>
              <c:strCache>
                <c:ptCount val="16"/>
                <c:pt idx="0">
                  <c:v>Outros</c:v>
                </c:pt>
                <c:pt idx="1">
                  <c:v>Pilha amassada</c:v>
                </c:pt>
                <c:pt idx="2">
                  <c:v>Tubo de Zinco Trincado</c:v>
                </c:pt>
                <c:pt idx="3">
                  <c:v>Fundo sujo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Sem PY</c:v>
                </c:pt>
                <c:pt idx="7">
                  <c:v>PY Deslocado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Outros</c:v>
                </c:pt>
                <c:pt idx="12">
                  <c:v>PVC deformado</c:v>
                </c:pt>
                <c:pt idx="13">
                  <c:v>PVC rasgado</c:v>
                </c:pt>
                <c:pt idx="14">
                  <c:v>PVC Mal impresso</c:v>
                </c:pt>
                <c:pt idx="15">
                  <c:v>Pilha deformada</c:v>
                </c:pt>
              </c:strCache>
            </c:strRef>
          </c:cat>
          <c:val>
            <c:numRef>
              <c:f>[0]!LinFalhas2T_Y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6C-455A-8946-A4920470467E}"/>
            </c:ext>
          </c:extLst>
        </c:ser>
        <c:ser>
          <c:idx val="2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</c:spPr>
          <c:invertIfNegative val="0"/>
          <c:val>
            <c:numRef>
              <c:f>[0]!LinProb2T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3-4E1F-913C-53124BEE2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592612872"/>
        <c:axId val="592609344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[0]!LinFalhas2T_X</c:f>
              <c:strCache>
                <c:ptCount val="1"/>
                <c:pt idx="0">
                  <c:v>Outros</c:v>
                </c:pt>
              </c:strCache>
            </c:strRef>
          </c:cat>
          <c:val>
            <c:numRef>
              <c:f>[0]!LinAC2T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6C-455A-8946-A4920470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12480"/>
        <c:axId val="592609736"/>
      </c:lineChart>
      <c:catAx>
        <c:axId val="592612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09344"/>
        <c:crosses val="autoZero"/>
        <c:auto val="1"/>
        <c:lblAlgn val="ctr"/>
        <c:lblOffset val="100"/>
        <c:noMultiLvlLbl val="0"/>
      </c:catAx>
      <c:valAx>
        <c:axId val="5926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12872"/>
        <c:crosses val="autoZero"/>
        <c:crossBetween val="between"/>
      </c:valAx>
      <c:catAx>
        <c:axId val="592612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2609736"/>
        <c:crosses val="autoZero"/>
        <c:auto val="1"/>
        <c:lblAlgn val="ctr"/>
        <c:lblOffset val="100"/>
        <c:noMultiLvlLbl val="0"/>
      </c:catAx>
      <c:valAx>
        <c:axId val="5926097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124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711386913943352"/>
          <c:y val="0.32061486563983965"/>
          <c:w val="9.4333667117678877E-2"/>
          <c:h val="0.13155160646672956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gradFill>
      <a:gsLst>
        <a:gs pos="0">
          <a:srgbClr val="002060"/>
        </a:gs>
        <a:gs pos="36000">
          <a:schemeClr val="accent5">
            <a:lumMod val="75000"/>
          </a:schemeClr>
        </a:gs>
        <a:gs pos="68000">
          <a:schemeClr val="accent5">
            <a:lumMod val="75000"/>
          </a:schemeClr>
        </a:gs>
        <a:gs pos="100000">
          <a:srgbClr val="002060"/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Paretto de Falhas  - Montagem UM-4 - 3º TURNO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586638830897704E-2"/>
          <c:y val="0.12100840336134454"/>
          <c:w val="0.87682672233820458"/>
          <c:h val="0.69243697478991595"/>
        </c:manualLayout>
      </c:layout>
      <c:barChart>
        <c:barDir val="col"/>
        <c:grouping val="clustered"/>
        <c:varyColors val="0"/>
        <c:ser>
          <c:idx val="0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5">
                    <a:lumMod val="40000"/>
                    <a:lumOff val="60000"/>
                  </a:schemeClr>
                </a:gs>
                <a:gs pos="100000">
                  <a:srgbClr val="002060"/>
                </a:gs>
              </a:gsLst>
              <a:lin ang="0" scaled="0"/>
            </a:gra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'Dados para grafico'!$J$25:$J$40</c:f>
              <c:strCache>
                <c:ptCount val="16"/>
                <c:pt idx="0">
                  <c:v>Outros</c:v>
                </c:pt>
                <c:pt idx="1">
                  <c:v>Pilha amassada</c:v>
                </c:pt>
                <c:pt idx="2">
                  <c:v>Tubo de Zinco Trincado</c:v>
                </c:pt>
                <c:pt idx="3">
                  <c:v>Fundo sujo</c:v>
                </c:pt>
                <c:pt idx="4">
                  <c:v>Bottom Plate Amassado</c:v>
                </c:pt>
                <c:pt idx="5">
                  <c:v>Sem Bottom Plate</c:v>
                </c:pt>
                <c:pt idx="6">
                  <c:v>Sem PY</c:v>
                </c:pt>
                <c:pt idx="7">
                  <c:v>PY Deslocado</c:v>
                </c:pt>
                <c:pt idx="8">
                  <c:v>Cap Rachado</c:v>
                </c:pt>
                <c:pt idx="9">
                  <c:v>Cap Amassado / Afundado</c:v>
                </c:pt>
                <c:pt idx="10">
                  <c:v>Sem Cap</c:v>
                </c:pt>
                <c:pt idx="11">
                  <c:v>Outros</c:v>
                </c:pt>
                <c:pt idx="12">
                  <c:v>PVC deformado</c:v>
                </c:pt>
                <c:pt idx="13">
                  <c:v>PVC rasgado</c:v>
                </c:pt>
                <c:pt idx="14">
                  <c:v>PVC Mal impresso</c:v>
                </c:pt>
                <c:pt idx="15">
                  <c:v>Pilha deformada</c:v>
                </c:pt>
              </c:strCache>
            </c:strRef>
          </c:cat>
          <c:val>
            <c:numRef>
              <c:f>[0]!LinFalhas3T_Y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7-447D-9DC8-819313687C7D}"/>
            </c:ext>
          </c:extLst>
        </c:ser>
        <c:ser>
          <c:idx val="2"/>
          <c:order val="1"/>
          <c:tx>
            <c:strRef>
              <c:f>'Dados para grafico'!$O$3</c:f>
              <c:strCache>
                <c:ptCount val="1"/>
                <c:pt idx="0">
                  <c:v>Problemas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0"/>
            </a:gradFill>
          </c:spPr>
          <c:invertIfNegative val="0"/>
          <c:val>
            <c:numRef>
              <c:f>[0]!LinProb3T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77-447D-9DC8-819313687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592610128"/>
        <c:axId val="592610520"/>
      </c:barChart>
      <c:lineChart>
        <c:grouping val="standard"/>
        <c:varyColors val="0"/>
        <c:ser>
          <c:idx val="1"/>
          <c:order val="2"/>
          <c:tx>
            <c:v>Acumulado</c:v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[0]!LinFalhas3T_X</c:f>
              <c:strCache>
                <c:ptCount val="1"/>
                <c:pt idx="0">
                  <c:v>Tubo de Zinco Trincado</c:v>
                </c:pt>
              </c:strCache>
            </c:strRef>
          </c:cat>
          <c:val>
            <c:numRef>
              <c:f>[0]!LinAC3T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77-447D-9DC8-819313687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610912"/>
        <c:axId val="592611304"/>
      </c:lineChart>
      <c:catAx>
        <c:axId val="592610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Tipos de Falhas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10520"/>
        <c:crosses val="autoZero"/>
        <c:auto val="1"/>
        <c:lblAlgn val="ctr"/>
        <c:lblOffset val="100"/>
        <c:noMultiLvlLbl val="0"/>
      </c:catAx>
      <c:valAx>
        <c:axId val="59261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Falhas (ppm)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10128"/>
        <c:crosses val="autoZero"/>
        <c:crossBetween val="between"/>
      </c:valAx>
      <c:catAx>
        <c:axId val="592610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2611304"/>
        <c:crosses val="autoZero"/>
        <c:auto val="1"/>
        <c:lblAlgn val="ctr"/>
        <c:lblOffset val="100"/>
        <c:noMultiLvlLbl val="0"/>
      </c:catAx>
      <c:valAx>
        <c:axId val="592611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59261091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2711386913943352"/>
          <c:y val="0.32061486563983965"/>
          <c:w val="9.4333667117678877E-2"/>
          <c:h val="0.13155160646672956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gradFill>
      <a:gsLst>
        <a:gs pos="0">
          <a:schemeClr val="tx1">
            <a:lumMod val="95000"/>
            <a:lumOff val="5000"/>
          </a:schemeClr>
        </a:gs>
        <a:gs pos="36000">
          <a:schemeClr val="bg2">
            <a:lumMod val="50000"/>
          </a:schemeClr>
        </a:gs>
        <a:gs pos="68000">
          <a:schemeClr val="bg2">
            <a:lumMod val="50000"/>
          </a:schemeClr>
        </a:gs>
        <a:gs pos="100000">
          <a:schemeClr val="bg2">
            <a:lumMod val="1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Gráf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4"/>
  <sheetViews>
    <sheetView zoomScale="11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5"/>
  <sheetViews>
    <sheetView zoomScale="111" workbookViewId="0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38100</xdr:rowOff>
    </xdr:from>
    <xdr:to>
      <xdr:col>14</xdr:col>
      <xdr:colOff>19050</xdr:colOff>
      <xdr:row>30</xdr:row>
      <xdr:rowOff>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9125" y="3867150"/>
          <a:ext cx="7934325" cy="237172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25400" cmpd="sng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PARA LIMPAR OS DADOS DAS PLANILHAS: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1 - SALVAR COMO: SALVAR COMO: </a:t>
          </a:r>
        </a:p>
        <a:p>
          <a:endParaRPr lang="pt-BR" sz="1600" b="1" i="0" u="none" strike="noStrike">
            <a:solidFill>
              <a:schemeClr val="accent6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600" b="1" i="0" u="none" strike="noStrike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DEFINIR NOME DE NOVO MÊS DE COLETA DE DADOS</a:t>
          </a:r>
          <a:r>
            <a:rPr lang="pt-BR" sz="1600" b="1">
              <a:solidFill>
                <a:schemeClr val="accent6">
                  <a:lumMod val="50000"/>
                </a:schemeClr>
              </a:solidFill>
            </a:rPr>
            <a:t> </a:t>
          </a:r>
        </a:p>
        <a:p>
          <a:endParaRPr lang="pt-BR" sz="1600" b="1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>
              <a:solidFill>
                <a:schemeClr val="accent6">
                  <a:lumMod val="50000"/>
                </a:schemeClr>
              </a:solidFill>
            </a:rPr>
            <a:t>2- Utilizar</a:t>
          </a:r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 a tecla de atalho CRTL+SHIFT+r para apagar os dados de todas planilhas.</a:t>
          </a:r>
        </a:p>
        <a:p>
          <a:endParaRPr lang="pt-BR" sz="1600" b="1" baseline="0">
            <a:solidFill>
              <a:schemeClr val="accent6">
                <a:lumMod val="50000"/>
              </a:schemeClr>
            </a:solidFill>
          </a:endParaRPr>
        </a:p>
        <a:p>
          <a:r>
            <a:rPr lang="pt-BR" sz="1600" b="1" baseline="0">
              <a:solidFill>
                <a:schemeClr val="accent6">
                  <a:lumMod val="50000"/>
                </a:schemeClr>
              </a:solidFill>
            </a:rPr>
            <a:t>3- Utilizar a tecla de atalho CTRL+u para desbloquear a planilha se necessário.</a:t>
          </a:r>
          <a:endParaRPr lang="pt-BR" sz="16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1</xdr:col>
      <xdr:colOff>28574</xdr:colOff>
      <xdr:row>3</xdr:row>
      <xdr:rowOff>123824</xdr:rowOff>
    </xdr:from>
    <xdr:ext cx="7896225" cy="278493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8174" y="790574"/>
          <a:ext cx="7896225" cy="278493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38100">
          <a:solidFill>
            <a:schemeClr val="accent2">
              <a:lumMod val="75000"/>
            </a:schemeClr>
          </a:solidFill>
        </a:ln>
        <a:effectLst>
          <a:outerShdw blurRad="101600" dist="2032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pt-BR" sz="1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TECLA DE ATALHO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CTRL+SHIFT+p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Protege todas as panilhas de lançamento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CTRL+u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Desprotege todas a planilhas de dados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2000"/>
            <a:t> </a:t>
          </a:r>
        </a:p>
        <a:p>
          <a:endParaRPr lang="pt-BR" sz="20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CTRL+r</a:t>
          </a:r>
          <a:r>
            <a:rPr lang="pt-BR" sz="2000"/>
            <a:t> </a:t>
          </a:r>
          <a:r>
            <a:rPr lang="pt-BR" sz="20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Apaga os dados de todas as planilhas</a:t>
          </a:r>
        </a:p>
        <a:p>
          <a:r>
            <a:rPr lang="pt-BR" sz="1600"/>
            <a:t> </a:t>
          </a:r>
          <a:r>
            <a:rPr lang="pt-BR" sz="1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pt-BR" sz="1600"/>
            <a:t> </a:t>
          </a:r>
        </a:p>
      </xdr:txBody>
    </xdr:sp>
    <xdr:clientData/>
  </xdr:oneCellAnchor>
  <xdr:twoCellAnchor>
    <xdr:from>
      <xdr:col>0</xdr:col>
      <xdr:colOff>600074</xdr:colOff>
      <xdr:row>1</xdr:row>
      <xdr:rowOff>0</xdr:rowOff>
    </xdr:from>
    <xdr:to>
      <xdr:col>13</xdr:col>
      <xdr:colOff>609599</xdr:colOff>
      <xdr:row>2</xdr:row>
      <xdr:rowOff>142875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00074" y="161925"/>
          <a:ext cx="7934325" cy="485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ap="rnd" cmpd="sng">
          <a:solidFill>
            <a:schemeClr val="accent6">
              <a:lumMod val="75000"/>
            </a:schemeClr>
          </a:solidFill>
          <a:round/>
        </a:ln>
        <a:effectLst>
          <a:outerShdw blurRad="76200" dist="1016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/>
            <a:t>INSTRUÇÕES DE UTILIZAÇÃO DOS GRÁFICOS DE FALHAS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049" name="Gráfico 3">
          <a:extLs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34</xdr:row>
      <xdr:rowOff>0</xdr:rowOff>
    </xdr:from>
    <xdr:to>
      <xdr:col>29</xdr:col>
      <xdr:colOff>123825</xdr:colOff>
      <xdr:row>34</xdr:row>
      <xdr:rowOff>0</xdr:rowOff>
    </xdr:to>
    <xdr:graphicFrame macro="">
      <xdr:nvGraphicFramePr>
        <xdr:cNvPr id="2051" name="Gráfico 4">
          <a:extLst>
            <a:ext uri="{FF2B5EF4-FFF2-40B4-BE49-F238E27FC236}">
              <a16:creationId xmlns:a16="http://schemas.microsoft.com/office/drawing/2014/main" id="{00000000-0008-0000-01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0</xdr:row>
          <xdr:rowOff>95250</xdr:rowOff>
        </xdr:from>
        <xdr:to>
          <xdr:col>23</xdr:col>
          <xdr:colOff>76200</xdr:colOff>
          <xdr:row>0</xdr:row>
          <xdr:rowOff>342900</xdr:rowOff>
        </xdr:to>
        <xdr:sp macro="" textlink="">
          <xdr:nvSpPr>
            <xdr:cNvPr id="3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0</xdr:row>
          <xdr:rowOff>123825</xdr:rowOff>
        </xdr:from>
        <xdr:to>
          <xdr:col>22</xdr:col>
          <xdr:colOff>409575</xdr:colOff>
          <xdr:row>0</xdr:row>
          <xdr:rowOff>333375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0</xdr:row>
          <xdr:rowOff>123825</xdr:rowOff>
        </xdr:from>
        <xdr:to>
          <xdr:col>23</xdr:col>
          <xdr:colOff>371475</xdr:colOff>
          <xdr:row>0</xdr:row>
          <xdr:rowOff>333375</xdr:rowOff>
        </xdr:to>
        <xdr:sp macro="" textlink="">
          <xdr:nvSpPr>
            <xdr:cNvPr id="4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UM-4 - Dia'!$D$37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170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3073" name="Gráfico 3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34</xdr:row>
      <xdr:rowOff>0</xdr:rowOff>
    </xdr:from>
    <xdr:to>
      <xdr:col>29</xdr:col>
      <xdr:colOff>123825</xdr:colOff>
      <xdr:row>34</xdr:row>
      <xdr:rowOff>0</xdr:rowOff>
    </xdr:to>
    <xdr:graphicFrame macro="">
      <xdr:nvGraphicFramePr>
        <xdr:cNvPr id="3075" name="Gráfico 4">
          <a:extLs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0</xdr:row>
          <xdr:rowOff>95250</xdr:rowOff>
        </xdr:from>
        <xdr:to>
          <xdr:col>23</xdr:col>
          <xdr:colOff>76200</xdr:colOff>
          <xdr:row>0</xdr:row>
          <xdr:rowOff>342900</xdr:rowOff>
        </xdr:to>
        <xdr:sp macro="" textlink="">
          <xdr:nvSpPr>
            <xdr:cNvPr id="2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0</xdr:row>
          <xdr:rowOff>123825</xdr:rowOff>
        </xdr:from>
        <xdr:to>
          <xdr:col>22</xdr:col>
          <xdr:colOff>409575</xdr:colOff>
          <xdr:row>0</xdr:row>
          <xdr:rowOff>333375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0</xdr:row>
          <xdr:rowOff>123825</xdr:rowOff>
        </xdr:from>
        <xdr:to>
          <xdr:col>23</xdr:col>
          <xdr:colOff>371475</xdr:colOff>
          <xdr:row>0</xdr:row>
          <xdr:rowOff>333375</xdr:rowOff>
        </xdr:to>
        <xdr:sp macro="" textlink="">
          <xdr:nvSpPr>
            <xdr:cNvPr id="4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UM-4 - 2T'!$D$37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170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4</xdr:row>
      <xdr:rowOff>9525</xdr:rowOff>
    </xdr:from>
    <xdr:to>
      <xdr:col>29</xdr:col>
      <xdr:colOff>133350</xdr:colOff>
      <xdr:row>12</xdr:row>
      <xdr:rowOff>57150</xdr:rowOff>
    </xdr:to>
    <xdr:graphicFrame macro="">
      <xdr:nvGraphicFramePr>
        <xdr:cNvPr id="2" name="Gráfico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381000</xdr:rowOff>
    </xdr:to>
    <xdr:sp macro="" textlink="">
      <xdr:nvSpPr>
        <xdr:cNvPr id="3" name="Texto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419100" y="0"/>
          <a:ext cx="1743075" cy="3810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2</xdr:col>
      <xdr:colOff>1333500</xdr:colOff>
      <xdr:row>34</xdr:row>
      <xdr:rowOff>0</xdr:rowOff>
    </xdr:from>
    <xdr:to>
      <xdr:col>29</xdr:col>
      <xdr:colOff>123825</xdr:colOff>
      <xdr:row>34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0</xdr:row>
          <xdr:rowOff>95250</xdr:rowOff>
        </xdr:from>
        <xdr:to>
          <xdr:col>23</xdr:col>
          <xdr:colOff>76200</xdr:colOff>
          <xdr:row>0</xdr:row>
          <xdr:rowOff>342900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66675</xdr:colOff>
          <xdr:row>0</xdr:row>
          <xdr:rowOff>123825</xdr:rowOff>
        </xdr:from>
        <xdr:to>
          <xdr:col>22</xdr:col>
          <xdr:colOff>409575</xdr:colOff>
          <xdr:row>0</xdr:row>
          <xdr:rowOff>333375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0</xdr:row>
          <xdr:rowOff>123825</xdr:rowOff>
        </xdr:from>
        <xdr:to>
          <xdr:col>23</xdr:col>
          <xdr:colOff>371475</xdr:colOff>
          <xdr:row>0</xdr:row>
          <xdr:rowOff>333375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3°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0.00501</cdr:x>
      <cdr:y>0.67629</cdr:y>
    </cdr:from>
    <cdr:to>
      <cdr:x>0.03926</cdr:x>
      <cdr:y>0.72577</cdr:y>
    </cdr:to>
    <cdr:sp macro="" textlink="">
      <cdr:nvSpPr>
        <cdr:cNvPr id="6" name="CaixaDeTexto 5"/>
        <cdr:cNvSpPr txBox="1"/>
      </cdr:nvSpPr>
      <cdr:spPr>
        <a:xfrm xmlns:a="http://schemas.openxmlformats.org/drawingml/2006/main">
          <a:off x="57150" y="3124200"/>
          <a:ext cx="3905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0.00422</cdr:x>
      <cdr:y>0.65075</cdr:y>
    </cdr:from>
    <cdr:to>
      <cdr:x>0.02281</cdr:x>
      <cdr:y>0.81781</cdr:y>
    </cdr:to>
    <cdr:sp macro="" textlink="'Linha UM-4 - 3T'!$D$37">
      <cdr:nvSpPr>
        <cdr:cNvPr id="7169" name="Text Box 1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0800" y="480451"/>
          <a:ext cx="209848" cy="1225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710E647-9314-4E65-A723-AC31FA8F36D3}" type="TxLink">
            <a:rPr lang="pt-BR" sz="800" b="0" i="0" u="none" strike="noStrike" baseline="0">
              <a:solidFill>
                <a:srgbClr val="FF0000"/>
              </a:solidFill>
              <a:latin typeface="Arial"/>
              <a:cs typeface="Arial"/>
            </a:rPr>
            <a:pPr algn="ctr" rtl="0">
              <a:defRPr sz="1000"/>
            </a:pPr>
            <a:t>170</a:t>
          </a:fld>
          <a:endParaRPr lang="pt-BR" sz="800" b="0" i="0" u="none" strike="noStrike" baseline="0">
            <a:solidFill>
              <a:srgbClr val="FF0000"/>
            </a:solidFill>
            <a:latin typeface="Arial"/>
            <a:cs typeface="Arial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29775" cy="59912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27973" cy="59810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27973" cy="59810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21">
          <cell r="Y21">
            <v>170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B2:S39"/>
  <sheetViews>
    <sheetView zoomScaleNormal="100" workbookViewId="0">
      <selection activeCell="C10" sqref="C10"/>
    </sheetView>
  </sheetViews>
  <sheetFormatPr defaultRowHeight="12.75"/>
  <cols>
    <col min="1" max="16384" width="9.140625" style="58"/>
  </cols>
  <sheetData>
    <row r="2" spans="2:19" ht="27"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</row>
    <row r="7" spans="2:19" ht="18">
      <c r="N7" s="59"/>
    </row>
    <row r="8" spans="2:19" ht="18">
      <c r="N8" s="59"/>
    </row>
    <row r="9" spans="2:19" ht="18">
      <c r="H9" s="59"/>
    </row>
    <row r="11" spans="2:19" ht="18">
      <c r="H11" s="59"/>
      <c r="I11" s="59"/>
      <c r="K11" s="59"/>
      <c r="M11" s="59"/>
      <c r="N11" s="59"/>
      <c r="O11" s="59"/>
      <c r="P11" s="59"/>
      <c r="Q11" s="59"/>
      <c r="R11" s="59"/>
      <c r="S11" s="59"/>
    </row>
    <row r="12" spans="2:19" ht="18"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</row>
    <row r="13" spans="2:19" ht="18">
      <c r="B13" s="59"/>
      <c r="C13" s="59"/>
      <c r="D13" s="59"/>
      <c r="E13" s="59"/>
      <c r="F13" s="59"/>
      <c r="G13" s="59"/>
      <c r="H13" s="59"/>
      <c r="I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2:19" ht="18"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2:19" ht="18"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2:19" ht="18"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</row>
    <row r="17" spans="2:14" ht="18"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</row>
    <row r="18" spans="2:14" ht="18"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</row>
    <row r="19" spans="2:14" ht="18"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</row>
    <row r="20" spans="2:14" ht="18"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</row>
    <row r="21" spans="2:14" ht="18"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</row>
    <row r="22" spans="2:14" ht="18"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</row>
    <row r="23" spans="2:14" ht="18"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</row>
    <row r="24" spans="2:14" ht="18"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</row>
    <row r="25" spans="2:14" ht="18"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</row>
    <row r="35" spans="2:6">
      <c r="B35" s="60"/>
      <c r="C35" s="60"/>
      <c r="D35" s="60"/>
      <c r="E35" s="60"/>
      <c r="F35" s="60"/>
    </row>
    <row r="36" spans="2:6">
      <c r="B36" s="60" t="s">
        <v>23</v>
      </c>
      <c r="C36" s="60"/>
      <c r="D36" s="60"/>
      <c r="E36" s="60"/>
      <c r="F36" s="60"/>
    </row>
    <row r="37" spans="2:6">
      <c r="B37" s="60"/>
      <c r="C37" s="60"/>
      <c r="D37" s="60"/>
      <c r="E37" s="60"/>
      <c r="F37" s="60"/>
    </row>
    <row r="38" spans="2:6">
      <c r="B38" s="60" t="s">
        <v>24</v>
      </c>
      <c r="C38" s="60"/>
      <c r="D38" s="60"/>
      <c r="E38" s="60"/>
      <c r="F38" s="60"/>
    </row>
    <row r="39" spans="2:6">
      <c r="B39" s="60" t="s">
        <v>25</v>
      </c>
      <c r="C39" s="60"/>
      <c r="D39" s="60"/>
      <c r="E39" s="60"/>
      <c r="F39" s="60"/>
    </row>
  </sheetData>
  <sheetProtection algorithmName="SHA-512" hashValue="HPRn7Zwy49l5U1c8I35iQ+CkAkfKXcGtBFTFzossJZDPVkDwkQ4tvJ4tcmkaj0F5FgUHQQAxUOt2niGXQOOUWg==" saltValue="7MMhRZwTDelulVbTjkOjUw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5">
    <tabColor indexed="13"/>
    <pageSetUpPr fitToPage="1"/>
  </sheetPr>
  <dimension ref="A1:AF40"/>
  <sheetViews>
    <sheetView showZeros="0" zoomScaleNormal="100" workbookViewId="0">
      <selection activeCell="D2" sqref="D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">
        <v>37</v>
      </c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107" t="s">
        <v>53</v>
      </c>
      <c r="V1" s="3"/>
      <c r="W1" s="3"/>
      <c r="Z1" s="96"/>
      <c r="AA1" s="96"/>
      <c r="AB1" s="108" t="s">
        <v>50</v>
      </c>
      <c r="AC1" s="109"/>
      <c r="AD1" s="98" t="str">
        <f ca="1">MID(CELL("nome.arquivo"),SEARCH(".xl",CELL("nome.arquivo"))-2,2)&amp;" / 20"&amp;MID(CELL("nome.arquivo"),SEARCH(".xl",CELL("nome.arquivo"))-4,2)</f>
        <v>03 / 2022</v>
      </c>
    </row>
    <row r="2" spans="1:32" ht="21" customHeight="1">
      <c r="A2" s="122" t="s">
        <v>0</v>
      </c>
      <c r="B2" s="123"/>
      <c r="C2" s="123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4"/>
      <c r="Y2" s="104"/>
      <c r="Z2" s="104"/>
      <c r="AA2" s="104"/>
      <c r="AB2" s="105"/>
      <c r="AC2" s="105"/>
      <c r="AD2" s="97" t="s">
        <v>4</v>
      </c>
    </row>
    <row r="3" spans="1:32" ht="21" customHeight="1">
      <c r="A3" s="124" t="s">
        <v>1</v>
      </c>
      <c r="B3" s="125"/>
      <c r="C3" s="1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26" t="s">
        <v>2</v>
      </c>
      <c r="B4" s="127"/>
      <c r="C4" s="12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61"/>
      <c r="Y4" s="61"/>
      <c r="Z4" s="61"/>
      <c r="AA4" s="61"/>
      <c r="AB4" s="61"/>
      <c r="AC4" s="25"/>
      <c r="AD4" s="26">
        <f>SUM(D4:AC4)</f>
        <v>0</v>
      </c>
      <c r="AF4" s="66"/>
    </row>
    <row r="5" spans="1:32" ht="30" customHeight="1">
      <c r="A5" s="27"/>
      <c r="B5" s="28"/>
      <c r="C5" s="29" t="s">
        <v>12</v>
      </c>
      <c r="D5" s="110">
        <f t="shared" ref="D5:N5" si="0">D40</f>
        <v>0</v>
      </c>
      <c r="E5" s="110">
        <f t="shared" si="0"/>
        <v>0</v>
      </c>
      <c r="F5" s="110">
        <f t="shared" si="0"/>
        <v>0</v>
      </c>
      <c r="G5" s="110">
        <f t="shared" si="0"/>
        <v>0</v>
      </c>
      <c r="H5" s="110">
        <f t="shared" si="0"/>
        <v>0</v>
      </c>
      <c r="I5" s="110">
        <f t="shared" si="0"/>
        <v>0</v>
      </c>
      <c r="J5" s="110">
        <f t="shared" si="0"/>
        <v>0</v>
      </c>
      <c r="K5" s="110">
        <f t="shared" si="0"/>
        <v>0</v>
      </c>
      <c r="L5" s="110">
        <f t="shared" si="0"/>
        <v>0</v>
      </c>
      <c r="M5" s="110">
        <f t="shared" si="0"/>
        <v>0</v>
      </c>
      <c r="N5" s="110">
        <f t="shared" si="0"/>
        <v>0</v>
      </c>
      <c r="O5" s="113">
        <f t="shared" ref="O5:T5" si="1">O40</f>
        <v>0</v>
      </c>
      <c r="P5" s="113">
        <f t="shared" si="1"/>
        <v>0</v>
      </c>
      <c r="Q5" s="113">
        <f t="shared" si="1"/>
        <v>0</v>
      </c>
      <c r="R5" s="113">
        <f t="shared" si="1"/>
        <v>0</v>
      </c>
      <c r="S5" s="113">
        <f t="shared" si="1"/>
        <v>0</v>
      </c>
      <c r="T5" s="113">
        <f t="shared" si="1"/>
        <v>0</v>
      </c>
      <c r="U5" s="113">
        <f>U40</f>
        <v>0</v>
      </c>
      <c r="V5" s="113"/>
      <c r="W5" s="113">
        <f>W40</f>
        <v>0</v>
      </c>
      <c r="X5" s="113">
        <f>X40</f>
        <v>0</v>
      </c>
      <c r="Y5" s="113">
        <f>Y40</f>
        <v>0</v>
      </c>
      <c r="Z5" s="113">
        <f>Z40</f>
        <v>0</v>
      </c>
      <c r="AA5" s="62"/>
      <c r="AB5" s="62"/>
      <c r="AC5" s="113">
        <f>AC40</f>
        <v>0</v>
      </c>
      <c r="AD5" s="30"/>
    </row>
    <row r="6" spans="1:32" ht="30" customHeight="1">
      <c r="A6" s="31"/>
      <c r="C6" s="131" t="s">
        <v>22</v>
      </c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63"/>
      <c r="AB6" s="63"/>
      <c r="AC6" s="114"/>
      <c r="AD6" s="5"/>
    </row>
    <row r="7" spans="1:32" ht="30" customHeight="1">
      <c r="A7" s="31"/>
      <c r="C7" s="132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63"/>
      <c r="AB7" s="63"/>
      <c r="AC7" s="114"/>
      <c r="AD7" s="5"/>
    </row>
    <row r="8" spans="1:32" ht="30" customHeight="1">
      <c r="A8" s="31"/>
      <c r="C8" s="132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63"/>
      <c r="AB8" s="63"/>
      <c r="AC8" s="114"/>
      <c r="AD8" s="5"/>
    </row>
    <row r="9" spans="1:32" ht="30" customHeight="1">
      <c r="A9" s="31"/>
      <c r="C9" s="132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63"/>
      <c r="AB9" s="63"/>
      <c r="AC9" s="114"/>
      <c r="AD9" s="5"/>
    </row>
    <row r="10" spans="1:32" ht="30" customHeight="1">
      <c r="A10" s="31"/>
      <c r="C10" s="132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63"/>
      <c r="AB10" s="63"/>
      <c r="AC10" s="114"/>
      <c r="AD10" s="5"/>
    </row>
    <row r="11" spans="1:32" ht="30" customHeight="1">
      <c r="A11" s="31"/>
      <c r="C11" s="132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63"/>
      <c r="AB11" s="63"/>
      <c r="AC11" s="114"/>
      <c r="AD11" s="5"/>
    </row>
    <row r="12" spans="1:32" ht="30" customHeight="1" thickBot="1">
      <c r="A12" s="32"/>
      <c r="B12" s="33"/>
      <c r="C12" s="133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64"/>
      <c r="AB12" s="64"/>
      <c r="AC12" s="115"/>
      <c r="AD12" s="34"/>
    </row>
    <row r="13" spans="1:32" ht="21" customHeight="1">
      <c r="A13" s="37">
        <v>1</v>
      </c>
      <c r="B13" s="128" t="s">
        <v>31</v>
      </c>
      <c r="C13" s="80" t="s">
        <v>36</v>
      </c>
      <c r="D13" s="77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">
        <f t="shared" ref="AD13:AD30" si="2">SUM(D13:AC13)</f>
        <v>0</v>
      </c>
    </row>
    <row r="14" spans="1:32" ht="21" customHeight="1">
      <c r="A14" s="38">
        <v>2</v>
      </c>
      <c r="B14" s="129"/>
      <c r="C14" s="81" t="s">
        <v>38</v>
      </c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6">
        <f t="shared" si="2"/>
        <v>0</v>
      </c>
    </row>
    <row r="15" spans="1:32" ht="21" customHeight="1">
      <c r="A15" s="38">
        <v>3</v>
      </c>
      <c r="B15" s="129"/>
      <c r="C15" s="82" t="s">
        <v>39</v>
      </c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6">
        <f t="shared" si="2"/>
        <v>0</v>
      </c>
    </row>
    <row r="16" spans="1:32" ht="21" customHeight="1">
      <c r="A16" s="38">
        <v>4</v>
      </c>
      <c r="B16" s="129"/>
      <c r="C16" s="82" t="s">
        <v>40</v>
      </c>
      <c r="D16" s="78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6">
        <f t="shared" si="2"/>
        <v>0</v>
      </c>
    </row>
    <row r="17" spans="1:30" ht="21" customHeight="1">
      <c r="A17" s="38">
        <v>5</v>
      </c>
      <c r="B17" s="129"/>
      <c r="C17" s="84" t="s">
        <v>41</v>
      </c>
      <c r="D17" s="78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6">
        <f t="shared" si="2"/>
        <v>0</v>
      </c>
    </row>
    <row r="18" spans="1:30" ht="21" customHeight="1">
      <c r="A18" s="38">
        <v>6</v>
      </c>
      <c r="B18" s="129"/>
      <c r="C18" s="84" t="s">
        <v>42</v>
      </c>
      <c r="D18" s="78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6">
        <f t="shared" si="2"/>
        <v>0</v>
      </c>
    </row>
    <row r="19" spans="1:30" ht="21" customHeight="1" thickBot="1">
      <c r="A19" s="38">
        <v>7</v>
      </c>
      <c r="B19" s="130"/>
      <c r="C19" s="83" t="s">
        <v>15</v>
      </c>
      <c r="D19" s="78"/>
      <c r="E19" s="70"/>
      <c r="F19" s="70"/>
      <c r="G19" s="70"/>
      <c r="H19" s="70"/>
      <c r="I19" s="70"/>
      <c r="J19" s="70"/>
      <c r="K19" s="70"/>
      <c r="L19" s="70"/>
      <c r="M19" s="71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6">
        <f t="shared" si="2"/>
        <v>0</v>
      </c>
    </row>
    <row r="20" spans="1:30" ht="21" customHeight="1">
      <c r="A20" s="38">
        <v>8</v>
      </c>
      <c r="B20" s="134" t="s">
        <v>13</v>
      </c>
      <c r="C20" s="41" t="s">
        <v>14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">
        <f t="shared" si="2"/>
        <v>0</v>
      </c>
    </row>
    <row r="21" spans="1:30" ht="21" customHeight="1">
      <c r="A21" s="38">
        <v>9</v>
      </c>
      <c r="B21" s="135"/>
      <c r="C21" s="42" t="s">
        <v>26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6">
        <f t="shared" si="2"/>
        <v>0</v>
      </c>
    </row>
    <row r="22" spans="1:30" ht="21" customHeight="1">
      <c r="A22" s="38">
        <v>10</v>
      </c>
      <c r="B22" s="135"/>
      <c r="C22" s="42" t="s">
        <v>27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6">
        <f t="shared" si="2"/>
        <v>0</v>
      </c>
    </row>
    <row r="23" spans="1:30" ht="21" customHeight="1">
      <c r="A23" s="38">
        <v>11</v>
      </c>
      <c r="B23" s="135"/>
      <c r="C23" s="42" t="s">
        <v>32</v>
      </c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6">
        <f t="shared" si="2"/>
        <v>0</v>
      </c>
    </row>
    <row r="24" spans="1:30" ht="21" customHeight="1">
      <c r="A24" s="38">
        <v>12</v>
      </c>
      <c r="B24" s="135"/>
      <c r="C24" s="42" t="s">
        <v>33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6">
        <f t="shared" si="2"/>
        <v>0</v>
      </c>
    </row>
    <row r="25" spans="1:30" ht="21" customHeight="1">
      <c r="A25" s="38">
        <v>13</v>
      </c>
      <c r="B25" s="135"/>
      <c r="C25" s="42" t="s">
        <v>28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6">
        <f t="shared" si="2"/>
        <v>0</v>
      </c>
    </row>
    <row r="26" spans="1:30" ht="21" customHeight="1">
      <c r="A26" s="38">
        <v>14</v>
      </c>
      <c r="B26" s="135"/>
      <c r="C26" s="67" t="s">
        <v>29</v>
      </c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3"/>
      <c r="O26" s="73"/>
      <c r="P26" s="73"/>
      <c r="Q26" s="73"/>
      <c r="R26" s="73"/>
      <c r="S26" s="73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6">
        <f t="shared" si="2"/>
        <v>0</v>
      </c>
    </row>
    <row r="27" spans="1:30" ht="21" customHeight="1">
      <c r="A27" s="38">
        <v>15</v>
      </c>
      <c r="B27" s="135"/>
      <c r="C27" s="42" t="s">
        <v>30</v>
      </c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4"/>
      <c r="O27" s="74"/>
      <c r="P27" s="74"/>
      <c r="Q27" s="74"/>
      <c r="R27" s="74"/>
      <c r="S27" s="74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6">
        <f t="shared" si="2"/>
        <v>0</v>
      </c>
    </row>
    <row r="28" spans="1:30" ht="21" customHeight="1">
      <c r="A28" s="38">
        <v>16</v>
      </c>
      <c r="B28" s="135"/>
      <c r="C28" s="42" t="s">
        <v>34</v>
      </c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4"/>
      <c r="O28" s="74"/>
      <c r="P28" s="74"/>
      <c r="Q28" s="74"/>
      <c r="R28" s="74"/>
      <c r="S28" s="74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6">
        <f t="shared" si="2"/>
        <v>0</v>
      </c>
    </row>
    <row r="29" spans="1:30" ht="21" customHeight="1">
      <c r="A29" s="38">
        <v>17</v>
      </c>
      <c r="B29" s="135"/>
      <c r="C29" s="42" t="s">
        <v>35</v>
      </c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6">
        <f t="shared" si="2"/>
        <v>0</v>
      </c>
    </row>
    <row r="30" spans="1:30" ht="21" customHeight="1" thickBot="1">
      <c r="A30" s="38">
        <v>18</v>
      </c>
      <c r="B30" s="136"/>
      <c r="C30" s="44" t="s">
        <v>15</v>
      </c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6"/>
      <c r="O30" s="76"/>
      <c r="P30" s="76"/>
      <c r="Q30" s="76"/>
      <c r="R30" s="76"/>
      <c r="S30" s="76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4">
        <f t="shared" si="2"/>
        <v>0</v>
      </c>
    </row>
    <row r="31" spans="1:30" ht="21" customHeight="1">
      <c r="A31" s="116" t="s">
        <v>3</v>
      </c>
      <c r="B31" s="117"/>
      <c r="C31" s="118"/>
      <c r="D31" s="55">
        <f t="shared" ref="D31:AC31" si="3">SUM(D13:D30)</f>
        <v>0</v>
      </c>
      <c r="E31" s="52">
        <f t="shared" si="3"/>
        <v>0</v>
      </c>
      <c r="F31" s="52">
        <f t="shared" si="3"/>
        <v>0</v>
      </c>
      <c r="G31" s="52">
        <f t="shared" si="3"/>
        <v>0</v>
      </c>
      <c r="H31" s="52">
        <f t="shared" si="3"/>
        <v>0</v>
      </c>
      <c r="I31" s="52">
        <f t="shared" si="3"/>
        <v>0</v>
      </c>
      <c r="J31" s="52">
        <f t="shared" si="3"/>
        <v>0</v>
      </c>
      <c r="K31" s="52">
        <f t="shared" si="3"/>
        <v>0</v>
      </c>
      <c r="L31" s="52">
        <f t="shared" si="3"/>
        <v>0</v>
      </c>
      <c r="M31" s="52">
        <f t="shared" si="3"/>
        <v>0</v>
      </c>
      <c r="N31" s="52">
        <f t="shared" si="3"/>
        <v>0</v>
      </c>
      <c r="O31" s="52">
        <f t="shared" si="3"/>
        <v>0</v>
      </c>
      <c r="P31" s="52">
        <f t="shared" si="3"/>
        <v>0</v>
      </c>
      <c r="Q31" s="52">
        <f t="shared" si="3"/>
        <v>0</v>
      </c>
      <c r="R31" s="52">
        <f t="shared" si="3"/>
        <v>0</v>
      </c>
      <c r="S31" s="52">
        <f t="shared" si="3"/>
        <v>0</v>
      </c>
      <c r="T31" s="52">
        <f t="shared" si="3"/>
        <v>0</v>
      </c>
      <c r="U31" s="52">
        <f t="shared" si="3"/>
        <v>0</v>
      </c>
      <c r="V31" s="52">
        <f t="shared" si="3"/>
        <v>0</v>
      </c>
      <c r="W31" s="52">
        <f t="shared" si="3"/>
        <v>0</v>
      </c>
      <c r="X31" s="65">
        <f t="shared" si="3"/>
        <v>0</v>
      </c>
      <c r="Y31" s="52">
        <f t="shared" si="3"/>
        <v>0</v>
      </c>
      <c r="Z31" s="52">
        <f t="shared" si="3"/>
        <v>0</v>
      </c>
      <c r="AA31" s="52">
        <f t="shared" si="3"/>
        <v>0</v>
      </c>
      <c r="AB31" s="52">
        <f t="shared" si="3"/>
        <v>0</v>
      </c>
      <c r="AC31" s="52">
        <f t="shared" si="3"/>
        <v>0</v>
      </c>
      <c r="AD31" s="39">
        <f>SUM(D31:AC31)</f>
        <v>0</v>
      </c>
    </row>
    <row r="32" spans="1:30" ht="21" customHeight="1" thickBot="1">
      <c r="A32" s="119" t="s">
        <v>12</v>
      </c>
      <c r="B32" s="120"/>
      <c r="C32" s="121"/>
      <c r="D32" s="53" t="str">
        <f t="shared" ref="D32:AC32" si="4">IF(D4&gt;0,D31/D4*1000000," ")</f>
        <v xml:space="preserve"> </v>
      </c>
      <c r="E32" s="54" t="str">
        <f t="shared" si="4"/>
        <v xml:space="preserve"> </v>
      </c>
      <c r="F32" s="54" t="str">
        <f t="shared" si="4"/>
        <v xml:space="preserve"> </v>
      </c>
      <c r="G32" s="54" t="str">
        <f t="shared" si="4"/>
        <v xml:space="preserve"> </v>
      </c>
      <c r="H32" s="54" t="str">
        <f t="shared" si="4"/>
        <v xml:space="preserve"> </v>
      </c>
      <c r="I32" s="54" t="str">
        <f t="shared" si="4"/>
        <v xml:space="preserve"> </v>
      </c>
      <c r="J32" s="54" t="str">
        <f t="shared" si="4"/>
        <v xml:space="preserve"> </v>
      </c>
      <c r="K32" s="54" t="str">
        <f t="shared" si="4"/>
        <v xml:space="preserve"> </v>
      </c>
      <c r="L32" s="54" t="str">
        <f t="shared" si="4"/>
        <v xml:space="preserve"> </v>
      </c>
      <c r="M32" s="54" t="str">
        <f t="shared" si="4"/>
        <v xml:space="preserve"> </v>
      </c>
      <c r="N32" s="54" t="str">
        <f t="shared" si="4"/>
        <v xml:space="preserve"> </v>
      </c>
      <c r="O32" s="54" t="str">
        <f t="shared" si="4"/>
        <v xml:space="preserve"> </v>
      </c>
      <c r="P32" s="54" t="str">
        <f t="shared" si="4"/>
        <v xml:space="preserve"> </v>
      </c>
      <c r="Q32" s="54" t="str">
        <f t="shared" si="4"/>
        <v xml:space="preserve"> </v>
      </c>
      <c r="R32" s="54" t="str">
        <f t="shared" si="4"/>
        <v xml:space="preserve"> </v>
      </c>
      <c r="S32" s="54" t="str">
        <f t="shared" si="4"/>
        <v xml:space="preserve"> </v>
      </c>
      <c r="T32" s="54" t="str">
        <f t="shared" si="4"/>
        <v xml:space="preserve"> </v>
      </c>
      <c r="U32" s="54" t="str">
        <f t="shared" si="4"/>
        <v xml:space="preserve"> </v>
      </c>
      <c r="V32" s="54" t="str">
        <f t="shared" si="4"/>
        <v xml:space="preserve"> </v>
      </c>
      <c r="W32" s="54" t="str">
        <f t="shared" si="4"/>
        <v xml:space="preserve"> </v>
      </c>
      <c r="X32" s="54" t="str">
        <f t="shared" si="4"/>
        <v xml:space="preserve"> </v>
      </c>
      <c r="Y32" s="54" t="str">
        <f t="shared" si="4"/>
        <v xml:space="preserve"> </v>
      </c>
      <c r="Z32" s="54" t="str">
        <f t="shared" si="4"/>
        <v xml:space="preserve"> </v>
      </c>
      <c r="AA32" s="54" t="str">
        <f t="shared" si="4"/>
        <v xml:space="preserve"> </v>
      </c>
      <c r="AB32" s="54" t="str">
        <f t="shared" si="4"/>
        <v xml:space="preserve"> </v>
      </c>
      <c r="AC32" s="54" t="str">
        <f t="shared" si="4"/>
        <v xml:space="preserve"> </v>
      </c>
      <c r="AD32" s="20" t="str">
        <f>IF(AD4&gt;0,AD31/AD4*1000000," ")</f>
        <v xml:space="preserve"> </v>
      </c>
    </row>
    <row r="33" spans="1:30" ht="21" customHeight="1">
      <c r="A33" s="116" t="s">
        <v>44</v>
      </c>
      <c r="B33" s="117"/>
      <c r="C33" s="118"/>
      <c r="D33" s="94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1"/>
    </row>
    <row r="34" spans="1:30" ht="21" customHeight="1" thickBot="1">
      <c r="A34" s="119" t="s">
        <v>43</v>
      </c>
      <c r="B34" s="120"/>
      <c r="C34" s="121"/>
      <c r="D34" s="95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3"/>
    </row>
    <row r="35" spans="1:30" ht="21" customHeight="1">
      <c r="A35" s="45" t="s">
        <v>8</v>
      </c>
      <c r="B35" s="46"/>
      <c r="C35" s="46"/>
      <c r="D35" s="8"/>
      <c r="E35" s="8"/>
      <c r="F35" s="8"/>
      <c r="G35" s="8"/>
      <c r="H35" s="28"/>
      <c r="I35" s="28"/>
      <c r="J35" s="30"/>
      <c r="K35" s="9" t="s">
        <v>10</v>
      </c>
      <c r="L35" s="8"/>
      <c r="M35" s="8"/>
      <c r="N35" s="8"/>
      <c r="O35" s="8"/>
      <c r="P35" s="8"/>
      <c r="Q35" s="8"/>
      <c r="R35" s="8"/>
      <c r="S35" s="8"/>
      <c r="T35" s="8"/>
      <c r="U35" s="9" t="s">
        <v>11</v>
      </c>
      <c r="V35" s="21"/>
      <c r="W35" s="8"/>
      <c r="X35" s="8"/>
      <c r="Y35" s="8"/>
      <c r="Z35" s="8"/>
      <c r="AA35" s="8"/>
      <c r="AB35" s="8"/>
      <c r="AC35" s="10"/>
      <c r="AD35" s="11"/>
    </row>
    <row r="36" spans="1:30" s="17" customFormat="1" ht="21" customHeight="1" thickBot="1">
      <c r="A36" s="12" t="s">
        <v>9</v>
      </c>
      <c r="B36" s="13"/>
      <c r="C36" s="13"/>
      <c r="D36" s="13"/>
      <c r="E36" s="13"/>
      <c r="F36" s="13"/>
      <c r="G36" s="13"/>
      <c r="H36" s="35"/>
      <c r="I36" s="35"/>
      <c r="J36" s="36"/>
      <c r="K36" s="12" t="s">
        <v>9</v>
      </c>
      <c r="L36" s="13"/>
      <c r="M36" s="13"/>
      <c r="N36" s="13"/>
      <c r="O36" s="13"/>
      <c r="P36" s="13"/>
      <c r="Q36" s="13"/>
      <c r="R36" s="13"/>
      <c r="S36" s="13"/>
      <c r="T36" s="13"/>
      <c r="U36" s="12" t="s">
        <v>9</v>
      </c>
      <c r="V36" s="13"/>
      <c r="W36" s="13"/>
      <c r="X36" s="13"/>
      <c r="Y36" s="15"/>
      <c r="Z36" s="16"/>
      <c r="AA36" s="16"/>
      <c r="AB36" s="16"/>
      <c r="AC36" s="15"/>
      <c r="AD36" s="14"/>
    </row>
    <row r="37" spans="1:30">
      <c r="C37" t="s">
        <v>5</v>
      </c>
      <c r="D37" s="18">
        <f>'[1]SJCPIL 16-006-08'!$Y$21</f>
        <v>170</v>
      </c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9" spans="1:30">
      <c r="C39" s="7" t="s">
        <v>6</v>
      </c>
      <c r="D39" s="106">
        <f>D2</f>
        <v>0</v>
      </c>
      <c r="E39" s="106">
        <f>E2</f>
        <v>0</v>
      </c>
      <c r="F39" s="106">
        <f t="shared" ref="F39:N39" si="5">F2</f>
        <v>0</v>
      </c>
      <c r="G39" s="106">
        <f t="shared" si="5"/>
        <v>0</v>
      </c>
      <c r="H39" s="106">
        <f t="shared" si="5"/>
        <v>0</v>
      </c>
      <c r="I39" s="106">
        <f t="shared" si="5"/>
        <v>0</v>
      </c>
      <c r="J39" s="106">
        <f t="shared" si="5"/>
        <v>0</v>
      </c>
      <c r="K39" s="106">
        <f t="shared" si="5"/>
        <v>0</v>
      </c>
      <c r="L39" s="106">
        <f t="shared" si="5"/>
        <v>0</v>
      </c>
      <c r="M39" s="106">
        <f t="shared" si="5"/>
        <v>0</v>
      </c>
      <c r="N39" s="106">
        <f t="shared" si="5"/>
        <v>0</v>
      </c>
      <c r="O39" s="106">
        <f t="shared" ref="O39:AC39" si="6">O2</f>
        <v>0</v>
      </c>
      <c r="P39" s="106">
        <f t="shared" si="6"/>
        <v>0</v>
      </c>
      <c r="Q39" s="106">
        <f t="shared" si="6"/>
        <v>0</v>
      </c>
      <c r="R39" s="106">
        <f t="shared" si="6"/>
        <v>0</v>
      </c>
      <c r="S39" s="106">
        <f t="shared" si="6"/>
        <v>0</v>
      </c>
      <c r="T39" s="106">
        <f t="shared" si="6"/>
        <v>0</v>
      </c>
      <c r="U39" s="106">
        <f t="shared" si="6"/>
        <v>0</v>
      </c>
      <c r="V39" s="106">
        <f t="shared" si="6"/>
        <v>0</v>
      </c>
      <c r="W39" s="106">
        <f t="shared" si="6"/>
        <v>0</v>
      </c>
      <c r="X39" s="106">
        <f t="shared" si="6"/>
        <v>0</v>
      </c>
      <c r="Y39" s="106">
        <f t="shared" si="6"/>
        <v>0</v>
      </c>
      <c r="Z39" s="106">
        <f t="shared" si="6"/>
        <v>0</v>
      </c>
      <c r="AA39" s="106">
        <f t="shared" si="6"/>
        <v>0</v>
      </c>
      <c r="AB39" s="106">
        <f t="shared" si="6"/>
        <v>0</v>
      </c>
      <c r="AC39" s="106">
        <f t="shared" si="6"/>
        <v>0</v>
      </c>
    </row>
    <row r="40" spans="1:30" ht="170.1" customHeight="1">
      <c r="C40" s="19" t="s">
        <v>7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</row>
  </sheetData>
  <sheetProtection algorithmName="SHA-512" hashValue="5t6Id4K3Fvgz9pbkZ3DYnZ2f8LXherrTb2neBj+jS21BIA5NVQzd+qoyqjlFN8v9zpPSr7DTbXWwmdUSRy+hWQ==" saltValue="NJupgtd0g5eZbSK/zPuUng==" spinCount="100000" sheet="1" objects="1" scenarios="1" selectLockedCells="1"/>
  <mergeCells count="35">
    <mergeCell ref="P5:P12"/>
    <mergeCell ref="A33:C33"/>
    <mergeCell ref="A34:C34"/>
    <mergeCell ref="A32:C32"/>
    <mergeCell ref="A2:C2"/>
    <mergeCell ref="A3:C3"/>
    <mergeCell ref="A4:C4"/>
    <mergeCell ref="B13:B19"/>
    <mergeCell ref="A31:C31"/>
    <mergeCell ref="C6:C12"/>
    <mergeCell ref="B20:B30"/>
    <mergeCell ref="T5:T12"/>
    <mergeCell ref="AC5:AC12"/>
    <mergeCell ref="X5:X12"/>
    <mergeCell ref="U5:U12"/>
    <mergeCell ref="W5:W12"/>
    <mergeCell ref="Y5:Y12"/>
    <mergeCell ref="Z5:Z12"/>
    <mergeCell ref="V5:V12"/>
    <mergeCell ref="AB1:AC1"/>
    <mergeCell ref="D5:D12"/>
    <mergeCell ref="E5:E12"/>
    <mergeCell ref="F5:F12"/>
    <mergeCell ref="K5:K12"/>
    <mergeCell ref="L5:L12"/>
    <mergeCell ref="G5:G12"/>
    <mergeCell ref="H5:H12"/>
    <mergeCell ref="I5:I12"/>
    <mergeCell ref="J5:J12"/>
    <mergeCell ref="S5:S12"/>
    <mergeCell ref="Q5:Q12"/>
    <mergeCell ref="R5:R12"/>
    <mergeCell ref="M5:M12"/>
    <mergeCell ref="N5:N12"/>
    <mergeCell ref="O5:O12"/>
  </mergeCells>
  <phoneticPr fontId="0" type="noConversion"/>
  <conditionalFormatting sqref="AD31">
    <cfRule type="cellIs" dxfId="2" priority="4" stopIfTrue="1" operator="notEqual">
      <formula>SUM($D$13:$AC$30)</formula>
    </cfRule>
  </conditionalFormatting>
  <dataValidations count="1">
    <dataValidation type="date" allowBlank="1" showInputMessage="1" showErrorMessage="1" promptTitle="Data:" prompt="Favor digitar uma data válida pelo menos da/mês." sqref="D2:AC2" xr:uid="{00000000-0002-0000-01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0" orientation="landscape" r:id="rId1"/>
  <headerFooter alignWithMargins="0">
    <oddFooter>&amp;RSJCPIL-R 16-422-02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4" name="Check Box 1">
              <controlPr defaultSize="0" autoFill="0" autoLine="0" autoPict="0">
                <anchor moveWithCells="1">
                  <from>
                    <xdr:col>21</xdr:col>
                    <xdr:colOff>95250</xdr:colOff>
                    <xdr:row>0</xdr:row>
                    <xdr:rowOff>95250</xdr:rowOff>
                  </from>
                  <to>
                    <xdr:col>23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22</xdr:col>
                    <xdr:colOff>66675</xdr:colOff>
                    <xdr:row>0</xdr:row>
                    <xdr:rowOff>123825</xdr:rowOff>
                  </from>
                  <to>
                    <xdr:col>22</xdr:col>
                    <xdr:colOff>409575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Check Box 3">
              <controlPr defaultSize="0" autoFill="0" autoLine="0" autoPict="0">
                <anchor moveWithCells="1">
                  <from>
                    <xdr:col>23</xdr:col>
                    <xdr:colOff>19050</xdr:colOff>
                    <xdr:row>0</xdr:row>
                    <xdr:rowOff>123825</xdr:rowOff>
                  </from>
                  <to>
                    <xdr:col>23</xdr:col>
                    <xdr:colOff>371475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6">
    <tabColor indexed="13"/>
    <pageSetUpPr fitToPage="1"/>
  </sheetPr>
  <dimension ref="A1:AF40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">
        <v>37</v>
      </c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107" t="s">
        <v>53</v>
      </c>
      <c r="V1" s="3"/>
      <c r="W1" s="3"/>
      <c r="Z1" s="96"/>
      <c r="AA1" s="96"/>
      <c r="AB1" s="108" t="s">
        <v>50</v>
      </c>
      <c r="AC1" s="109"/>
      <c r="AD1" s="98" t="str">
        <f ca="1">'Linha UM-4 - Dia'!AD1</f>
        <v>03 / 2022</v>
      </c>
    </row>
    <row r="2" spans="1:32" ht="21" customHeight="1">
      <c r="A2" s="122" t="s">
        <v>0</v>
      </c>
      <c r="B2" s="123"/>
      <c r="C2" s="123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4"/>
      <c r="Y2" s="104"/>
      <c r="Z2" s="104"/>
      <c r="AA2" s="104"/>
      <c r="AB2" s="105"/>
      <c r="AC2" s="105"/>
      <c r="AD2" s="97" t="s">
        <v>4</v>
      </c>
    </row>
    <row r="3" spans="1:32" ht="21" customHeight="1">
      <c r="A3" s="124" t="s">
        <v>1</v>
      </c>
      <c r="B3" s="125"/>
      <c r="C3" s="1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26" t="s">
        <v>2</v>
      </c>
      <c r="B4" s="127"/>
      <c r="C4" s="12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61"/>
      <c r="Y4" s="61"/>
      <c r="Z4" s="61"/>
      <c r="AA4" s="61"/>
      <c r="AB4" s="61"/>
      <c r="AC4" s="25"/>
      <c r="AD4" s="26">
        <f>SUM(D4:AC4)</f>
        <v>0</v>
      </c>
      <c r="AF4" s="66"/>
    </row>
    <row r="5" spans="1:32" ht="30" customHeight="1">
      <c r="A5" s="27"/>
      <c r="B5" s="28"/>
      <c r="C5" s="29" t="s">
        <v>12</v>
      </c>
      <c r="D5" s="110">
        <f>D40</f>
        <v>0</v>
      </c>
      <c r="E5" s="110">
        <f t="shared" ref="E5:AC5" si="0">E40</f>
        <v>0</v>
      </c>
      <c r="F5" s="110">
        <f>F40</f>
        <v>0</v>
      </c>
      <c r="G5" s="110">
        <f t="shared" si="0"/>
        <v>0</v>
      </c>
      <c r="H5" s="110">
        <f t="shared" ref="H5" si="1">H40</f>
        <v>0</v>
      </c>
      <c r="I5" s="110">
        <f>I40</f>
        <v>0</v>
      </c>
      <c r="J5" s="110">
        <f t="shared" si="0"/>
        <v>0</v>
      </c>
      <c r="K5" s="110">
        <f t="shared" si="0"/>
        <v>0</v>
      </c>
      <c r="L5" s="110">
        <f t="shared" si="0"/>
        <v>0</v>
      </c>
      <c r="M5" s="110">
        <f>M40</f>
        <v>0</v>
      </c>
      <c r="N5" s="110">
        <f>N40</f>
        <v>0</v>
      </c>
      <c r="O5" s="113">
        <f t="shared" ref="O5:T5" si="2">O40</f>
        <v>0</v>
      </c>
      <c r="P5" s="113">
        <f t="shared" si="2"/>
        <v>0</v>
      </c>
      <c r="Q5" s="113">
        <f t="shared" si="2"/>
        <v>0</v>
      </c>
      <c r="R5" s="113">
        <f t="shared" si="2"/>
        <v>0</v>
      </c>
      <c r="S5" s="113">
        <f t="shared" si="2"/>
        <v>0</v>
      </c>
      <c r="T5" s="113">
        <f t="shared" si="2"/>
        <v>0</v>
      </c>
      <c r="U5" s="113">
        <f t="shared" si="0"/>
        <v>0</v>
      </c>
      <c r="V5" s="113"/>
      <c r="W5" s="113">
        <f t="shared" si="0"/>
        <v>0</v>
      </c>
      <c r="X5" s="113">
        <f t="shared" si="0"/>
        <v>0</v>
      </c>
      <c r="Y5" s="113">
        <f t="shared" si="0"/>
        <v>0</v>
      </c>
      <c r="Z5" s="113">
        <f t="shared" si="0"/>
        <v>0</v>
      </c>
      <c r="AA5" s="62"/>
      <c r="AB5" s="62"/>
      <c r="AC5" s="113">
        <f t="shared" si="0"/>
        <v>0</v>
      </c>
      <c r="AD5" s="30"/>
    </row>
    <row r="6" spans="1:32" ht="30" customHeight="1">
      <c r="A6" s="31"/>
      <c r="C6" s="131" t="s">
        <v>51</v>
      </c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63"/>
      <c r="AB6" s="63"/>
      <c r="AC6" s="114"/>
      <c r="AD6" s="5"/>
    </row>
    <row r="7" spans="1:32" ht="30" customHeight="1">
      <c r="A7" s="31"/>
      <c r="C7" s="132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63"/>
      <c r="AB7" s="63"/>
      <c r="AC7" s="114"/>
      <c r="AD7" s="5"/>
    </row>
    <row r="8" spans="1:32" ht="30" customHeight="1">
      <c r="A8" s="31"/>
      <c r="C8" s="132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63"/>
      <c r="AB8" s="63"/>
      <c r="AC8" s="114"/>
      <c r="AD8" s="5"/>
    </row>
    <row r="9" spans="1:32" ht="30" customHeight="1">
      <c r="A9" s="31"/>
      <c r="C9" s="132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63"/>
      <c r="AB9" s="63"/>
      <c r="AC9" s="114"/>
      <c r="AD9" s="5"/>
    </row>
    <row r="10" spans="1:32" ht="30" customHeight="1">
      <c r="A10" s="31"/>
      <c r="C10" s="132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63"/>
      <c r="AB10" s="63"/>
      <c r="AC10" s="114"/>
      <c r="AD10" s="5"/>
    </row>
    <row r="11" spans="1:32" ht="30" customHeight="1">
      <c r="A11" s="31"/>
      <c r="C11" s="132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63"/>
      <c r="AB11" s="63"/>
      <c r="AC11" s="114"/>
      <c r="AD11" s="5"/>
    </row>
    <row r="12" spans="1:32" ht="30" customHeight="1" thickBot="1">
      <c r="A12" s="32"/>
      <c r="B12" s="33"/>
      <c r="C12" s="133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64"/>
      <c r="AB12" s="64"/>
      <c r="AC12" s="115"/>
      <c r="AD12" s="34"/>
    </row>
    <row r="13" spans="1:32" ht="21" customHeight="1">
      <c r="A13" s="37">
        <v>1</v>
      </c>
      <c r="B13" s="128" t="s">
        <v>31</v>
      </c>
      <c r="C13" s="80" t="s">
        <v>36</v>
      </c>
      <c r="D13" s="77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47">
        <f t="shared" ref="AD13:AD30" si="3">SUM(D13:AC13)</f>
        <v>0</v>
      </c>
    </row>
    <row r="14" spans="1:32" ht="21" customHeight="1">
      <c r="A14" s="38">
        <v>2</v>
      </c>
      <c r="B14" s="129"/>
      <c r="C14" s="81" t="s">
        <v>38</v>
      </c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48">
        <f t="shared" si="3"/>
        <v>0</v>
      </c>
    </row>
    <row r="15" spans="1:32" ht="21" customHeight="1">
      <c r="A15" s="38">
        <v>3</v>
      </c>
      <c r="B15" s="129"/>
      <c r="C15" s="82" t="s">
        <v>39</v>
      </c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48">
        <f t="shared" si="3"/>
        <v>0</v>
      </c>
    </row>
    <row r="16" spans="1:32" ht="21" customHeight="1">
      <c r="A16" s="38">
        <v>4</v>
      </c>
      <c r="B16" s="129"/>
      <c r="C16" s="82" t="s">
        <v>40</v>
      </c>
      <c r="D16" s="78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48">
        <f t="shared" si="3"/>
        <v>0</v>
      </c>
    </row>
    <row r="17" spans="1:30" ht="21" customHeight="1">
      <c r="A17" s="38">
        <v>5</v>
      </c>
      <c r="B17" s="129"/>
      <c r="C17" s="84" t="str">
        <f>'Linha UM-4 - Dia'!C17</f>
        <v>Pilha caida no prato</v>
      </c>
      <c r="D17" s="78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48">
        <f t="shared" si="3"/>
        <v>0</v>
      </c>
    </row>
    <row r="18" spans="1:30" ht="21" customHeight="1">
      <c r="A18" s="38">
        <v>6</v>
      </c>
      <c r="B18" s="129"/>
      <c r="C18" s="84" t="str">
        <f>'Linha UM-4 - Dia'!C18</f>
        <v>Pilha Queimada</v>
      </c>
      <c r="D18" s="78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48">
        <f t="shared" si="3"/>
        <v>0</v>
      </c>
    </row>
    <row r="19" spans="1:30" ht="21" customHeight="1" thickBot="1">
      <c r="A19" s="38">
        <v>7</v>
      </c>
      <c r="B19" s="130"/>
      <c r="C19" s="83" t="s">
        <v>15</v>
      </c>
      <c r="D19" s="79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26">
        <f t="shared" si="3"/>
        <v>0</v>
      </c>
    </row>
    <row r="20" spans="1:30" ht="21" customHeight="1">
      <c r="A20" s="38">
        <v>8</v>
      </c>
      <c r="B20" s="134" t="s">
        <v>13</v>
      </c>
      <c r="C20" s="41" t="s">
        <v>14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85">
        <f t="shared" si="3"/>
        <v>0</v>
      </c>
    </row>
    <row r="21" spans="1:30" ht="21" customHeight="1">
      <c r="A21" s="38">
        <v>9</v>
      </c>
      <c r="B21" s="135"/>
      <c r="C21" s="42" t="s">
        <v>26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6">
        <f t="shared" si="3"/>
        <v>0</v>
      </c>
    </row>
    <row r="22" spans="1:30" ht="21" customHeight="1">
      <c r="A22" s="38">
        <v>10</v>
      </c>
      <c r="B22" s="135"/>
      <c r="C22" s="42" t="s">
        <v>27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6">
        <f t="shared" si="3"/>
        <v>0</v>
      </c>
    </row>
    <row r="23" spans="1:30" ht="21" customHeight="1">
      <c r="A23" s="38">
        <v>11</v>
      </c>
      <c r="B23" s="135"/>
      <c r="C23" s="42" t="s">
        <v>32</v>
      </c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6">
        <f t="shared" si="3"/>
        <v>0</v>
      </c>
    </row>
    <row r="24" spans="1:30" ht="21" customHeight="1">
      <c r="A24" s="38">
        <v>12</v>
      </c>
      <c r="B24" s="135"/>
      <c r="C24" s="42" t="s">
        <v>33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6">
        <f t="shared" si="3"/>
        <v>0</v>
      </c>
    </row>
    <row r="25" spans="1:30" ht="21" customHeight="1">
      <c r="A25" s="38">
        <v>13</v>
      </c>
      <c r="B25" s="135"/>
      <c r="C25" s="42" t="s">
        <v>28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6">
        <f t="shared" si="3"/>
        <v>0</v>
      </c>
    </row>
    <row r="26" spans="1:30" ht="21" customHeight="1">
      <c r="A26" s="38">
        <v>14</v>
      </c>
      <c r="B26" s="135"/>
      <c r="C26" s="67" t="s">
        <v>29</v>
      </c>
      <c r="D26" s="70"/>
      <c r="E26" s="70"/>
      <c r="F26" s="70"/>
      <c r="G26" s="70"/>
      <c r="H26" s="70"/>
      <c r="I26" s="70"/>
      <c r="J26" s="70"/>
      <c r="K26" s="70"/>
      <c r="L26" s="70"/>
      <c r="M26" s="73"/>
      <c r="N26" s="73"/>
      <c r="O26" s="73"/>
      <c r="P26" s="73"/>
      <c r="Q26" s="73"/>
      <c r="R26" s="73"/>
      <c r="S26" s="73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22">
        <f t="shared" si="3"/>
        <v>0</v>
      </c>
    </row>
    <row r="27" spans="1:30" ht="21" customHeight="1">
      <c r="A27" s="38">
        <v>15</v>
      </c>
      <c r="B27" s="135"/>
      <c r="C27" s="42" t="s">
        <v>30</v>
      </c>
      <c r="D27" s="72"/>
      <c r="E27" s="72"/>
      <c r="F27" s="72"/>
      <c r="G27" s="72"/>
      <c r="H27" s="72"/>
      <c r="I27" s="72"/>
      <c r="J27" s="72"/>
      <c r="K27" s="72"/>
      <c r="L27" s="72"/>
      <c r="M27" s="74"/>
      <c r="N27" s="74"/>
      <c r="O27" s="74"/>
      <c r="P27" s="74"/>
      <c r="Q27" s="74"/>
      <c r="R27" s="74"/>
      <c r="S27" s="74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6">
        <f t="shared" si="3"/>
        <v>0</v>
      </c>
    </row>
    <row r="28" spans="1:30" ht="21" customHeight="1">
      <c r="A28" s="38">
        <v>16</v>
      </c>
      <c r="B28" s="135"/>
      <c r="C28" s="42" t="s">
        <v>34</v>
      </c>
      <c r="D28" s="72"/>
      <c r="E28" s="72"/>
      <c r="F28" s="72"/>
      <c r="G28" s="72"/>
      <c r="H28" s="72"/>
      <c r="I28" s="72"/>
      <c r="J28" s="72"/>
      <c r="K28" s="72"/>
      <c r="L28" s="72"/>
      <c r="M28" s="74"/>
      <c r="N28" s="74"/>
      <c r="O28" s="74"/>
      <c r="P28" s="74"/>
      <c r="Q28" s="74"/>
      <c r="R28" s="74"/>
      <c r="S28" s="74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6">
        <f t="shared" si="3"/>
        <v>0</v>
      </c>
    </row>
    <row r="29" spans="1:30" ht="21" customHeight="1">
      <c r="A29" s="38">
        <v>17</v>
      </c>
      <c r="B29" s="135"/>
      <c r="C29" s="42" t="s">
        <v>35</v>
      </c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6">
        <f t="shared" si="3"/>
        <v>0</v>
      </c>
    </row>
    <row r="30" spans="1:30" ht="21" customHeight="1" thickBot="1">
      <c r="A30" s="38">
        <v>18</v>
      </c>
      <c r="B30" s="136"/>
      <c r="C30" s="43" t="s">
        <v>15</v>
      </c>
      <c r="D30" s="75"/>
      <c r="E30" s="75"/>
      <c r="F30" s="75"/>
      <c r="G30" s="75"/>
      <c r="H30" s="75"/>
      <c r="I30" s="75"/>
      <c r="J30" s="75"/>
      <c r="K30" s="75"/>
      <c r="L30" s="75"/>
      <c r="M30" s="71"/>
      <c r="N30" s="71"/>
      <c r="O30" s="71"/>
      <c r="P30" s="71"/>
      <c r="Q30" s="71"/>
      <c r="R30" s="71"/>
      <c r="S30" s="71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4">
        <f t="shared" si="3"/>
        <v>0</v>
      </c>
    </row>
    <row r="31" spans="1:30" ht="21" customHeight="1">
      <c r="A31" s="116" t="s">
        <v>3</v>
      </c>
      <c r="B31" s="137"/>
      <c r="C31" s="138"/>
      <c r="D31" s="55">
        <f t="shared" ref="D31:AC31" si="4">SUM(D13:D30)</f>
        <v>0</v>
      </c>
      <c r="E31" s="52">
        <f t="shared" si="4"/>
        <v>0</v>
      </c>
      <c r="F31" s="52">
        <f t="shared" si="4"/>
        <v>0</v>
      </c>
      <c r="G31" s="52">
        <f t="shared" si="4"/>
        <v>0</v>
      </c>
      <c r="H31" s="52">
        <f t="shared" si="4"/>
        <v>0</v>
      </c>
      <c r="I31" s="52">
        <f t="shared" si="4"/>
        <v>0</v>
      </c>
      <c r="J31" s="52">
        <f t="shared" si="4"/>
        <v>0</v>
      </c>
      <c r="K31" s="52">
        <f t="shared" si="4"/>
        <v>0</v>
      </c>
      <c r="L31" s="52">
        <f t="shared" si="4"/>
        <v>0</v>
      </c>
      <c r="M31" s="52">
        <f t="shared" si="4"/>
        <v>0</v>
      </c>
      <c r="N31" s="52">
        <f t="shared" si="4"/>
        <v>0</v>
      </c>
      <c r="O31" s="52">
        <f t="shared" si="4"/>
        <v>0</v>
      </c>
      <c r="P31" s="52">
        <f t="shared" si="4"/>
        <v>0</v>
      </c>
      <c r="Q31" s="52">
        <f t="shared" si="4"/>
        <v>0</v>
      </c>
      <c r="R31" s="52">
        <f t="shared" si="4"/>
        <v>0</v>
      </c>
      <c r="S31" s="52">
        <f t="shared" si="4"/>
        <v>0</v>
      </c>
      <c r="T31" s="52">
        <f t="shared" si="4"/>
        <v>0</v>
      </c>
      <c r="U31" s="52">
        <f t="shared" si="4"/>
        <v>0</v>
      </c>
      <c r="V31" s="52">
        <f t="shared" si="4"/>
        <v>0</v>
      </c>
      <c r="W31" s="52">
        <f t="shared" si="4"/>
        <v>0</v>
      </c>
      <c r="X31" s="65">
        <f t="shared" si="4"/>
        <v>0</v>
      </c>
      <c r="Y31" s="52">
        <f t="shared" si="4"/>
        <v>0</v>
      </c>
      <c r="Z31" s="52">
        <f t="shared" si="4"/>
        <v>0</v>
      </c>
      <c r="AA31" s="52">
        <f t="shared" si="4"/>
        <v>0</v>
      </c>
      <c r="AB31" s="52">
        <f t="shared" si="4"/>
        <v>0</v>
      </c>
      <c r="AC31" s="52">
        <f t="shared" si="4"/>
        <v>0</v>
      </c>
      <c r="AD31" s="39">
        <f>SUM(D31:AC31)</f>
        <v>0</v>
      </c>
    </row>
    <row r="32" spans="1:30" ht="21" customHeight="1" thickBot="1">
      <c r="A32" s="139" t="s">
        <v>12</v>
      </c>
      <c r="B32" s="140"/>
      <c r="C32" s="141"/>
      <c r="D32" s="53" t="str">
        <f t="shared" ref="D32:AD32" si="5">IF(D4&gt;0,D31/D4*1000000," ")</f>
        <v xml:space="preserve"> </v>
      </c>
      <c r="E32" s="54" t="str">
        <f t="shared" si="5"/>
        <v xml:space="preserve"> </v>
      </c>
      <c r="F32" s="54" t="str">
        <f t="shared" si="5"/>
        <v xml:space="preserve"> </v>
      </c>
      <c r="G32" s="54" t="str">
        <f t="shared" si="5"/>
        <v xml:space="preserve"> </v>
      </c>
      <c r="H32" s="54" t="str">
        <f t="shared" si="5"/>
        <v xml:space="preserve"> </v>
      </c>
      <c r="I32" s="54" t="str">
        <f t="shared" si="5"/>
        <v xml:space="preserve"> </v>
      </c>
      <c r="J32" s="54" t="str">
        <f t="shared" si="5"/>
        <v xml:space="preserve"> </v>
      </c>
      <c r="K32" s="54" t="str">
        <f t="shared" si="5"/>
        <v xml:space="preserve"> </v>
      </c>
      <c r="L32" s="54" t="str">
        <f t="shared" si="5"/>
        <v xml:space="preserve"> </v>
      </c>
      <c r="M32" s="54" t="str">
        <f t="shared" si="5"/>
        <v xml:space="preserve"> </v>
      </c>
      <c r="N32" s="54" t="str">
        <f t="shared" si="5"/>
        <v xml:space="preserve"> </v>
      </c>
      <c r="O32" s="54" t="str">
        <f t="shared" si="5"/>
        <v xml:space="preserve"> </v>
      </c>
      <c r="P32" s="54" t="str">
        <f t="shared" si="5"/>
        <v xml:space="preserve"> </v>
      </c>
      <c r="Q32" s="54" t="str">
        <f t="shared" si="5"/>
        <v xml:space="preserve"> </v>
      </c>
      <c r="R32" s="54" t="str">
        <f t="shared" si="5"/>
        <v xml:space="preserve"> </v>
      </c>
      <c r="S32" s="54" t="str">
        <f t="shared" si="5"/>
        <v xml:space="preserve"> </v>
      </c>
      <c r="T32" s="54" t="str">
        <f t="shared" si="5"/>
        <v xml:space="preserve"> </v>
      </c>
      <c r="U32" s="54" t="str">
        <f t="shared" si="5"/>
        <v xml:space="preserve"> </v>
      </c>
      <c r="V32" s="54" t="str">
        <f t="shared" si="5"/>
        <v xml:space="preserve"> </v>
      </c>
      <c r="W32" s="54" t="str">
        <f t="shared" si="5"/>
        <v xml:space="preserve"> </v>
      </c>
      <c r="X32" s="54" t="str">
        <f t="shared" si="5"/>
        <v xml:space="preserve"> </v>
      </c>
      <c r="Y32" s="54" t="str">
        <f t="shared" si="5"/>
        <v xml:space="preserve"> </v>
      </c>
      <c r="Z32" s="54" t="str">
        <f t="shared" si="5"/>
        <v xml:space="preserve"> </v>
      </c>
      <c r="AA32" s="54" t="str">
        <f t="shared" si="5"/>
        <v xml:space="preserve"> </v>
      </c>
      <c r="AB32" s="54" t="str">
        <f t="shared" si="5"/>
        <v xml:space="preserve"> </v>
      </c>
      <c r="AC32" s="54" t="str">
        <f t="shared" si="5"/>
        <v xml:space="preserve"> </v>
      </c>
      <c r="AD32" s="20" t="str">
        <f t="shared" si="5"/>
        <v xml:space="preserve"> </v>
      </c>
    </row>
    <row r="33" spans="1:30" ht="21" customHeight="1">
      <c r="A33" s="116" t="s">
        <v>44</v>
      </c>
      <c r="B33" s="117"/>
      <c r="C33" s="118"/>
      <c r="D33" s="94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1"/>
    </row>
    <row r="34" spans="1:30" ht="21" customHeight="1" thickBot="1">
      <c r="A34" s="119" t="s">
        <v>43</v>
      </c>
      <c r="B34" s="120"/>
      <c r="C34" s="121"/>
      <c r="D34" s="95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3"/>
    </row>
    <row r="35" spans="1:30" ht="21" customHeight="1">
      <c r="A35" s="45" t="s">
        <v>8</v>
      </c>
      <c r="B35" s="46"/>
      <c r="C35" s="46"/>
      <c r="D35" s="46"/>
      <c r="E35" s="46"/>
      <c r="F35" s="46"/>
      <c r="G35" s="46"/>
      <c r="J35" s="5"/>
      <c r="K35" s="86" t="s">
        <v>10</v>
      </c>
      <c r="L35" s="46"/>
      <c r="M35" s="46"/>
      <c r="N35" s="46"/>
      <c r="O35" s="46"/>
      <c r="P35" s="46"/>
      <c r="Q35" s="46"/>
      <c r="R35" s="46"/>
      <c r="S35" s="46"/>
      <c r="T35" s="46"/>
      <c r="U35" s="86" t="s">
        <v>11</v>
      </c>
      <c r="V35" s="87"/>
      <c r="W35" s="46"/>
      <c r="X35" s="46"/>
      <c r="Y35" s="46"/>
      <c r="Z35" s="46"/>
      <c r="AA35" s="46"/>
      <c r="AB35" s="46"/>
      <c r="AC35" s="88"/>
      <c r="AD35" s="89"/>
    </row>
    <row r="36" spans="1:30" s="17" customFormat="1" ht="21" customHeight="1" thickBot="1">
      <c r="A36" s="12" t="s">
        <v>9</v>
      </c>
      <c r="B36" s="13"/>
      <c r="C36" s="13"/>
      <c r="D36" s="13"/>
      <c r="E36" s="13"/>
      <c r="F36" s="13"/>
      <c r="G36" s="13"/>
      <c r="H36" s="35"/>
      <c r="I36" s="35"/>
      <c r="J36" s="36"/>
      <c r="K36" s="12" t="s">
        <v>9</v>
      </c>
      <c r="L36" s="13"/>
      <c r="M36" s="13"/>
      <c r="N36" s="13"/>
      <c r="O36" s="13"/>
      <c r="P36" s="13"/>
      <c r="Q36" s="13"/>
      <c r="R36" s="13"/>
      <c r="S36" s="13"/>
      <c r="T36" s="13"/>
      <c r="U36" s="12" t="s">
        <v>9</v>
      </c>
      <c r="V36" s="13"/>
      <c r="W36" s="13"/>
      <c r="X36" s="13"/>
      <c r="Y36" s="15"/>
      <c r="Z36" s="16"/>
      <c r="AA36" s="16"/>
      <c r="AB36" s="16"/>
      <c r="AC36" s="15"/>
      <c r="AD36" s="14"/>
    </row>
    <row r="37" spans="1:30">
      <c r="C37" t="s">
        <v>5</v>
      </c>
      <c r="D37" s="18">
        <f>'Linha UM-4 - Dia'!D37</f>
        <v>170</v>
      </c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9" spans="1:30">
      <c r="C39" s="7" t="s">
        <v>6</v>
      </c>
      <c r="D39" s="106">
        <f>D2</f>
        <v>0</v>
      </c>
      <c r="E39" s="106">
        <f>E2</f>
        <v>0</v>
      </c>
      <c r="F39" s="106">
        <f t="shared" ref="F39:AC39" si="6">F2</f>
        <v>0</v>
      </c>
      <c r="G39" s="106">
        <f t="shared" si="6"/>
        <v>0</v>
      </c>
      <c r="H39" s="106">
        <f t="shared" si="6"/>
        <v>0</v>
      </c>
      <c r="I39" s="106">
        <f t="shared" si="6"/>
        <v>0</v>
      </c>
      <c r="J39" s="106">
        <f t="shared" si="6"/>
        <v>0</v>
      </c>
      <c r="K39" s="106">
        <f t="shared" si="6"/>
        <v>0</v>
      </c>
      <c r="L39" s="106">
        <f t="shared" si="6"/>
        <v>0</v>
      </c>
      <c r="M39" s="106">
        <f t="shared" si="6"/>
        <v>0</v>
      </c>
      <c r="N39" s="106">
        <f t="shared" si="6"/>
        <v>0</v>
      </c>
      <c r="O39" s="106">
        <f t="shared" si="6"/>
        <v>0</v>
      </c>
      <c r="P39" s="106">
        <f t="shared" si="6"/>
        <v>0</v>
      </c>
      <c r="Q39" s="106">
        <f t="shared" si="6"/>
        <v>0</v>
      </c>
      <c r="R39" s="106">
        <f t="shared" si="6"/>
        <v>0</v>
      </c>
      <c r="S39" s="106">
        <f t="shared" si="6"/>
        <v>0</v>
      </c>
      <c r="T39" s="106">
        <f t="shared" si="6"/>
        <v>0</v>
      </c>
      <c r="U39" s="106">
        <f t="shared" si="6"/>
        <v>0</v>
      </c>
      <c r="V39" s="106">
        <f t="shared" si="6"/>
        <v>0</v>
      </c>
      <c r="W39" s="106">
        <f t="shared" si="6"/>
        <v>0</v>
      </c>
      <c r="X39" s="106">
        <f t="shared" si="6"/>
        <v>0</v>
      </c>
      <c r="Y39" s="106">
        <f t="shared" si="6"/>
        <v>0</v>
      </c>
      <c r="Z39" s="106">
        <f t="shared" si="6"/>
        <v>0</v>
      </c>
      <c r="AA39" s="106">
        <f t="shared" si="6"/>
        <v>0</v>
      </c>
      <c r="AB39" s="106">
        <f t="shared" si="6"/>
        <v>0</v>
      </c>
      <c r="AC39" s="106">
        <f t="shared" si="6"/>
        <v>0</v>
      </c>
    </row>
    <row r="40" spans="1:30" ht="170.1" customHeight="1">
      <c r="C40" s="19" t="s">
        <v>7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</row>
  </sheetData>
  <sheetProtection algorithmName="SHA-512" hashValue="nP7m2LCQOzgkzq9M82vNt0+KIqqZyFr4K+wwIQ5A7OCbo0Pu7nQnbdYCLfpvpHVF+XOH3yFDE33kQX+KsY9V6w==" saltValue="ROpvOqKzqqP++QMlDGU0RA==" spinCount="100000" sheet="1" objects="1" scenarios="1" selectLockedCells="1"/>
  <mergeCells count="35">
    <mergeCell ref="AB1:AC1"/>
    <mergeCell ref="A33:C33"/>
    <mergeCell ref="A34:C34"/>
    <mergeCell ref="M5:M12"/>
    <mergeCell ref="H5:H12"/>
    <mergeCell ref="I5:I12"/>
    <mergeCell ref="J5:J12"/>
    <mergeCell ref="K5:K12"/>
    <mergeCell ref="L5:L12"/>
    <mergeCell ref="C6:C12"/>
    <mergeCell ref="B13:B19"/>
    <mergeCell ref="B20:B30"/>
    <mergeCell ref="A31:C31"/>
    <mergeCell ref="A32:C32"/>
    <mergeCell ref="O5:O12"/>
    <mergeCell ref="A2:C2"/>
    <mergeCell ref="A3:C3"/>
    <mergeCell ref="A4:C4"/>
    <mergeCell ref="D5:D12"/>
    <mergeCell ref="E5:E12"/>
    <mergeCell ref="F5:F12"/>
    <mergeCell ref="G5:G12"/>
    <mergeCell ref="T5:T12"/>
    <mergeCell ref="U5:U12"/>
    <mergeCell ref="V5:V12"/>
    <mergeCell ref="W5:W12"/>
    <mergeCell ref="X5:X12"/>
    <mergeCell ref="Y5:Y12"/>
    <mergeCell ref="N5:N12"/>
    <mergeCell ref="AC5:AC12"/>
    <mergeCell ref="P5:P12"/>
    <mergeCell ref="Q5:Q12"/>
    <mergeCell ref="R5:R12"/>
    <mergeCell ref="S5:S12"/>
    <mergeCell ref="Z5:Z12"/>
  </mergeCells>
  <conditionalFormatting sqref="AD31">
    <cfRule type="cellIs" dxfId="1" priority="2" stopIfTrue="1" operator="notEqual">
      <formula>SUM($D$13:$AC$30)</formula>
    </cfRule>
  </conditionalFormatting>
  <dataValidations count="1">
    <dataValidation type="date" allowBlank="1" showInputMessage="1" showErrorMessage="1" promptTitle="Data:" prompt="Favor digitar uma data válida pelo menos da/mês." sqref="D2:AC2" xr:uid="{00000000-0002-0000-02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0" orientation="landscape" r:id="rId1"/>
  <headerFooter alignWithMargins="0">
    <oddFooter>&amp;RSJCPIL-R 16-422-01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1">
              <controlPr defaultSize="0" autoFill="0" autoLine="0" autoPict="0">
                <anchor moveWithCells="1">
                  <from>
                    <xdr:col>21</xdr:col>
                    <xdr:colOff>95250</xdr:colOff>
                    <xdr:row>0</xdr:row>
                    <xdr:rowOff>95250</xdr:rowOff>
                  </from>
                  <to>
                    <xdr:col>23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22</xdr:col>
                    <xdr:colOff>66675</xdr:colOff>
                    <xdr:row>0</xdr:row>
                    <xdr:rowOff>123825</xdr:rowOff>
                  </from>
                  <to>
                    <xdr:col>22</xdr:col>
                    <xdr:colOff>409575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Check Box 3">
              <controlPr defaultSize="0" autoFill="0" autoLine="0" autoPict="0">
                <anchor moveWithCells="1">
                  <from>
                    <xdr:col>23</xdr:col>
                    <xdr:colOff>19050</xdr:colOff>
                    <xdr:row>0</xdr:row>
                    <xdr:rowOff>123825</xdr:rowOff>
                  </from>
                  <to>
                    <xdr:col>23</xdr:col>
                    <xdr:colOff>371475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7">
    <tabColor indexed="13"/>
    <pageSetUpPr fitToPage="1"/>
  </sheetPr>
  <dimension ref="A1:AF40"/>
  <sheetViews>
    <sheetView showZeros="0" zoomScaleNormal="100" workbookViewId="0">
      <selection activeCell="C6" sqref="C6:C12"/>
    </sheetView>
  </sheetViews>
  <sheetFormatPr defaultColWidth="11.42578125" defaultRowHeight="12.75"/>
  <cols>
    <col min="1" max="1" width="3" bestFit="1" customWidth="1"/>
    <col min="2" max="2" width="3.28515625" bestFit="1" customWidth="1"/>
    <col min="3" max="3" width="26.140625" customWidth="1"/>
    <col min="4" max="29" width="6.7109375" customWidth="1"/>
    <col min="30" max="30" width="11.42578125" customWidth="1"/>
    <col min="31" max="31" width="3.28515625" customWidth="1"/>
  </cols>
  <sheetData>
    <row r="1" spans="1:32" ht="32.25" customHeight="1" thickBot="1">
      <c r="E1" s="23" t="s">
        <v>37</v>
      </c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107" t="s">
        <v>53</v>
      </c>
      <c r="V1" s="3"/>
      <c r="W1" s="3"/>
      <c r="Z1" s="96"/>
      <c r="AA1" s="96"/>
      <c r="AB1" s="108" t="s">
        <v>50</v>
      </c>
      <c r="AC1" s="109"/>
      <c r="AD1" s="98" t="str">
        <f ca="1">'Linha UM-4 - Dia'!AD1</f>
        <v>03 / 2022</v>
      </c>
    </row>
    <row r="2" spans="1:32" ht="21" customHeight="1">
      <c r="A2" s="122" t="s">
        <v>0</v>
      </c>
      <c r="B2" s="123"/>
      <c r="C2" s="123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3"/>
      <c r="X2" s="104"/>
      <c r="Y2" s="104"/>
      <c r="Z2" s="104"/>
      <c r="AA2" s="104"/>
      <c r="AB2" s="105"/>
      <c r="AC2" s="105"/>
      <c r="AD2" s="97" t="s">
        <v>4</v>
      </c>
    </row>
    <row r="3" spans="1:32" ht="21" customHeight="1">
      <c r="A3" s="124" t="s">
        <v>1</v>
      </c>
      <c r="B3" s="125"/>
      <c r="C3" s="12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4"/>
    </row>
    <row r="4" spans="1:32" ht="21" customHeight="1" thickBot="1">
      <c r="A4" s="126" t="s">
        <v>2</v>
      </c>
      <c r="B4" s="127"/>
      <c r="C4" s="12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61"/>
      <c r="Y4" s="61"/>
      <c r="Z4" s="61"/>
      <c r="AA4" s="61"/>
      <c r="AB4" s="61"/>
      <c r="AC4" s="25"/>
      <c r="AD4" s="26">
        <f>SUM(D4:AC4)</f>
        <v>0</v>
      </c>
      <c r="AF4" s="66"/>
    </row>
    <row r="5" spans="1:32" ht="30" customHeight="1">
      <c r="A5" s="27"/>
      <c r="B5" s="28"/>
      <c r="C5" s="29" t="s">
        <v>12</v>
      </c>
      <c r="D5" s="110">
        <f>D40</f>
        <v>0</v>
      </c>
      <c r="E5" s="110">
        <f t="shared" ref="E5:AC5" si="0">E40</f>
        <v>0</v>
      </c>
      <c r="F5" s="110">
        <f>F40</f>
        <v>0</v>
      </c>
      <c r="G5" s="110">
        <f t="shared" si="0"/>
        <v>0</v>
      </c>
      <c r="H5" s="110">
        <f t="shared" si="0"/>
        <v>0</v>
      </c>
      <c r="I5" s="110">
        <f>I40</f>
        <v>0</v>
      </c>
      <c r="J5" s="110">
        <f t="shared" si="0"/>
        <v>0</v>
      </c>
      <c r="K5" s="110">
        <f t="shared" si="0"/>
        <v>0</v>
      </c>
      <c r="L5" s="110">
        <f t="shared" si="0"/>
        <v>0</v>
      </c>
      <c r="M5" s="110">
        <f>M40</f>
        <v>0</v>
      </c>
      <c r="N5" s="110">
        <f>N40</f>
        <v>0</v>
      </c>
      <c r="O5" s="113">
        <f t="shared" ref="O5:T5" si="1">O40</f>
        <v>0</v>
      </c>
      <c r="P5" s="113">
        <f t="shared" si="1"/>
        <v>0</v>
      </c>
      <c r="Q5" s="113">
        <f t="shared" si="1"/>
        <v>0</v>
      </c>
      <c r="R5" s="113">
        <f t="shared" si="1"/>
        <v>0</v>
      </c>
      <c r="S5" s="113">
        <f t="shared" si="1"/>
        <v>0</v>
      </c>
      <c r="T5" s="113">
        <f t="shared" si="1"/>
        <v>0</v>
      </c>
      <c r="U5" s="113">
        <f t="shared" si="0"/>
        <v>0</v>
      </c>
      <c r="V5" s="113"/>
      <c r="W5" s="113">
        <f t="shared" si="0"/>
        <v>0</v>
      </c>
      <c r="X5" s="113">
        <f t="shared" si="0"/>
        <v>0</v>
      </c>
      <c r="Y5" s="113">
        <f t="shared" si="0"/>
        <v>0</v>
      </c>
      <c r="Z5" s="113">
        <f t="shared" si="0"/>
        <v>0</v>
      </c>
      <c r="AA5" s="99"/>
      <c r="AB5" s="99"/>
      <c r="AC5" s="113">
        <f t="shared" si="0"/>
        <v>0</v>
      </c>
      <c r="AD5" s="30"/>
    </row>
    <row r="6" spans="1:32" ht="30" customHeight="1">
      <c r="A6" s="31"/>
      <c r="C6" s="131" t="s">
        <v>52</v>
      </c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00"/>
      <c r="AB6" s="100"/>
      <c r="AC6" s="114"/>
      <c r="AD6" s="5"/>
    </row>
    <row r="7" spans="1:32" ht="30" customHeight="1">
      <c r="A7" s="31"/>
      <c r="C7" s="132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00"/>
      <c r="AB7" s="100"/>
      <c r="AC7" s="114"/>
      <c r="AD7" s="5"/>
    </row>
    <row r="8" spans="1:32" ht="30" customHeight="1">
      <c r="A8" s="31"/>
      <c r="C8" s="132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00"/>
      <c r="AB8" s="100"/>
      <c r="AC8" s="114"/>
      <c r="AD8" s="5"/>
    </row>
    <row r="9" spans="1:32" ht="30" customHeight="1">
      <c r="A9" s="31"/>
      <c r="C9" s="132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00"/>
      <c r="AB9" s="100"/>
      <c r="AC9" s="114"/>
      <c r="AD9" s="5"/>
    </row>
    <row r="10" spans="1:32" ht="30" customHeight="1">
      <c r="A10" s="31"/>
      <c r="C10" s="132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00"/>
      <c r="AB10" s="100"/>
      <c r="AC10" s="114"/>
      <c r="AD10" s="5"/>
    </row>
    <row r="11" spans="1:32" ht="30" customHeight="1">
      <c r="A11" s="31"/>
      <c r="C11" s="132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00"/>
      <c r="AB11" s="100"/>
      <c r="AC11" s="114"/>
      <c r="AD11" s="5"/>
    </row>
    <row r="12" spans="1:32" ht="30" customHeight="1" thickBot="1">
      <c r="A12" s="32"/>
      <c r="B12" s="33"/>
      <c r="C12" s="133"/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01"/>
      <c r="AB12" s="101"/>
      <c r="AC12" s="115"/>
      <c r="AD12" s="34"/>
    </row>
    <row r="13" spans="1:32" ht="21" customHeight="1">
      <c r="A13" s="37">
        <v>1</v>
      </c>
      <c r="B13" s="128" t="s">
        <v>31</v>
      </c>
      <c r="C13" s="80" t="s">
        <v>36</v>
      </c>
      <c r="D13" s="77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47">
        <f t="shared" ref="AD13:AD30" si="2">SUM(D13:AC13)</f>
        <v>0</v>
      </c>
    </row>
    <row r="14" spans="1:32" ht="21" customHeight="1">
      <c r="A14" s="38">
        <v>2</v>
      </c>
      <c r="B14" s="129"/>
      <c r="C14" s="81" t="s">
        <v>38</v>
      </c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48">
        <f t="shared" si="2"/>
        <v>0</v>
      </c>
    </row>
    <row r="15" spans="1:32" ht="21" customHeight="1">
      <c r="A15" s="38">
        <v>3</v>
      </c>
      <c r="B15" s="129"/>
      <c r="C15" s="82" t="s">
        <v>39</v>
      </c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48">
        <f t="shared" si="2"/>
        <v>0</v>
      </c>
    </row>
    <row r="16" spans="1:32" ht="21" customHeight="1">
      <c r="A16" s="38">
        <v>4</v>
      </c>
      <c r="B16" s="129"/>
      <c r="C16" s="82" t="s">
        <v>40</v>
      </c>
      <c r="D16" s="78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48">
        <f t="shared" si="2"/>
        <v>0</v>
      </c>
    </row>
    <row r="17" spans="1:30" ht="21" customHeight="1">
      <c r="A17" s="38">
        <v>5</v>
      </c>
      <c r="B17" s="129"/>
      <c r="C17" s="84" t="str">
        <f>'Linha UM-4 - Dia'!C17</f>
        <v>Pilha caida no prato</v>
      </c>
      <c r="D17" s="78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48">
        <f t="shared" si="2"/>
        <v>0</v>
      </c>
    </row>
    <row r="18" spans="1:30" ht="21" customHeight="1">
      <c r="A18" s="38">
        <v>6</v>
      </c>
      <c r="B18" s="129"/>
      <c r="C18" s="84" t="str">
        <f>'Linha UM-4 - Dia'!C18</f>
        <v>Pilha Queimada</v>
      </c>
      <c r="D18" s="78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48">
        <f t="shared" si="2"/>
        <v>0</v>
      </c>
    </row>
    <row r="19" spans="1:30" ht="21" customHeight="1" thickBot="1">
      <c r="A19" s="38">
        <v>7</v>
      </c>
      <c r="B19" s="130"/>
      <c r="C19" s="83" t="s">
        <v>15</v>
      </c>
      <c r="D19" s="79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26">
        <f t="shared" si="2"/>
        <v>0</v>
      </c>
    </row>
    <row r="20" spans="1:30" ht="21" customHeight="1">
      <c r="A20" s="38">
        <v>8</v>
      </c>
      <c r="B20" s="134" t="s">
        <v>13</v>
      </c>
      <c r="C20" s="41" t="s">
        <v>14</v>
      </c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85">
        <f t="shared" si="2"/>
        <v>0</v>
      </c>
    </row>
    <row r="21" spans="1:30" ht="21" customHeight="1">
      <c r="A21" s="38">
        <v>9</v>
      </c>
      <c r="B21" s="135"/>
      <c r="C21" s="42" t="s">
        <v>26</v>
      </c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6">
        <f t="shared" si="2"/>
        <v>0</v>
      </c>
    </row>
    <row r="22" spans="1:30" ht="21" customHeight="1">
      <c r="A22" s="38">
        <v>10</v>
      </c>
      <c r="B22" s="135"/>
      <c r="C22" s="42" t="s">
        <v>27</v>
      </c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6">
        <f t="shared" si="2"/>
        <v>0</v>
      </c>
    </row>
    <row r="23" spans="1:30" ht="21" customHeight="1">
      <c r="A23" s="38">
        <v>11</v>
      </c>
      <c r="B23" s="135"/>
      <c r="C23" s="42" t="s">
        <v>32</v>
      </c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6">
        <f t="shared" si="2"/>
        <v>0</v>
      </c>
    </row>
    <row r="24" spans="1:30" ht="21" customHeight="1">
      <c r="A24" s="38">
        <v>12</v>
      </c>
      <c r="B24" s="135"/>
      <c r="C24" s="42" t="s">
        <v>33</v>
      </c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6">
        <f t="shared" si="2"/>
        <v>0</v>
      </c>
    </row>
    <row r="25" spans="1:30" ht="21" customHeight="1">
      <c r="A25" s="38">
        <v>13</v>
      </c>
      <c r="B25" s="135"/>
      <c r="C25" s="42" t="s">
        <v>28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6">
        <f t="shared" si="2"/>
        <v>0</v>
      </c>
    </row>
    <row r="26" spans="1:30" ht="21" customHeight="1">
      <c r="A26" s="38">
        <v>14</v>
      </c>
      <c r="B26" s="135"/>
      <c r="C26" s="67" t="s">
        <v>29</v>
      </c>
      <c r="D26" s="70"/>
      <c r="E26" s="70"/>
      <c r="F26" s="70"/>
      <c r="G26" s="70"/>
      <c r="H26" s="70"/>
      <c r="I26" s="70"/>
      <c r="J26" s="70"/>
      <c r="K26" s="70"/>
      <c r="L26" s="70"/>
      <c r="M26" s="73"/>
      <c r="N26" s="73"/>
      <c r="O26" s="73"/>
      <c r="P26" s="73"/>
      <c r="Q26" s="73"/>
      <c r="R26" s="73"/>
      <c r="S26" s="73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22">
        <f t="shared" si="2"/>
        <v>0</v>
      </c>
    </row>
    <row r="27" spans="1:30" ht="21" customHeight="1">
      <c r="A27" s="38">
        <v>15</v>
      </c>
      <c r="B27" s="135"/>
      <c r="C27" s="42" t="s">
        <v>30</v>
      </c>
      <c r="D27" s="72"/>
      <c r="E27" s="72"/>
      <c r="F27" s="72"/>
      <c r="G27" s="72"/>
      <c r="H27" s="72"/>
      <c r="I27" s="72"/>
      <c r="J27" s="72"/>
      <c r="K27" s="72"/>
      <c r="L27" s="72"/>
      <c r="M27" s="74"/>
      <c r="N27" s="74"/>
      <c r="O27" s="74"/>
      <c r="P27" s="74"/>
      <c r="Q27" s="74"/>
      <c r="R27" s="74"/>
      <c r="S27" s="74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6">
        <f t="shared" si="2"/>
        <v>0</v>
      </c>
    </row>
    <row r="28" spans="1:30" ht="21" customHeight="1">
      <c r="A28" s="38">
        <v>16</v>
      </c>
      <c r="B28" s="135"/>
      <c r="C28" s="42" t="s">
        <v>34</v>
      </c>
      <c r="D28" s="72"/>
      <c r="E28" s="72"/>
      <c r="F28" s="72"/>
      <c r="G28" s="72"/>
      <c r="H28" s="72"/>
      <c r="I28" s="72"/>
      <c r="J28" s="72"/>
      <c r="K28" s="72"/>
      <c r="L28" s="72"/>
      <c r="M28" s="74"/>
      <c r="N28" s="74"/>
      <c r="O28" s="74"/>
      <c r="P28" s="74"/>
      <c r="Q28" s="74"/>
      <c r="R28" s="74"/>
      <c r="S28" s="74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6">
        <f t="shared" si="2"/>
        <v>0</v>
      </c>
    </row>
    <row r="29" spans="1:30" ht="21" customHeight="1">
      <c r="A29" s="38">
        <v>17</v>
      </c>
      <c r="B29" s="135"/>
      <c r="C29" s="42" t="s">
        <v>35</v>
      </c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6">
        <f t="shared" si="2"/>
        <v>0</v>
      </c>
    </row>
    <row r="30" spans="1:30" ht="21" customHeight="1" thickBot="1">
      <c r="A30" s="38">
        <v>18</v>
      </c>
      <c r="B30" s="136"/>
      <c r="C30" s="43" t="s">
        <v>15</v>
      </c>
      <c r="D30" s="75"/>
      <c r="E30" s="75"/>
      <c r="F30" s="75"/>
      <c r="G30" s="75"/>
      <c r="H30" s="75"/>
      <c r="I30" s="75"/>
      <c r="J30" s="75"/>
      <c r="K30" s="75"/>
      <c r="L30" s="75"/>
      <c r="M30" s="71"/>
      <c r="N30" s="71"/>
      <c r="O30" s="71"/>
      <c r="P30" s="71"/>
      <c r="Q30" s="71"/>
      <c r="R30" s="71"/>
      <c r="S30" s="71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4">
        <f t="shared" si="2"/>
        <v>0</v>
      </c>
    </row>
    <row r="31" spans="1:30" ht="21" customHeight="1">
      <c r="A31" s="116" t="s">
        <v>3</v>
      </c>
      <c r="B31" s="137"/>
      <c r="C31" s="138"/>
      <c r="D31" s="52">
        <f t="shared" ref="D31:G31" si="3">SUM(D13:D30)</f>
        <v>0</v>
      </c>
      <c r="E31" s="52">
        <f t="shared" si="3"/>
        <v>0</v>
      </c>
      <c r="F31" s="52">
        <f t="shared" si="3"/>
        <v>0</v>
      </c>
      <c r="G31" s="52">
        <f t="shared" si="3"/>
        <v>0</v>
      </c>
      <c r="H31" s="52">
        <f t="shared" ref="H31:AC31" si="4">SUM(H13:H30)</f>
        <v>0</v>
      </c>
      <c r="I31" s="52">
        <f t="shared" si="4"/>
        <v>0</v>
      </c>
      <c r="J31" s="52">
        <f t="shared" si="4"/>
        <v>0</v>
      </c>
      <c r="K31" s="52">
        <f t="shared" si="4"/>
        <v>0</v>
      </c>
      <c r="L31" s="52">
        <f t="shared" si="4"/>
        <v>0</v>
      </c>
      <c r="M31" s="52">
        <f t="shared" si="4"/>
        <v>0</v>
      </c>
      <c r="N31" s="52">
        <f t="shared" si="4"/>
        <v>0</v>
      </c>
      <c r="O31" s="52">
        <f t="shared" si="4"/>
        <v>0</v>
      </c>
      <c r="P31" s="52">
        <f t="shared" si="4"/>
        <v>0</v>
      </c>
      <c r="Q31" s="52">
        <f t="shared" si="4"/>
        <v>0</v>
      </c>
      <c r="R31" s="52">
        <f t="shared" si="4"/>
        <v>0</v>
      </c>
      <c r="S31" s="52">
        <f t="shared" si="4"/>
        <v>0</v>
      </c>
      <c r="T31" s="52">
        <f t="shared" si="4"/>
        <v>0</v>
      </c>
      <c r="U31" s="52">
        <f t="shared" si="4"/>
        <v>0</v>
      </c>
      <c r="V31" s="52">
        <f t="shared" si="4"/>
        <v>0</v>
      </c>
      <c r="W31" s="52">
        <f t="shared" si="4"/>
        <v>0</v>
      </c>
      <c r="X31" s="65">
        <f t="shared" si="4"/>
        <v>0</v>
      </c>
      <c r="Y31" s="52">
        <f t="shared" si="4"/>
        <v>0</v>
      </c>
      <c r="Z31" s="52">
        <f t="shared" si="4"/>
        <v>0</v>
      </c>
      <c r="AA31" s="52">
        <f t="shared" si="4"/>
        <v>0</v>
      </c>
      <c r="AB31" s="52">
        <f t="shared" si="4"/>
        <v>0</v>
      </c>
      <c r="AC31" s="52">
        <f t="shared" si="4"/>
        <v>0</v>
      </c>
      <c r="AD31" s="39">
        <f>SUM(D31:AC31)</f>
        <v>0</v>
      </c>
    </row>
    <row r="32" spans="1:30" ht="21" customHeight="1" thickBot="1">
      <c r="A32" s="139" t="s">
        <v>12</v>
      </c>
      <c r="B32" s="140"/>
      <c r="C32" s="141"/>
      <c r="D32" s="54" t="str">
        <f t="shared" ref="D32:G32" si="5">IF(D4&gt;0,D31/D4*1000000," ")</f>
        <v xml:space="preserve"> </v>
      </c>
      <c r="E32" s="54" t="str">
        <f t="shared" si="5"/>
        <v xml:space="preserve"> </v>
      </c>
      <c r="F32" s="54" t="str">
        <f t="shared" si="5"/>
        <v xml:space="preserve"> </v>
      </c>
      <c r="G32" s="54" t="str">
        <f t="shared" si="5"/>
        <v xml:space="preserve"> </v>
      </c>
      <c r="H32" s="54" t="str">
        <f t="shared" ref="H32:AD32" si="6">IF(H4&gt;0,H31/H4*1000000," ")</f>
        <v xml:space="preserve"> </v>
      </c>
      <c r="I32" s="54" t="str">
        <f t="shared" si="6"/>
        <v xml:space="preserve"> </v>
      </c>
      <c r="J32" s="54" t="str">
        <f t="shared" si="6"/>
        <v xml:space="preserve"> </v>
      </c>
      <c r="K32" s="54" t="str">
        <f t="shared" si="6"/>
        <v xml:space="preserve"> </v>
      </c>
      <c r="L32" s="54" t="str">
        <f t="shared" si="6"/>
        <v xml:space="preserve"> </v>
      </c>
      <c r="M32" s="54" t="str">
        <f t="shared" si="6"/>
        <v xml:space="preserve"> </v>
      </c>
      <c r="N32" s="54" t="str">
        <f t="shared" si="6"/>
        <v xml:space="preserve"> </v>
      </c>
      <c r="O32" s="54" t="str">
        <f t="shared" si="6"/>
        <v xml:space="preserve"> </v>
      </c>
      <c r="P32" s="54" t="str">
        <f t="shared" si="6"/>
        <v xml:space="preserve"> </v>
      </c>
      <c r="Q32" s="54" t="str">
        <f t="shared" si="6"/>
        <v xml:space="preserve"> </v>
      </c>
      <c r="R32" s="54" t="str">
        <f t="shared" si="6"/>
        <v xml:space="preserve"> </v>
      </c>
      <c r="S32" s="54" t="str">
        <f t="shared" si="6"/>
        <v xml:space="preserve"> </v>
      </c>
      <c r="T32" s="54" t="str">
        <f t="shared" si="6"/>
        <v xml:space="preserve"> </v>
      </c>
      <c r="U32" s="54" t="str">
        <f t="shared" si="6"/>
        <v xml:space="preserve"> </v>
      </c>
      <c r="V32" s="54" t="str">
        <f t="shared" si="6"/>
        <v xml:space="preserve"> </v>
      </c>
      <c r="W32" s="54" t="str">
        <f t="shared" si="6"/>
        <v xml:space="preserve"> </v>
      </c>
      <c r="X32" s="54" t="str">
        <f t="shared" si="6"/>
        <v xml:space="preserve"> </v>
      </c>
      <c r="Y32" s="54" t="str">
        <f t="shared" si="6"/>
        <v xml:space="preserve"> </v>
      </c>
      <c r="Z32" s="54" t="str">
        <f t="shared" si="6"/>
        <v xml:space="preserve"> </v>
      </c>
      <c r="AA32" s="54" t="str">
        <f t="shared" si="6"/>
        <v xml:space="preserve"> </v>
      </c>
      <c r="AB32" s="54" t="str">
        <f t="shared" si="6"/>
        <v xml:space="preserve"> </v>
      </c>
      <c r="AC32" s="54" t="str">
        <f t="shared" si="6"/>
        <v xml:space="preserve"> </v>
      </c>
      <c r="AD32" s="20" t="str">
        <f t="shared" si="6"/>
        <v xml:space="preserve"> </v>
      </c>
    </row>
    <row r="33" spans="1:30" ht="21" customHeight="1">
      <c r="A33" s="116" t="s">
        <v>44</v>
      </c>
      <c r="B33" s="117"/>
      <c r="C33" s="118"/>
      <c r="D33" s="94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1"/>
    </row>
    <row r="34" spans="1:30" ht="21" customHeight="1" thickBot="1">
      <c r="A34" s="119" t="s">
        <v>43</v>
      </c>
      <c r="B34" s="120"/>
      <c r="C34" s="121"/>
      <c r="D34" s="95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3"/>
    </row>
    <row r="35" spans="1:30" ht="21" customHeight="1">
      <c r="A35" s="45" t="s">
        <v>8</v>
      </c>
      <c r="B35" s="46"/>
      <c r="C35" s="46"/>
      <c r="D35" s="46"/>
      <c r="E35" s="46"/>
      <c r="F35" s="46"/>
      <c r="G35" s="46"/>
      <c r="J35" s="5"/>
      <c r="K35" s="86" t="s">
        <v>10</v>
      </c>
      <c r="L35" s="46"/>
      <c r="M35" s="46"/>
      <c r="N35" s="46"/>
      <c r="O35" s="46"/>
      <c r="P35" s="46"/>
      <c r="Q35" s="46"/>
      <c r="R35" s="46"/>
      <c r="S35" s="46"/>
      <c r="T35" s="46"/>
      <c r="U35" s="86" t="s">
        <v>11</v>
      </c>
      <c r="V35" s="87"/>
      <c r="W35" s="46"/>
      <c r="X35" s="46"/>
      <c r="Y35" s="46"/>
      <c r="Z35" s="46"/>
      <c r="AA35" s="46"/>
      <c r="AB35" s="46"/>
      <c r="AC35" s="88"/>
      <c r="AD35" s="89"/>
    </row>
    <row r="36" spans="1:30" s="17" customFormat="1" ht="21" customHeight="1" thickBot="1">
      <c r="A36" s="12" t="s">
        <v>9</v>
      </c>
      <c r="B36" s="13"/>
      <c r="C36" s="13"/>
      <c r="D36" s="13"/>
      <c r="E36" s="13"/>
      <c r="F36" s="13"/>
      <c r="G36" s="13"/>
      <c r="H36" s="35"/>
      <c r="I36" s="35"/>
      <c r="J36" s="36"/>
      <c r="K36" s="12" t="s">
        <v>9</v>
      </c>
      <c r="L36" s="13"/>
      <c r="M36" s="13"/>
      <c r="N36" s="13"/>
      <c r="O36" s="13"/>
      <c r="P36" s="13"/>
      <c r="Q36" s="13"/>
      <c r="R36" s="13"/>
      <c r="S36" s="13"/>
      <c r="T36" s="13"/>
      <c r="U36" s="12" t="s">
        <v>9</v>
      </c>
      <c r="V36" s="13"/>
      <c r="W36" s="13"/>
      <c r="X36" s="13"/>
      <c r="Y36" s="15"/>
      <c r="Z36" s="16"/>
      <c r="AA36" s="16"/>
      <c r="AB36" s="16"/>
      <c r="AC36" s="15"/>
      <c r="AD36" s="14"/>
    </row>
    <row r="37" spans="1:30">
      <c r="C37" t="s">
        <v>5</v>
      </c>
      <c r="D37" s="18">
        <f>'Linha UM-4 - Dia'!D37</f>
        <v>170</v>
      </c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9" spans="1:30">
      <c r="C39" s="7" t="s">
        <v>6</v>
      </c>
      <c r="D39" s="106">
        <f>D2</f>
        <v>0</v>
      </c>
      <c r="E39" s="106">
        <f>E2</f>
        <v>0</v>
      </c>
      <c r="F39" s="106">
        <f t="shared" ref="F39:AC39" si="7">F2</f>
        <v>0</v>
      </c>
      <c r="G39" s="106">
        <f t="shared" si="7"/>
        <v>0</v>
      </c>
      <c r="H39" s="106">
        <f t="shared" si="7"/>
        <v>0</v>
      </c>
      <c r="I39" s="106">
        <f t="shared" si="7"/>
        <v>0</v>
      </c>
      <c r="J39" s="106">
        <f t="shared" si="7"/>
        <v>0</v>
      </c>
      <c r="K39" s="106">
        <f t="shared" si="7"/>
        <v>0</v>
      </c>
      <c r="L39" s="106">
        <f t="shared" si="7"/>
        <v>0</v>
      </c>
      <c r="M39" s="106">
        <f t="shared" si="7"/>
        <v>0</v>
      </c>
      <c r="N39" s="106">
        <f t="shared" si="7"/>
        <v>0</v>
      </c>
      <c r="O39" s="106">
        <f t="shared" si="7"/>
        <v>0</v>
      </c>
      <c r="P39" s="106">
        <f t="shared" si="7"/>
        <v>0</v>
      </c>
      <c r="Q39" s="106">
        <f t="shared" si="7"/>
        <v>0</v>
      </c>
      <c r="R39" s="106">
        <f t="shared" si="7"/>
        <v>0</v>
      </c>
      <c r="S39" s="106">
        <f t="shared" si="7"/>
        <v>0</v>
      </c>
      <c r="T39" s="106">
        <f t="shared" si="7"/>
        <v>0</v>
      </c>
      <c r="U39" s="106">
        <f t="shared" si="7"/>
        <v>0</v>
      </c>
      <c r="V39" s="106">
        <f t="shared" si="7"/>
        <v>0</v>
      </c>
      <c r="W39" s="106">
        <f t="shared" si="7"/>
        <v>0</v>
      </c>
      <c r="X39" s="106">
        <f t="shared" si="7"/>
        <v>0</v>
      </c>
      <c r="Y39" s="106">
        <f t="shared" si="7"/>
        <v>0</v>
      </c>
      <c r="Z39" s="106">
        <f t="shared" si="7"/>
        <v>0</v>
      </c>
      <c r="AA39" s="106">
        <f t="shared" si="7"/>
        <v>0</v>
      </c>
      <c r="AB39" s="106">
        <f t="shared" si="7"/>
        <v>0</v>
      </c>
      <c r="AC39" s="106">
        <f t="shared" si="7"/>
        <v>0</v>
      </c>
    </row>
    <row r="40" spans="1:30" ht="170.1" customHeight="1">
      <c r="C40" s="19" t="s">
        <v>7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</row>
  </sheetData>
  <sheetProtection algorithmName="SHA-512" hashValue="/2EuxotBq01dU1SlmT+74WmI/cjjRaqO6ant46vlCXN8doMh3wW3elSvvgcBD/0KHZcFzNtVrt5ndhAWb3boAQ==" saltValue="nwCceaA/n0z+O8/gW7uuLw==" spinCount="100000" sheet="1" objects="1" scenarios="1" selectLockedCells="1"/>
  <mergeCells count="35">
    <mergeCell ref="O5:O12"/>
    <mergeCell ref="AB1:AC1"/>
    <mergeCell ref="A2:C2"/>
    <mergeCell ref="A3:C3"/>
    <mergeCell ref="A4:C4"/>
    <mergeCell ref="D5:D12"/>
    <mergeCell ref="E5:E12"/>
    <mergeCell ref="F5:F12"/>
    <mergeCell ref="G5:G12"/>
    <mergeCell ref="H5:H12"/>
    <mergeCell ref="I5:I12"/>
    <mergeCell ref="J5:J12"/>
    <mergeCell ref="K5:K12"/>
    <mergeCell ref="L5:L12"/>
    <mergeCell ref="M5:M12"/>
    <mergeCell ref="N5:N12"/>
    <mergeCell ref="AC5:AC12"/>
    <mergeCell ref="P5:P12"/>
    <mergeCell ref="Q5:Q12"/>
    <mergeCell ref="R5:R12"/>
    <mergeCell ref="S5:S12"/>
    <mergeCell ref="T5:T12"/>
    <mergeCell ref="U5:U12"/>
    <mergeCell ref="V5:V12"/>
    <mergeCell ref="W5:W12"/>
    <mergeCell ref="X5:X12"/>
    <mergeCell ref="Y5:Y12"/>
    <mergeCell ref="Z5:Z12"/>
    <mergeCell ref="A34:C34"/>
    <mergeCell ref="C6:C12"/>
    <mergeCell ref="B13:B19"/>
    <mergeCell ref="B20:B30"/>
    <mergeCell ref="A31:C31"/>
    <mergeCell ref="A32:C32"/>
    <mergeCell ref="A33:C33"/>
  </mergeCells>
  <conditionalFormatting sqref="AD31">
    <cfRule type="cellIs" dxfId="0" priority="1" stopIfTrue="1" operator="notEqual">
      <formula>SUM($D$13:$AC$30)</formula>
    </cfRule>
  </conditionalFormatting>
  <dataValidations count="1">
    <dataValidation type="date" allowBlank="1" showInputMessage="1" showErrorMessage="1" promptTitle="Data:" prompt="Favor digitar uma data válida pelo menos da/mês." sqref="D2:AC2" xr:uid="{00000000-0002-0000-0300-000000000000}">
      <formula1>44287</formula1>
      <formula2>44651</formula2>
    </dataValidation>
  </dataValidations>
  <printOptions horizontalCentered="1" gridLines="1" gridLinesSet="0"/>
  <pageMargins left="0.47244094488188981" right="0.31496062992125984" top="0.78740157480314965" bottom="0.39370078740157483" header="0.27559055118110237" footer="0.27559055118110237"/>
  <pageSetup paperSize="9" scale="60" orientation="landscape" r:id="rId1"/>
  <headerFooter alignWithMargins="0">
    <oddFooter>&amp;RSJCPIL-R 16-422-01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21</xdr:col>
                    <xdr:colOff>95250</xdr:colOff>
                    <xdr:row>0</xdr:row>
                    <xdr:rowOff>95250</xdr:rowOff>
                  </from>
                  <to>
                    <xdr:col>23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22</xdr:col>
                    <xdr:colOff>66675</xdr:colOff>
                    <xdr:row>0</xdr:row>
                    <xdr:rowOff>123825</xdr:rowOff>
                  </from>
                  <to>
                    <xdr:col>22</xdr:col>
                    <xdr:colOff>409575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23</xdr:col>
                    <xdr:colOff>19050</xdr:colOff>
                    <xdr:row>0</xdr:row>
                    <xdr:rowOff>123825</xdr:rowOff>
                  </from>
                  <to>
                    <xdr:col>23</xdr:col>
                    <xdr:colOff>371475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"/>
  <dimension ref="A1:R62"/>
  <sheetViews>
    <sheetView tabSelected="1" zoomScaleNormal="100" workbookViewId="0">
      <selection activeCell="B1" sqref="B1"/>
    </sheetView>
  </sheetViews>
  <sheetFormatPr defaultRowHeight="12.75"/>
  <cols>
    <col min="2" max="2" width="25.140625" bestFit="1" customWidth="1"/>
    <col min="6" max="6" width="10.140625" bestFit="1" customWidth="1"/>
    <col min="10" max="10" width="24.28515625" bestFit="1" customWidth="1"/>
  </cols>
  <sheetData>
    <row r="1" spans="1:18">
      <c r="C1" s="56" t="s">
        <v>16</v>
      </c>
    </row>
    <row r="2" spans="1:18">
      <c r="C2" t="s">
        <v>17</v>
      </c>
      <c r="D2" t="s">
        <v>12</v>
      </c>
      <c r="F2" t="s">
        <v>19</v>
      </c>
      <c r="G2" t="s">
        <v>20</v>
      </c>
      <c r="H2" t="s">
        <v>21</v>
      </c>
    </row>
    <row r="3" spans="1:18" ht="13.5" thickBot="1">
      <c r="C3" s="49">
        <f>PROD_D</f>
        <v>0</v>
      </c>
      <c r="D3" s="49"/>
      <c r="K3" t="s">
        <v>45</v>
      </c>
      <c r="L3" t="s">
        <v>46</v>
      </c>
      <c r="M3" t="s">
        <v>47</v>
      </c>
      <c r="N3" t="s">
        <v>48</v>
      </c>
      <c r="O3" t="s">
        <v>49</v>
      </c>
      <c r="R3" s="50"/>
    </row>
    <row r="4" spans="1:18" ht="12.75" customHeight="1">
      <c r="A4" s="37">
        <v>1</v>
      </c>
      <c r="B4" s="41" t="str">
        <f>'Linha UM-4 - Dia'!C13</f>
        <v>Pilha deformada</v>
      </c>
      <c r="C4" s="49">
        <f>'Linha UM-4 - Dia'!AD13</f>
        <v>0</v>
      </c>
      <c r="D4" s="49" t="e">
        <f t="shared" ref="D4:D20" si="0">C4/C$3*1000000</f>
        <v>#DIV/0!</v>
      </c>
      <c r="F4" s="49">
        <f>C4*10000+A4</f>
        <v>1</v>
      </c>
      <c r="G4">
        <f>LARGE(F$4:F$19,A4)</f>
        <v>16</v>
      </c>
      <c r="H4">
        <f>MATCH(G4,F$4:F$19,0)</f>
        <v>16</v>
      </c>
      <c r="J4" t="str">
        <f t="shared" ref="J4:J19" si="1">VLOOKUP(H4,A$4:D$19,2,TRUE)</f>
        <v>Outros</v>
      </c>
      <c r="K4" s="50" t="e">
        <f t="shared" ref="K4:K19" si="2">VLOOKUP(H4,A$4:D$19,4,FALSE)</f>
        <v>#DIV/0!</v>
      </c>
      <c r="L4" s="50">
        <f t="shared" ref="L4:L19" si="3">VLOOKUP(H4,A$4:C$19,3,FALSE)</f>
        <v>0</v>
      </c>
      <c r="M4" s="50">
        <f>L4</f>
        <v>0</v>
      </c>
      <c r="N4" s="50" t="e">
        <f>M4/$M$19*100</f>
        <v>#DIV/0!</v>
      </c>
      <c r="O4" s="50" t="e">
        <f t="shared" ref="O4:O19" si="4">IF(($D$20&gt;TARGET_D)*(N4&lt;=80),K4,0)</f>
        <v>#DIV/0!</v>
      </c>
    </row>
    <row r="5" spans="1:18">
      <c r="A5" s="38">
        <v>2</v>
      </c>
      <c r="B5" s="42" t="str">
        <f>'Linha UM-4 - Dia'!C14</f>
        <v>PVC Mal impresso</v>
      </c>
      <c r="C5" s="49">
        <f>'Linha UM-4 - Dia'!AD14</f>
        <v>0</v>
      </c>
      <c r="D5" s="49" t="e">
        <f t="shared" si="0"/>
        <v>#DIV/0!</v>
      </c>
      <c r="F5" s="49">
        <f t="shared" ref="F5:F19" si="5">C5*10000+A5</f>
        <v>2</v>
      </c>
      <c r="G5">
        <f t="shared" ref="G5:G19" si="6">LARGE(F$4:F$19,A5)</f>
        <v>15</v>
      </c>
      <c r="H5">
        <f t="shared" ref="H5:H19" si="7">MATCH(G5,F$4:F$19,0)</f>
        <v>15</v>
      </c>
      <c r="J5" t="str">
        <f t="shared" si="1"/>
        <v>Pilha amassada</v>
      </c>
      <c r="K5" s="50" t="e">
        <f t="shared" si="2"/>
        <v>#DIV/0!</v>
      </c>
      <c r="L5" s="50">
        <f t="shared" si="3"/>
        <v>0</v>
      </c>
      <c r="M5" s="50">
        <f>L5+M4</f>
        <v>0</v>
      </c>
      <c r="N5" s="50" t="e">
        <f t="shared" ref="N5:N19" si="8">M5/$M$19*100</f>
        <v>#DIV/0!</v>
      </c>
      <c r="O5" s="50" t="e">
        <f t="shared" si="4"/>
        <v>#DIV/0!</v>
      </c>
    </row>
    <row r="6" spans="1:18">
      <c r="A6" s="38">
        <v>3</v>
      </c>
      <c r="B6" s="42" t="str">
        <f>'Linha UM-4 - Dia'!C15</f>
        <v>PVC rasgado</v>
      </c>
      <c r="C6" s="49">
        <f>'Linha UM-4 - Dia'!AD15</f>
        <v>0</v>
      </c>
      <c r="D6" s="49" t="e">
        <f t="shared" si="0"/>
        <v>#DIV/0!</v>
      </c>
      <c r="F6" s="49">
        <f t="shared" si="5"/>
        <v>3</v>
      </c>
      <c r="G6">
        <f t="shared" si="6"/>
        <v>14</v>
      </c>
      <c r="H6">
        <f t="shared" si="7"/>
        <v>14</v>
      </c>
      <c r="J6" t="str">
        <f t="shared" si="1"/>
        <v>Tubo de Zinco Trincado</v>
      </c>
      <c r="K6" s="50" t="e">
        <f t="shared" si="2"/>
        <v>#DIV/0!</v>
      </c>
      <c r="L6" s="50">
        <f t="shared" si="3"/>
        <v>0</v>
      </c>
      <c r="M6" s="50">
        <f t="shared" ref="M6:M19" si="9">L6+M5</f>
        <v>0</v>
      </c>
      <c r="N6" s="50" t="e">
        <f t="shared" si="8"/>
        <v>#DIV/0!</v>
      </c>
      <c r="O6" s="50" t="e">
        <f t="shared" si="4"/>
        <v>#DIV/0!</v>
      </c>
    </row>
    <row r="7" spans="1:18">
      <c r="A7" s="38">
        <v>4</v>
      </c>
      <c r="B7" s="42" t="str">
        <f>'Linha UM-4 - Dia'!C16</f>
        <v>PVC deformado</v>
      </c>
      <c r="C7" s="49">
        <f>'Linha UM-4 - Dia'!AD16</f>
        <v>0</v>
      </c>
      <c r="D7" s="49" t="e">
        <f t="shared" si="0"/>
        <v>#DIV/0!</v>
      </c>
      <c r="F7" s="49">
        <f t="shared" si="5"/>
        <v>4</v>
      </c>
      <c r="G7">
        <f t="shared" si="6"/>
        <v>13</v>
      </c>
      <c r="H7">
        <f t="shared" si="7"/>
        <v>13</v>
      </c>
      <c r="J7" t="str">
        <f t="shared" si="1"/>
        <v>Fundo sujo</v>
      </c>
      <c r="K7" s="50" t="e">
        <f t="shared" si="2"/>
        <v>#DIV/0!</v>
      </c>
      <c r="L7" s="50">
        <f t="shared" si="3"/>
        <v>0</v>
      </c>
      <c r="M7" s="50">
        <f t="shared" si="9"/>
        <v>0</v>
      </c>
      <c r="N7" s="50" t="e">
        <f t="shared" si="8"/>
        <v>#DIV/0!</v>
      </c>
      <c r="O7" s="50" t="e">
        <f t="shared" si="4"/>
        <v>#DIV/0!</v>
      </c>
    </row>
    <row r="8" spans="1:18" ht="13.5" thickBot="1">
      <c r="A8" s="40">
        <v>5</v>
      </c>
      <c r="B8" s="43" t="str">
        <f>'Linha UM-4 - Dia'!C19</f>
        <v>Outros</v>
      </c>
      <c r="C8" s="49">
        <f>'Linha UM-4 - Dia'!AD19</f>
        <v>0</v>
      </c>
      <c r="D8" s="49" t="e">
        <f t="shared" si="0"/>
        <v>#DIV/0!</v>
      </c>
      <c r="F8" s="49">
        <f t="shared" si="5"/>
        <v>5</v>
      </c>
      <c r="G8">
        <f t="shared" si="6"/>
        <v>12</v>
      </c>
      <c r="H8">
        <f t="shared" si="7"/>
        <v>12</v>
      </c>
      <c r="J8" t="str">
        <f t="shared" si="1"/>
        <v>Bottom Plate Amassado</v>
      </c>
      <c r="K8" s="50" t="e">
        <f t="shared" si="2"/>
        <v>#DIV/0!</v>
      </c>
      <c r="L8" s="50">
        <f t="shared" si="3"/>
        <v>0</v>
      </c>
      <c r="M8" s="50">
        <f t="shared" si="9"/>
        <v>0</v>
      </c>
      <c r="N8" s="50" t="e">
        <f t="shared" si="8"/>
        <v>#DIV/0!</v>
      </c>
      <c r="O8" s="50" t="e">
        <f t="shared" si="4"/>
        <v>#DIV/0!</v>
      </c>
    </row>
    <row r="9" spans="1:18" ht="12.75" customHeight="1">
      <c r="A9" s="68">
        <v>6</v>
      </c>
      <c r="B9" s="67" t="str">
        <f>'Linha UM-4 - Dia'!C20</f>
        <v>Sem Cap</v>
      </c>
      <c r="C9" s="49">
        <f>'Linha UM-4 - Dia'!AD20</f>
        <v>0</v>
      </c>
      <c r="D9" s="49" t="e">
        <f t="shared" si="0"/>
        <v>#DIV/0!</v>
      </c>
      <c r="F9" s="49">
        <f t="shared" si="5"/>
        <v>6</v>
      </c>
      <c r="G9">
        <f t="shared" si="6"/>
        <v>11</v>
      </c>
      <c r="H9">
        <f t="shared" si="7"/>
        <v>11</v>
      </c>
      <c r="J9" t="str">
        <f t="shared" si="1"/>
        <v>Sem Bottom Plate</v>
      </c>
      <c r="K9" s="50" t="e">
        <f t="shared" si="2"/>
        <v>#DIV/0!</v>
      </c>
      <c r="L9" s="50">
        <f t="shared" si="3"/>
        <v>0</v>
      </c>
      <c r="M9" s="50">
        <f t="shared" si="9"/>
        <v>0</v>
      </c>
      <c r="N9" s="50" t="e">
        <f t="shared" si="8"/>
        <v>#DIV/0!</v>
      </c>
      <c r="O9" s="50" t="e">
        <f t="shared" si="4"/>
        <v>#DIV/0!</v>
      </c>
    </row>
    <row r="10" spans="1:18">
      <c r="A10" s="38">
        <v>7</v>
      </c>
      <c r="B10" s="42" t="str">
        <f>'Linha UM-4 - Dia'!C21</f>
        <v>Cap Amassado / Afundado</v>
      </c>
      <c r="C10" s="49">
        <f>'Linha UM-4 - Dia'!AD21</f>
        <v>0</v>
      </c>
      <c r="D10" s="49" t="e">
        <f t="shared" si="0"/>
        <v>#DIV/0!</v>
      </c>
      <c r="F10" s="49">
        <f t="shared" si="5"/>
        <v>7</v>
      </c>
      <c r="G10">
        <f t="shared" si="6"/>
        <v>10</v>
      </c>
      <c r="H10">
        <f t="shared" si="7"/>
        <v>10</v>
      </c>
      <c r="J10" t="str">
        <f t="shared" si="1"/>
        <v>Sem PY</v>
      </c>
      <c r="K10" s="50" t="e">
        <f t="shared" si="2"/>
        <v>#DIV/0!</v>
      </c>
      <c r="L10" s="50">
        <f t="shared" si="3"/>
        <v>0</v>
      </c>
      <c r="M10" s="50">
        <f t="shared" si="9"/>
        <v>0</v>
      </c>
      <c r="N10" s="50" t="e">
        <f t="shared" si="8"/>
        <v>#DIV/0!</v>
      </c>
      <c r="O10" s="50" t="e">
        <f t="shared" si="4"/>
        <v>#DIV/0!</v>
      </c>
    </row>
    <row r="11" spans="1:18">
      <c r="A11" s="38">
        <v>8</v>
      </c>
      <c r="B11" s="42" t="str">
        <f>'Linha UM-4 - Dia'!C22</f>
        <v>Cap Rachado</v>
      </c>
      <c r="C11" s="49">
        <f>'Linha UM-4 - Dia'!AD22</f>
        <v>0</v>
      </c>
      <c r="D11" s="49" t="e">
        <f t="shared" si="0"/>
        <v>#DIV/0!</v>
      </c>
      <c r="F11" s="49">
        <f t="shared" si="5"/>
        <v>8</v>
      </c>
      <c r="G11">
        <f t="shared" si="6"/>
        <v>9</v>
      </c>
      <c r="H11">
        <f t="shared" si="7"/>
        <v>9</v>
      </c>
      <c r="J11" t="str">
        <f t="shared" si="1"/>
        <v>PY Deslocado</v>
      </c>
      <c r="K11" s="50" t="e">
        <f t="shared" si="2"/>
        <v>#DIV/0!</v>
      </c>
      <c r="L11" s="50">
        <f t="shared" si="3"/>
        <v>0</v>
      </c>
      <c r="M11" s="50">
        <f t="shared" si="9"/>
        <v>0</v>
      </c>
      <c r="N11" s="50" t="e">
        <f t="shared" si="8"/>
        <v>#DIV/0!</v>
      </c>
      <c r="O11" s="50" t="e">
        <f t="shared" si="4"/>
        <v>#DIV/0!</v>
      </c>
    </row>
    <row r="12" spans="1:18">
      <c r="A12" s="38">
        <v>9</v>
      </c>
      <c r="B12" s="42" t="str">
        <f>'Linha UM-4 - Dia'!C23</f>
        <v>PY Deslocado</v>
      </c>
      <c r="C12" s="49">
        <f>'Linha UM-4 - Dia'!AD23</f>
        <v>0</v>
      </c>
      <c r="D12" s="49" t="e">
        <f t="shared" si="0"/>
        <v>#DIV/0!</v>
      </c>
      <c r="F12" s="49">
        <f t="shared" si="5"/>
        <v>9</v>
      </c>
      <c r="G12">
        <f t="shared" si="6"/>
        <v>8</v>
      </c>
      <c r="H12">
        <f t="shared" si="7"/>
        <v>8</v>
      </c>
      <c r="J12" t="str">
        <f t="shared" si="1"/>
        <v>Cap Rachado</v>
      </c>
      <c r="K12" s="50" t="e">
        <f t="shared" si="2"/>
        <v>#DIV/0!</v>
      </c>
      <c r="L12" s="50">
        <f t="shared" si="3"/>
        <v>0</v>
      </c>
      <c r="M12" s="50">
        <f t="shared" si="9"/>
        <v>0</v>
      </c>
      <c r="N12" s="50" t="e">
        <f t="shared" si="8"/>
        <v>#DIV/0!</v>
      </c>
      <c r="O12" s="50" t="e">
        <f t="shared" si="4"/>
        <v>#DIV/0!</v>
      </c>
    </row>
    <row r="13" spans="1:18">
      <c r="A13" s="38">
        <v>10</v>
      </c>
      <c r="B13" s="42" t="str">
        <f>'Linha UM-4 - Dia'!C24</f>
        <v>Sem PY</v>
      </c>
      <c r="C13" s="49">
        <f>'Linha UM-4 - Dia'!AD24</f>
        <v>0</v>
      </c>
      <c r="D13" s="49" t="e">
        <f t="shared" si="0"/>
        <v>#DIV/0!</v>
      </c>
      <c r="F13" s="49">
        <f t="shared" si="5"/>
        <v>10</v>
      </c>
      <c r="G13">
        <f t="shared" si="6"/>
        <v>7</v>
      </c>
      <c r="H13">
        <f t="shared" si="7"/>
        <v>7</v>
      </c>
      <c r="J13" t="str">
        <f t="shared" si="1"/>
        <v>Cap Amassado / Afundado</v>
      </c>
      <c r="K13" s="50" t="e">
        <f t="shared" si="2"/>
        <v>#DIV/0!</v>
      </c>
      <c r="L13" s="50">
        <f t="shared" si="3"/>
        <v>0</v>
      </c>
      <c r="M13" s="50">
        <f t="shared" si="9"/>
        <v>0</v>
      </c>
      <c r="N13" s="50" t="e">
        <f t="shared" si="8"/>
        <v>#DIV/0!</v>
      </c>
      <c r="O13" s="50" t="e">
        <f t="shared" si="4"/>
        <v>#DIV/0!</v>
      </c>
    </row>
    <row r="14" spans="1:18" ht="13.5" thickBot="1">
      <c r="A14" s="40">
        <v>11</v>
      </c>
      <c r="B14" s="43" t="str">
        <f>'Linha UM-4 - Dia'!C25</f>
        <v>Sem Bottom Plate</v>
      </c>
      <c r="C14" s="49">
        <f>'Linha UM-4 - Dia'!AD25</f>
        <v>0</v>
      </c>
      <c r="D14" s="49" t="e">
        <f t="shared" si="0"/>
        <v>#DIV/0!</v>
      </c>
      <c r="F14" s="49">
        <f t="shared" si="5"/>
        <v>11</v>
      </c>
      <c r="G14">
        <f t="shared" si="6"/>
        <v>6</v>
      </c>
      <c r="H14">
        <f t="shared" si="7"/>
        <v>6</v>
      </c>
      <c r="J14" t="str">
        <f t="shared" si="1"/>
        <v>Sem Cap</v>
      </c>
      <c r="K14" s="50" t="e">
        <f t="shared" si="2"/>
        <v>#DIV/0!</v>
      </c>
      <c r="L14" s="50">
        <f t="shared" si="3"/>
        <v>0</v>
      </c>
      <c r="M14" s="50">
        <f t="shared" si="9"/>
        <v>0</v>
      </c>
      <c r="N14" s="50" t="e">
        <f t="shared" si="8"/>
        <v>#DIV/0!</v>
      </c>
      <c r="O14" s="50" t="e">
        <f t="shared" si="4"/>
        <v>#DIV/0!</v>
      </c>
    </row>
    <row r="15" spans="1:18" ht="12.75" customHeight="1">
      <c r="A15" s="37">
        <v>12</v>
      </c>
      <c r="B15" s="41" t="str">
        <f>'Linha UM-4 - Dia'!C26</f>
        <v>Bottom Plate Amassado</v>
      </c>
      <c r="C15" s="49">
        <f>'Linha UM-4 - Dia'!AD26</f>
        <v>0</v>
      </c>
      <c r="D15" s="49" t="e">
        <f t="shared" si="0"/>
        <v>#DIV/0!</v>
      </c>
      <c r="F15" s="49">
        <f t="shared" si="5"/>
        <v>12</v>
      </c>
      <c r="G15">
        <f t="shared" si="6"/>
        <v>5</v>
      </c>
      <c r="H15">
        <f t="shared" si="7"/>
        <v>5</v>
      </c>
      <c r="J15" t="str">
        <f t="shared" si="1"/>
        <v>Outros</v>
      </c>
      <c r="K15" s="50" t="e">
        <f t="shared" si="2"/>
        <v>#DIV/0!</v>
      </c>
      <c r="L15" s="50">
        <f t="shared" si="3"/>
        <v>0</v>
      </c>
      <c r="M15" s="50">
        <f t="shared" si="9"/>
        <v>0</v>
      </c>
      <c r="N15" s="50" t="e">
        <f t="shared" si="8"/>
        <v>#DIV/0!</v>
      </c>
      <c r="O15" s="50" t="e">
        <f t="shared" si="4"/>
        <v>#DIV/0!</v>
      </c>
    </row>
    <row r="16" spans="1:18">
      <c r="A16" s="38">
        <v>13</v>
      </c>
      <c r="B16" s="42" t="str">
        <f>'Linha UM-4 - Dia'!C27</f>
        <v>Fundo sujo</v>
      </c>
      <c r="C16" s="49">
        <f>'Linha UM-4 - Dia'!AD27</f>
        <v>0</v>
      </c>
      <c r="D16" s="49" t="e">
        <f t="shared" si="0"/>
        <v>#DIV/0!</v>
      </c>
      <c r="F16" s="49">
        <f t="shared" si="5"/>
        <v>13</v>
      </c>
      <c r="G16">
        <f t="shared" si="6"/>
        <v>4</v>
      </c>
      <c r="H16">
        <f t="shared" si="7"/>
        <v>4</v>
      </c>
      <c r="J16" t="str">
        <f t="shared" si="1"/>
        <v>PVC deformado</v>
      </c>
      <c r="K16" s="50" t="e">
        <f t="shared" si="2"/>
        <v>#DIV/0!</v>
      </c>
      <c r="L16" s="50">
        <f t="shared" si="3"/>
        <v>0</v>
      </c>
      <c r="M16" s="50">
        <f t="shared" si="9"/>
        <v>0</v>
      </c>
      <c r="N16" s="50" t="e">
        <f t="shared" si="8"/>
        <v>#DIV/0!</v>
      </c>
      <c r="O16" s="50" t="e">
        <f t="shared" si="4"/>
        <v>#DIV/0!</v>
      </c>
    </row>
    <row r="17" spans="1:15">
      <c r="A17" s="38">
        <v>14</v>
      </c>
      <c r="B17" s="42" t="str">
        <f>'Linha UM-4 - Dia'!C28</f>
        <v>Tubo de Zinco Trincado</v>
      </c>
      <c r="C17" s="49">
        <f>'Linha UM-4 - Dia'!AD28</f>
        <v>0</v>
      </c>
      <c r="D17" s="49" t="e">
        <f t="shared" si="0"/>
        <v>#DIV/0!</v>
      </c>
      <c r="F17" s="49">
        <f t="shared" si="5"/>
        <v>14</v>
      </c>
      <c r="G17">
        <f t="shared" si="6"/>
        <v>3</v>
      </c>
      <c r="H17">
        <f t="shared" si="7"/>
        <v>3</v>
      </c>
      <c r="J17" t="str">
        <f t="shared" si="1"/>
        <v>PVC rasgado</v>
      </c>
      <c r="K17" s="50" t="e">
        <f t="shared" si="2"/>
        <v>#DIV/0!</v>
      </c>
      <c r="L17" s="50">
        <f t="shared" si="3"/>
        <v>0</v>
      </c>
      <c r="M17" s="50">
        <f t="shared" si="9"/>
        <v>0</v>
      </c>
      <c r="N17" s="50" t="e">
        <f t="shared" si="8"/>
        <v>#DIV/0!</v>
      </c>
      <c r="O17" s="50" t="e">
        <f t="shared" si="4"/>
        <v>#DIV/0!</v>
      </c>
    </row>
    <row r="18" spans="1:15">
      <c r="A18" s="38">
        <v>15</v>
      </c>
      <c r="B18" s="42" t="str">
        <f>'Linha UM-4 - Dia'!C29</f>
        <v>Pilha amassada</v>
      </c>
      <c r="C18" s="49">
        <f>'Linha UM-4 - Dia'!AD29</f>
        <v>0</v>
      </c>
      <c r="D18" s="49" t="e">
        <f t="shared" si="0"/>
        <v>#DIV/0!</v>
      </c>
      <c r="F18" s="49">
        <f t="shared" si="5"/>
        <v>15</v>
      </c>
      <c r="G18">
        <f t="shared" si="6"/>
        <v>2</v>
      </c>
      <c r="H18">
        <f t="shared" si="7"/>
        <v>2</v>
      </c>
      <c r="J18" t="str">
        <f t="shared" si="1"/>
        <v>PVC Mal impresso</v>
      </c>
      <c r="K18" s="50" t="e">
        <f t="shared" si="2"/>
        <v>#DIV/0!</v>
      </c>
      <c r="L18" s="50">
        <f t="shared" si="3"/>
        <v>0</v>
      </c>
      <c r="M18" s="50">
        <f t="shared" si="9"/>
        <v>0</v>
      </c>
      <c r="N18" s="50" t="e">
        <f t="shared" si="8"/>
        <v>#DIV/0!</v>
      </c>
      <c r="O18" s="50" t="e">
        <f t="shared" si="4"/>
        <v>#DIV/0!</v>
      </c>
    </row>
    <row r="19" spans="1:15" ht="13.5" thickBot="1">
      <c r="A19" s="38">
        <v>16</v>
      </c>
      <c r="B19" s="42" t="str">
        <f>'Linha UM-4 - Dia'!C30</f>
        <v>Outros</v>
      </c>
      <c r="C19" s="49">
        <f>'Linha UM-4 - Dia'!AD30</f>
        <v>0</v>
      </c>
      <c r="D19" s="49" t="e">
        <f t="shared" si="0"/>
        <v>#DIV/0!</v>
      </c>
      <c r="F19" s="49">
        <f t="shared" si="5"/>
        <v>16</v>
      </c>
      <c r="G19">
        <f t="shared" si="6"/>
        <v>1</v>
      </c>
      <c r="H19">
        <f t="shared" si="7"/>
        <v>1</v>
      </c>
      <c r="J19" t="str">
        <f t="shared" si="1"/>
        <v>Pilha deformada</v>
      </c>
      <c r="K19" s="50" t="e">
        <f t="shared" si="2"/>
        <v>#DIV/0!</v>
      </c>
      <c r="L19" s="50">
        <f t="shared" si="3"/>
        <v>0</v>
      </c>
      <c r="M19" s="50">
        <f t="shared" si="9"/>
        <v>0</v>
      </c>
      <c r="N19" s="50" t="e">
        <f t="shared" si="8"/>
        <v>#DIV/0!</v>
      </c>
      <c r="O19" s="50" t="e">
        <f t="shared" si="4"/>
        <v>#DIV/0!</v>
      </c>
    </row>
    <row r="20" spans="1:15">
      <c r="A20" s="116" t="s">
        <v>3</v>
      </c>
      <c r="B20" s="118"/>
      <c r="C20" s="49">
        <f>'Linha UM-4 - Dia'!AD31</f>
        <v>0</v>
      </c>
      <c r="D20" s="49" t="e">
        <f t="shared" si="0"/>
        <v>#DIV/0!</v>
      </c>
      <c r="K20" s="50"/>
    </row>
    <row r="22" spans="1:15">
      <c r="C22" s="56" t="s">
        <v>54</v>
      </c>
    </row>
    <row r="23" spans="1:15">
      <c r="C23" t="s">
        <v>18</v>
      </c>
      <c r="D23" t="s">
        <v>12</v>
      </c>
    </row>
    <row r="24" spans="1:15" ht="13.5" thickBot="1">
      <c r="C24" s="49" cm="1">
        <f t="array" ref="C24">'Linha UM-4 - 2T'!PROD_2T</f>
        <v>0</v>
      </c>
    </row>
    <row r="25" spans="1:15" ht="12.75" customHeight="1">
      <c r="A25" s="37">
        <v>1</v>
      </c>
      <c r="B25" s="41" t="str">
        <f>'Linha UM-4 - 2T'!C13</f>
        <v>Pilha deformada</v>
      </c>
      <c r="C25" s="49">
        <f>'Linha UM-4 - 2T'!AD13</f>
        <v>0</v>
      </c>
      <c r="D25" s="49" t="e">
        <f t="shared" ref="D25:D41" si="10">C25/C$24*1000000</f>
        <v>#DIV/0!</v>
      </c>
      <c r="F25" s="49">
        <f>C25*10000+A25</f>
        <v>1</v>
      </c>
      <c r="G25">
        <f>LARGE(F$25:F$40,A25)</f>
        <v>16</v>
      </c>
      <c r="H25">
        <f>MATCH(G25,F$25:F$40,0)</f>
        <v>16</v>
      </c>
      <c r="J25" t="str">
        <f t="shared" ref="J25:J40" si="11">VLOOKUP(H25,A$25:D$40,2,TRUE)</f>
        <v>Outros</v>
      </c>
      <c r="K25" s="50" t="e">
        <f t="shared" ref="K25:K40" si="12">VLOOKUP(H25,A$25:D$40,4,FALSE)</f>
        <v>#DIV/0!</v>
      </c>
      <c r="L25" s="50">
        <f t="shared" ref="L25:L40" si="13">VLOOKUP(H25,A$25:C$40,3,FALSE)</f>
        <v>0</v>
      </c>
      <c r="M25" s="50">
        <f>L25</f>
        <v>0</v>
      </c>
      <c r="N25" s="50" t="e">
        <f>M25/$M$40*100</f>
        <v>#DIV/0!</v>
      </c>
      <c r="O25" s="50" t="e">
        <f>IF(($D$41&gt;TARGET_N)*(N25&lt;=80),K25,0)</f>
        <v>#DIV/0!</v>
      </c>
    </row>
    <row r="26" spans="1:15">
      <c r="A26" s="38">
        <v>2</v>
      </c>
      <c r="B26" s="42" t="str">
        <f>'Linha UM-4 - 2T'!C14</f>
        <v>PVC Mal impresso</v>
      </c>
      <c r="C26" s="49">
        <f>'Linha UM-4 - 2T'!AD14</f>
        <v>0</v>
      </c>
      <c r="D26" s="49" t="e">
        <f t="shared" si="10"/>
        <v>#DIV/0!</v>
      </c>
      <c r="F26" s="49">
        <f t="shared" ref="F26:F40" si="14">C26*10000+A26</f>
        <v>2</v>
      </c>
      <c r="G26">
        <f t="shared" ref="G26:G40" si="15">LARGE(F$25:F$40,A26)</f>
        <v>15</v>
      </c>
      <c r="H26">
        <f t="shared" ref="H26:H40" si="16">MATCH(G26,F$25:F$40,0)</f>
        <v>15</v>
      </c>
      <c r="J26" t="str">
        <f t="shared" si="11"/>
        <v>Pilha amassada</v>
      </c>
      <c r="K26" s="50" t="e">
        <f t="shared" si="12"/>
        <v>#DIV/0!</v>
      </c>
      <c r="L26" s="50">
        <f t="shared" si="13"/>
        <v>0</v>
      </c>
      <c r="M26" s="50">
        <f>L26+M25</f>
        <v>0</v>
      </c>
      <c r="N26" s="50" t="e">
        <f t="shared" ref="N26:N40" si="17">M26/$M$40*100</f>
        <v>#DIV/0!</v>
      </c>
      <c r="O26" s="50" t="e">
        <f t="shared" ref="O26:O40" si="18">IF(($D$41&gt;TARGET_D)*(N26&lt;=80),K26,0)</f>
        <v>#DIV/0!</v>
      </c>
    </row>
    <row r="27" spans="1:15">
      <c r="A27" s="38">
        <v>3</v>
      </c>
      <c r="B27" s="42" t="str">
        <f>'Linha UM-4 - 2T'!C15</f>
        <v>PVC rasgado</v>
      </c>
      <c r="C27" s="49">
        <f>'Linha UM-4 - 2T'!AD15</f>
        <v>0</v>
      </c>
      <c r="D27" s="49" t="e">
        <f t="shared" si="10"/>
        <v>#DIV/0!</v>
      </c>
      <c r="F27" s="49">
        <f t="shared" si="14"/>
        <v>3</v>
      </c>
      <c r="G27">
        <f t="shared" si="15"/>
        <v>14</v>
      </c>
      <c r="H27">
        <f t="shared" si="16"/>
        <v>14</v>
      </c>
      <c r="J27" t="str">
        <f t="shared" si="11"/>
        <v>Tubo de Zinco Trincado</v>
      </c>
      <c r="K27" s="50" t="e">
        <f t="shared" si="12"/>
        <v>#DIV/0!</v>
      </c>
      <c r="L27" s="50">
        <f t="shared" si="13"/>
        <v>0</v>
      </c>
      <c r="M27" s="50">
        <f t="shared" ref="M27:M40" si="19">L27+M26</f>
        <v>0</v>
      </c>
      <c r="N27" s="50" t="e">
        <f t="shared" si="17"/>
        <v>#DIV/0!</v>
      </c>
      <c r="O27" s="50" t="e">
        <f t="shared" si="18"/>
        <v>#DIV/0!</v>
      </c>
    </row>
    <row r="28" spans="1:15">
      <c r="A28" s="38">
        <v>4</v>
      </c>
      <c r="B28" s="42" t="str">
        <f>'Linha UM-4 - 2T'!C16</f>
        <v>PVC deformado</v>
      </c>
      <c r="C28" s="49">
        <f>'Linha UM-4 - 2T'!AD16</f>
        <v>0</v>
      </c>
      <c r="D28" s="49" t="e">
        <f t="shared" si="10"/>
        <v>#DIV/0!</v>
      </c>
      <c r="F28" s="49">
        <f t="shared" si="14"/>
        <v>4</v>
      </c>
      <c r="G28">
        <f t="shared" si="15"/>
        <v>13</v>
      </c>
      <c r="H28">
        <f t="shared" si="16"/>
        <v>13</v>
      </c>
      <c r="J28" t="str">
        <f t="shared" si="11"/>
        <v>Fundo sujo</v>
      </c>
      <c r="K28" s="50" t="e">
        <f t="shared" si="12"/>
        <v>#DIV/0!</v>
      </c>
      <c r="L28" s="50">
        <f t="shared" si="13"/>
        <v>0</v>
      </c>
      <c r="M28" s="50">
        <f t="shared" si="19"/>
        <v>0</v>
      </c>
      <c r="N28" s="50" t="e">
        <f t="shared" si="17"/>
        <v>#DIV/0!</v>
      </c>
      <c r="O28" s="50" t="e">
        <f t="shared" si="18"/>
        <v>#DIV/0!</v>
      </c>
    </row>
    <row r="29" spans="1:15" ht="13.5" thickBot="1">
      <c r="A29" s="38">
        <v>5</v>
      </c>
      <c r="B29" s="43" t="str">
        <f>'Linha UM-4 - 2T'!C19</f>
        <v>Outros</v>
      </c>
      <c r="C29" s="49">
        <f>'Linha UM-4 - 2T'!AD19</f>
        <v>0</v>
      </c>
      <c r="D29" s="49" t="e">
        <f t="shared" si="10"/>
        <v>#DIV/0!</v>
      </c>
      <c r="F29" s="49">
        <f t="shared" si="14"/>
        <v>5</v>
      </c>
      <c r="G29">
        <f t="shared" si="15"/>
        <v>12</v>
      </c>
      <c r="H29">
        <f t="shared" si="16"/>
        <v>12</v>
      </c>
      <c r="J29" t="str">
        <f t="shared" si="11"/>
        <v>Bottom Plate Amassado</v>
      </c>
      <c r="K29" s="50" t="e">
        <f t="shared" si="12"/>
        <v>#DIV/0!</v>
      </c>
      <c r="L29" s="50">
        <f t="shared" si="13"/>
        <v>0</v>
      </c>
      <c r="M29" s="50">
        <f t="shared" si="19"/>
        <v>0</v>
      </c>
      <c r="N29" s="50" t="e">
        <f t="shared" si="17"/>
        <v>#DIV/0!</v>
      </c>
      <c r="O29" s="50" t="e">
        <f t="shared" si="18"/>
        <v>#DIV/0!</v>
      </c>
    </row>
    <row r="30" spans="1:15" ht="12.75" customHeight="1">
      <c r="A30" s="38">
        <v>6</v>
      </c>
      <c r="B30" s="41" t="str">
        <f>'Linha UM-4 - 2T'!C20</f>
        <v>Sem Cap</v>
      </c>
      <c r="C30" s="49">
        <f>'Linha UM-4 - 2T'!AD20</f>
        <v>0</v>
      </c>
      <c r="D30" s="49" t="e">
        <f t="shared" si="10"/>
        <v>#DIV/0!</v>
      </c>
      <c r="F30" s="49">
        <f t="shared" si="14"/>
        <v>6</v>
      </c>
      <c r="G30">
        <f t="shared" si="15"/>
        <v>11</v>
      </c>
      <c r="H30">
        <f t="shared" si="16"/>
        <v>11</v>
      </c>
      <c r="J30" t="str">
        <f t="shared" si="11"/>
        <v>Sem Bottom Plate</v>
      </c>
      <c r="K30" s="50" t="e">
        <f t="shared" si="12"/>
        <v>#DIV/0!</v>
      </c>
      <c r="L30" s="50">
        <f t="shared" si="13"/>
        <v>0</v>
      </c>
      <c r="M30" s="50">
        <f t="shared" si="19"/>
        <v>0</v>
      </c>
      <c r="N30" s="50" t="e">
        <f t="shared" si="17"/>
        <v>#DIV/0!</v>
      </c>
      <c r="O30" s="50" t="e">
        <f t="shared" si="18"/>
        <v>#DIV/0!</v>
      </c>
    </row>
    <row r="31" spans="1:15">
      <c r="A31" s="38">
        <v>7</v>
      </c>
      <c r="B31" s="42" t="str">
        <f>'Linha UM-4 - 2T'!C21</f>
        <v>Cap Amassado / Afundado</v>
      </c>
      <c r="C31" s="49">
        <f>'Linha UM-4 - 2T'!AD21</f>
        <v>0</v>
      </c>
      <c r="D31" s="49" t="e">
        <f t="shared" si="10"/>
        <v>#DIV/0!</v>
      </c>
      <c r="F31" s="49">
        <f t="shared" si="14"/>
        <v>7</v>
      </c>
      <c r="G31">
        <f t="shared" si="15"/>
        <v>10</v>
      </c>
      <c r="H31">
        <f t="shared" si="16"/>
        <v>10</v>
      </c>
      <c r="J31" t="str">
        <f t="shared" si="11"/>
        <v>Sem PY</v>
      </c>
      <c r="K31" s="50" t="e">
        <f t="shared" si="12"/>
        <v>#DIV/0!</v>
      </c>
      <c r="L31" s="50">
        <f t="shared" si="13"/>
        <v>0</v>
      </c>
      <c r="M31" s="50">
        <f t="shared" si="19"/>
        <v>0</v>
      </c>
      <c r="N31" s="50" t="e">
        <f t="shared" si="17"/>
        <v>#DIV/0!</v>
      </c>
      <c r="O31" s="50" t="e">
        <f t="shared" si="18"/>
        <v>#DIV/0!</v>
      </c>
    </row>
    <row r="32" spans="1:15">
      <c r="A32" s="38">
        <v>8</v>
      </c>
      <c r="B32" s="42" t="str">
        <f>'Linha UM-4 - 2T'!C22</f>
        <v>Cap Rachado</v>
      </c>
      <c r="C32" s="49">
        <f>'Linha UM-4 - 2T'!AD22</f>
        <v>0</v>
      </c>
      <c r="D32" s="49" t="e">
        <f t="shared" si="10"/>
        <v>#DIV/0!</v>
      </c>
      <c r="F32" s="49">
        <f t="shared" si="14"/>
        <v>8</v>
      </c>
      <c r="G32">
        <f t="shared" si="15"/>
        <v>9</v>
      </c>
      <c r="H32">
        <f t="shared" si="16"/>
        <v>9</v>
      </c>
      <c r="J32" t="str">
        <f t="shared" si="11"/>
        <v>PY Deslocado</v>
      </c>
      <c r="K32" s="50" t="e">
        <f t="shared" si="12"/>
        <v>#DIV/0!</v>
      </c>
      <c r="L32" s="50">
        <f t="shared" si="13"/>
        <v>0</v>
      </c>
      <c r="M32" s="50">
        <f t="shared" si="19"/>
        <v>0</v>
      </c>
      <c r="N32" s="50" t="e">
        <f t="shared" si="17"/>
        <v>#DIV/0!</v>
      </c>
      <c r="O32" s="50" t="e">
        <f t="shared" si="18"/>
        <v>#DIV/0!</v>
      </c>
    </row>
    <row r="33" spans="1:15">
      <c r="A33" s="38">
        <v>9</v>
      </c>
      <c r="B33" s="42" t="str">
        <f>'Linha UM-4 - 2T'!C23</f>
        <v>PY Deslocado</v>
      </c>
      <c r="C33" s="49">
        <f>'Linha UM-4 - 2T'!AD23</f>
        <v>0</v>
      </c>
      <c r="D33" s="49" t="e">
        <f t="shared" si="10"/>
        <v>#DIV/0!</v>
      </c>
      <c r="F33" s="49">
        <f t="shared" si="14"/>
        <v>9</v>
      </c>
      <c r="G33">
        <f t="shared" si="15"/>
        <v>8</v>
      </c>
      <c r="H33">
        <f t="shared" si="16"/>
        <v>8</v>
      </c>
      <c r="J33" t="str">
        <f t="shared" si="11"/>
        <v>Cap Rachado</v>
      </c>
      <c r="K33" s="50" t="e">
        <f t="shared" si="12"/>
        <v>#DIV/0!</v>
      </c>
      <c r="L33" s="50">
        <f t="shared" si="13"/>
        <v>0</v>
      </c>
      <c r="M33" s="50">
        <f t="shared" si="19"/>
        <v>0</v>
      </c>
      <c r="N33" s="50" t="e">
        <f t="shared" si="17"/>
        <v>#DIV/0!</v>
      </c>
      <c r="O33" s="50" t="e">
        <f t="shared" si="18"/>
        <v>#DIV/0!</v>
      </c>
    </row>
    <row r="34" spans="1:15">
      <c r="A34" s="38">
        <v>10</v>
      </c>
      <c r="B34" s="42" t="str">
        <f>'Linha UM-4 - 2T'!C24</f>
        <v>Sem PY</v>
      </c>
      <c r="C34" s="49">
        <f>'Linha UM-4 - 2T'!AD24</f>
        <v>0</v>
      </c>
      <c r="D34" s="49" t="e">
        <f t="shared" si="10"/>
        <v>#DIV/0!</v>
      </c>
      <c r="F34" s="49">
        <f t="shared" si="14"/>
        <v>10</v>
      </c>
      <c r="G34">
        <f t="shared" si="15"/>
        <v>7</v>
      </c>
      <c r="H34">
        <f t="shared" si="16"/>
        <v>7</v>
      </c>
      <c r="J34" t="str">
        <f t="shared" si="11"/>
        <v>Cap Amassado / Afundado</v>
      </c>
      <c r="K34" s="50" t="e">
        <f t="shared" si="12"/>
        <v>#DIV/0!</v>
      </c>
      <c r="L34" s="50">
        <f t="shared" si="13"/>
        <v>0</v>
      </c>
      <c r="M34" s="50">
        <f t="shared" si="19"/>
        <v>0</v>
      </c>
      <c r="N34" s="50" t="e">
        <f t="shared" si="17"/>
        <v>#DIV/0!</v>
      </c>
      <c r="O34" s="50" t="e">
        <f t="shared" si="18"/>
        <v>#DIV/0!</v>
      </c>
    </row>
    <row r="35" spans="1:15" ht="13.5" thickBot="1">
      <c r="A35" s="40">
        <v>11</v>
      </c>
      <c r="B35" s="43" t="str">
        <f>'Linha UM-4 - 2T'!C25</f>
        <v>Sem Bottom Plate</v>
      </c>
      <c r="C35" s="49">
        <f>'Linha UM-4 - 2T'!AD25</f>
        <v>0</v>
      </c>
      <c r="D35" s="49" t="e">
        <f t="shared" si="10"/>
        <v>#DIV/0!</v>
      </c>
      <c r="F35" s="49">
        <f t="shared" si="14"/>
        <v>11</v>
      </c>
      <c r="G35">
        <f t="shared" si="15"/>
        <v>6</v>
      </c>
      <c r="H35">
        <f t="shared" si="16"/>
        <v>6</v>
      </c>
      <c r="J35" t="str">
        <f t="shared" si="11"/>
        <v>Sem Cap</v>
      </c>
      <c r="K35" s="50" t="e">
        <f t="shared" si="12"/>
        <v>#DIV/0!</v>
      </c>
      <c r="L35" s="50">
        <f t="shared" si="13"/>
        <v>0</v>
      </c>
      <c r="M35" s="50">
        <f t="shared" si="19"/>
        <v>0</v>
      </c>
      <c r="N35" s="50" t="e">
        <f t="shared" si="17"/>
        <v>#DIV/0!</v>
      </c>
      <c r="O35" s="50" t="e">
        <f t="shared" si="18"/>
        <v>#DIV/0!</v>
      </c>
    </row>
    <row r="36" spans="1:15" ht="12.75" customHeight="1">
      <c r="A36" s="37">
        <v>12</v>
      </c>
      <c r="B36" s="41" t="str">
        <f>'Linha UM-4 - 2T'!C26</f>
        <v>Bottom Plate Amassado</v>
      </c>
      <c r="C36" s="49">
        <f>'Linha UM-4 - 2T'!AD26</f>
        <v>0</v>
      </c>
      <c r="D36" s="49" t="e">
        <f t="shared" si="10"/>
        <v>#DIV/0!</v>
      </c>
      <c r="F36" s="49">
        <f t="shared" si="14"/>
        <v>12</v>
      </c>
      <c r="G36">
        <f t="shared" si="15"/>
        <v>5</v>
      </c>
      <c r="H36">
        <f t="shared" si="16"/>
        <v>5</v>
      </c>
      <c r="J36" t="str">
        <f t="shared" si="11"/>
        <v>Outros</v>
      </c>
      <c r="K36" s="50" t="e">
        <f t="shared" si="12"/>
        <v>#DIV/0!</v>
      </c>
      <c r="L36" s="50">
        <f t="shared" si="13"/>
        <v>0</v>
      </c>
      <c r="M36" s="50">
        <f t="shared" si="19"/>
        <v>0</v>
      </c>
      <c r="N36" s="50" t="e">
        <f t="shared" si="17"/>
        <v>#DIV/0!</v>
      </c>
      <c r="O36" s="50" t="e">
        <f t="shared" si="18"/>
        <v>#DIV/0!</v>
      </c>
    </row>
    <row r="37" spans="1:15">
      <c r="A37" s="38">
        <v>13</v>
      </c>
      <c r="B37" s="42" t="str">
        <f>'Linha UM-4 - 2T'!C27</f>
        <v>Fundo sujo</v>
      </c>
      <c r="C37" s="49">
        <f>'Linha UM-4 - 2T'!AD27</f>
        <v>0</v>
      </c>
      <c r="D37" s="49" t="e">
        <f t="shared" si="10"/>
        <v>#DIV/0!</v>
      </c>
      <c r="F37" s="49">
        <f t="shared" si="14"/>
        <v>13</v>
      </c>
      <c r="G37">
        <f t="shared" si="15"/>
        <v>4</v>
      </c>
      <c r="H37">
        <f t="shared" si="16"/>
        <v>4</v>
      </c>
      <c r="J37" t="str">
        <f t="shared" si="11"/>
        <v>PVC deformado</v>
      </c>
      <c r="K37" s="50" t="e">
        <f t="shared" si="12"/>
        <v>#DIV/0!</v>
      </c>
      <c r="L37" s="50">
        <f t="shared" si="13"/>
        <v>0</v>
      </c>
      <c r="M37" s="50">
        <f t="shared" si="19"/>
        <v>0</v>
      </c>
      <c r="N37" s="50" t="e">
        <f t="shared" si="17"/>
        <v>#DIV/0!</v>
      </c>
      <c r="O37" s="50" t="e">
        <f t="shared" si="18"/>
        <v>#DIV/0!</v>
      </c>
    </row>
    <row r="38" spans="1:15">
      <c r="A38" s="38">
        <v>14</v>
      </c>
      <c r="B38" s="42" t="str">
        <f>'Linha UM-4 - 2T'!C28</f>
        <v>Tubo de Zinco Trincado</v>
      </c>
      <c r="C38" s="49">
        <f>'Linha UM-4 - 2T'!AD28</f>
        <v>0</v>
      </c>
      <c r="D38" s="49" t="e">
        <f t="shared" si="10"/>
        <v>#DIV/0!</v>
      </c>
      <c r="F38" s="49">
        <f t="shared" si="14"/>
        <v>14</v>
      </c>
      <c r="G38">
        <f t="shared" si="15"/>
        <v>3</v>
      </c>
      <c r="H38">
        <f t="shared" si="16"/>
        <v>3</v>
      </c>
      <c r="J38" t="str">
        <f t="shared" si="11"/>
        <v>PVC rasgado</v>
      </c>
      <c r="K38" s="50" t="e">
        <f t="shared" si="12"/>
        <v>#DIV/0!</v>
      </c>
      <c r="L38" s="50">
        <f t="shared" si="13"/>
        <v>0</v>
      </c>
      <c r="M38" s="50">
        <f t="shared" si="19"/>
        <v>0</v>
      </c>
      <c r="N38" s="50" t="e">
        <f t="shared" si="17"/>
        <v>#DIV/0!</v>
      </c>
      <c r="O38" s="50" t="e">
        <f t="shared" si="18"/>
        <v>#DIV/0!</v>
      </c>
    </row>
    <row r="39" spans="1:15">
      <c r="A39" s="38">
        <v>15</v>
      </c>
      <c r="B39" s="42" t="str">
        <f>'Linha UM-4 - 2T'!C29</f>
        <v>Pilha amassada</v>
      </c>
      <c r="C39" s="49">
        <f>'Linha UM-4 - 2T'!AD29</f>
        <v>0</v>
      </c>
      <c r="D39" s="49" t="e">
        <f t="shared" si="10"/>
        <v>#DIV/0!</v>
      </c>
      <c r="F39" s="49">
        <f t="shared" si="14"/>
        <v>15</v>
      </c>
      <c r="G39">
        <f t="shared" si="15"/>
        <v>2</v>
      </c>
      <c r="H39">
        <f t="shared" si="16"/>
        <v>2</v>
      </c>
      <c r="J39" t="str">
        <f t="shared" si="11"/>
        <v>PVC Mal impresso</v>
      </c>
      <c r="K39" s="50" t="e">
        <f t="shared" si="12"/>
        <v>#DIV/0!</v>
      </c>
      <c r="L39" s="50">
        <f t="shared" si="13"/>
        <v>0</v>
      </c>
      <c r="M39" s="50">
        <f t="shared" si="19"/>
        <v>0</v>
      </c>
      <c r="N39" s="50" t="e">
        <f t="shared" si="17"/>
        <v>#DIV/0!</v>
      </c>
      <c r="O39" s="50" t="e">
        <f t="shared" si="18"/>
        <v>#DIV/0!</v>
      </c>
    </row>
    <row r="40" spans="1:15" ht="13.5" thickBot="1">
      <c r="A40" s="38">
        <v>16</v>
      </c>
      <c r="B40" s="42" t="str">
        <f>'Linha UM-4 - 2T'!C30</f>
        <v>Outros</v>
      </c>
      <c r="C40" s="49">
        <f>'Linha UM-4 - 2T'!AD30</f>
        <v>0</v>
      </c>
      <c r="D40" s="49" t="e">
        <f t="shared" si="10"/>
        <v>#DIV/0!</v>
      </c>
      <c r="F40" s="49">
        <f t="shared" si="14"/>
        <v>16</v>
      </c>
      <c r="G40">
        <f t="shared" si="15"/>
        <v>1</v>
      </c>
      <c r="H40">
        <f t="shared" si="16"/>
        <v>1</v>
      </c>
      <c r="J40" t="str">
        <f t="shared" si="11"/>
        <v>Pilha deformada</v>
      </c>
      <c r="K40" s="50" t="e">
        <f t="shared" si="12"/>
        <v>#DIV/0!</v>
      </c>
      <c r="L40" s="50">
        <f t="shared" si="13"/>
        <v>0</v>
      </c>
      <c r="M40" s="50">
        <f t="shared" si="19"/>
        <v>0</v>
      </c>
      <c r="N40" s="50" t="e">
        <f t="shared" si="17"/>
        <v>#DIV/0!</v>
      </c>
      <c r="O40" s="50" t="e">
        <f t="shared" si="18"/>
        <v>#DIV/0!</v>
      </c>
    </row>
    <row r="41" spans="1:15">
      <c r="A41" s="116" t="s">
        <v>3</v>
      </c>
      <c r="B41" s="118"/>
      <c r="C41" s="49">
        <f>'Linha UM-4 - 2T'!AD31</f>
        <v>0</v>
      </c>
      <c r="D41" s="49" t="e">
        <f t="shared" si="10"/>
        <v>#DIV/0!</v>
      </c>
    </row>
    <row r="43" spans="1:15">
      <c r="C43" s="56" t="s">
        <v>55</v>
      </c>
    </row>
    <row r="44" spans="1:15">
      <c r="C44" t="s">
        <v>18</v>
      </c>
      <c r="D44" t="s">
        <v>12</v>
      </c>
    </row>
    <row r="45" spans="1:15" ht="13.5" thickBot="1">
      <c r="C45" s="49">
        <f>'Linha UM-4 - 3T'!PROD_3T</f>
        <v>0</v>
      </c>
    </row>
    <row r="46" spans="1:15">
      <c r="A46" s="37">
        <v>1</v>
      </c>
      <c r="B46" s="41" t="str">
        <f>'Linha UM-4 - 2T'!C13</f>
        <v>Pilha deformada</v>
      </c>
      <c r="C46" s="49">
        <f>'Linha UM-4 - 3T'!AD13</f>
        <v>0</v>
      </c>
      <c r="D46" s="49" t="e">
        <f>C46/C$45*1000000</f>
        <v>#DIV/0!</v>
      </c>
      <c r="F46" s="49">
        <f>C46*10000+A46</f>
        <v>1</v>
      </c>
      <c r="G46">
        <f>LARGE(F$46:F$61,A46)</f>
        <v>16</v>
      </c>
      <c r="H46">
        <f>MATCH(G46,F$46:F$61,0)</f>
        <v>16</v>
      </c>
      <c r="J46" t="str">
        <f>VLOOKUP(H46,A$46:D$61,2,TRUE)</f>
        <v>Tubo de Zinco Trincado</v>
      </c>
      <c r="K46" s="50" t="e">
        <f>VLOOKUP(H46,A$46:D$61,4,FALSE)</f>
        <v>#DIV/0!</v>
      </c>
      <c r="L46" s="50">
        <f>VLOOKUP(H46,A$46:C$61,3,FALSE)</f>
        <v>0</v>
      </c>
      <c r="M46" s="50">
        <f>L46</f>
        <v>0</v>
      </c>
      <c r="N46" s="50" t="e">
        <f>M46/$M$61*100</f>
        <v>#DIV/0!</v>
      </c>
      <c r="O46" s="50" t="e">
        <f t="shared" ref="O46:O61" si="20">IF(($D$62&gt;TARGET_N)*(N46&lt;=80),K46,0)</f>
        <v>#DIV/0!</v>
      </c>
    </row>
    <row r="47" spans="1:15">
      <c r="A47" s="38">
        <v>2</v>
      </c>
      <c r="B47" s="42" t="str">
        <f>'Linha UM-4 - 2T'!C14</f>
        <v>PVC Mal impresso</v>
      </c>
      <c r="C47" s="49">
        <f>'Linha UM-4 - 3T'!AD14</f>
        <v>0</v>
      </c>
      <c r="D47" s="49" t="e">
        <f t="shared" ref="D47:D61" si="21">C47/C$45*1000000</f>
        <v>#DIV/0!</v>
      </c>
      <c r="F47" s="49">
        <f t="shared" ref="F47:F61" si="22">C47*10000+A47</f>
        <v>2</v>
      </c>
      <c r="G47">
        <f t="shared" ref="G47:G61" si="23">LARGE(F$46:F$61,A47)</f>
        <v>15</v>
      </c>
      <c r="H47">
        <f t="shared" ref="H47:H61" si="24">MATCH(G47,F$46:F$61,0)</f>
        <v>15</v>
      </c>
      <c r="J47" t="str">
        <f t="shared" ref="J47:J61" si="25">VLOOKUP(H47,A$46:D$61,2,TRUE)</f>
        <v>Fundo sujo</v>
      </c>
      <c r="K47" s="50" t="e">
        <f t="shared" ref="K47:K61" si="26">VLOOKUP(H47,A$46:D$61,4,FALSE)</f>
        <v>#DIV/0!</v>
      </c>
      <c r="L47" s="50">
        <f t="shared" ref="L47:L61" si="27">VLOOKUP(H47,A$46:C$61,3,FALSE)</f>
        <v>0</v>
      </c>
      <c r="M47" s="50">
        <f>L47+M46</f>
        <v>0</v>
      </c>
      <c r="N47" s="50" t="e">
        <f t="shared" ref="N47:N61" si="28">M47/$M$61*100</f>
        <v>#DIV/0!</v>
      </c>
      <c r="O47" s="50" t="e">
        <f t="shared" si="20"/>
        <v>#DIV/0!</v>
      </c>
    </row>
    <row r="48" spans="1:15">
      <c r="A48" s="38">
        <v>3</v>
      </c>
      <c r="B48" s="42" t="str">
        <f>'Linha UM-4 - 2T'!C15</f>
        <v>PVC rasgado</v>
      </c>
      <c r="C48" s="49">
        <f>'Linha UM-4 - 3T'!AD15</f>
        <v>0</v>
      </c>
      <c r="D48" s="49" t="e">
        <f t="shared" si="21"/>
        <v>#DIV/0!</v>
      </c>
      <c r="F48" s="49">
        <f t="shared" si="22"/>
        <v>3</v>
      </c>
      <c r="G48">
        <f t="shared" si="23"/>
        <v>14</v>
      </c>
      <c r="H48">
        <f t="shared" si="24"/>
        <v>14</v>
      </c>
      <c r="J48" t="str">
        <f t="shared" si="25"/>
        <v>Bottom Plate Amassado</v>
      </c>
      <c r="K48" s="50" t="e">
        <f t="shared" si="26"/>
        <v>#DIV/0!</v>
      </c>
      <c r="L48" s="50">
        <f t="shared" si="27"/>
        <v>0</v>
      </c>
      <c r="M48" s="50">
        <f t="shared" ref="M48:M61" si="29">L48+M47</f>
        <v>0</v>
      </c>
      <c r="N48" s="50" t="e">
        <f t="shared" si="28"/>
        <v>#DIV/0!</v>
      </c>
      <c r="O48" s="50" t="e">
        <f t="shared" si="20"/>
        <v>#DIV/0!</v>
      </c>
    </row>
    <row r="49" spans="1:15">
      <c r="A49" s="38">
        <v>4</v>
      </c>
      <c r="B49" s="42" t="str">
        <f>'Linha UM-4 - 2T'!C16</f>
        <v>PVC deformado</v>
      </c>
      <c r="C49" s="49">
        <f>'Linha UM-4 - 3T'!AD16</f>
        <v>0</v>
      </c>
      <c r="D49" s="49" t="e">
        <f t="shared" si="21"/>
        <v>#DIV/0!</v>
      </c>
      <c r="F49" s="49">
        <f t="shared" si="22"/>
        <v>4</v>
      </c>
      <c r="G49">
        <f t="shared" si="23"/>
        <v>13</v>
      </c>
      <c r="H49">
        <f t="shared" si="24"/>
        <v>13</v>
      </c>
      <c r="J49" t="str">
        <f t="shared" si="25"/>
        <v>Sem Bottom Plate</v>
      </c>
      <c r="K49" s="50" t="e">
        <f t="shared" si="26"/>
        <v>#DIV/0!</v>
      </c>
      <c r="L49" s="50">
        <f t="shared" si="27"/>
        <v>0</v>
      </c>
      <c r="M49" s="50">
        <f t="shared" si="29"/>
        <v>0</v>
      </c>
      <c r="N49" s="50" t="e">
        <f t="shared" si="28"/>
        <v>#DIV/0!</v>
      </c>
      <c r="O49" s="50" t="e">
        <f t="shared" si="20"/>
        <v>#DIV/0!</v>
      </c>
    </row>
    <row r="50" spans="1:15" ht="13.5" thickBot="1">
      <c r="A50" s="38">
        <v>5</v>
      </c>
      <c r="B50" s="43" t="str">
        <f>'Linha UM-4 - 2T'!C17</f>
        <v>Pilha caida no prato</v>
      </c>
      <c r="C50" s="49">
        <f>'Linha UM-4 - 3T'!AD17</f>
        <v>0</v>
      </c>
      <c r="D50" s="49" t="e">
        <f t="shared" si="21"/>
        <v>#DIV/0!</v>
      </c>
      <c r="F50" s="49">
        <f t="shared" si="22"/>
        <v>5</v>
      </c>
      <c r="G50">
        <f t="shared" si="23"/>
        <v>12</v>
      </c>
      <c r="H50">
        <f t="shared" si="24"/>
        <v>12</v>
      </c>
      <c r="J50" t="str">
        <f t="shared" si="25"/>
        <v>Sem PY</v>
      </c>
      <c r="K50" s="50" t="e">
        <f t="shared" si="26"/>
        <v>#DIV/0!</v>
      </c>
      <c r="L50" s="50">
        <f t="shared" si="27"/>
        <v>0</v>
      </c>
      <c r="M50" s="50">
        <f t="shared" si="29"/>
        <v>0</v>
      </c>
      <c r="N50" s="50" t="e">
        <f t="shared" si="28"/>
        <v>#DIV/0!</v>
      </c>
      <c r="O50" s="50" t="e">
        <f t="shared" si="20"/>
        <v>#DIV/0!</v>
      </c>
    </row>
    <row r="51" spans="1:15">
      <c r="A51" s="38">
        <v>6</v>
      </c>
      <c r="B51" s="41" t="str">
        <f>'Linha UM-4 - 2T'!C18</f>
        <v>Pilha Queimada</v>
      </c>
      <c r="C51" s="49">
        <f>'Linha UM-4 - 3T'!AD18</f>
        <v>0</v>
      </c>
      <c r="D51" s="49" t="e">
        <f t="shared" si="21"/>
        <v>#DIV/0!</v>
      </c>
      <c r="F51" s="49">
        <f t="shared" si="22"/>
        <v>6</v>
      </c>
      <c r="G51">
        <f t="shared" si="23"/>
        <v>11</v>
      </c>
      <c r="H51">
        <f t="shared" si="24"/>
        <v>11</v>
      </c>
      <c r="J51" t="str">
        <f t="shared" si="25"/>
        <v>PY Deslocado</v>
      </c>
      <c r="K51" s="50" t="e">
        <f t="shared" si="26"/>
        <v>#DIV/0!</v>
      </c>
      <c r="L51" s="50">
        <f t="shared" si="27"/>
        <v>0</v>
      </c>
      <c r="M51" s="50">
        <f t="shared" si="29"/>
        <v>0</v>
      </c>
      <c r="N51" s="50" t="e">
        <f t="shared" si="28"/>
        <v>#DIV/0!</v>
      </c>
      <c r="O51" s="50" t="e">
        <f t="shared" si="20"/>
        <v>#DIV/0!</v>
      </c>
    </row>
    <row r="52" spans="1:15">
      <c r="A52" s="38">
        <v>7</v>
      </c>
      <c r="B52" s="42" t="str">
        <f>'Linha UM-4 - 2T'!C19</f>
        <v>Outros</v>
      </c>
      <c r="C52" s="49">
        <f>'Linha UM-4 - 3T'!AD19</f>
        <v>0</v>
      </c>
      <c r="D52" s="49" t="e">
        <f t="shared" si="21"/>
        <v>#DIV/0!</v>
      </c>
      <c r="F52" s="49">
        <f t="shared" si="22"/>
        <v>7</v>
      </c>
      <c r="G52">
        <f t="shared" si="23"/>
        <v>10</v>
      </c>
      <c r="H52">
        <f t="shared" si="24"/>
        <v>10</v>
      </c>
      <c r="J52" t="str">
        <f t="shared" si="25"/>
        <v>Cap Rachado</v>
      </c>
      <c r="K52" s="50" t="e">
        <f t="shared" si="26"/>
        <v>#DIV/0!</v>
      </c>
      <c r="L52" s="50">
        <f t="shared" si="27"/>
        <v>0</v>
      </c>
      <c r="M52" s="50">
        <f t="shared" si="29"/>
        <v>0</v>
      </c>
      <c r="N52" s="50" t="e">
        <f t="shared" si="28"/>
        <v>#DIV/0!</v>
      </c>
      <c r="O52" s="50" t="e">
        <f t="shared" si="20"/>
        <v>#DIV/0!</v>
      </c>
    </row>
    <row r="53" spans="1:15">
      <c r="A53" s="38">
        <v>8</v>
      </c>
      <c r="B53" s="42" t="str">
        <f>'Linha UM-4 - 2T'!C20</f>
        <v>Sem Cap</v>
      </c>
      <c r="C53" s="49">
        <f>'Linha UM-4 - 3T'!AD20</f>
        <v>0</v>
      </c>
      <c r="D53" s="49" t="e">
        <f t="shared" si="21"/>
        <v>#DIV/0!</v>
      </c>
      <c r="F53" s="49">
        <f t="shared" si="22"/>
        <v>8</v>
      </c>
      <c r="G53">
        <f t="shared" si="23"/>
        <v>9</v>
      </c>
      <c r="H53">
        <f t="shared" si="24"/>
        <v>9</v>
      </c>
      <c r="J53" t="str">
        <f t="shared" si="25"/>
        <v>Cap Amassado / Afundado</v>
      </c>
      <c r="K53" s="50" t="e">
        <f t="shared" si="26"/>
        <v>#DIV/0!</v>
      </c>
      <c r="L53" s="50">
        <f t="shared" si="27"/>
        <v>0</v>
      </c>
      <c r="M53" s="50">
        <f t="shared" si="29"/>
        <v>0</v>
      </c>
      <c r="N53" s="50" t="e">
        <f t="shared" si="28"/>
        <v>#DIV/0!</v>
      </c>
      <c r="O53" s="50" t="e">
        <f t="shared" si="20"/>
        <v>#DIV/0!</v>
      </c>
    </row>
    <row r="54" spans="1:15">
      <c r="A54" s="38">
        <v>9</v>
      </c>
      <c r="B54" s="42" t="str">
        <f>'Linha UM-4 - 2T'!C21</f>
        <v>Cap Amassado / Afundado</v>
      </c>
      <c r="C54" s="49">
        <f>'Linha UM-4 - 3T'!AD21</f>
        <v>0</v>
      </c>
      <c r="D54" s="49" t="e">
        <f t="shared" si="21"/>
        <v>#DIV/0!</v>
      </c>
      <c r="F54" s="49">
        <f t="shared" si="22"/>
        <v>9</v>
      </c>
      <c r="G54">
        <f t="shared" si="23"/>
        <v>8</v>
      </c>
      <c r="H54">
        <f t="shared" si="24"/>
        <v>8</v>
      </c>
      <c r="J54" t="str">
        <f t="shared" si="25"/>
        <v>Sem Cap</v>
      </c>
      <c r="K54" s="50" t="e">
        <f t="shared" si="26"/>
        <v>#DIV/0!</v>
      </c>
      <c r="L54" s="50">
        <f t="shared" si="27"/>
        <v>0</v>
      </c>
      <c r="M54" s="50">
        <f t="shared" si="29"/>
        <v>0</v>
      </c>
      <c r="N54" s="50" t="e">
        <f t="shared" si="28"/>
        <v>#DIV/0!</v>
      </c>
      <c r="O54" s="50" t="e">
        <f t="shared" si="20"/>
        <v>#DIV/0!</v>
      </c>
    </row>
    <row r="55" spans="1:15">
      <c r="A55" s="38">
        <v>10</v>
      </c>
      <c r="B55" s="42" t="str">
        <f>'Linha UM-4 - 2T'!C22</f>
        <v>Cap Rachado</v>
      </c>
      <c r="C55" s="49">
        <f>'Linha UM-4 - 3T'!AD22</f>
        <v>0</v>
      </c>
      <c r="D55" s="49" t="e">
        <f t="shared" si="21"/>
        <v>#DIV/0!</v>
      </c>
      <c r="F55" s="49">
        <f t="shared" si="22"/>
        <v>10</v>
      </c>
      <c r="G55">
        <f t="shared" si="23"/>
        <v>7</v>
      </c>
      <c r="H55">
        <f t="shared" si="24"/>
        <v>7</v>
      </c>
      <c r="J55" t="str">
        <f t="shared" si="25"/>
        <v>Outros</v>
      </c>
      <c r="K55" s="50" t="e">
        <f t="shared" si="26"/>
        <v>#DIV/0!</v>
      </c>
      <c r="L55" s="50">
        <f t="shared" si="27"/>
        <v>0</v>
      </c>
      <c r="M55" s="50">
        <f t="shared" si="29"/>
        <v>0</v>
      </c>
      <c r="N55" s="50" t="e">
        <f t="shared" si="28"/>
        <v>#DIV/0!</v>
      </c>
      <c r="O55" s="50" t="e">
        <f t="shared" si="20"/>
        <v>#DIV/0!</v>
      </c>
    </row>
    <row r="56" spans="1:15" ht="13.5" thickBot="1">
      <c r="A56" s="40">
        <v>11</v>
      </c>
      <c r="B56" s="43" t="str">
        <f>'Linha UM-4 - 2T'!C23</f>
        <v>PY Deslocado</v>
      </c>
      <c r="C56" s="49">
        <f>'Linha UM-4 - 3T'!AD23</f>
        <v>0</v>
      </c>
      <c r="D56" s="49" t="e">
        <f t="shared" si="21"/>
        <v>#DIV/0!</v>
      </c>
      <c r="F56" s="49">
        <f t="shared" si="22"/>
        <v>11</v>
      </c>
      <c r="G56">
        <f t="shared" si="23"/>
        <v>6</v>
      </c>
      <c r="H56">
        <f t="shared" si="24"/>
        <v>6</v>
      </c>
      <c r="J56" t="str">
        <f t="shared" si="25"/>
        <v>Pilha Queimada</v>
      </c>
      <c r="K56" s="50" t="e">
        <f t="shared" si="26"/>
        <v>#DIV/0!</v>
      </c>
      <c r="L56" s="50">
        <f t="shared" si="27"/>
        <v>0</v>
      </c>
      <c r="M56" s="50">
        <f t="shared" si="29"/>
        <v>0</v>
      </c>
      <c r="N56" s="50" t="e">
        <f t="shared" si="28"/>
        <v>#DIV/0!</v>
      </c>
      <c r="O56" s="50" t="e">
        <f t="shared" si="20"/>
        <v>#DIV/0!</v>
      </c>
    </row>
    <row r="57" spans="1:15">
      <c r="A57" s="37">
        <v>12</v>
      </c>
      <c r="B57" s="41" t="str">
        <f>'Linha UM-4 - 2T'!C24</f>
        <v>Sem PY</v>
      </c>
      <c r="C57" s="49">
        <f>'Linha UM-4 - 3T'!AD24</f>
        <v>0</v>
      </c>
      <c r="D57" s="49" t="e">
        <f t="shared" si="21"/>
        <v>#DIV/0!</v>
      </c>
      <c r="F57" s="49">
        <f t="shared" si="22"/>
        <v>12</v>
      </c>
      <c r="G57">
        <f t="shared" si="23"/>
        <v>5</v>
      </c>
      <c r="H57">
        <f t="shared" si="24"/>
        <v>5</v>
      </c>
      <c r="J57" t="str">
        <f t="shared" si="25"/>
        <v>Pilha caida no prato</v>
      </c>
      <c r="K57" s="50" t="e">
        <f t="shared" si="26"/>
        <v>#DIV/0!</v>
      </c>
      <c r="L57" s="50">
        <f t="shared" si="27"/>
        <v>0</v>
      </c>
      <c r="M57" s="50">
        <f t="shared" si="29"/>
        <v>0</v>
      </c>
      <c r="N57" s="50" t="e">
        <f t="shared" si="28"/>
        <v>#DIV/0!</v>
      </c>
      <c r="O57" s="50" t="e">
        <f t="shared" si="20"/>
        <v>#DIV/0!</v>
      </c>
    </row>
    <row r="58" spans="1:15">
      <c r="A58" s="38">
        <v>13</v>
      </c>
      <c r="B58" s="42" t="str">
        <f>'Linha UM-4 - 2T'!C25</f>
        <v>Sem Bottom Plate</v>
      </c>
      <c r="C58" s="49">
        <f>'Linha UM-4 - 3T'!AD25</f>
        <v>0</v>
      </c>
      <c r="D58" s="49" t="e">
        <f t="shared" si="21"/>
        <v>#DIV/0!</v>
      </c>
      <c r="F58" s="49">
        <f t="shared" si="22"/>
        <v>13</v>
      </c>
      <c r="G58">
        <f t="shared" si="23"/>
        <v>4</v>
      </c>
      <c r="H58">
        <f t="shared" si="24"/>
        <v>4</v>
      </c>
      <c r="J58" t="str">
        <f t="shared" si="25"/>
        <v>PVC deformado</v>
      </c>
      <c r="K58" s="50" t="e">
        <f t="shared" si="26"/>
        <v>#DIV/0!</v>
      </c>
      <c r="L58" s="50">
        <f t="shared" si="27"/>
        <v>0</v>
      </c>
      <c r="M58" s="50">
        <f t="shared" si="29"/>
        <v>0</v>
      </c>
      <c r="N58" s="50" t="e">
        <f t="shared" si="28"/>
        <v>#DIV/0!</v>
      </c>
      <c r="O58" s="50" t="e">
        <f t="shared" si="20"/>
        <v>#DIV/0!</v>
      </c>
    </row>
    <row r="59" spans="1:15">
      <c r="A59" s="38">
        <v>14</v>
      </c>
      <c r="B59" s="42" t="str">
        <f>'Linha UM-4 - 2T'!C26</f>
        <v>Bottom Plate Amassado</v>
      </c>
      <c r="C59" s="49">
        <f>'Linha UM-4 - 3T'!AD26</f>
        <v>0</v>
      </c>
      <c r="D59" s="49" t="e">
        <f t="shared" si="21"/>
        <v>#DIV/0!</v>
      </c>
      <c r="F59" s="49">
        <f t="shared" si="22"/>
        <v>14</v>
      </c>
      <c r="G59">
        <f t="shared" si="23"/>
        <v>3</v>
      </c>
      <c r="H59">
        <f t="shared" si="24"/>
        <v>3</v>
      </c>
      <c r="J59" t="str">
        <f t="shared" si="25"/>
        <v>PVC rasgado</v>
      </c>
      <c r="K59" s="50" t="e">
        <f t="shared" si="26"/>
        <v>#DIV/0!</v>
      </c>
      <c r="L59" s="50">
        <f t="shared" si="27"/>
        <v>0</v>
      </c>
      <c r="M59" s="50">
        <f t="shared" si="29"/>
        <v>0</v>
      </c>
      <c r="N59" s="50" t="e">
        <f t="shared" si="28"/>
        <v>#DIV/0!</v>
      </c>
      <c r="O59" s="50" t="e">
        <f t="shared" si="20"/>
        <v>#DIV/0!</v>
      </c>
    </row>
    <row r="60" spans="1:15">
      <c r="A60" s="38">
        <v>15</v>
      </c>
      <c r="B60" s="42" t="str">
        <f>'Linha UM-4 - 2T'!C27</f>
        <v>Fundo sujo</v>
      </c>
      <c r="C60" s="49">
        <f>'Linha UM-4 - 3T'!AD27</f>
        <v>0</v>
      </c>
      <c r="D60" s="49" t="e">
        <f t="shared" si="21"/>
        <v>#DIV/0!</v>
      </c>
      <c r="F60" s="49">
        <f t="shared" si="22"/>
        <v>15</v>
      </c>
      <c r="G60">
        <f t="shared" si="23"/>
        <v>2</v>
      </c>
      <c r="H60">
        <f t="shared" si="24"/>
        <v>2</v>
      </c>
      <c r="J60" t="str">
        <f t="shared" si="25"/>
        <v>PVC Mal impresso</v>
      </c>
      <c r="K60" s="50" t="e">
        <f t="shared" si="26"/>
        <v>#DIV/0!</v>
      </c>
      <c r="L60" s="50">
        <f t="shared" si="27"/>
        <v>0</v>
      </c>
      <c r="M60" s="50">
        <f t="shared" si="29"/>
        <v>0</v>
      </c>
      <c r="N60" s="50" t="e">
        <f t="shared" si="28"/>
        <v>#DIV/0!</v>
      </c>
      <c r="O60" s="50" t="e">
        <f t="shared" si="20"/>
        <v>#DIV/0!</v>
      </c>
    </row>
    <row r="61" spans="1:15" ht="13.5" thickBot="1">
      <c r="A61" s="38">
        <v>16</v>
      </c>
      <c r="B61" s="42" t="str">
        <f>'Linha UM-4 - 2T'!C28</f>
        <v>Tubo de Zinco Trincado</v>
      </c>
      <c r="C61" s="49">
        <f>'Linha UM-4 - 3T'!AD28</f>
        <v>0</v>
      </c>
      <c r="D61" s="49" t="e">
        <f t="shared" si="21"/>
        <v>#DIV/0!</v>
      </c>
      <c r="F61" s="49">
        <f t="shared" si="22"/>
        <v>16</v>
      </c>
      <c r="G61">
        <f t="shared" si="23"/>
        <v>1</v>
      </c>
      <c r="H61">
        <f t="shared" si="24"/>
        <v>1</v>
      </c>
      <c r="J61" t="str">
        <f t="shared" si="25"/>
        <v>Pilha deformada</v>
      </c>
      <c r="K61" s="50" t="e">
        <f t="shared" si="26"/>
        <v>#DIV/0!</v>
      </c>
      <c r="L61" s="50">
        <f t="shared" si="27"/>
        <v>0</v>
      </c>
      <c r="M61" s="50">
        <f t="shared" si="29"/>
        <v>0</v>
      </c>
      <c r="N61" s="50" t="e">
        <f t="shared" si="28"/>
        <v>#DIV/0!</v>
      </c>
      <c r="O61" s="50" t="e">
        <f t="shared" si="20"/>
        <v>#DIV/0!</v>
      </c>
    </row>
    <row r="62" spans="1:15">
      <c r="A62" s="116" t="s">
        <v>3</v>
      </c>
      <c r="B62" s="118"/>
      <c r="C62" s="49">
        <f>'Linha UM-4 - 3T'!AD31</f>
        <v>0</v>
      </c>
      <c r="D62" s="49" t="e">
        <f>C62/C$45*1000000</f>
        <v>#DIV/0!</v>
      </c>
    </row>
  </sheetData>
  <sheetProtection algorithmName="SHA-512" hashValue="+FUyZYNSlWv8E44LTEw0Qs5HuAcdSAXlGoHPKrfkECuna3OoMzaEoKQmeKhJzicUJ9gW7P4uy8iL4hVuvkjCkg==" saltValue="QwhId9KzB/e3Cq/nZXkKMQ==" spinCount="100000" sheet="1" objects="1" scenarios="1" selectLockedCells="1"/>
  <mergeCells count="3">
    <mergeCell ref="A41:B41"/>
    <mergeCell ref="A20:B20"/>
    <mergeCell ref="A62:B62"/>
  </mergeCells>
  <phoneticPr fontId="0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13</vt:i4>
      </vt:variant>
    </vt:vector>
  </HeadingPairs>
  <TitlesOfParts>
    <vt:vector size="21" baseType="lpstr">
      <vt:lpstr>Instruções de Uso</vt:lpstr>
      <vt:lpstr>Linha UM-4 - Dia</vt:lpstr>
      <vt:lpstr>Linha UM-4 - 2T</vt:lpstr>
      <vt:lpstr>Linha UM-4 - 3T</vt:lpstr>
      <vt:lpstr>Dados para grafico</vt:lpstr>
      <vt:lpstr>Gráf1</vt:lpstr>
      <vt:lpstr>Gráf2</vt:lpstr>
      <vt:lpstr>Gráf3</vt:lpstr>
      <vt:lpstr>'Linha UM-4 - 2T'!Area_de_impressao</vt:lpstr>
      <vt:lpstr>'Linha UM-4 - 3T'!Area_de_impressao</vt:lpstr>
      <vt:lpstr>'Linha UM-4 - Dia'!Area_de_impressao</vt:lpstr>
      <vt:lpstr>'Linha UM-4 - 2T'!FALHAS_2T</vt:lpstr>
      <vt:lpstr>'Linha UM-4 - 3T'!FALHAS_3T</vt:lpstr>
      <vt:lpstr>FALHAS_D</vt:lpstr>
      <vt:lpstr>PERIODO</vt:lpstr>
      <vt:lpstr>'Linha UM-4 - 2T'!PROD_2T</vt:lpstr>
      <vt:lpstr>'Linha UM-4 - 3T'!PROD_3T</vt:lpstr>
      <vt:lpstr>PROD_D</vt:lpstr>
      <vt:lpstr>TARGET_D</vt:lpstr>
      <vt:lpstr>'Linha UM-4 - 3T'!TARGET_N</vt:lpstr>
      <vt:lpstr>TARGET_N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2021-04-26T19:22:02Z</cp:lastPrinted>
  <dcterms:created xsi:type="dcterms:W3CDTF">2003-08-12T11:40:09Z</dcterms:created>
  <dcterms:modified xsi:type="dcterms:W3CDTF">2022-02-21T11:46:03Z</dcterms:modified>
</cp:coreProperties>
</file>