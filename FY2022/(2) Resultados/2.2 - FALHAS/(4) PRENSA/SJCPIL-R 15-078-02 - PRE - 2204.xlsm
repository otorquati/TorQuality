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4) PRENSA\"/>
    </mc:Choice>
  </mc:AlternateContent>
  <xr:revisionPtr revIDLastSave="0" documentId="13_ncr:1_{F6F74D34-135E-4677-B45D-53825EBD3FA2}" xr6:coauthVersionLast="47" xr6:coauthVersionMax="47" xr10:uidLastSave="{00000000-0000-0000-0000-000000000000}"/>
  <workbookProtection workbookAlgorithmName="SHA-512" workbookHashValue="9shm2CJra9Tl3UVYGC3DZRmIOJmpQ6Oe4g15tQBCILbCO5vzGanCEdhdtVUfYGmxZoZli5FqJsIMvjmrGONnHA==" workbookSaltValue="QCxa+7RTVEWoZPnzTqinZg==" workbookSpinCount="100000" lockStructure="1"/>
  <bookViews>
    <workbookView xWindow="-120" yWindow="-120" windowWidth="29040" windowHeight="16440" activeTab="1" xr2:uid="{00000000-000D-0000-FFFF-FFFF00000000}"/>
  </bookViews>
  <sheets>
    <sheet name="Instruções de Uso" sheetId="3" r:id="rId1"/>
    <sheet name="SJCPIL-R 15-078-02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A" localSheetId="1">#REF!</definedName>
    <definedName name="\A">#REF!</definedName>
    <definedName name="_um2" localSheetId="1">#REF!</definedName>
    <definedName name="_um2">#REF!</definedName>
    <definedName name="_um3" localSheetId="1">#REF!</definedName>
    <definedName name="_um3">#REF!</definedName>
    <definedName name="_UM30">#REF!</definedName>
    <definedName name="ALK" localSheetId="1">'[1]F-7.102 Rev 00'!#REF!</definedName>
    <definedName name="ALK">'[2]F-7.102 Rev 00'!#REF!</definedName>
    <definedName name="ALKCOIN">'[3]Alk Nac'!#REF!</definedName>
    <definedName name="ALKEXP" localSheetId="1">'[1]F-7.102 Rev 00'!#REF!</definedName>
    <definedName name="ALKEXP">'[2]F-7.102 Rev 00'!#REF!</definedName>
    <definedName name="_xlnm.Print_Area" localSheetId="1">'SJCPIL-R 15-078-02'!$A$1:$AA$44</definedName>
    <definedName name="F.7.125">'[4]F-7.125 Rev 00'!$A$1</definedName>
    <definedName name="F.7.17">'[5]F-7.17 Rev 00'!$A$1</definedName>
    <definedName name="F.7.18">#REF!</definedName>
    <definedName name="F.7.19">'[6]F-7.19 Rev 00 (2)'!$A$1</definedName>
    <definedName name="F7.08" localSheetId="1">'[1]F-7.08 Rev 02'!#REF!</definedName>
    <definedName name="F7.08">'[2]F-7.08 Rev 02'!#REF!</definedName>
    <definedName name="F7.15">#REF!</definedName>
    <definedName name="F7.16">#REF!</definedName>
    <definedName name="F7.17">'[5]F-7.17 Rev 00'!$A$1</definedName>
    <definedName name="F7.18" localSheetId="1">'SJCPIL-R 15-078-02'!$A$1</definedName>
    <definedName name="F7.18">#REF!</definedName>
    <definedName name="F7.19">'[6]F-7.19 Rev 00 (2)'!$A$1</definedName>
    <definedName name="F7.22">#REF!</definedName>
    <definedName name="F7.39" localSheetId="1">#REF!</definedName>
    <definedName name="F7.39">#REF!</definedName>
    <definedName name="F7.72" localSheetId="1">#REF!</definedName>
    <definedName name="F7.72">#REF!</definedName>
    <definedName name="F7.86" localSheetId="1">#REF!</definedName>
    <definedName name="F7.86">#REF!</definedName>
    <definedName name="F7.88">#REF!</definedName>
    <definedName name="F7.89">#REF!</definedName>
    <definedName name="LANT">#REF!</definedName>
    <definedName name="MnValor">#REF!</definedName>
    <definedName name="OUTROS">#REF!</definedName>
    <definedName name="tot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2" l="1"/>
  <c r="B55" i="2"/>
  <c r="B54" i="2"/>
  <c r="Z1" i="2"/>
  <c r="Z29" i="2" l="1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Z39" i="2" l="1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F40" i="2" l="1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E40" i="2"/>
  <c r="D40" i="2"/>
  <c r="C40" i="2"/>
  <c r="C46" i="2" l="1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B46" i="2"/>
  <c r="AA39" i="2" l="1"/>
  <c r="Z40" i="2"/>
  <c r="Y40" i="2"/>
  <c r="X40" i="2"/>
  <c r="B40" i="2"/>
  <c r="AA38" i="2"/>
  <c r="AA37" i="2"/>
  <c r="AA40" i="2" l="1"/>
  <c r="D14" i="2" l="1"/>
  <c r="D15" i="2" s="1"/>
  <c r="E14" i="2"/>
  <c r="E15" i="2" s="1"/>
  <c r="F14" i="2"/>
  <c r="F15" i="2" s="1"/>
  <c r="G14" i="2"/>
  <c r="G15" i="2" s="1"/>
  <c r="H14" i="2"/>
  <c r="H15" i="2" s="1"/>
  <c r="I14" i="2"/>
  <c r="I15" i="2" s="1"/>
  <c r="J14" i="2"/>
  <c r="J15" i="2" s="1"/>
  <c r="K14" i="2"/>
  <c r="K15" i="2" s="1"/>
  <c r="L14" i="2"/>
  <c r="L15" i="2" s="1"/>
  <c r="M14" i="2"/>
  <c r="M15" i="2" s="1"/>
  <c r="N14" i="2"/>
  <c r="N15" i="2" s="1"/>
  <c r="O14" i="2"/>
  <c r="O15" i="2" s="1"/>
  <c r="P14" i="2"/>
  <c r="P15" i="2" s="1"/>
  <c r="Q14" i="2"/>
  <c r="Q15" i="2" s="1"/>
  <c r="R14" i="2"/>
  <c r="R15" i="2" s="1"/>
  <c r="S14" i="2"/>
  <c r="S15" i="2" s="1"/>
  <c r="T14" i="2"/>
  <c r="T15" i="2" s="1"/>
  <c r="U14" i="2"/>
  <c r="U15" i="2" s="1"/>
  <c r="V14" i="2"/>
  <c r="V15" i="2" s="1"/>
  <c r="W14" i="2"/>
  <c r="W15" i="2" s="1"/>
  <c r="X14" i="2"/>
  <c r="X15" i="2" s="1"/>
  <c r="Y14" i="2"/>
  <c r="Y15" i="2" s="1"/>
  <c r="Z14" i="2"/>
  <c r="Z15" i="2" s="1"/>
  <c r="Z27" i="2" l="1"/>
  <c r="Z28" i="2" s="1"/>
  <c r="Y27" i="2"/>
  <c r="Y28" i="2" s="1"/>
  <c r="X27" i="2"/>
  <c r="X28" i="2" s="1"/>
  <c r="W27" i="2"/>
  <c r="W28" i="2" s="1"/>
  <c r="V27" i="2"/>
  <c r="V28" i="2" s="1"/>
  <c r="U27" i="2"/>
  <c r="U28" i="2" s="1"/>
  <c r="T27" i="2"/>
  <c r="T28" i="2" s="1"/>
  <c r="S27" i="2"/>
  <c r="S28" i="2" s="1"/>
  <c r="R27" i="2"/>
  <c r="R28" i="2" s="1"/>
  <c r="Q27" i="2"/>
  <c r="Q28" i="2" s="1"/>
  <c r="P27" i="2"/>
  <c r="P28" i="2" s="1"/>
  <c r="O27" i="2"/>
  <c r="O28" i="2" s="1"/>
  <c r="N27" i="2"/>
  <c r="N28" i="2" s="1"/>
  <c r="M27" i="2"/>
  <c r="M28" i="2" s="1"/>
  <c r="L27" i="2"/>
  <c r="L28" i="2" s="1"/>
  <c r="K27" i="2"/>
  <c r="K28" i="2" s="1"/>
  <c r="J27" i="2"/>
  <c r="J28" i="2" s="1"/>
  <c r="I27" i="2"/>
  <c r="I28" i="2" s="1"/>
  <c r="H27" i="2"/>
  <c r="H28" i="2" s="1"/>
  <c r="G27" i="2"/>
  <c r="G28" i="2" s="1"/>
  <c r="F27" i="2"/>
  <c r="F28" i="2" s="1"/>
  <c r="E27" i="2"/>
  <c r="E28" i="2" s="1"/>
  <c r="D27" i="2"/>
  <c r="D28" i="2" s="1"/>
  <c r="C27" i="2"/>
  <c r="C28" i="2" s="1"/>
  <c r="B27" i="2"/>
  <c r="B28" i="2" s="1"/>
  <c r="C14" i="2"/>
  <c r="C15" i="2" s="1"/>
  <c r="B14" i="2"/>
  <c r="B15" i="2" s="1"/>
  <c r="A27" i="2"/>
  <c r="A39" i="2" s="1"/>
  <c r="A26" i="2"/>
  <c r="A38" i="2" s="1"/>
  <c r="AA27" i="2" l="1"/>
  <c r="AA14" i="2"/>
  <c r="A28" i="2"/>
  <c r="A40" i="2" s="1"/>
  <c r="AA26" i="2"/>
  <c r="AA25" i="2"/>
  <c r="Z17" i="2"/>
  <c r="Y17" i="2"/>
  <c r="X17" i="2"/>
  <c r="W17" i="2"/>
  <c r="V17" i="2"/>
  <c r="U17" i="2"/>
  <c r="T17" i="2"/>
  <c r="S17" i="2"/>
  <c r="R17" i="2"/>
  <c r="P17" i="2"/>
  <c r="O17" i="2"/>
  <c r="N17" i="2"/>
  <c r="M17" i="2"/>
  <c r="L17" i="2"/>
  <c r="K17" i="2"/>
  <c r="J17" i="2"/>
  <c r="I17" i="2"/>
  <c r="H17" i="2"/>
  <c r="G17" i="2"/>
  <c r="E17" i="2"/>
  <c r="D17" i="2"/>
  <c r="C17" i="2"/>
  <c r="B17" i="2"/>
  <c r="AA13" i="2"/>
  <c r="AA12" i="2"/>
  <c r="Z4" i="2"/>
  <c r="Y4" i="2"/>
  <c r="X4" i="2"/>
  <c r="W4" i="2"/>
  <c r="V4" i="2"/>
  <c r="U4" i="2"/>
  <c r="T4" i="2"/>
  <c r="S4" i="2"/>
  <c r="R4" i="2"/>
  <c r="Q4" i="2"/>
  <c r="P4" i="2"/>
  <c r="N4" i="2"/>
  <c r="M4" i="2"/>
  <c r="L4" i="2"/>
  <c r="K4" i="2"/>
  <c r="J4" i="2"/>
  <c r="I4" i="2"/>
  <c r="H4" i="2"/>
  <c r="G4" i="2"/>
  <c r="F4" i="2"/>
  <c r="E4" i="2"/>
  <c r="D4" i="2"/>
  <c r="B4" i="2"/>
  <c r="AA28" i="2" l="1"/>
  <c r="AA15" i="2"/>
</calcChain>
</file>

<file path=xl/sharedStrings.xml><?xml version="1.0" encoding="utf-8"?>
<sst xmlns="http://schemas.openxmlformats.org/spreadsheetml/2006/main" count="35" uniqueCount="32">
  <si>
    <t xml:space="preserve">FALHAS  DE  TUBO  DE  ZINCO  ( PRENSA ) </t>
  </si>
  <si>
    <t>TURNO: ................</t>
  </si>
  <si>
    <t>DIA</t>
  </si>
  <si>
    <t>PRODUÇÃO</t>
  </si>
  <si>
    <t>TOTAL</t>
  </si>
  <si>
    <t>Inspetor</t>
  </si>
  <si>
    <t>Produção:</t>
  </si>
  <si>
    <t>Controle da Qualidade:</t>
  </si>
  <si>
    <t>Data:</t>
  </si>
  <si>
    <t>OBJETIVO UM-1</t>
  </si>
  <si>
    <t>OBJETIVO UM-3</t>
  </si>
  <si>
    <t>Ocorrências</t>
  </si>
  <si>
    <t>UM-1</t>
  </si>
  <si>
    <t>UM-3</t>
  </si>
  <si>
    <t>FALHAS (Kg)</t>
  </si>
  <si>
    <t>Peso do pellet UM-1</t>
  </si>
  <si>
    <t>Peso do pellet UM-3</t>
  </si>
  <si>
    <t>FALHAS (pçs)</t>
  </si>
  <si>
    <t>(%)</t>
  </si>
  <si>
    <t>UM-1 (%)</t>
  </si>
  <si>
    <t>UM-3 (%)</t>
  </si>
  <si>
    <t>Planilhas Bloqueadas após fechamento do mês:</t>
  </si>
  <si>
    <t>Senhas: PANA.AAMM.CQ</t>
  </si>
  <si>
    <t>AA - Ano com 2 digitos</t>
  </si>
  <si>
    <t>MM - Mês com 2 dígitos</t>
  </si>
  <si>
    <t>OBJETIVO UM-4</t>
  </si>
  <si>
    <t>UM-4 (%)</t>
  </si>
  <si>
    <t>Peso do pellet UM-4</t>
  </si>
  <si>
    <t>UM-4</t>
  </si>
  <si>
    <t>Visto Supervisor</t>
  </si>
  <si>
    <t>Visto CQ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</si>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</sst>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"/>
    <numFmt numFmtId="165" formatCode="0.000"/>
    <numFmt numFmtId="166" formatCode="#,##0.0"/>
    <numFmt numFmtId="167" formatCode="0.0"/>
  </numFmts>
  <fonts count="9" x14ac:knownFonts="1">
    <font>
      <sz val="10"/>
      <name val="Arial"/>
    </font>
    <font>
      <b/>
      <sz val="14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22"/>
      <name val="Arial"/>
      <family val="2"/>
    </font>
    <font>
      <sz val="10"/>
      <color theme="3" tint="0.3999755851924192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Alignment="1">
      <alignment horizontal="centerContinuous" vertical="center"/>
    </xf>
    <xf numFmtId="0" fontId="3" fillId="0" borderId="0" xfId="0" applyFont="1"/>
    <xf numFmtId="0" fontId="0" fillId="0" borderId="2" xfId="0" applyBorder="1" applyAlignment="1">
      <alignment horizontal="center" vertical="center"/>
    </xf>
    <xf numFmtId="164" fontId="6" fillId="0" borderId="16" xfId="0" applyNumberFormat="1" applyFont="1" applyBorder="1" applyAlignment="1" applyProtection="1">
      <alignment horizontal="center"/>
      <protection locked="0"/>
    </xf>
    <xf numFmtId="164" fontId="6" fillId="0" borderId="3" xfId="0" applyNumberFormat="1" applyFont="1" applyBorder="1" applyAlignment="1" applyProtection="1">
      <alignment horizontal="center"/>
      <protection locked="0"/>
    </xf>
    <xf numFmtId="0" fontId="0" fillId="0" borderId="4" xfId="0" applyBorder="1"/>
    <xf numFmtId="0" fontId="0" fillId="0" borderId="15" xfId="0" applyBorder="1"/>
    <xf numFmtId="0" fontId="0" fillId="0" borderId="7" xfId="0" applyBorder="1"/>
    <xf numFmtId="0" fontId="0" fillId="0" borderId="8" xfId="0" applyBorder="1" applyAlignment="1">
      <alignment horizontal="center" vertical="center"/>
    </xf>
    <xf numFmtId="3" fontId="0" fillId="0" borderId="19" xfId="0" applyNumberFormat="1" applyBorder="1" applyAlignment="1" applyProtection="1">
      <alignment vertical="center" shrinkToFit="1"/>
      <protection locked="0"/>
    </xf>
    <xf numFmtId="3" fontId="0" fillId="0" borderId="6" xfId="0" applyNumberFormat="1" applyBorder="1" applyAlignment="1" applyProtection="1">
      <alignment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3" fontId="0" fillId="0" borderId="0" xfId="0" applyNumberFormat="1"/>
    <xf numFmtId="0" fontId="4" fillId="0" borderId="8" xfId="0" applyFont="1" applyBorder="1" applyAlignment="1">
      <alignment horizontal="center" vertical="center"/>
    </xf>
    <xf numFmtId="3" fontId="0" fillId="0" borderId="19" xfId="0" applyNumberFormat="1" applyBorder="1" applyAlignment="1" applyProtection="1">
      <alignment shrinkToFit="1"/>
      <protection locked="0"/>
    </xf>
    <xf numFmtId="3" fontId="0" fillId="0" borderId="6" xfId="0" applyNumberFormat="1" applyBorder="1" applyAlignment="1" applyProtection="1">
      <alignment shrinkToFit="1"/>
      <protection locked="0"/>
    </xf>
    <xf numFmtId="0" fontId="0" fillId="0" borderId="6" xfId="0" applyBorder="1" applyAlignment="1" applyProtection="1">
      <alignment shrinkToFit="1"/>
      <protection locked="0"/>
    </xf>
    <xf numFmtId="0" fontId="5" fillId="0" borderId="8" xfId="0" applyFont="1" applyBorder="1" applyAlignment="1">
      <alignment horizontal="center" vertical="center"/>
    </xf>
    <xf numFmtId="3" fontId="0" fillId="0" borderId="19" xfId="0" applyNumberFormat="1" applyBorder="1" applyAlignment="1">
      <alignment shrinkToFit="1"/>
    </xf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left"/>
    </xf>
    <xf numFmtId="0" fontId="6" fillId="0" borderId="1" xfId="0" applyFont="1" applyBorder="1"/>
    <xf numFmtId="0" fontId="6" fillId="0" borderId="14" xfId="0" applyFont="1" applyBorder="1"/>
    <xf numFmtId="0" fontId="6" fillId="0" borderId="13" xfId="0" applyFont="1" applyBorder="1"/>
    <xf numFmtId="0" fontId="4" fillId="0" borderId="1" xfId="0" applyFont="1" applyBorder="1"/>
    <xf numFmtId="14" fontId="6" fillId="0" borderId="14" xfId="0" quotePrefix="1" applyNumberFormat="1" applyFont="1" applyBorder="1" applyAlignment="1">
      <alignment horizontal="right"/>
    </xf>
    <xf numFmtId="0" fontId="0" fillId="0" borderId="21" xfId="0" applyBorder="1"/>
    <xf numFmtId="0" fontId="0" fillId="0" borderId="21" xfId="0" applyBorder="1" applyProtection="1">
      <protection locked="0"/>
    </xf>
    <xf numFmtId="0" fontId="0" fillId="0" borderId="21" xfId="0" applyBorder="1" applyAlignment="1">
      <alignment horizontal="center" vertical="center" textRotation="90"/>
    </xf>
    <xf numFmtId="0" fontId="0" fillId="0" borderId="21" xfId="0" applyBorder="1" applyAlignment="1" applyProtection="1">
      <alignment horizontal="center" vertical="center" textRotation="90" wrapText="1"/>
      <protection locked="0"/>
    </xf>
    <xf numFmtId="0" fontId="4" fillId="0" borderId="23" xfId="0" applyFont="1" applyBorder="1" applyAlignment="1">
      <alignment horizontal="center" vertical="center"/>
    </xf>
    <xf numFmtId="3" fontId="0" fillId="0" borderId="21" xfId="0" applyNumberFormat="1" applyBorder="1" applyAlignment="1">
      <alignment shrinkToFit="1"/>
    </xf>
    <xf numFmtId="3" fontId="0" fillId="0" borderId="24" xfId="0" applyNumberFormat="1" applyBorder="1" applyAlignment="1">
      <alignment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3" fontId="0" fillId="0" borderId="7" xfId="0" applyNumberFormat="1" applyBorder="1" applyAlignment="1">
      <alignment shrinkToFit="1"/>
    </xf>
    <xf numFmtId="3" fontId="0" fillId="0" borderId="15" xfId="0" applyNumberFormat="1" applyBorder="1" applyAlignment="1">
      <alignment shrinkToFit="1"/>
    </xf>
    <xf numFmtId="3" fontId="0" fillId="0" borderId="20" xfId="0" applyNumberFormat="1" applyBorder="1" applyAlignment="1">
      <alignment shrinkToFit="1"/>
    </xf>
    <xf numFmtId="166" fontId="0" fillId="0" borderId="22" xfId="0" applyNumberFormat="1" applyBorder="1" applyAlignment="1">
      <alignment shrinkToFit="1"/>
    </xf>
    <xf numFmtId="166" fontId="0" fillId="0" borderId="7" xfId="0" applyNumberFormat="1" applyBorder="1" applyAlignment="1">
      <alignment shrinkToFit="1"/>
    </xf>
    <xf numFmtId="0" fontId="7" fillId="2" borderId="0" xfId="0" applyFont="1" applyFill="1"/>
    <xf numFmtId="0" fontId="0" fillId="2" borderId="0" xfId="0" applyFill="1"/>
    <xf numFmtId="0" fontId="3" fillId="2" borderId="0" xfId="0" applyFont="1" applyFill="1"/>
    <xf numFmtId="0" fontId="8" fillId="2" borderId="0" xfId="0" applyFont="1" applyFill="1"/>
    <xf numFmtId="166" fontId="0" fillId="0" borderId="19" xfId="0" applyNumberFormat="1" applyBorder="1" applyAlignment="1">
      <alignment shrinkToFit="1"/>
    </xf>
    <xf numFmtId="0" fontId="0" fillId="0" borderId="0" xfId="0" applyAlignment="1">
      <alignment shrinkToFit="1"/>
    </xf>
    <xf numFmtId="164" fontId="0" fillId="0" borderId="21" xfId="0" applyNumberFormat="1" applyBorder="1" applyProtection="1">
      <protection locked="0"/>
    </xf>
    <xf numFmtId="166" fontId="0" fillId="0" borderId="15" xfId="0" applyNumberFormat="1" applyBorder="1" applyAlignment="1">
      <alignment shrinkToFit="1"/>
    </xf>
    <xf numFmtId="0" fontId="4" fillId="0" borderId="5" xfId="0" applyFont="1" applyBorder="1" applyAlignment="1">
      <alignment horizontal="left" vertical="center"/>
    </xf>
    <xf numFmtId="165" fontId="4" fillId="0" borderId="0" xfId="0" applyNumberFormat="1" applyFont="1" applyAlignment="1">
      <alignment shrinkToFit="1"/>
    </xf>
    <xf numFmtId="165" fontId="4" fillId="0" borderId="15" xfId="0" applyNumberFormat="1" applyFont="1" applyBorder="1" applyAlignment="1">
      <alignment shrinkToFit="1"/>
    </xf>
    <xf numFmtId="0" fontId="5" fillId="0" borderId="25" xfId="0" applyFont="1" applyBorder="1" applyAlignment="1">
      <alignment horizontal="center" vertical="center"/>
    </xf>
    <xf numFmtId="166" fontId="0" fillId="0" borderId="16" xfId="0" applyNumberFormat="1" applyBorder="1" applyAlignment="1">
      <alignment shrinkToFit="1"/>
    </xf>
    <xf numFmtId="166" fontId="0" fillId="0" borderId="26" xfId="0" applyNumberFormat="1" applyBorder="1" applyAlignment="1">
      <alignment shrinkToFit="1"/>
    </xf>
    <xf numFmtId="0" fontId="5" fillId="0" borderId="27" xfId="0" applyFont="1" applyBorder="1" applyAlignment="1">
      <alignment horizontal="center" vertical="center"/>
    </xf>
    <xf numFmtId="166" fontId="0" fillId="0" borderId="28" xfId="0" applyNumberFormat="1" applyBorder="1" applyAlignment="1">
      <alignment shrinkToFit="1"/>
    </xf>
    <xf numFmtId="166" fontId="0" fillId="0" borderId="29" xfId="0" applyNumberFormat="1" applyBorder="1" applyAlignment="1">
      <alignment shrinkToFit="1"/>
    </xf>
    <xf numFmtId="167" fontId="0" fillId="0" borderId="0" xfId="0" applyNumberFormat="1"/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textRotation="90" wrapText="1"/>
    </xf>
    <xf numFmtId="0" fontId="2" fillId="0" borderId="18" xfId="0" applyFont="1" applyBorder="1" applyAlignment="1">
      <alignment horizontal="center" vertical="center" textRotation="90" wrapText="1"/>
    </xf>
    <xf numFmtId="0" fontId="5" fillId="0" borderId="10" xfId="0" quotePrefix="1" applyFont="1" applyBorder="1" applyAlignment="1">
      <alignment horizontal="left" vertical="center" textRotation="90"/>
    </xf>
    <xf numFmtId="0" fontId="5" fillId="0" borderId="5" xfId="0" applyFont="1" applyBorder="1" applyAlignment="1">
      <alignment horizontal="left" vertical="center" textRotation="90"/>
    </xf>
    <xf numFmtId="0" fontId="5" fillId="0" borderId="8" xfId="0" applyFont="1" applyBorder="1" applyAlignment="1">
      <alignment horizontal="left" vertical="center" textRotation="90"/>
    </xf>
    <xf numFmtId="0" fontId="5" fillId="0" borderId="17" xfId="0" quotePrefix="1" applyFont="1" applyBorder="1" applyAlignment="1">
      <alignment horizontal="left" vertical="center" textRotation="90"/>
    </xf>
    <xf numFmtId="16" fontId="2" fillId="0" borderId="18" xfId="0" applyNumberFormat="1" applyFont="1" applyBorder="1" applyAlignment="1">
      <alignment horizontal="center" vertical="center" textRotation="90" wrapText="1"/>
    </xf>
    <xf numFmtId="165" fontId="4" fillId="0" borderId="5" xfId="0" applyNumberFormat="1" applyFont="1" applyBorder="1" applyAlignment="1">
      <alignment horizontal="left" shrinkToFit="1"/>
    </xf>
    <xf numFmtId="165" fontId="4" fillId="0" borderId="0" xfId="0" applyNumberFormat="1" applyFont="1" applyAlignment="1">
      <alignment horizontal="left" shrinkToFit="1"/>
    </xf>
    <xf numFmtId="165" fontId="4" fillId="0" borderId="15" xfId="0" applyNumberFormat="1" applyFont="1" applyBorder="1" applyAlignment="1">
      <alignment horizontal="left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230173786815074E-2"/>
          <c:y val="6.2050425514992444E-2"/>
          <c:w val="0.95492919163028256"/>
          <c:h val="0.8813206977446402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15-078-02'!$B$15:$Z$15</c:f>
              <c:numCache>
                <c:formatCode>#.##00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5-4896-BD1D-86F6467CA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71832"/>
        <c:axId val="170272616"/>
      </c:lineChart>
      <c:scatterChart>
        <c:scatterStyle val="lineMarker"/>
        <c:varyColors val="0"/>
        <c:ser>
          <c:idx val="1"/>
          <c:order val="1"/>
          <c:tx>
            <c:v>OBJ</c:v>
          </c:tx>
          <c:spPr>
            <a:ln w="25400">
              <a:noFill/>
            </a:ln>
          </c:spPr>
          <c:marker>
            <c:symbol val="none"/>
          </c:marker>
          <c:dLbls>
            <c:numFmt formatCode="#,##0.0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15-078-02'!$B$54:$Z$54</c:f>
              <c:numCache>
                <c:formatCode>#,#00</c:formatCode>
                <c:ptCount val="25"/>
                <c:pt idx="0">
                  <c:v>7.0000000000000009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25-4896-BD1D-86F6467CA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86624"/>
        <c:axId val="225681528"/>
      </c:scatterChart>
      <c:catAx>
        <c:axId val="170271832"/>
        <c:scaling>
          <c:orientation val="minMax"/>
        </c:scaling>
        <c:delete val="1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170272616"/>
        <c:crosses val="autoZero"/>
        <c:auto val="1"/>
        <c:lblAlgn val="ctr"/>
        <c:lblOffset val="100"/>
        <c:noMultiLvlLbl val="0"/>
      </c:catAx>
      <c:valAx>
        <c:axId val="170272616"/>
        <c:scaling>
          <c:orientation val="minMax"/>
          <c:max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0271832"/>
        <c:crosses val="autoZero"/>
        <c:crossBetween val="between"/>
        <c:minorUnit val="0.5"/>
      </c:valAx>
      <c:valAx>
        <c:axId val="225681528"/>
        <c:scaling>
          <c:orientation val="minMax"/>
        </c:scaling>
        <c:delete val="1"/>
        <c:axPos val="r"/>
        <c:numFmt formatCode="#,#00" sourceLinked="1"/>
        <c:majorTickMark val="out"/>
        <c:minorTickMark val="none"/>
        <c:tickLblPos val="nextTo"/>
        <c:crossAx val="225686624"/>
        <c:crosses val="max"/>
        <c:crossBetween val="midCat"/>
      </c:valAx>
      <c:valAx>
        <c:axId val="22568662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5681528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247822827723024E-2"/>
          <c:y val="5.4294122325618387E-2"/>
          <c:w val="0.96151540257803125"/>
          <c:h val="0.8964915183267461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15-078-02'!$B$28:$Z$28</c:f>
              <c:numCache>
                <c:formatCode>#.##00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7-4673-957D-18984F45E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83880"/>
        <c:axId val="225681920"/>
      </c:lineChart>
      <c:scatterChart>
        <c:scatterStyle val="lineMarker"/>
        <c:varyColors val="0"/>
        <c:ser>
          <c:idx val="1"/>
          <c:order val="1"/>
          <c:tx>
            <c:v>OBJ</c:v>
          </c:tx>
          <c:spPr>
            <a:ln w="19050">
              <a:noFill/>
            </a:ln>
          </c:spPr>
          <c:marker>
            <c:symbol val="none"/>
          </c:marker>
          <c:dLbls>
            <c:numFmt formatCode="#,##0.0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15-078-02'!$B$55:$Z$55</c:f>
              <c:numCache>
                <c:formatCode>#,#00</c:formatCode>
                <c:ptCount val="25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7-4673-957D-18984F45E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82312"/>
        <c:axId val="225687016"/>
      </c:scatterChart>
      <c:catAx>
        <c:axId val="225683880"/>
        <c:scaling>
          <c:orientation val="minMax"/>
        </c:scaling>
        <c:delete val="1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25681920"/>
        <c:crosses val="autoZero"/>
        <c:auto val="1"/>
        <c:lblAlgn val="ctr"/>
        <c:lblOffset val="100"/>
        <c:noMultiLvlLbl val="0"/>
      </c:catAx>
      <c:valAx>
        <c:axId val="2256819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683880"/>
        <c:crosses val="autoZero"/>
        <c:crossBetween val="between"/>
        <c:minorUnit val="0.5"/>
      </c:valAx>
      <c:valAx>
        <c:axId val="225687016"/>
        <c:scaling>
          <c:orientation val="minMax"/>
        </c:scaling>
        <c:delete val="1"/>
        <c:axPos val="r"/>
        <c:numFmt formatCode="#,#00" sourceLinked="1"/>
        <c:majorTickMark val="out"/>
        <c:minorTickMark val="none"/>
        <c:tickLblPos val="nextTo"/>
        <c:crossAx val="225682312"/>
        <c:crosses val="max"/>
        <c:crossBetween val="midCat"/>
      </c:valAx>
      <c:valAx>
        <c:axId val="2256823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568701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21817889819832E-2"/>
          <c:y val="5.4294122325618387E-2"/>
          <c:w val="0.96252019670259248"/>
          <c:h val="0.8964915183267461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'SJCPIL-R 15-078-02'!$B$40:$Z$40</c:f>
              <c:numCache>
                <c:formatCode>#.##00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6-46E2-A1EC-1D992C67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82704"/>
        <c:axId val="225683096"/>
      </c:lineChart>
      <c:scatterChart>
        <c:scatterStyle val="lineMarker"/>
        <c:varyColors val="0"/>
        <c:ser>
          <c:idx val="1"/>
          <c:order val="1"/>
          <c:tx>
            <c:v>OBJ</c:v>
          </c:tx>
          <c:spPr>
            <a:ln w="1905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15-078-02'!$B$56:$Z$56</c:f>
              <c:numCache>
                <c:formatCode>#,#00</c:formatCode>
                <c:ptCount val="25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6-46E2-A1EC-1D992C67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84272"/>
        <c:axId val="225683488"/>
      </c:scatterChart>
      <c:catAx>
        <c:axId val="225682704"/>
        <c:scaling>
          <c:orientation val="minMax"/>
        </c:scaling>
        <c:delete val="1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25683096"/>
        <c:crosses val="autoZero"/>
        <c:auto val="1"/>
        <c:lblAlgn val="ctr"/>
        <c:lblOffset val="100"/>
        <c:noMultiLvlLbl val="0"/>
      </c:catAx>
      <c:valAx>
        <c:axId val="2256830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682704"/>
        <c:crosses val="autoZero"/>
        <c:crossBetween val="between"/>
        <c:minorUnit val="0.5"/>
      </c:valAx>
      <c:valAx>
        <c:axId val="225683488"/>
        <c:scaling>
          <c:orientation val="minMax"/>
        </c:scaling>
        <c:delete val="1"/>
        <c:axPos val="r"/>
        <c:numFmt formatCode="#,#00" sourceLinked="1"/>
        <c:majorTickMark val="out"/>
        <c:minorTickMark val="none"/>
        <c:tickLblPos val="nextTo"/>
        <c:crossAx val="225684272"/>
        <c:crosses val="max"/>
        <c:crossBetween val="midCat"/>
      </c:valAx>
      <c:valAx>
        <c:axId val="22568427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5683488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1049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695325</xdr:colOff>
      <xdr:row>3</xdr:row>
      <xdr:rowOff>47625</xdr:rowOff>
    </xdr:from>
    <xdr:to>
      <xdr:col>26</xdr:col>
      <xdr:colOff>123825</xdr:colOff>
      <xdr:row>10</xdr:row>
      <xdr:rowOff>266701</xdr:rowOff>
    </xdr:to>
    <xdr:graphicFrame macro="">
      <xdr:nvGraphicFramePr>
        <xdr:cNvPr id="4" name="Gráfico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704850</xdr:colOff>
      <xdr:row>16</xdr:row>
      <xdr:rowOff>19050</xdr:rowOff>
    </xdr:from>
    <xdr:to>
      <xdr:col>26</xdr:col>
      <xdr:colOff>95250</xdr:colOff>
      <xdr:row>23</xdr:row>
      <xdr:rowOff>266700</xdr:rowOff>
    </xdr:to>
    <xdr:graphicFrame macro="">
      <xdr:nvGraphicFramePr>
        <xdr:cNvPr id="5" name="Gráfico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750207</xdr:colOff>
      <xdr:row>28</xdr:row>
      <xdr:rowOff>19050</xdr:rowOff>
    </xdr:from>
    <xdr:to>
      <xdr:col>26</xdr:col>
      <xdr:colOff>140607</xdr:colOff>
      <xdr:row>36</xdr:row>
      <xdr:rowOff>1815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ISO9002\Versao_2008\4%20-%20Sistema%20de%20Gest&#227;o%20da%20Qualidade\4.2.4%20-%20Controle%20de%20Registros\Formularios\F-7\PRENSA\FPGQ-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NASONIC-SJC\PBRVOL1\DADOS\PIL\PUB\PROG\proj20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ADOS\PIL\ISO9002\Versao_2008\4%20-%20Sistema%20de%20Gest&#227;o%20da%20Qualidade\4.2.4%20-%20Controle%20de%20Registros\Formularios\F-7\CQ\FPGQ-7-CQ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ISO9002\Versao_2008\4%20-%20Sistema%20de%20Gest&#227;o%20da%20Qualidade\4.2.3%20-%20Controle%20de%20Documentos\Obsoletos\2010\Mes-12\F-7.15%20R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tg-00\pbrvol1\Dados\PIL\ISO9002\Versao_2008\4%20-%20Sistema%20de%20Gest&#227;o%20da%20Qualidade\4.2.3%20-%20Controle%20de%20Documentos\Obsoletos\2012\mes-06\F-7.19%20R0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04 Rev 01"/>
      <sheetName val="F-7.05 Rev 01"/>
      <sheetName val="F-7.06 Rev 01"/>
      <sheetName val="F-7.07 Rev 00"/>
      <sheetName val="F-7.08 Rev 02"/>
      <sheetName val="F-7.09 Rev 01"/>
      <sheetName val="F-7.10 Rev 00"/>
      <sheetName val="F-7.11 Rev 00"/>
      <sheetName val="F-7.12  Rev 00"/>
      <sheetName val="F-7.13 Rev 00"/>
      <sheetName val="F-7.14 Rev 00"/>
      <sheetName val="F-7.23 Rev 00"/>
      <sheetName val="F-7.24 Rev 00"/>
      <sheetName val="F-7.25 Rev 01"/>
      <sheetName val="F-7.26 Rev 00"/>
      <sheetName val="F-7.27 Rev 00"/>
      <sheetName val="F-7.28 Rev 00"/>
      <sheetName val="F-7.29 Rev 00"/>
      <sheetName val="F-7.30 Rev 00"/>
      <sheetName val="F7.31 Rev 00"/>
      <sheetName val="F-7.32 Rev 00"/>
      <sheetName val="F-7.33 Rev 00"/>
      <sheetName val="F-7.34 Rev 00"/>
      <sheetName val="F-7.35 Rev 01"/>
      <sheetName val="F-7.36 Rev 00"/>
      <sheetName val="F-7.37 Rev 00"/>
      <sheetName val="F-7.38 Rev 01"/>
      <sheetName val="F-7.39 Rev 01"/>
      <sheetName val="F-7.40 Rev 00"/>
      <sheetName val="F-7.41 Rev 03"/>
      <sheetName val="F-7.42 Rev 00"/>
      <sheetName val="F-7.43 Rev 00"/>
      <sheetName val="F-7.44 Rev 01"/>
      <sheetName val="F-7.45 Rev 00"/>
      <sheetName val="F-7.46 Rev 01"/>
      <sheetName val="F-7.47 Rev 01"/>
      <sheetName val="F-7.48 Rev 00"/>
      <sheetName val="F-7.49 Rev 01"/>
      <sheetName val="F-7.50 Rev 00"/>
      <sheetName val="F-7.51 Rev 01"/>
      <sheetName val="F-7.52 Rev 01(1)"/>
      <sheetName val="F-7.52 Rev 01"/>
      <sheetName val="F-7.53 Rev 02"/>
      <sheetName val="F-7.54 Rev 01"/>
      <sheetName val="F-7.55 Rev 00"/>
      <sheetName val="F-7.56 Rev 00"/>
      <sheetName val="F-7.57 Rev 00"/>
      <sheetName val="F-7.58 Rev 02"/>
      <sheetName val="F-7.59 Rev 00"/>
      <sheetName val="F-7.60 Rev 00"/>
      <sheetName val="F-7.61 Rev 00"/>
      <sheetName val="F-7.62 Rev 00"/>
      <sheetName val="F-7.63 Rev 00"/>
      <sheetName val="F-7.64 Rev 00"/>
      <sheetName val="F-7.65 Rev 00"/>
      <sheetName val="F-7.66 Rev 01"/>
      <sheetName val="F-7.67 Rev 00"/>
      <sheetName val="F-7.68 Rev 00"/>
      <sheetName val="F-7.69 Rev 00"/>
      <sheetName val="F-7.70 Rev 00"/>
      <sheetName val="F-7.71 Rev 00"/>
      <sheetName val="F-7.72 Rev 01"/>
      <sheetName val="F-7.73 Rev 00"/>
      <sheetName val="F-7.74 Rev 00"/>
      <sheetName val="F-7.75 Rev 00"/>
      <sheetName val="F-7.76 Rev 00"/>
      <sheetName val="F-7.88 Rev 01"/>
      <sheetName val="F-7.89 Rev 01"/>
      <sheetName val="F-7.90 Rev 01"/>
      <sheetName val="F-7.91 Rev 00"/>
      <sheetName val="F-7.92 Rev 00"/>
      <sheetName val="F-7.93 Rev 00"/>
      <sheetName val="F-7.94 Rev 00"/>
      <sheetName val="F-7.95 Rev 00"/>
      <sheetName val="F-7.96 Rev 00"/>
      <sheetName val="F-7.97 Rev 00"/>
      <sheetName val="F-7.98 Rev 01"/>
      <sheetName val="F-7.99 Rev 01"/>
      <sheetName val="F-7.99 Rev 02"/>
      <sheetName val="F-7.100 Rev 00"/>
      <sheetName val="F-7.101 Rev 00"/>
      <sheetName val="F-7.102 Rev 00"/>
      <sheetName val="F-7.103 Rev 01 "/>
      <sheetName val="F-7.105 Rev 00"/>
      <sheetName val="F-7.108 Rev 00"/>
      <sheetName val="F-7.109 Rev 00"/>
      <sheetName val="F-7.111 Rev 00"/>
      <sheetName val="F-7.112 Rev 00"/>
      <sheetName val="F-7.113 Rev 00"/>
      <sheetName val="F-7.114 Rev 00"/>
      <sheetName val="F-7.115 Rev 01"/>
      <sheetName val="F-7.116 Rev 00"/>
      <sheetName val="F-7.117  Rev 00 "/>
      <sheetName val="F-7.118 Rev 02"/>
      <sheetName val="F-7.119 Rev 01"/>
      <sheetName val="F-7.120 Rev 00"/>
      <sheetName val="F-7.121 Rev 00"/>
      <sheetName val="F-7.122 Rev 00"/>
      <sheetName val="F-7.123 Rev 00"/>
      <sheetName val="F-7.124 Rev 00 "/>
      <sheetName val="F-7.126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04 Rev 01"/>
      <sheetName val="F-7.05 Rev 01"/>
      <sheetName val="F-7.06 Rev 01"/>
      <sheetName val="F-7.07 Rev 00"/>
      <sheetName val="F-7.08 Rev 02"/>
      <sheetName val="F-7.09 Rev 01"/>
      <sheetName val="F-7.10 Rev 00"/>
      <sheetName val="F-7.11 Rev 00"/>
      <sheetName val="F-7.12  Rev 00"/>
      <sheetName val="F-7.13 Rev 00"/>
      <sheetName val="F-7.14 Rev 00"/>
      <sheetName val="F-7.23 Rev 00"/>
      <sheetName val="F-7.24 Rev 00"/>
      <sheetName val="F-7.25 Rev 01"/>
      <sheetName val="F-7.26 Rev 00"/>
      <sheetName val="F-7.27 Rev 00"/>
      <sheetName val="F-7.28 Rev 00"/>
      <sheetName val="F-7.29 Rev 00"/>
      <sheetName val="F-7.30 Rev 00"/>
      <sheetName val="F7.31 Rev 00"/>
      <sheetName val="F-7.32 Rev 00"/>
      <sheetName val="F-7.33 Rev 00"/>
      <sheetName val="F-7.34 Rev 00"/>
      <sheetName val="F-7.35 Rev 01"/>
      <sheetName val="F-7.36 Rev 00"/>
      <sheetName val="F-7.37 Rev 00"/>
      <sheetName val="F-7.38 Rev 01"/>
      <sheetName val="F-7.39 Rev 01"/>
      <sheetName val="F-7.40 Rev 00"/>
      <sheetName val="F-7.41 Rev 03"/>
      <sheetName val="F-7.42 Rev 00"/>
      <sheetName val="F-7.43 Rev 00"/>
      <sheetName val="F-7.44 Rev 01"/>
      <sheetName val="F-7.45 Rev 00"/>
      <sheetName val="F-7.46 Rev 01"/>
      <sheetName val="F-7.47 Rev 01"/>
      <sheetName val="F-7.48 Rev 00"/>
      <sheetName val="F-7.49 Rev 01"/>
      <sheetName val="F-7.50 Rev 00"/>
      <sheetName val="F-7.51 Rev 01"/>
      <sheetName val="F-7.52 Rev 01(1)"/>
      <sheetName val="F-7.52 Rev 01"/>
      <sheetName val="F-7.53 Rev 02"/>
      <sheetName val="F-7.54 Rev 01"/>
      <sheetName val="F-7.55 Rev 00"/>
      <sheetName val="F-7.56 Rev 00"/>
      <sheetName val="F-7.57 Rev 00"/>
      <sheetName val="F-7.58 Rev 02"/>
      <sheetName val="F-7.59 Rev 00"/>
      <sheetName val="F-7.60 Rev 00"/>
      <sheetName val="F-7.61 Rev 00"/>
      <sheetName val="F-7.62 Rev 00"/>
      <sheetName val="F-7.63 Rev 00"/>
      <sheetName val="F-7.64 Rev 00"/>
      <sheetName val="F-7.65 Rev 00"/>
      <sheetName val="F-7.66 Rev 01"/>
      <sheetName val="F-7.67 Rev 00"/>
      <sheetName val="F-7.68 Rev 00"/>
      <sheetName val="F-7.69 Rev 00"/>
      <sheetName val="F-7.70 Rev 00"/>
      <sheetName val="F-7.71 Rev 00"/>
      <sheetName val="F-7.72 Rev 01"/>
      <sheetName val="F-7.73 Rev 00"/>
      <sheetName val="F-7.74 Rev 00"/>
      <sheetName val="F-7.75 Rev 00"/>
      <sheetName val="F-7.76 Rev 00"/>
      <sheetName val="F-7.88 Rev 01"/>
      <sheetName val="F-7.89 Rev 01"/>
      <sheetName val="F-7.90 Rev 01"/>
      <sheetName val="F-7.91 Rev 00"/>
      <sheetName val="F-7.92 Rev 00"/>
      <sheetName val="F-7.93 Rev 00"/>
      <sheetName val="F-7.94 Rev 00"/>
      <sheetName val="F-7.95 Rev 00"/>
      <sheetName val="F-7.96 Rev 00"/>
      <sheetName val="F-7.97 Rev 00"/>
      <sheetName val="F-7.98 Rev 01"/>
      <sheetName val="F-7.99 Rev 01"/>
      <sheetName val="F-7.99 Rev 02"/>
      <sheetName val="F-7.100 Rev 00"/>
      <sheetName val="F-7.101 Rev 00"/>
      <sheetName val="F-7.102 Rev 00"/>
      <sheetName val="F-7.103 Rev 01 "/>
      <sheetName val="F-7.105 Rev 00"/>
      <sheetName val="F-7.108 Rev 00"/>
      <sheetName val="F-7.109 Rev 00"/>
      <sheetName val="F-7.111 Rev 00"/>
      <sheetName val="F-7.112 Rev 00"/>
      <sheetName val="F-7.113 Rev 00"/>
      <sheetName val="F-7.114 Rev 00"/>
      <sheetName val="F-7.115 Rev 01"/>
      <sheetName val="F-7.116 Rev 00"/>
      <sheetName val="F-7.117  Rev 00 "/>
      <sheetName val="F-7.118 Rev 02"/>
      <sheetName val="F-7.119 Rev 01"/>
      <sheetName val="F-7.120 Rev 00"/>
      <sheetName val="F-7.121 Rev 00"/>
      <sheetName val="F-7.122 Rev 00"/>
      <sheetName val="F-7.123 Rev 00"/>
      <sheetName val="F-7.124 Rev 00 "/>
      <sheetName val="F-7.126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g"/>
      <sheetName val="Proj-cal (2)"/>
      <sheetName val="Alk Nac"/>
      <sheetName val="Alk Imp"/>
      <sheetName val="Zinc Air"/>
      <sheetName val="Ni Cadmium"/>
      <sheetName val="Lithium"/>
      <sheetName val="Outros"/>
      <sheetName val="LANT"/>
      <sheetName val="VLR-MENSAL (2)"/>
      <sheetName val="VLR-MENSAL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2 R01"/>
      <sheetName val="F-7.14 Rev 01"/>
      <sheetName val="F-7.26 Rev. 00"/>
      <sheetName val="F-7.54 Rev 01"/>
      <sheetName val="F-7.75 Rev. 02"/>
      <sheetName val="F-7.75 Rev. 02 FI"/>
      <sheetName val="F-7.76 Rev 00"/>
      <sheetName val="F-7.90 Rev. 03"/>
      <sheetName val="F-7.91 Rev 00"/>
      <sheetName val="F-7.92 Rev 00"/>
      <sheetName val="F-7.93 Rev 00"/>
      <sheetName val="F-7.94 Rev 00"/>
      <sheetName val="F-7.113 Rev 00"/>
      <sheetName val="F-7.115 Rev 03 - dia"/>
      <sheetName val="F-7.121 Rev 02"/>
      <sheetName val="F-7.125 Rev 00"/>
      <sheetName val="F-7.133 Rev 00"/>
      <sheetName val="F-7.134 Rev 03"/>
      <sheetName val="F-7.144 Rev 00 - Pág 1"/>
      <sheetName val="F-7.144 Rev. 00 - Pag 2-3"/>
      <sheetName val="F-7.151 Rev 01"/>
      <sheetName val="F-7.176 Rev. 00"/>
      <sheetName val="F-7.179 Rev 00"/>
      <sheetName val="F-7.180 Rev. 00"/>
      <sheetName val="F-7.183 Rev 01"/>
      <sheetName val="F-7.185 Rev. 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7 Rev 00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9 Rev 00 (2)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27">
          <cell r="Y27">
            <v>7.0000000000000007E-2</v>
          </cell>
        </row>
        <row r="28">
          <cell r="Y28">
            <v>0.04</v>
          </cell>
        </row>
        <row r="29">
          <cell r="Y29">
            <v>0.06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zoomScaleNormal="100" workbookViewId="0">
      <selection activeCell="Q14" sqref="Q14"/>
    </sheetView>
  </sheetViews>
  <sheetFormatPr defaultRowHeight="12.75" x14ac:dyDescent="0.2"/>
  <cols>
    <col min="1" max="16384" width="9.140625" style="47"/>
  </cols>
  <sheetData>
    <row r="2" spans="2:19" ht="27" x14ac:dyDescent="0.35"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</row>
    <row r="7" spans="2:19" ht="18" x14ac:dyDescent="0.25">
      <c r="N7" s="48"/>
    </row>
    <row r="8" spans="2:19" ht="18" x14ac:dyDescent="0.25">
      <c r="N8" s="48"/>
    </row>
    <row r="9" spans="2:19" ht="18" x14ac:dyDescent="0.25">
      <c r="H9" s="48"/>
    </row>
    <row r="11" spans="2:19" ht="18" x14ac:dyDescent="0.25">
      <c r="H11" s="48"/>
      <c r="I11" s="48"/>
      <c r="K11" s="48"/>
      <c r="M11" s="48"/>
      <c r="N11" s="48"/>
      <c r="O11" s="48"/>
      <c r="P11" s="48"/>
      <c r="Q11" s="48"/>
      <c r="R11" s="48"/>
      <c r="S11" s="48"/>
    </row>
    <row r="12" spans="2:19" ht="18" x14ac:dyDescent="0.25"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</row>
    <row r="13" spans="2:19" ht="18" x14ac:dyDescent="0.25">
      <c r="B13" s="48"/>
      <c r="C13" s="48"/>
      <c r="D13" s="48"/>
      <c r="E13" s="48"/>
      <c r="F13" s="48"/>
      <c r="G13" s="48"/>
      <c r="H13" s="48"/>
      <c r="I13" s="48"/>
      <c r="K13" s="48"/>
      <c r="L13" s="48"/>
      <c r="M13" s="48"/>
      <c r="N13" s="48"/>
      <c r="O13" s="48"/>
      <c r="P13" s="48"/>
      <c r="Q13" s="48"/>
      <c r="R13" s="48"/>
      <c r="S13" s="48"/>
    </row>
    <row r="14" spans="2:19" ht="18" x14ac:dyDescent="0.25"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</row>
    <row r="15" spans="2:19" ht="18" x14ac:dyDescent="0.25"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</row>
    <row r="16" spans="2:19" ht="18" x14ac:dyDescent="0.25"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2:14" ht="18" x14ac:dyDescent="0.25"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</row>
    <row r="18" spans="2:14" ht="18" x14ac:dyDescent="0.25"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2:14" ht="18" x14ac:dyDescent="0.25"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2:14" ht="18" x14ac:dyDescent="0.25"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2:14" ht="18" x14ac:dyDescent="0.25"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2:14" ht="18" x14ac:dyDescent="0.25"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</row>
    <row r="23" spans="2:14" ht="18" x14ac:dyDescent="0.25"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</row>
    <row r="24" spans="2:14" ht="18" x14ac:dyDescent="0.25"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2:14" ht="18" x14ac:dyDescent="0.25"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</row>
    <row r="35" spans="2:6" x14ac:dyDescent="0.2">
      <c r="B35" s="49" t="s">
        <v>21</v>
      </c>
      <c r="C35" s="49"/>
      <c r="D35" s="49"/>
      <c r="E35" s="49"/>
      <c r="F35" s="49"/>
    </row>
    <row r="36" spans="2:6" x14ac:dyDescent="0.2">
      <c r="B36" s="49" t="s">
        <v>22</v>
      </c>
      <c r="C36" s="49"/>
      <c r="D36" s="49"/>
      <c r="E36" s="49"/>
      <c r="F36" s="49"/>
    </row>
    <row r="37" spans="2:6" x14ac:dyDescent="0.2">
      <c r="B37" s="49"/>
      <c r="C37" s="49"/>
      <c r="D37" s="49"/>
      <c r="E37" s="49"/>
      <c r="F37" s="49"/>
    </row>
    <row r="38" spans="2:6" x14ac:dyDescent="0.2">
      <c r="B38" s="49" t="s">
        <v>23</v>
      </c>
      <c r="C38" s="49"/>
      <c r="D38" s="49"/>
      <c r="E38" s="49"/>
      <c r="F38" s="49"/>
    </row>
    <row r="39" spans="2:6" x14ac:dyDescent="0.2">
      <c r="B39" s="49" t="s">
        <v>24</v>
      </c>
      <c r="C39" s="49"/>
      <c r="D39" s="49"/>
      <c r="E39" s="49"/>
      <c r="F39" s="49"/>
    </row>
  </sheetData>
  <sheetProtection algorithmName="SHA-512" hashValue="/AczRQX8Jm5z+vaE9M5Xc5ADjQiiRmE9XMq0F+oc6oJfuHWHnZR2kjfJaUafm8scv+29EskF7S9f7swl9L2CSg==" saltValue="28i/Z7xQEbgvVcgOWWmcXw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5">
    <pageSetUpPr fitToPage="1"/>
  </sheetPr>
  <dimension ref="A1:BV56"/>
  <sheetViews>
    <sheetView showZeros="0" tabSelected="1" topLeftCell="B1" zoomScaleNormal="100" zoomScaleSheetLayoutView="100" workbookViewId="0">
      <selection activeCell="B3" sqref="B3"/>
    </sheetView>
  </sheetViews>
  <sheetFormatPr defaultColWidth="11.42578125" defaultRowHeight="12.75" x14ac:dyDescent="0.2"/>
  <cols>
    <col min="1" max="1" width="16.5703125" customWidth="1"/>
    <col min="2" max="26" width="7.28515625" customWidth="1"/>
    <col min="27" max="27" width="10.140625" bestFit="1" customWidth="1"/>
  </cols>
  <sheetData>
    <row r="1" spans="1:29" ht="32.25" customHeight="1" thickBot="1" x14ac:dyDescent="0.3">
      <c r="B1" s="1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38"/>
      <c r="R1" s="39" t="s">
        <v>1</v>
      </c>
      <c r="S1" s="40"/>
      <c r="T1" s="2"/>
      <c r="U1" s="1"/>
      <c r="X1" s="66" t="s">
        <v>31</v>
      </c>
      <c r="Y1" s="67"/>
      <c r="Z1" s="64" t="str">
        <f ca="1">MID(CELL("nome.arquivo"),SEARCH(".xl",CELL("nome.arquivo"))-2,2)&amp;" / 20"&amp;MID(CELL("nome.arquivo"),SEARCH(".xl",CELL("nome.arquivo"))-4,2)</f>
        <v>03 / 2022</v>
      </c>
      <c r="AA1" s="65"/>
    </row>
    <row r="2" spans="1:29" ht="3.95" customHeight="1" thickBot="1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38"/>
      <c r="R2" s="39"/>
      <c r="S2" s="40"/>
      <c r="T2" s="2"/>
      <c r="U2" s="1"/>
    </row>
    <row r="3" spans="1:29" ht="24.95" customHeight="1" x14ac:dyDescent="0.2">
      <c r="A3" s="3" t="s">
        <v>2</v>
      </c>
      <c r="B3" s="4"/>
      <c r="C3" s="5"/>
      <c r="D3" s="4"/>
      <c r="E3" s="4"/>
      <c r="F3" s="4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" t="s">
        <v>4</v>
      </c>
    </row>
    <row r="4" spans="1:29" ht="18" customHeight="1" x14ac:dyDescent="0.2">
      <c r="A4" s="75" t="s">
        <v>19</v>
      </c>
      <c r="B4" s="71">
        <f>B47</f>
        <v>0</v>
      </c>
      <c r="C4" s="71"/>
      <c r="D4" s="71">
        <f t="shared" ref="D4:Z4" si="0">D47</f>
        <v>0</v>
      </c>
      <c r="E4" s="71">
        <f t="shared" si="0"/>
        <v>0</v>
      </c>
      <c r="F4" s="71">
        <f t="shared" si="0"/>
        <v>0</v>
      </c>
      <c r="G4" s="71">
        <f t="shared" si="0"/>
        <v>0</v>
      </c>
      <c r="H4" s="71">
        <f t="shared" si="0"/>
        <v>0</v>
      </c>
      <c r="I4" s="71">
        <f t="shared" si="0"/>
        <v>0</v>
      </c>
      <c r="J4" s="71">
        <f t="shared" si="0"/>
        <v>0</v>
      </c>
      <c r="K4" s="71">
        <f t="shared" si="0"/>
        <v>0</v>
      </c>
      <c r="L4" s="71">
        <f t="shared" si="0"/>
        <v>0</v>
      </c>
      <c r="M4" s="71">
        <f t="shared" si="0"/>
        <v>0</v>
      </c>
      <c r="N4" s="71">
        <f t="shared" si="0"/>
        <v>0</v>
      </c>
      <c r="O4" s="76"/>
      <c r="P4" s="71">
        <f t="shared" si="0"/>
        <v>0</v>
      </c>
      <c r="Q4" s="71">
        <f t="shared" si="0"/>
        <v>0</v>
      </c>
      <c r="R4" s="71">
        <f t="shared" si="0"/>
        <v>0</v>
      </c>
      <c r="S4" s="71">
        <f t="shared" si="0"/>
        <v>0</v>
      </c>
      <c r="T4" s="71">
        <f t="shared" si="0"/>
        <v>0</v>
      </c>
      <c r="U4" s="71">
        <f t="shared" si="0"/>
        <v>0</v>
      </c>
      <c r="V4" s="71">
        <f t="shared" si="0"/>
        <v>0</v>
      </c>
      <c r="W4" s="71">
        <f t="shared" si="0"/>
        <v>0</v>
      </c>
      <c r="X4" s="71">
        <f t="shared" si="0"/>
        <v>0</v>
      </c>
      <c r="Y4" s="71">
        <f t="shared" si="0"/>
        <v>0</v>
      </c>
      <c r="Z4" s="71">
        <f t="shared" si="0"/>
        <v>0</v>
      </c>
      <c r="AA4" s="7"/>
    </row>
    <row r="5" spans="1:29" ht="18" customHeight="1" x14ac:dyDescent="0.2">
      <c r="A5" s="73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7"/>
    </row>
    <row r="6" spans="1:29" ht="18" customHeight="1" x14ac:dyDescent="0.2">
      <c r="A6" s="73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7"/>
    </row>
    <row r="7" spans="1:29" ht="18" customHeight="1" x14ac:dyDescent="0.2">
      <c r="A7" s="73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7"/>
    </row>
    <row r="8" spans="1:29" ht="18" customHeight="1" x14ac:dyDescent="0.2">
      <c r="A8" s="73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7"/>
    </row>
    <row r="9" spans="1:29" ht="18" customHeight="1" x14ac:dyDescent="0.2">
      <c r="A9" s="73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7"/>
    </row>
    <row r="10" spans="1:29" ht="18" customHeight="1" x14ac:dyDescent="0.2">
      <c r="A10" s="73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7"/>
    </row>
    <row r="11" spans="1:29" ht="18" customHeight="1" x14ac:dyDescent="0.2">
      <c r="A11" s="74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8"/>
    </row>
    <row r="12" spans="1:29" ht="27.95" customHeight="1" x14ac:dyDescent="0.2">
      <c r="A12" s="9" t="s">
        <v>3</v>
      </c>
      <c r="B12" s="10"/>
      <c r="C12" s="10"/>
      <c r="D12" s="10"/>
      <c r="E12" s="10"/>
      <c r="F12" s="10"/>
      <c r="G12" s="10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2"/>
      <c r="Y12" s="12"/>
      <c r="Z12" s="12"/>
      <c r="AA12" s="41">
        <f>SUM(B12:Z12)</f>
        <v>0</v>
      </c>
      <c r="AC12" s="13"/>
    </row>
    <row r="13" spans="1:29" ht="18" customHeight="1" x14ac:dyDescent="0.2">
      <c r="A13" s="14" t="s">
        <v>14</v>
      </c>
      <c r="B13" s="15"/>
      <c r="C13" s="15"/>
      <c r="D13" s="15"/>
      <c r="E13" s="15"/>
      <c r="F13" s="15"/>
      <c r="G13" s="15"/>
      <c r="H13" s="16"/>
      <c r="I13" s="16"/>
      <c r="J13" s="16"/>
      <c r="K13" s="16"/>
      <c r="L13" s="16"/>
      <c r="M13" s="16"/>
      <c r="N13" s="16"/>
      <c r="O13" s="16"/>
      <c r="P13" s="16"/>
      <c r="Q13" s="32"/>
      <c r="R13" s="16"/>
      <c r="S13" s="16"/>
      <c r="T13" s="16"/>
      <c r="U13" s="16"/>
      <c r="V13" s="16"/>
      <c r="W13" s="16"/>
      <c r="X13" s="16"/>
      <c r="Y13" s="16"/>
      <c r="Z13" s="17"/>
      <c r="AA13" s="41">
        <f>SUM(B13:Z13)</f>
        <v>0</v>
      </c>
    </row>
    <row r="14" spans="1:29" ht="18" customHeight="1" x14ac:dyDescent="0.2">
      <c r="A14" s="14" t="s">
        <v>17</v>
      </c>
      <c r="B14" s="19">
        <f t="shared" ref="B14:Z14" si="1">B13/$B51*1000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>
        <f t="shared" si="1"/>
        <v>0</v>
      </c>
      <c r="O14" s="19">
        <f t="shared" si="1"/>
        <v>0</v>
      </c>
      <c r="P14" s="19">
        <f t="shared" si="1"/>
        <v>0</v>
      </c>
      <c r="Q14" s="19">
        <f t="shared" si="1"/>
        <v>0</v>
      </c>
      <c r="R14" s="19">
        <f t="shared" si="1"/>
        <v>0</v>
      </c>
      <c r="S14" s="19">
        <f t="shared" si="1"/>
        <v>0</v>
      </c>
      <c r="T14" s="19">
        <f t="shared" si="1"/>
        <v>0</v>
      </c>
      <c r="U14" s="19">
        <f t="shared" si="1"/>
        <v>0</v>
      </c>
      <c r="V14" s="19">
        <f t="shared" si="1"/>
        <v>0</v>
      </c>
      <c r="W14" s="19">
        <f t="shared" si="1"/>
        <v>0</v>
      </c>
      <c r="X14" s="19">
        <f t="shared" si="1"/>
        <v>0</v>
      </c>
      <c r="Y14" s="19">
        <f t="shared" si="1"/>
        <v>0</v>
      </c>
      <c r="Z14" s="19">
        <f t="shared" si="1"/>
        <v>0</v>
      </c>
      <c r="AA14" s="41">
        <f>SUM(B14:Z14)</f>
        <v>0</v>
      </c>
    </row>
    <row r="15" spans="1:29" ht="18" customHeight="1" thickBot="1" x14ac:dyDescent="0.25">
      <c r="A15" s="18" t="s">
        <v>18</v>
      </c>
      <c r="B15" s="50" t="str">
        <f>IF(B12&gt;0,B14/B12*100,"")</f>
        <v/>
      </c>
      <c r="C15" s="50" t="str">
        <f>IF(C12&gt;0,C14/C12*100,"")</f>
        <v/>
      </c>
      <c r="D15" s="50" t="str">
        <f t="shared" ref="D15:AA15" si="2">IF(D12&gt;0,D14/D12*100,"")</f>
        <v/>
      </c>
      <c r="E15" s="50" t="str">
        <f t="shared" si="2"/>
        <v/>
      </c>
      <c r="F15" s="50" t="str">
        <f t="shared" si="2"/>
        <v/>
      </c>
      <c r="G15" s="50" t="str">
        <f t="shared" si="2"/>
        <v/>
      </c>
      <c r="H15" s="50" t="str">
        <f t="shared" si="2"/>
        <v/>
      </c>
      <c r="I15" s="50" t="str">
        <f t="shared" si="2"/>
        <v/>
      </c>
      <c r="J15" s="50" t="str">
        <f t="shared" si="2"/>
        <v/>
      </c>
      <c r="K15" s="50" t="str">
        <f t="shared" si="2"/>
        <v/>
      </c>
      <c r="L15" s="50" t="str">
        <f t="shared" si="2"/>
        <v/>
      </c>
      <c r="M15" s="50" t="str">
        <f t="shared" si="2"/>
        <v/>
      </c>
      <c r="N15" s="50" t="str">
        <f t="shared" si="2"/>
        <v/>
      </c>
      <c r="O15" s="50" t="str">
        <f t="shared" si="2"/>
        <v/>
      </c>
      <c r="P15" s="50" t="str">
        <f t="shared" si="2"/>
        <v/>
      </c>
      <c r="Q15" s="50" t="str">
        <f t="shared" si="2"/>
        <v/>
      </c>
      <c r="R15" s="50" t="str">
        <f t="shared" si="2"/>
        <v/>
      </c>
      <c r="S15" s="50" t="str">
        <f t="shared" si="2"/>
        <v/>
      </c>
      <c r="T15" s="50" t="str">
        <f t="shared" si="2"/>
        <v/>
      </c>
      <c r="U15" s="50" t="str">
        <f t="shared" si="2"/>
        <v/>
      </c>
      <c r="V15" s="50" t="str">
        <f t="shared" si="2"/>
        <v/>
      </c>
      <c r="W15" s="50" t="str">
        <f t="shared" si="2"/>
        <v/>
      </c>
      <c r="X15" s="50" t="str">
        <f t="shared" si="2"/>
        <v/>
      </c>
      <c r="Y15" s="50" t="str">
        <f t="shared" si="2"/>
        <v/>
      </c>
      <c r="Z15" s="50" t="str">
        <f t="shared" si="2"/>
        <v/>
      </c>
      <c r="AA15" s="45" t="str">
        <f t="shared" si="2"/>
        <v/>
      </c>
    </row>
    <row r="16" spans="1:29" ht="5.25" customHeight="1" thickBot="1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2"/>
    </row>
    <row r="17" spans="1:74" ht="18" customHeight="1" x14ac:dyDescent="0.2">
      <c r="A17" s="72" t="s">
        <v>20</v>
      </c>
      <c r="B17" s="68">
        <f>B48</f>
        <v>0</v>
      </c>
      <c r="C17" s="68">
        <f t="shared" ref="C17:Z17" si="3">C48</f>
        <v>0</v>
      </c>
      <c r="D17" s="68">
        <f t="shared" si="3"/>
        <v>0</v>
      </c>
      <c r="E17" s="68">
        <f t="shared" si="3"/>
        <v>0</v>
      </c>
      <c r="F17" s="68"/>
      <c r="G17" s="68">
        <f t="shared" si="3"/>
        <v>0</v>
      </c>
      <c r="H17" s="68">
        <f t="shared" si="3"/>
        <v>0</v>
      </c>
      <c r="I17" s="68">
        <f t="shared" si="3"/>
        <v>0</v>
      </c>
      <c r="J17" s="68">
        <f t="shared" si="3"/>
        <v>0</v>
      </c>
      <c r="K17" s="68">
        <f t="shared" si="3"/>
        <v>0</v>
      </c>
      <c r="L17" s="68">
        <f t="shared" si="3"/>
        <v>0</v>
      </c>
      <c r="M17" s="68">
        <f t="shared" si="3"/>
        <v>0</v>
      </c>
      <c r="N17" s="68">
        <f t="shared" si="3"/>
        <v>0</v>
      </c>
      <c r="O17" s="68">
        <f t="shared" si="3"/>
        <v>0</v>
      </c>
      <c r="P17" s="68">
        <f t="shared" si="3"/>
        <v>0</v>
      </c>
      <c r="Q17" s="68"/>
      <c r="R17" s="68">
        <f t="shared" si="3"/>
        <v>0</v>
      </c>
      <c r="S17" s="68">
        <f t="shared" si="3"/>
        <v>0</v>
      </c>
      <c r="T17" s="68">
        <f t="shared" si="3"/>
        <v>0</v>
      </c>
      <c r="U17" s="68">
        <f t="shared" si="3"/>
        <v>0</v>
      </c>
      <c r="V17" s="68">
        <f t="shared" si="3"/>
        <v>0</v>
      </c>
      <c r="W17" s="68">
        <f t="shared" si="3"/>
        <v>0</v>
      </c>
      <c r="X17" s="68">
        <f t="shared" si="3"/>
        <v>0</v>
      </c>
      <c r="Y17" s="68">
        <f t="shared" si="3"/>
        <v>0</v>
      </c>
      <c r="Z17" s="68">
        <f t="shared" si="3"/>
        <v>0</v>
      </c>
      <c r="AA17" s="22"/>
    </row>
    <row r="18" spans="1:74" ht="18" customHeight="1" x14ac:dyDescent="0.2">
      <c r="A18" s="73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7"/>
    </row>
    <row r="19" spans="1:74" ht="18" customHeight="1" x14ac:dyDescent="0.2">
      <c r="A19" s="73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7"/>
    </row>
    <row r="20" spans="1:74" ht="18" customHeight="1" x14ac:dyDescent="0.2">
      <c r="A20" s="73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7"/>
    </row>
    <row r="21" spans="1:74" ht="18" customHeight="1" x14ac:dyDescent="0.2">
      <c r="A21" s="73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7"/>
    </row>
    <row r="22" spans="1:74" ht="18" customHeight="1" x14ac:dyDescent="0.2">
      <c r="A22" s="73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7"/>
    </row>
    <row r="23" spans="1:74" ht="18" customHeight="1" x14ac:dyDescent="0.2">
      <c r="A23" s="73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7"/>
    </row>
    <row r="24" spans="1:74" ht="18" customHeight="1" x14ac:dyDescent="0.2">
      <c r="A24" s="74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8"/>
      <c r="BC24" s="23"/>
    </row>
    <row r="25" spans="1:74" ht="27.95" customHeight="1" x14ac:dyDescent="0.2">
      <c r="A25" s="9" t="s">
        <v>3</v>
      </c>
      <c r="B25" s="10"/>
      <c r="C25" s="10"/>
      <c r="D25" s="10"/>
      <c r="E25" s="11"/>
      <c r="F25" s="11"/>
      <c r="G25" s="11"/>
      <c r="H25" s="11"/>
      <c r="I25" s="11"/>
      <c r="J25" s="12"/>
      <c r="K25" s="11"/>
      <c r="L25" s="12"/>
      <c r="M25" s="12"/>
      <c r="N25" s="11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42">
        <f>SUM(B25:Z25)</f>
        <v>0</v>
      </c>
      <c r="AB25" s="1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BM25" s="23"/>
      <c r="BN25" s="23"/>
    </row>
    <row r="26" spans="1:74" ht="18" customHeight="1" x14ac:dyDescent="0.2">
      <c r="A26" s="14" t="str">
        <f>A13</f>
        <v>FALHAS (Kg)</v>
      </c>
      <c r="B26" s="15"/>
      <c r="C26" s="15"/>
      <c r="D26" s="15"/>
      <c r="E26" s="16"/>
      <c r="F26" s="16"/>
      <c r="G26" s="16"/>
      <c r="H26" s="16"/>
      <c r="I26" s="16"/>
      <c r="J26" s="16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43">
        <f>SUM(B26:Z26)</f>
        <v>0</v>
      </c>
      <c r="AB26" s="13"/>
      <c r="AC26" s="23"/>
      <c r="AD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D26" s="23"/>
      <c r="BE26" s="23"/>
      <c r="BF26" s="23"/>
      <c r="BG26" s="23"/>
      <c r="BH26" s="23"/>
      <c r="BI26" s="23"/>
      <c r="BJ26" s="23"/>
      <c r="BK26" s="23"/>
      <c r="BL26" s="23"/>
    </row>
    <row r="27" spans="1:74" ht="18" customHeight="1" x14ac:dyDescent="0.2">
      <c r="A27" s="35" t="str">
        <f>A14</f>
        <v>FALHAS (pçs)</v>
      </c>
      <c r="B27" s="36">
        <f t="shared" ref="B27:Z27" si="4">B26/$B52*1000</f>
        <v>0</v>
      </c>
      <c r="C27" s="36">
        <f t="shared" si="4"/>
        <v>0</v>
      </c>
      <c r="D27" s="36">
        <f t="shared" si="4"/>
        <v>0</v>
      </c>
      <c r="E27" s="37">
        <f t="shared" si="4"/>
        <v>0</v>
      </c>
      <c r="F27" s="37">
        <f t="shared" si="4"/>
        <v>0</v>
      </c>
      <c r="G27" s="37">
        <f t="shared" si="4"/>
        <v>0</v>
      </c>
      <c r="H27" s="37">
        <f t="shared" si="4"/>
        <v>0</v>
      </c>
      <c r="I27" s="37">
        <f t="shared" si="4"/>
        <v>0</v>
      </c>
      <c r="J27" s="37">
        <f t="shared" si="4"/>
        <v>0</v>
      </c>
      <c r="K27" s="37">
        <f t="shared" si="4"/>
        <v>0</v>
      </c>
      <c r="L27" s="37">
        <f t="shared" si="4"/>
        <v>0</v>
      </c>
      <c r="M27" s="37">
        <f t="shared" si="4"/>
        <v>0</v>
      </c>
      <c r="N27" s="37">
        <f t="shared" si="4"/>
        <v>0</v>
      </c>
      <c r="O27" s="37">
        <f t="shared" si="4"/>
        <v>0</v>
      </c>
      <c r="P27" s="37">
        <f t="shared" si="4"/>
        <v>0</v>
      </c>
      <c r="Q27" s="37">
        <f t="shared" si="4"/>
        <v>0</v>
      </c>
      <c r="R27" s="37">
        <f t="shared" si="4"/>
        <v>0</v>
      </c>
      <c r="S27" s="37">
        <f t="shared" si="4"/>
        <v>0</v>
      </c>
      <c r="T27" s="37">
        <f t="shared" si="4"/>
        <v>0</v>
      </c>
      <c r="U27" s="37">
        <f t="shared" si="4"/>
        <v>0</v>
      </c>
      <c r="V27" s="37">
        <f t="shared" si="4"/>
        <v>0</v>
      </c>
      <c r="W27" s="37">
        <f t="shared" si="4"/>
        <v>0</v>
      </c>
      <c r="X27" s="37">
        <f t="shared" si="4"/>
        <v>0</v>
      </c>
      <c r="Y27" s="37">
        <f t="shared" si="4"/>
        <v>0</v>
      </c>
      <c r="Z27" s="37">
        <f t="shared" si="4"/>
        <v>0</v>
      </c>
      <c r="AA27" s="41">
        <f>SUM(B27:Z27)</f>
        <v>0</v>
      </c>
      <c r="AB27" s="13"/>
      <c r="AC27" s="23"/>
      <c r="AD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D27" s="23"/>
      <c r="BE27" s="23"/>
      <c r="BF27" s="23"/>
      <c r="BG27" s="23"/>
      <c r="BH27" s="23"/>
      <c r="BI27" s="23"/>
      <c r="BJ27" s="23"/>
      <c r="BK27" s="23"/>
      <c r="BL27" s="23"/>
    </row>
    <row r="28" spans="1:74" ht="18" customHeight="1" thickBot="1" x14ac:dyDescent="0.25">
      <c r="A28" s="24" t="str">
        <f>A15</f>
        <v>(%)</v>
      </c>
      <c r="B28" s="44" t="str">
        <f>IF(B25&gt;0,B27/B25*100,"")</f>
        <v/>
      </c>
      <c r="C28" s="44" t="str">
        <f t="shared" ref="C28:AA28" si="5">IF(C25&gt;0,C27/C25*100,"")</f>
        <v/>
      </c>
      <c r="D28" s="44" t="str">
        <f t="shared" si="5"/>
        <v/>
      </c>
      <c r="E28" s="44" t="str">
        <f t="shared" si="5"/>
        <v/>
      </c>
      <c r="F28" s="44" t="str">
        <f t="shared" si="5"/>
        <v/>
      </c>
      <c r="G28" s="44" t="str">
        <f t="shared" si="5"/>
        <v/>
      </c>
      <c r="H28" s="44" t="str">
        <f t="shared" si="5"/>
        <v/>
      </c>
      <c r="I28" s="44" t="str">
        <f t="shared" si="5"/>
        <v/>
      </c>
      <c r="J28" s="44" t="str">
        <f t="shared" si="5"/>
        <v/>
      </c>
      <c r="K28" s="44" t="str">
        <f t="shared" si="5"/>
        <v/>
      </c>
      <c r="L28" s="44" t="str">
        <f t="shared" si="5"/>
        <v/>
      </c>
      <c r="M28" s="44" t="str">
        <f t="shared" si="5"/>
        <v/>
      </c>
      <c r="N28" s="44" t="str">
        <f t="shared" si="5"/>
        <v/>
      </c>
      <c r="O28" s="44" t="str">
        <f t="shared" si="5"/>
        <v/>
      </c>
      <c r="P28" s="44" t="str">
        <f t="shared" si="5"/>
        <v/>
      </c>
      <c r="Q28" s="44" t="str">
        <f t="shared" si="5"/>
        <v/>
      </c>
      <c r="R28" s="44" t="str">
        <f t="shared" si="5"/>
        <v/>
      </c>
      <c r="S28" s="44" t="str">
        <f t="shared" si="5"/>
        <v/>
      </c>
      <c r="T28" s="44" t="str">
        <f t="shared" si="5"/>
        <v/>
      </c>
      <c r="U28" s="44" t="str">
        <f t="shared" si="5"/>
        <v/>
      </c>
      <c r="V28" s="44" t="str">
        <f t="shared" si="5"/>
        <v/>
      </c>
      <c r="W28" s="44" t="str">
        <f t="shared" si="5"/>
        <v/>
      </c>
      <c r="X28" s="44" t="str">
        <f t="shared" si="5"/>
        <v/>
      </c>
      <c r="Y28" s="44" t="str">
        <f t="shared" si="5"/>
        <v/>
      </c>
      <c r="Z28" s="44" t="str">
        <f t="shared" si="5"/>
        <v/>
      </c>
      <c r="AA28" s="45" t="str">
        <f t="shared" si="5"/>
        <v/>
      </c>
      <c r="BO28" s="23"/>
      <c r="BP28" s="23"/>
      <c r="BQ28" s="23"/>
      <c r="BR28" s="23"/>
      <c r="BS28" s="23"/>
      <c r="BT28" s="23"/>
      <c r="BU28" s="23"/>
      <c r="BV28" s="23"/>
    </row>
    <row r="29" spans="1:74" ht="18" customHeight="1" x14ac:dyDescent="0.2">
      <c r="A29" s="72" t="s">
        <v>26</v>
      </c>
      <c r="B29" s="68">
        <f>B49</f>
        <v>0</v>
      </c>
      <c r="C29" s="68">
        <f t="shared" ref="C29:Z29" si="6">C49</f>
        <v>0</v>
      </c>
      <c r="D29" s="68">
        <f t="shared" si="6"/>
        <v>0</v>
      </c>
      <c r="E29" s="68">
        <f t="shared" si="6"/>
        <v>0</v>
      </c>
      <c r="F29" s="68">
        <f t="shared" si="6"/>
        <v>0</v>
      </c>
      <c r="G29" s="68">
        <f t="shared" si="6"/>
        <v>0</v>
      </c>
      <c r="H29" s="68">
        <f t="shared" si="6"/>
        <v>0</v>
      </c>
      <c r="I29" s="68">
        <f t="shared" si="6"/>
        <v>0</v>
      </c>
      <c r="J29" s="68">
        <f t="shared" si="6"/>
        <v>0</v>
      </c>
      <c r="K29" s="68">
        <f t="shared" si="6"/>
        <v>0</v>
      </c>
      <c r="L29" s="68">
        <f t="shared" si="6"/>
        <v>0</v>
      </c>
      <c r="M29" s="68">
        <f t="shared" si="6"/>
        <v>0</v>
      </c>
      <c r="N29" s="68">
        <f t="shared" si="6"/>
        <v>0</v>
      </c>
      <c r="O29" s="68">
        <f t="shared" si="6"/>
        <v>0</v>
      </c>
      <c r="P29" s="68">
        <f t="shared" si="6"/>
        <v>0</v>
      </c>
      <c r="Q29" s="68">
        <f t="shared" si="6"/>
        <v>0</v>
      </c>
      <c r="R29" s="68">
        <f t="shared" si="6"/>
        <v>0</v>
      </c>
      <c r="S29" s="68">
        <f t="shared" si="6"/>
        <v>0</v>
      </c>
      <c r="T29" s="68">
        <f t="shared" si="6"/>
        <v>0</v>
      </c>
      <c r="U29" s="68">
        <f t="shared" si="6"/>
        <v>0</v>
      </c>
      <c r="V29" s="68">
        <f t="shared" si="6"/>
        <v>0</v>
      </c>
      <c r="W29" s="68">
        <f t="shared" si="6"/>
        <v>0</v>
      </c>
      <c r="X29" s="68">
        <f t="shared" si="6"/>
        <v>0</v>
      </c>
      <c r="Y29" s="68">
        <f t="shared" si="6"/>
        <v>0</v>
      </c>
      <c r="Z29" s="68">
        <f t="shared" si="6"/>
        <v>0</v>
      </c>
      <c r="AA29" s="22"/>
      <c r="BO29" s="23"/>
      <c r="BP29" s="23"/>
      <c r="BQ29" s="23"/>
      <c r="BR29" s="23"/>
      <c r="BS29" s="23"/>
      <c r="BT29" s="23"/>
      <c r="BU29" s="23"/>
      <c r="BV29" s="23"/>
    </row>
    <row r="30" spans="1:74" ht="18" customHeight="1" x14ac:dyDescent="0.2">
      <c r="A30" s="73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7"/>
      <c r="BO30" s="23"/>
      <c r="BP30" s="23"/>
      <c r="BQ30" s="23"/>
      <c r="BR30" s="23"/>
      <c r="BS30" s="23"/>
      <c r="BT30" s="23"/>
      <c r="BU30" s="23"/>
      <c r="BV30" s="23"/>
    </row>
    <row r="31" spans="1:74" ht="18" customHeight="1" x14ac:dyDescent="0.2">
      <c r="A31" s="73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7"/>
      <c r="BO31" s="23"/>
      <c r="BP31" s="23"/>
      <c r="BQ31" s="23"/>
      <c r="BR31" s="23"/>
      <c r="BS31" s="23"/>
      <c r="BT31" s="23"/>
      <c r="BU31" s="23"/>
      <c r="BV31" s="23"/>
    </row>
    <row r="32" spans="1:74" ht="18" customHeight="1" x14ac:dyDescent="0.2">
      <c r="A32" s="73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7"/>
      <c r="BO32" s="23"/>
      <c r="BP32" s="23"/>
      <c r="BQ32" s="23"/>
      <c r="BR32" s="23"/>
      <c r="BS32" s="23"/>
      <c r="BT32" s="23"/>
      <c r="BU32" s="23"/>
      <c r="BV32" s="23"/>
    </row>
    <row r="33" spans="1:74" ht="18" customHeight="1" x14ac:dyDescent="0.2">
      <c r="A33" s="73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7"/>
      <c r="BO33" s="23"/>
      <c r="BP33" s="23"/>
      <c r="BQ33" s="23"/>
      <c r="BR33" s="23"/>
      <c r="BS33" s="23"/>
      <c r="BT33" s="23"/>
      <c r="BU33" s="23"/>
      <c r="BV33" s="23"/>
    </row>
    <row r="34" spans="1:74" ht="18" customHeight="1" x14ac:dyDescent="0.2">
      <c r="A34" s="73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7"/>
      <c r="BO34" s="23"/>
      <c r="BP34" s="23"/>
      <c r="BQ34" s="23"/>
      <c r="BR34" s="23"/>
      <c r="BS34" s="23"/>
      <c r="BT34" s="23"/>
      <c r="BU34" s="23"/>
      <c r="BV34" s="23"/>
    </row>
    <row r="35" spans="1:74" ht="18" customHeight="1" x14ac:dyDescent="0.2">
      <c r="A35" s="73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7"/>
      <c r="BO35" s="23"/>
      <c r="BP35" s="23"/>
      <c r="BQ35" s="23"/>
      <c r="BR35" s="23"/>
      <c r="BS35" s="23"/>
      <c r="BT35" s="23"/>
      <c r="BU35" s="23"/>
      <c r="BV35" s="23"/>
    </row>
    <row r="36" spans="1:74" ht="18" customHeight="1" x14ac:dyDescent="0.2">
      <c r="A36" s="74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8"/>
      <c r="BO36" s="23"/>
      <c r="BP36" s="23"/>
      <c r="BQ36" s="23"/>
      <c r="BR36" s="23"/>
      <c r="BS36" s="23"/>
      <c r="BT36" s="23"/>
      <c r="BU36" s="23"/>
      <c r="BV36" s="23"/>
    </row>
    <row r="37" spans="1:74" ht="18" customHeight="1" x14ac:dyDescent="0.2">
      <c r="A37" s="9" t="s">
        <v>3</v>
      </c>
      <c r="B37" s="10"/>
      <c r="C37" s="11"/>
      <c r="D37" s="10"/>
      <c r="E37" s="11"/>
      <c r="F37" s="11"/>
      <c r="G37" s="11"/>
      <c r="H37" s="11"/>
      <c r="I37" s="11"/>
      <c r="J37" s="11"/>
      <c r="K37" s="11"/>
      <c r="L37" s="11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42">
        <f>SUM(B37:Z37)</f>
        <v>0</v>
      </c>
      <c r="BO37" s="23"/>
      <c r="BP37" s="23"/>
      <c r="BQ37" s="23"/>
      <c r="BR37" s="23"/>
      <c r="BS37" s="23"/>
      <c r="BT37" s="23"/>
      <c r="BU37" s="23"/>
      <c r="BV37" s="23"/>
    </row>
    <row r="38" spans="1:74" ht="18" customHeight="1" x14ac:dyDescent="0.2">
      <c r="A38" s="14" t="str">
        <f>A26</f>
        <v>FALHAS (Kg)</v>
      </c>
      <c r="B38" s="15"/>
      <c r="C38" s="16"/>
      <c r="D38" s="15"/>
      <c r="E38" s="16"/>
      <c r="F38" s="16"/>
      <c r="G38" s="16"/>
      <c r="H38" s="16"/>
      <c r="I38" s="16"/>
      <c r="J38" s="16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43">
        <f>SUM(B38:Z38)</f>
        <v>0</v>
      </c>
      <c r="BO38" s="23"/>
      <c r="BP38" s="23"/>
      <c r="BQ38" s="23"/>
      <c r="BR38" s="23"/>
      <c r="BS38" s="23"/>
      <c r="BT38" s="23"/>
      <c r="BU38" s="23"/>
      <c r="BV38" s="23"/>
    </row>
    <row r="39" spans="1:74" ht="18" customHeight="1" x14ac:dyDescent="0.2">
      <c r="A39" s="35" t="str">
        <f>A27</f>
        <v>FALHAS (pçs)</v>
      </c>
      <c r="B39" s="36">
        <f t="shared" ref="B39:Z39" si="7">B38/$B$53*1000</f>
        <v>0</v>
      </c>
      <c r="C39" s="36">
        <f t="shared" si="7"/>
        <v>0</v>
      </c>
      <c r="D39" s="36">
        <f t="shared" si="7"/>
        <v>0</v>
      </c>
      <c r="E39" s="36">
        <f t="shared" si="7"/>
        <v>0</v>
      </c>
      <c r="F39" s="36">
        <f t="shared" si="7"/>
        <v>0</v>
      </c>
      <c r="G39" s="36">
        <f t="shared" si="7"/>
        <v>0</v>
      </c>
      <c r="H39" s="36">
        <f t="shared" si="7"/>
        <v>0</v>
      </c>
      <c r="I39" s="36">
        <f t="shared" si="7"/>
        <v>0</v>
      </c>
      <c r="J39" s="36">
        <f t="shared" si="7"/>
        <v>0</v>
      </c>
      <c r="K39" s="36">
        <f t="shared" si="7"/>
        <v>0</v>
      </c>
      <c r="L39" s="36">
        <f t="shared" si="7"/>
        <v>0</v>
      </c>
      <c r="M39" s="36">
        <f t="shared" si="7"/>
        <v>0</v>
      </c>
      <c r="N39" s="36">
        <f t="shared" si="7"/>
        <v>0</v>
      </c>
      <c r="O39" s="36">
        <f t="shared" si="7"/>
        <v>0</v>
      </c>
      <c r="P39" s="36">
        <f t="shared" si="7"/>
        <v>0</v>
      </c>
      <c r="Q39" s="36">
        <f t="shared" si="7"/>
        <v>0</v>
      </c>
      <c r="R39" s="36">
        <f t="shared" si="7"/>
        <v>0</v>
      </c>
      <c r="S39" s="36">
        <f t="shared" si="7"/>
        <v>0</v>
      </c>
      <c r="T39" s="36">
        <f t="shared" si="7"/>
        <v>0</v>
      </c>
      <c r="U39" s="36">
        <f t="shared" si="7"/>
        <v>0</v>
      </c>
      <c r="V39" s="36">
        <f t="shared" si="7"/>
        <v>0</v>
      </c>
      <c r="W39" s="36">
        <f t="shared" si="7"/>
        <v>0</v>
      </c>
      <c r="X39" s="36">
        <f t="shared" si="7"/>
        <v>0</v>
      </c>
      <c r="Y39" s="36">
        <f t="shared" si="7"/>
        <v>0</v>
      </c>
      <c r="Z39" s="36">
        <f t="shared" si="7"/>
        <v>0</v>
      </c>
      <c r="AA39" s="41">
        <f>SUM(B39:Z39)</f>
        <v>0</v>
      </c>
      <c r="BO39" s="23"/>
      <c r="BP39" s="23"/>
      <c r="BQ39" s="23"/>
      <c r="BR39" s="23"/>
      <c r="BS39" s="23"/>
      <c r="BT39" s="23"/>
      <c r="BU39" s="23"/>
      <c r="BV39" s="23"/>
    </row>
    <row r="40" spans="1:74" ht="18" customHeight="1" thickBot="1" x14ac:dyDescent="0.25">
      <c r="A40" s="24" t="str">
        <f>A28</f>
        <v>(%)</v>
      </c>
      <c r="B40" s="44" t="str">
        <f>IF(B37&gt;0,B39/B37*100,"")</f>
        <v/>
      </c>
      <c r="C40" s="44" t="str">
        <f t="shared" ref="C40:W40" si="8">IF(C37&gt;0,C39/C37*100,"")</f>
        <v/>
      </c>
      <c r="D40" s="44" t="str">
        <f t="shared" si="8"/>
        <v/>
      </c>
      <c r="E40" s="44" t="str">
        <f t="shared" si="8"/>
        <v/>
      </c>
      <c r="F40" s="44" t="str">
        <f t="shared" si="8"/>
        <v/>
      </c>
      <c r="G40" s="44" t="str">
        <f t="shared" si="8"/>
        <v/>
      </c>
      <c r="H40" s="44" t="str">
        <f t="shared" si="8"/>
        <v/>
      </c>
      <c r="I40" s="44" t="str">
        <f t="shared" si="8"/>
        <v/>
      </c>
      <c r="J40" s="44" t="str">
        <f t="shared" si="8"/>
        <v/>
      </c>
      <c r="K40" s="44" t="str">
        <f t="shared" si="8"/>
        <v/>
      </c>
      <c r="L40" s="44" t="str">
        <f t="shared" si="8"/>
        <v/>
      </c>
      <c r="M40" s="44" t="str">
        <f t="shared" si="8"/>
        <v/>
      </c>
      <c r="N40" s="44" t="str">
        <f t="shared" si="8"/>
        <v/>
      </c>
      <c r="O40" s="44" t="str">
        <f t="shared" si="8"/>
        <v/>
      </c>
      <c r="P40" s="44" t="str">
        <f t="shared" si="8"/>
        <v/>
      </c>
      <c r="Q40" s="44" t="str">
        <f t="shared" si="8"/>
        <v/>
      </c>
      <c r="R40" s="44" t="str">
        <f t="shared" si="8"/>
        <v/>
      </c>
      <c r="S40" s="44" t="str">
        <f t="shared" si="8"/>
        <v/>
      </c>
      <c r="T40" s="44" t="str">
        <f t="shared" si="8"/>
        <v/>
      </c>
      <c r="U40" s="44" t="str">
        <f t="shared" si="8"/>
        <v/>
      </c>
      <c r="V40" s="44" t="str">
        <f t="shared" si="8"/>
        <v/>
      </c>
      <c r="W40" s="44" t="str">
        <f t="shared" si="8"/>
        <v/>
      </c>
      <c r="X40" s="44" t="str">
        <f t="shared" ref="X40:AA40" si="9">IF(X37&gt;0,X39/X37*100,"")</f>
        <v/>
      </c>
      <c r="Y40" s="44" t="str">
        <f t="shared" si="9"/>
        <v/>
      </c>
      <c r="Z40" s="44" t="str">
        <f t="shared" si="9"/>
        <v/>
      </c>
      <c r="AA40" s="53" t="str">
        <f t="shared" si="9"/>
        <v/>
      </c>
      <c r="BO40" s="23"/>
      <c r="BP40" s="23"/>
      <c r="BQ40" s="23"/>
      <c r="BR40" s="23"/>
      <c r="BS40" s="23"/>
      <c r="BT40" s="23"/>
      <c r="BU40" s="23"/>
      <c r="BV40" s="23"/>
    </row>
    <row r="41" spans="1:74" ht="18" customHeight="1" x14ac:dyDescent="0.2">
      <c r="A41" s="57" t="s">
        <v>29</v>
      </c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9"/>
      <c r="BO41" s="23"/>
      <c r="BP41" s="23"/>
      <c r="BQ41" s="23"/>
      <c r="BR41" s="23"/>
      <c r="BS41" s="23"/>
      <c r="BT41" s="23"/>
      <c r="BU41" s="23"/>
      <c r="BV41" s="23"/>
    </row>
    <row r="42" spans="1:74" ht="18" customHeight="1" thickBot="1" x14ac:dyDescent="0.25">
      <c r="A42" s="60" t="s">
        <v>30</v>
      </c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2"/>
      <c r="BO42" s="23"/>
      <c r="BP42" s="23"/>
      <c r="BQ42" s="23"/>
      <c r="BR42" s="23"/>
      <c r="BS42" s="23"/>
      <c r="BT42" s="23"/>
      <c r="BU42" s="23"/>
      <c r="BV42" s="23"/>
    </row>
    <row r="43" spans="1:74" ht="18" customHeight="1" x14ac:dyDescent="0.2">
      <c r="A43" s="54" t="s">
        <v>5</v>
      </c>
      <c r="B43" s="55"/>
      <c r="C43" s="55"/>
      <c r="D43" s="55"/>
      <c r="E43" s="55"/>
      <c r="F43" s="55"/>
      <c r="G43" s="55"/>
      <c r="H43" s="56"/>
      <c r="I43" s="77" t="s">
        <v>6</v>
      </c>
      <c r="J43" s="78"/>
      <c r="K43" s="78"/>
      <c r="L43" s="78"/>
      <c r="M43" s="78"/>
      <c r="N43" s="78"/>
      <c r="O43" s="78"/>
      <c r="P43" s="78"/>
      <c r="Q43" s="78"/>
      <c r="R43" s="78"/>
      <c r="S43" s="79"/>
      <c r="T43" s="77" t="s">
        <v>7</v>
      </c>
      <c r="U43" s="78"/>
      <c r="V43" s="78"/>
      <c r="W43" s="78"/>
      <c r="X43" s="78"/>
      <c r="Y43" s="78"/>
      <c r="Z43" s="78"/>
      <c r="AA43" s="79"/>
      <c r="BO43" s="23"/>
      <c r="BP43" s="23"/>
      <c r="BQ43" s="23"/>
      <c r="BR43" s="23"/>
      <c r="BS43" s="23"/>
      <c r="BT43" s="23"/>
      <c r="BU43" s="23"/>
      <c r="BV43" s="23"/>
    </row>
    <row r="44" spans="1:74" s="23" customFormat="1" ht="18" customHeight="1" thickBot="1" x14ac:dyDescent="0.25">
      <c r="A44" s="25" t="s">
        <v>8</v>
      </c>
      <c r="B44" s="26"/>
      <c r="C44" s="26"/>
      <c r="D44" s="26"/>
      <c r="E44" s="26"/>
      <c r="F44" s="26"/>
      <c r="G44" s="26"/>
      <c r="H44" s="27"/>
      <c r="I44" s="28"/>
      <c r="J44" s="26"/>
      <c r="K44" s="26"/>
      <c r="L44" s="26"/>
      <c r="M44" s="26"/>
      <c r="N44" s="26"/>
      <c r="O44" s="26"/>
      <c r="P44" s="26"/>
      <c r="Q44" s="26"/>
      <c r="R44" s="26"/>
      <c r="S44" s="27"/>
      <c r="T44" s="26" t="s">
        <v>8</v>
      </c>
      <c r="U44" s="26"/>
      <c r="V44" s="26"/>
      <c r="W44" s="26"/>
      <c r="X44" s="26"/>
      <c r="Y44" s="26"/>
      <c r="Z44" s="29"/>
      <c r="AA44" s="30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</row>
    <row r="46" spans="1:74" x14ac:dyDescent="0.2">
      <c r="A46" s="31" t="s">
        <v>11</v>
      </c>
      <c r="B46" s="52">
        <f>B3</f>
        <v>0</v>
      </c>
      <c r="C46" s="52">
        <f t="shared" ref="C46:Z46" si="10">C3</f>
        <v>0</v>
      </c>
      <c r="D46" s="52">
        <f t="shared" si="10"/>
        <v>0</v>
      </c>
      <c r="E46" s="52">
        <f t="shared" si="10"/>
        <v>0</v>
      </c>
      <c r="F46" s="52">
        <f t="shared" si="10"/>
        <v>0</v>
      </c>
      <c r="G46" s="52">
        <f t="shared" si="10"/>
        <v>0</v>
      </c>
      <c r="H46" s="52">
        <f t="shared" si="10"/>
        <v>0</v>
      </c>
      <c r="I46" s="52">
        <f t="shared" si="10"/>
        <v>0</v>
      </c>
      <c r="J46" s="52">
        <f t="shared" si="10"/>
        <v>0</v>
      </c>
      <c r="K46" s="52">
        <f t="shared" si="10"/>
        <v>0</v>
      </c>
      <c r="L46" s="52">
        <f t="shared" si="10"/>
        <v>0</v>
      </c>
      <c r="M46" s="52">
        <f t="shared" si="10"/>
        <v>0</v>
      </c>
      <c r="N46" s="52">
        <f t="shared" si="10"/>
        <v>0</v>
      </c>
      <c r="O46" s="52">
        <f t="shared" si="10"/>
        <v>0</v>
      </c>
      <c r="P46" s="52">
        <f t="shared" si="10"/>
        <v>0</v>
      </c>
      <c r="Q46" s="52">
        <f t="shared" si="10"/>
        <v>0</v>
      </c>
      <c r="R46" s="52">
        <f t="shared" si="10"/>
        <v>0</v>
      </c>
      <c r="S46" s="52">
        <f t="shared" si="10"/>
        <v>0</v>
      </c>
      <c r="T46" s="52">
        <f t="shared" si="10"/>
        <v>0</v>
      </c>
      <c r="U46" s="52">
        <f t="shared" si="10"/>
        <v>0</v>
      </c>
      <c r="V46" s="52">
        <f t="shared" si="10"/>
        <v>0</v>
      </c>
      <c r="W46" s="52">
        <f t="shared" si="10"/>
        <v>0</v>
      </c>
      <c r="X46" s="52">
        <f t="shared" si="10"/>
        <v>0</v>
      </c>
      <c r="Y46" s="52">
        <f t="shared" si="10"/>
        <v>0</v>
      </c>
      <c r="Z46" s="52">
        <f t="shared" si="10"/>
        <v>0</v>
      </c>
    </row>
    <row r="47" spans="1:74" ht="127.5" customHeight="1" x14ac:dyDescent="0.2">
      <c r="A47" s="33" t="s">
        <v>12</v>
      </c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spans="1:74" ht="127.5" customHeight="1" x14ac:dyDescent="0.2">
      <c r="A48" s="33" t="s">
        <v>13</v>
      </c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spans="1:26" ht="127.5" customHeight="1" x14ac:dyDescent="0.2">
      <c r="A49" s="33" t="s">
        <v>28</v>
      </c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1" spans="1:26" x14ac:dyDescent="0.2">
      <c r="A51" s="51" t="s">
        <v>15</v>
      </c>
      <c r="B51">
        <v>15.7</v>
      </c>
    </row>
    <row r="52" spans="1:26" x14ac:dyDescent="0.2">
      <c r="A52" s="51" t="s">
        <v>16</v>
      </c>
      <c r="B52">
        <v>3.55</v>
      </c>
    </row>
    <row r="53" spans="1:26" x14ac:dyDescent="0.2">
      <c r="A53" s="51" t="s">
        <v>27</v>
      </c>
      <c r="B53">
        <v>3.25</v>
      </c>
    </row>
    <row r="54" spans="1:26" x14ac:dyDescent="0.2">
      <c r="A54" t="s">
        <v>9</v>
      </c>
      <c r="B54" s="63">
        <f>'[7]SJCPIL 16-006-08'!$Y27*100</f>
        <v>7.0000000000000009</v>
      </c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</row>
    <row r="55" spans="1:26" x14ac:dyDescent="0.2">
      <c r="A55" t="s">
        <v>10</v>
      </c>
      <c r="B55" s="63">
        <f>'[7]SJCPIL 16-006-08'!$Y28*100</f>
        <v>4</v>
      </c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</row>
    <row r="56" spans="1:26" x14ac:dyDescent="0.2">
      <c r="A56" t="s">
        <v>25</v>
      </c>
      <c r="B56" s="63">
        <f>'[7]SJCPIL 16-006-08'!$Y29*100</f>
        <v>6</v>
      </c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</row>
  </sheetData>
  <sheetProtection algorithmName="SHA-512" hashValue="LjnJZd/G8GjSLQgkhSMLFI8eQlux/pWQqzytuNTIJAS/z66YY3Q+bQvpfhIO0cPeOBzmnIxM7qY25D9Wa72FLQ==" saltValue="qyqXoabzdgWijNZqQ2x3Jw==" spinCount="100000" sheet="1" objects="1" scenarios="1" selectLockedCells="1"/>
  <mergeCells count="82">
    <mergeCell ref="I43:S43"/>
    <mergeCell ref="T43:AA43"/>
    <mergeCell ref="U17:U24"/>
    <mergeCell ref="V17:V24"/>
    <mergeCell ref="W17:W24"/>
    <mergeCell ref="X17:X24"/>
    <mergeCell ref="Y17:Y24"/>
    <mergeCell ref="Z17:Z24"/>
    <mergeCell ref="O17:O24"/>
    <mergeCell ref="P17:P24"/>
    <mergeCell ref="Q17:Q24"/>
    <mergeCell ref="R17:R24"/>
    <mergeCell ref="S17:S24"/>
    <mergeCell ref="T17:T24"/>
    <mergeCell ref="I17:I24"/>
    <mergeCell ref="K29:K36"/>
    <mergeCell ref="F17:F24"/>
    <mergeCell ref="G17:G24"/>
    <mergeCell ref="H17:H24"/>
    <mergeCell ref="S4:S11"/>
    <mergeCell ref="T4:T11"/>
    <mergeCell ref="N4:N11"/>
    <mergeCell ref="O4:O11"/>
    <mergeCell ref="P4:P11"/>
    <mergeCell ref="Q4:Q11"/>
    <mergeCell ref="R4:R11"/>
    <mergeCell ref="J17:J24"/>
    <mergeCell ref="K17:K24"/>
    <mergeCell ref="L17:L24"/>
    <mergeCell ref="M17:M24"/>
    <mergeCell ref="N17:N24"/>
    <mergeCell ref="M4:M11"/>
    <mergeCell ref="A17:A24"/>
    <mergeCell ref="B17:B24"/>
    <mergeCell ref="C17:C24"/>
    <mergeCell ref="D17:D24"/>
    <mergeCell ref="E17:E24"/>
    <mergeCell ref="G4:G11"/>
    <mergeCell ref="H4:H11"/>
    <mergeCell ref="I4:I11"/>
    <mergeCell ref="J4:J11"/>
    <mergeCell ref="K4:K11"/>
    <mergeCell ref="F4:F11"/>
    <mergeCell ref="A4:A11"/>
    <mergeCell ref="B4:B11"/>
    <mergeCell ref="C4:C11"/>
    <mergeCell ref="D4:D11"/>
    <mergeCell ref="E4:E11"/>
    <mergeCell ref="A29:A36"/>
    <mergeCell ref="B29:B36"/>
    <mergeCell ref="C29:C36"/>
    <mergeCell ref="D29:D36"/>
    <mergeCell ref="E29:E36"/>
    <mergeCell ref="F29:F36"/>
    <mergeCell ref="G29:G36"/>
    <mergeCell ref="H29:H36"/>
    <mergeCell ref="I29:I36"/>
    <mergeCell ref="J29:J36"/>
    <mergeCell ref="L4:L11"/>
    <mergeCell ref="Q29:Q36"/>
    <mergeCell ref="R29:R36"/>
    <mergeCell ref="S29:S36"/>
    <mergeCell ref="T29:T36"/>
    <mergeCell ref="L29:L36"/>
    <mergeCell ref="M29:M36"/>
    <mergeCell ref="N29:N36"/>
    <mergeCell ref="O29:O36"/>
    <mergeCell ref="P29:P36"/>
    <mergeCell ref="Z1:AA1"/>
    <mergeCell ref="X1:Y1"/>
    <mergeCell ref="Z29:Z36"/>
    <mergeCell ref="U29:U36"/>
    <mergeCell ref="V29:V36"/>
    <mergeCell ref="W29:W36"/>
    <mergeCell ref="X29:X36"/>
    <mergeCell ref="Y29:Y36"/>
    <mergeCell ref="Z4:Z11"/>
    <mergeCell ref="U4:U11"/>
    <mergeCell ref="V4:V11"/>
    <mergeCell ref="W4:W11"/>
    <mergeCell ref="X4:X11"/>
    <mergeCell ref="Y4:Y11"/>
  </mergeCells>
  <printOptions horizontalCentered="1" gridLines="1" gridLinesSet="0"/>
  <pageMargins left="0.27559055118110237" right="0.23622047244094491" top="0.78740157480314965" bottom="0.43307086614173229" header="0.27559055118110237" footer="0.19685039370078741"/>
  <pageSetup paperSize="9" scale="64" orientation="landscape" r:id="rId1"/>
  <headerFooter alignWithMargins="0">
    <oddFooter>&amp;R&amp;A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Instruções de Uso</vt:lpstr>
      <vt:lpstr>SJCPIL-R 15-078-02</vt:lpstr>
      <vt:lpstr>'SJCPIL-R 15-078-02'!Area_de_impressao</vt:lpstr>
      <vt:lpstr>'SJCPIL-R 15-078-02'!F7.18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2021-04-26T19:35:38Z</cp:lastPrinted>
  <dcterms:created xsi:type="dcterms:W3CDTF">2016-02-02T15:53:32Z</dcterms:created>
  <dcterms:modified xsi:type="dcterms:W3CDTF">2022-02-21T11:55:33Z</dcterms:modified>
</cp:coreProperties>
</file>