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7) BAT-ESPECIAIS\"/>
    </mc:Choice>
  </mc:AlternateContent>
  <xr:revisionPtr revIDLastSave="0" documentId="13_ncr:1_{C9879FEF-CAB2-4DF6-8B6D-1F3AFB4691C2}" xr6:coauthVersionLast="47" xr6:coauthVersionMax="47" xr10:uidLastSave="{00000000-0000-0000-0000-000000000000}"/>
  <bookViews>
    <workbookView xWindow="-120" yWindow="-120" windowWidth="29040" windowHeight="16440" activeTab="4" xr2:uid="{00000000-000D-0000-FFFF-FFFF00000000}"/>
  </bookViews>
  <sheets>
    <sheet name="SJCPIL-R 15-082-05 Dia" sheetId="1" r:id="rId1"/>
    <sheet name="SJCPIL-R 15-082-05 Noite" sheetId="16" r:id="rId2"/>
    <sheet name="Resumo de Falhas" sheetId="14" r:id="rId3"/>
    <sheet name="Resumo para Custo" sheetId="12" r:id="rId4"/>
    <sheet name="Dados para grafico" sheetId="13" r:id="rId5"/>
  </sheets>
  <externalReferences>
    <externalReference r:id="rId6"/>
  </externalReferences>
  <definedNames>
    <definedName name="_xlnm.Print_Area" localSheetId="0">'SJCPIL-R 15-082-05 Dia'!$A$1:$AH$32</definedName>
    <definedName name="_xlnm.Print_Area" localSheetId="1">'SJCPIL-R 15-082-05 Noite'!$A$1:$AH$32</definedName>
    <definedName name="F7.47" localSheetId="1">'SJCPIL-R 15-082-05 Noite'!$D$1</definedName>
    <definedName name="F7.47">'SJCPIL-R 15-082-05 Dia'!$D$1</definedName>
    <definedName name="FALHAS_UM3SH2D">'SJCPIL-R 15-082-05 Dia'!$AH$27</definedName>
    <definedName name="FALHAS_UM3SH2N" localSheetId="1">'SJCPIL-R 15-082-05 Noite'!$AH$27</definedName>
    <definedName name="LinACD">OFFSET('Dados para grafico'!$N$4,0,0,COUNTIF('Dados para grafico'!$N$4:$N$17,"&lt;100")+1,1)</definedName>
    <definedName name="LinFalhasD_X">OFFSET('Dados para grafico'!$J$4,0,0,COUNTIF('Dados para grafico'!$N$4:$N$17,"&lt;100")+1,1)</definedName>
    <definedName name="LinFalhasD_Y">OFFSET('Dados para grafico'!$L$4,0,0,COUNTIF('Dados para grafico'!$N$4:$N$17,"&lt;100")+1,1)</definedName>
    <definedName name="LinProbD">OFFSET('Dados para grafico'!$O$4,0,0,COUNTIF('Dados para grafico'!$N$4:$N$17,"&lt;100")+1,1)</definedName>
    <definedName name="produtos">'Resumo de Falhas'!$C$1:$L$1</definedName>
    <definedName name="TOTAL_UM3SH2_D">'SJCPIL-R 15-082-05 Dia'!$AH$4</definedName>
    <definedName name="TOTAL_UM3SH2_N" localSheetId="1">'SJCPIL-R 15-082-05 Noite'!$AH$4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3" i="1" l="1"/>
  <c r="AG1" i="1"/>
  <c r="AG1" i="16" s="1"/>
  <c r="E34" i="12" l="1" a="1"/>
  <c r="E34" i="12" s="1"/>
  <c r="D34" i="12" a="1"/>
  <c r="D34" i="12" s="1"/>
  <c r="E33" i="12" a="1"/>
  <c r="E33" i="12" s="1"/>
  <c r="H33" i="12" s="1"/>
  <c r="D33" i="12" a="1"/>
  <c r="D33" i="12" s="1"/>
  <c r="G33" i="12" s="1"/>
  <c r="E32" i="12" a="1"/>
  <c r="E32" i="12" s="1"/>
  <c r="D32" i="12" a="1"/>
  <c r="D32" i="12" s="1"/>
  <c r="E31" i="12" a="1"/>
  <c r="E31" i="12" s="1"/>
  <c r="H31" i="12" s="1"/>
  <c r="D31" i="12" a="1"/>
  <c r="D31" i="12" s="1"/>
  <c r="G31" i="12" s="1"/>
  <c r="E30" i="12" a="1"/>
  <c r="E30" i="12" s="1"/>
  <c r="H30" i="12" s="1"/>
  <c r="D30" i="12" a="1"/>
  <c r="D30" i="12" s="1"/>
  <c r="G30" i="12" s="1"/>
  <c r="E29" i="12" a="1"/>
  <c r="E29" i="12" s="1"/>
  <c r="H29" i="12" s="1"/>
  <c r="D29" i="12" a="1"/>
  <c r="D29" i="12" s="1"/>
  <c r="G29" i="12" s="1"/>
  <c r="E28" i="12" a="1"/>
  <c r="E28" i="12" s="1"/>
  <c r="H28" i="12" s="1"/>
  <c r="D28" i="12" a="1"/>
  <c r="D28" i="12" s="1"/>
  <c r="G28" i="12" s="1"/>
  <c r="E27" i="12" a="1"/>
  <c r="E27" i="12" s="1"/>
  <c r="H27" i="12" s="1"/>
  <c r="D27" i="12" a="1"/>
  <c r="D27" i="12" s="1"/>
  <c r="G27" i="12" s="1"/>
  <c r="E26" i="12" a="1"/>
  <c r="E26" i="12" s="1"/>
  <c r="H26" i="12" s="1"/>
  <c r="D26" i="12" a="1"/>
  <c r="D26" i="12" s="1"/>
  <c r="G26" i="12" s="1"/>
  <c r="E25" i="12" a="1"/>
  <c r="E25" i="12" s="1"/>
  <c r="H25" i="12" s="1"/>
  <c r="D25" i="12" a="1"/>
  <c r="D25" i="12" s="1"/>
  <c r="G25" i="12" s="1"/>
  <c r="E24" i="12" a="1"/>
  <c r="E24" i="12" s="1"/>
  <c r="H24" i="12" s="1"/>
  <c r="D24" i="12" a="1"/>
  <c r="D24" i="12" s="1"/>
  <c r="G24" i="12" s="1"/>
  <c r="E23" i="12" a="1"/>
  <c r="E23" i="12" s="1"/>
  <c r="H23" i="12" s="1"/>
  <c r="D23" i="12" a="1"/>
  <c r="D23" i="12" s="1"/>
  <c r="G23" i="12" s="1"/>
  <c r="E22" i="12" a="1"/>
  <c r="E22" i="12" s="1"/>
  <c r="H22" i="12" s="1"/>
  <c r="D22" i="12" a="1"/>
  <c r="D22" i="12" s="1"/>
  <c r="G22" i="12" s="1"/>
  <c r="E21" i="12" a="1"/>
  <c r="E21" i="12" s="1"/>
  <c r="D21" i="12" a="1"/>
  <c r="D21" i="12" s="1"/>
  <c r="C34" i="12" a="1"/>
  <c r="C34" i="12" s="1"/>
  <c r="C33" i="12" a="1"/>
  <c r="C33" i="12" s="1"/>
  <c r="F33" i="12" s="1"/>
  <c r="C32" i="12" a="1"/>
  <c r="C32" i="12" s="1"/>
  <c r="C31" i="12" a="1"/>
  <c r="C31" i="12" s="1"/>
  <c r="F31" i="12" s="1"/>
  <c r="C30" i="12" a="1"/>
  <c r="C30" i="12" s="1"/>
  <c r="F30" i="12" s="1"/>
  <c r="C29" i="12" a="1"/>
  <c r="C29" i="12" s="1"/>
  <c r="F29" i="12" s="1"/>
  <c r="C28" i="12" a="1"/>
  <c r="C28" i="12" s="1"/>
  <c r="F28" i="12" s="1"/>
  <c r="C27" i="12" a="1"/>
  <c r="C27" i="12" s="1"/>
  <c r="F27" i="12" s="1"/>
  <c r="C26" i="12" a="1"/>
  <c r="C26" i="12" s="1"/>
  <c r="F26" i="12" s="1"/>
  <c r="C25" i="12" a="1"/>
  <c r="C25" i="12" s="1"/>
  <c r="F25" i="12" s="1"/>
  <c r="C24" i="12" a="1"/>
  <c r="C24" i="12" s="1"/>
  <c r="F24" i="12" s="1"/>
  <c r="C23" i="12" a="1"/>
  <c r="C23" i="12" s="1"/>
  <c r="F23" i="12" s="1"/>
  <c r="C22" i="12" a="1"/>
  <c r="C22" i="12" s="1"/>
  <c r="F22" i="12" s="1"/>
  <c r="C21" i="12" a="1"/>
  <c r="C21" i="12" s="1"/>
  <c r="E20" i="12" a="1"/>
  <c r="E20" i="12" s="1"/>
  <c r="H20" i="12" s="1"/>
  <c r="D20" i="12" a="1"/>
  <c r="D20" i="12" s="1"/>
  <c r="G20" i="12" s="1"/>
  <c r="C20" i="12" a="1"/>
  <c r="C20" i="12" s="1"/>
  <c r="F20" i="12" s="1"/>
  <c r="E4" i="12" a="1"/>
  <c r="E4" i="12" s="1"/>
  <c r="H4" i="12" s="1"/>
  <c r="D4" i="12" a="1"/>
  <c r="D4" i="12" s="1"/>
  <c r="G4" i="12" s="1"/>
  <c r="C4" i="12" a="1"/>
  <c r="C4" i="12" s="1"/>
  <c r="F4" i="12" s="1"/>
  <c r="C6" i="12" a="1"/>
  <c r="C6" i="12" s="1"/>
  <c r="F6" i="12" s="1"/>
  <c r="C7" i="12" a="1"/>
  <c r="C7" i="12" s="1"/>
  <c r="F7" i="12" s="1"/>
  <c r="C8" i="12" a="1"/>
  <c r="C8" i="12" s="1"/>
  <c r="F8" i="12" s="1"/>
  <c r="C9" i="12" a="1"/>
  <c r="C9" i="12" s="1"/>
  <c r="F9" i="12" s="1"/>
  <c r="C10" i="12" a="1"/>
  <c r="C10" i="12" s="1"/>
  <c r="F10" i="12" s="1"/>
  <c r="C11" i="12" a="1"/>
  <c r="C11" i="12" s="1"/>
  <c r="F11" i="12" s="1"/>
  <c r="C12" i="12" a="1"/>
  <c r="C12" i="12" s="1"/>
  <c r="F12" i="12" s="1"/>
  <c r="C13" i="12" a="1"/>
  <c r="C13" i="12" s="1"/>
  <c r="F13" i="12" s="1"/>
  <c r="C14" i="12" a="1"/>
  <c r="C14" i="12" s="1"/>
  <c r="F14" i="12" s="1"/>
  <c r="C15" i="12" a="1"/>
  <c r="C15" i="12" s="1"/>
  <c r="F15" i="12" s="1"/>
  <c r="C16" i="12" a="1"/>
  <c r="C16" i="12" s="1"/>
  <c r="F16" i="12" s="1"/>
  <c r="C17" i="12" a="1"/>
  <c r="C17" i="12" s="1"/>
  <c r="F17" i="12" s="1"/>
  <c r="C5" i="12" a="1"/>
  <c r="C5" i="12" s="1"/>
  <c r="F5" i="12" s="1"/>
  <c r="D5" i="12" a="1"/>
  <c r="D5" i="12" s="1"/>
  <c r="D7" i="12" s="1" a="1"/>
  <c r="D7" i="12" s="1"/>
  <c r="D9" i="12" s="1" a="1"/>
  <c r="D9" i="12" s="1"/>
  <c r="D11" i="12" s="1" a="1"/>
  <c r="D11" i="12" s="1"/>
  <c r="D13" i="12" s="1" a="1"/>
  <c r="D13" i="12" s="1"/>
  <c r="D15" i="12" s="1" a="1"/>
  <c r="D15" i="12" s="1"/>
  <c r="D17" i="12" s="1" a="1"/>
  <c r="D17" i="12" s="1"/>
  <c r="G17" i="12" s="1"/>
  <c r="E5" i="12" a="1"/>
  <c r="E5" i="12" s="1"/>
  <c r="E7" i="12" s="1" a="1"/>
  <c r="E7" i="12" s="1"/>
  <c r="E9" i="12" s="1" a="1"/>
  <c r="E9" i="12" s="1"/>
  <c r="E11" i="12" s="1" a="1"/>
  <c r="E11" i="12" s="1"/>
  <c r="E13" i="12" s="1" a="1"/>
  <c r="E13" i="12" s="1"/>
  <c r="E15" i="12" s="1" a="1"/>
  <c r="E15" i="12" s="1"/>
  <c r="E17" i="12" s="1" a="1"/>
  <c r="E17" i="12" s="1"/>
  <c r="H17" i="12" s="1"/>
  <c r="D6" i="12" a="1"/>
  <c r="D6" i="12" s="1"/>
  <c r="D8" i="12" s="1" a="1"/>
  <c r="D8" i="12" s="1"/>
  <c r="D10" i="12" s="1" a="1"/>
  <c r="D10" i="12" s="1"/>
  <c r="D12" i="12" s="1" a="1"/>
  <c r="D12" i="12" s="1"/>
  <c r="D14" i="12" s="1" a="1"/>
  <c r="D14" i="12" s="1"/>
  <c r="D16" i="12" s="1" a="1"/>
  <c r="D16" i="12" s="1"/>
  <c r="D18" i="12" s="1" a="1"/>
  <c r="D18" i="12" s="1"/>
  <c r="G18" i="12" s="1"/>
  <c r="E6" i="12" a="1"/>
  <c r="E6" i="12" s="1"/>
  <c r="E8" i="12" s="1" a="1"/>
  <c r="E8" i="12" s="1"/>
  <c r="E10" i="12" s="1" a="1"/>
  <c r="E10" i="12" s="1"/>
  <c r="E12" i="12" s="1" a="1"/>
  <c r="E12" i="12" s="1"/>
  <c r="E14" i="12" s="1" a="1"/>
  <c r="E14" i="12" s="1"/>
  <c r="E16" i="12" s="1" a="1"/>
  <c r="E16" i="12" s="1"/>
  <c r="E18" i="12" s="1" a="1"/>
  <c r="E18" i="12" s="1"/>
  <c r="H18" i="12" s="1"/>
  <c r="G7" i="12" l="1"/>
  <c r="G11" i="12"/>
  <c r="G15" i="12"/>
  <c r="H7" i="12"/>
  <c r="H11" i="12"/>
  <c r="H15" i="12"/>
  <c r="H6" i="12"/>
  <c r="H14" i="12"/>
  <c r="G8" i="12"/>
  <c r="G12" i="12"/>
  <c r="G16" i="12"/>
  <c r="H10" i="12"/>
  <c r="H8" i="12"/>
  <c r="H12" i="12"/>
  <c r="H16" i="12"/>
  <c r="G5" i="12"/>
  <c r="G9" i="12"/>
  <c r="G13" i="12"/>
  <c r="H5" i="12"/>
  <c r="H9" i="12"/>
  <c r="H13" i="12"/>
  <c r="G6" i="12"/>
  <c r="G10" i="12"/>
  <c r="G14" i="12"/>
  <c r="G21" i="12"/>
  <c r="F34" i="12"/>
  <c r="F32" i="12"/>
  <c r="G34" i="12"/>
  <c r="G32" i="12"/>
  <c r="F21" i="12"/>
  <c r="H21" i="12"/>
  <c r="H32" i="12"/>
  <c r="H34" i="12"/>
  <c r="D19" i="12"/>
  <c r="E19" i="12"/>
  <c r="C18" i="12" a="1"/>
  <c r="C18" i="12" s="1"/>
  <c r="F18" i="12" s="1"/>
  <c r="D35" i="12" l="1"/>
  <c r="D36" i="12" s="1"/>
  <c r="H35" i="12"/>
  <c r="C35" i="12"/>
  <c r="E35" i="12"/>
  <c r="E36" i="12" s="1"/>
  <c r="G35" i="12"/>
  <c r="F35" i="12"/>
  <c r="C19" i="12"/>
  <c r="H19" i="12"/>
  <c r="G19" i="12"/>
  <c r="G36" i="12" s="1"/>
  <c r="C36" i="12" l="1"/>
  <c r="H36" i="12"/>
  <c r="E33" i="16"/>
  <c r="S27" i="16" l="1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E27" i="16"/>
  <c r="AG35" i="16" l="1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AH26" i="16"/>
  <c r="AH25" i="16"/>
  <c r="AH24" i="16"/>
  <c r="AH23" i="16"/>
  <c r="AH22" i="16"/>
  <c r="AH21" i="16"/>
  <c r="AH20" i="16"/>
  <c r="AH19" i="16"/>
  <c r="AH18" i="16"/>
  <c r="AH17" i="16"/>
  <c r="AH16" i="16"/>
  <c r="AH15" i="16"/>
  <c r="AH14" i="16"/>
  <c r="AH13" i="16"/>
  <c r="AG5" i="16"/>
  <c r="AF5" i="16"/>
  <c r="AE5" i="16"/>
  <c r="AD5" i="16"/>
  <c r="AC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K5" i="16"/>
  <c r="F5" i="16"/>
  <c r="E5" i="16"/>
  <c r="AH4" i="16"/>
  <c r="F19" i="12" l="1"/>
  <c r="F36" i="12" s="1"/>
  <c r="AH27" i="16"/>
  <c r="AH28" i="16" s="1"/>
  <c r="P28" i="1" l="1"/>
  <c r="Q28" i="1"/>
  <c r="M27" i="1"/>
  <c r="M28" i="1" s="1"/>
  <c r="N27" i="1"/>
  <c r="N28" i="1" s="1"/>
  <c r="O27" i="1"/>
  <c r="O28" i="1" s="1"/>
  <c r="P27" i="1"/>
  <c r="Q27" i="1"/>
  <c r="E27" i="1" l="1"/>
  <c r="G27" i="1"/>
  <c r="G28" i="1" s="1"/>
  <c r="F27" i="1"/>
  <c r="F28" i="1" s="1"/>
  <c r="H27" i="1"/>
  <c r="H28" i="1" s="1"/>
  <c r="AG27" i="1" l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L27" i="1"/>
  <c r="K27" i="1"/>
  <c r="J27" i="1"/>
  <c r="I27" i="1"/>
  <c r="T35" i="1" l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G35" i="1"/>
  <c r="H35" i="1"/>
  <c r="I35" i="1"/>
  <c r="J35" i="1"/>
  <c r="D3" i="14" l="1" a="1"/>
  <c r="D3" i="14" s="1"/>
  <c r="E3" i="14" a="1"/>
  <c r="E3" i="14" s="1"/>
  <c r="F3" i="14" a="1"/>
  <c r="F3" i="14" s="1"/>
  <c r="G3" i="14" a="1"/>
  <c r="G3" i="14" s="1"/>
  <c r="H3" i="14" a="1"/>
  <c r="H3" i="14" s="1"/>
  <c r="I3" i="14" a="1"/>
  <c r="I3" i="14" s="1"/>
  <c r="J3" i="14" a="1"/>
  <c r="J3" i="14" s="1"/>
  <c r="K3" i="14" a="1"/>
  <c r="K3" i="14" s="1"/>
  <c r="L3" i="14" a="1"/>
  <c r="L3" i="14" s="1"/>
  <c r="D4" i="14" a="1"/>
  <c r="D4" i="14" s="1"/>
  <c r="E4" i="14" a="1"/>
  <c r="E4" i="14" s="1"/>
  <c r="F4" i="14" a="1"/>
  <c r="F4" i="14" s="1"/>
  <c r="G4" i="14" a="1"/>
  <c r="G4" i="14" s="1"/>
  <c r="H4" i="14" a="1"/>
  <c r="H4" i="14" s="1"/>
  <c r="I4" i="14" a="1"/>
  <c r="I4" i="14" s="1"/>
  <c r="J4" i="14" a="1"/>
  <c r="J4" i="14" s="1"/>
  <c r="K4" i="14" a="1"/>
  <c r="K4" i="14" s="1"/>
  <c r="L4" i="14" a="1"/>
  <c r="L4" i="14" s="1"/>
  <c r="D5" i="14" a="1"/>
  <c r="D5" i="14" s="1"/>
  <c r="E5" i="14" a="1"/>
  <c r="E5" i="14" s="1"/>
  <c r="F5" i="14" a="1"/>
  <c r="F5" i="14" s="1"/>
  <c r="G5" i="14" a="1"/>
  <c r="G5" i="14" s="1"/>
  <c r="H5" i="14" a="1"/>
  <c r="H5" i="14" s="1"/>
  <c r="I5" i="14" a="1"/>
  <c r="I5" i="14" s="1"/>
  <c r="J5" i="14" a="1"/>
  <c r="J5" i="14" s="1"/>
  <c r="K5" i="14" a="1"/>
  <c r="K5" i="14" s="1"/>
  <c r="L5" i="14" a="1"/>
  <c r="L5" i="14" s="1"/>
  <c r="D6" i="14" a="1"/>
  <c r="D6" i="14" s="1"/>
  <c r="E6" i="14" a="1"/>
  <c r="E6" i="14" s="1"/>
  <c r="F6" i="14" a="1"/>
  <c r="F6" i="14" s="1"/>
  <c r="G6" i="14" a="1"/>
  <c r="G6" i="14" s="1"/>
  <c r="H6" i="14" a="1"/>
  <c r="H6" i="14" s="1"/>
  <c r="I6" i="14" a="1"/>
  <c r="I6" i="14" s="1"/>
  <c r="J6" i="14" a="1"/>
  <c r="J6" i="14" s="1"/>
  <c r="K6" i="14" a="1"/>
  <c r="K6" i="14" s="1"/>
  <c r="L6" i="14" a="1"/>
  <c r="L6" i="14" s="1"/>
  <c r="D7" i="14" a="1"/>
  <c r="D7" i="14" s="1"/>
  <c r="E7" i="14" a="1"/>
  <c r="E7" i="14" s="1"/>
  <c r="F7" i="14" a="1"/>
  <c r="F7" i="14" s="1"/>
  <c r="G7" i="14" a="1"/>
  <c r="G7" i="14" s="1"/>
  <c r="H7" i="14" a="1"/>
  <c r="H7" i="14" s="1"/>
  <c r="I7" i="14" a="1"/>
  <c r="I7" i="14" s="1"/>
  <c r="J7" i="14" a="1"/>
  <c r="J7" i="14" s="1"/>
  <c r="K7" i="14" a="1"/>
  <c r="K7" i="14" s="1"/>
  <c r="L7" i="14" a="1"/>
  <c r="L7" i="14" s="1"/>
  <c r="D8" i="14" a="1"/>
  <c r="D8" i="14" s="1"/>
  <c r="E8" i="14" a="1"/>
  <c r="E8" i="14" s="1"/>
  <c r="F8" i="14" a="1"/>
  <c r="F8" i="14" s="1"/>
  <c r="G8" i="14" a="1"/>
  <c r="G8" i="14" s="1"/>
  <c r="H8" i="14" a="1"/>
  <c r="H8" i="14" s="1"/>
  <c r="I8" i="14" a="1"/>
  <c r="I8" i="14" s="1"/>
  <c r="J8" i="14" a="1"/>
  <c r="J8" i="14" s="1"/>
  <c r="K8" i="14" a="1"/>
  <c r="K8" i="14" s="1"/>
  <c r="L8" i="14" a="1"/>
  <c r="L8" i="14" s="1"/>
  <c r="D9" i="14" a="1"/>
  <c r="D9" i="14" s="1"/>
  <c r="E9" i="14" a="1"/>
  <c r="E9" i="14" s="1"/>
  <c r="F9" i="14" a="1"/>
  <c r="F9" i="14" s="1"/>
  <c r="G9" i="14" a="1"/>
  <c r="G9" i="14" s="1"/>
  <c r="H9" i="14" a="1"/>
  <c r="H9" i="14" s="1"/>
  <c r="I9" i="14" a="1"/>
  <c r="I9" i="14" s="1"/>
  <c r="J9" i="14" a="1"/>
  <c r="J9" i="14" s="1"/>
  <c r="K9" i="14" a="1"/>
  <c r="K9" i="14" s="1"/>
  <c r="L9" i="14" a="1"/>
  <c r="L9" i="14" s="1"/>
  <c r="D10" i="14" a="1"/>
  <c r="D10" i="14" s="1"/>
  <c r="E10" i="14" a="1"/>
  <c r="E10" i="14" s="1"/>
  <c r="F10" i="14" a="1"/>
  <c r="F10" i="14" s="1"/>
  <c r="G10" i="14" a="1"/>
  <c r="G10" i="14" s="1"/>
  <c r="H10" i="14" a="1"/>
  <c r="H10" i="14" s="1"/>
  <c r="I10" i="14" a="1"/>
  <c r="I10" i="14" s="1"/>
  <c r="J10" i="14" a="1"/>
  <c r="J10" i="14" s="1"/>
  <c r="K10" i="14" a="1"/>
  <c r="K10" i="14" s="1"/>
  <c r="L10" i="14" a="1"/>
  <c r="L10" i="14" s="1"/>
  <c r="D11" i="14" a="1"/>
  <c r="D11" i="14" s="1"/>
  <c r="E11" i="14" a="1"/>
  <c r="E11" i="14" s="1"/>
  <c r="F11" i="14" a="1"/>
  <c r="F11" i="14" s="1"/>
  <c r="G11" i="14" a="1"/>
  <c r="G11" i="14" s="1"/>
  <c r="H11" i="14" a="1"/>
  <c r="H11" i="14" s="1"/>
  <c r="I11" i="14" a="1"/>
  <c r="I11" i="14" s="1"/>
  <c r="J11" i="14" a="1"/>
  <c r="J11" i="14" s="1"/>
  <c r="K11" i="14" a="1"/>
  <c r="K11" i="14" s="1"/>
  <c r="L11" i="14" a="1"/>
  <c r="L11" i="14" s="1"/>
  <c r="D12" i="14" a="1"/>
  <c r="D12" i="14" s="1"/>
  <c r="E12" i="14" a="1"/>
  <c r="E12" i="14" s="1"/>
  <c r="F12" i="14" a="1"/>
  <c r="F12" i="14" s="1"/>
  <c r="G12" i="14" a="1"/>
  <c r="G12" i="14" s="1"/>
  <c r="H12" i="14" a="1"/>
  <c r="H12" i="14" s="1"/>
  <c r="I12" i="14" a="1"/>
  <c r="I12" i="14" s="1"/>
  <c r="J12" i="14" a="1"/>
  <c r="J12" i="14" s="1"/>
  <c r="K12" i="14" a="1"/>
  <c r="K12" i="14" s="1"/>
  <c r="L12" i="14" a="1"/>
  <c r="L12" i="14" s="1"/>
  <c r="D13" i="14" a="1"/>
  <c r="D13" i="14" s="1"/>
  <c r="E13" i="14" a="1"/>
  <c r="E13" i="14" s="1"/>
  <c r="F13" i="14" a="1"/>
  <c r="F13" i="14" s="1"/>
  <c r="G13" i="14" a="1"/>
  <c r="G13" i="14" s="1"/>
  <c r="H13" i="14" a="1"/>
  <c r="H13" i="14" s="1"/>
  <c r="I13" i="14" a="1"/>
  <c r="I13" i="14" s="1"/>
  <c r="J13" i="14" a="1"/>
  <c r="J13" i="14" s="1"/>
  <c r="K13" i="14" a="1"/>
  <c r="K13" i="14" s="1"/>
  <c r="L13" i="14" a="1"/>
  <c r="L13" i="14" s="1"/>
  <c r="D14" i="14" a="1"/>
  <c r="D14" i="14" s="1"/>
  <c r="E14" i="14" a="1"/>
  <c r="E14" i="14" s="1"/>
  <c r="F14" i="14" a="1"/>
  <c r="F14" i="14" s="1"/>
  <c r="G14" i="14" a="1"/>
  <c r="G14" i="14" s="1"/>
  <c r="H14" i="14" a="1"/>
  <c r="H14" i="14" s="1"/>
  <c r="I14" i="14" a="1"/>
  <c r="I14" i="14" s="1"/>
  <c r="J14" i="14" a="1"/>
  <c r="J14" i="14" s="1"/>
  <c r="K14" i="14" a="1"/>
  <c r="K14" i="14" s="1"/>
  <c r="L14" i="14" a="1"/>
  <c r="L14" i="14" s="1"/>
  <c r="D15" i="14" a="1"/>
  <c r="D15" i="14" s="1"/>
  <c r="E15" i="14" a="1"/>
  <c r="E15" i="14" s="1"/>
  <c r="F15" i="14" a="1"/>
  <c r="F15" i="14" s="1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L15" i="14" a="1"/>
  <c r="L15" i="14" s="1"/>
  <c r="D16" i="14" a="1"/>
  <c r="D16" i="14" s="1"/>
  <c r="E16" i="14" a="1"/>
  <c r="E16" i="14" s="1"/>
  <c r="F16" i="14" a="1"/>
  <c r="F16" i="14" s="1"/>
  <c r="G16" i="14" a="1"/>
  <c r="G16" i="14" s="1"/>
  <c r="H16" i="14" a="1"/>
  <c r="H16" i="14" s="1"/>
  <c r="I16" i="14" a="1"/>
  <c r="I16" i="14" s="1"/>
  <c r="J16" i="14" a="1"/>
  <c r="J16" i="14" s="1"/>
  <c r="K16" i="14" a="1"/>
  <c r="K16" i="14" s="1"/>
  <c r="L16" i="14" a="1"/>
  <c r="L16" i="14" s="1"/>
  <c r="C16" i="14" a="1"/>
  <c r="C16" i="14" s="1"/>
  <c r="C15" i="14" a="1"/>
  <c r="C15" i="14" s="1"/>
  <c r="C14" i="14" a="1"/>
  <c r="C14" i="14" s="1"/>
  <c r="C13" i="14" a="1"/>
  <c r="C13" i="14" s="1"/>
  <c r="C12" i="14" a="1"/>
  <c r="C12" i="14" s="1"/>
  <c r="C11" i="14" a="1"/>
  <c r="C11" i="14" s="1"/>
  <c r="C10" i="14" a="1"/>
  <c r="C10" i="14" s="1"/>
  <c r="C9" i="14" a="1"/>
  <c r="C9" i="14" s="1"/>
  <c r="C8" i="14" a="1"/>
  <c r="C8" i="14" s="1"/>
  <c r="C7" i="14" a="1"/>
  <c r="C7" i="14" s="1"/>
  <c r="C6" i="14" a="1"/>
  <c r="C6" i="14" s="1"/>
  <c r="C5" i="14" a="1"/>
  <c r="C5" i="14" s="1"/>
  <c r="C4" i="14" a="1"/>
  <c r="C4" i="14" s="1"/>
  <c r="C3" i="14" a="1"/>
  <c r="C3" i="14" s="1"/>
  <c r="L2" i="14" a="1"/>
  <c r="L2" i="14" s="1"/>
  <c r="K2" i="14" a="1"/>
  <c r="K2" i="14" s="1"/>
  <c r="J2" i="14" a="1"/>
  <c r="J2" i="14" s="1"/>
  <c r="I2" i="14" a="1"/>
  <c r="I2" i="14" s="1"/>
  <c r="H2" i="14" a="1"/>
  <c r="H2" i="14" s="1"/>
  <c r="G2" i="14" a="1"/>
  <c r="G2" i="14" s="1"/>
  <c r="F2" i="14" a="1"/>
  <c r="F2" i="14" s="1"/>
  <c r="E2" i="14" a="1"/>
  <c r="E2" i="14" s="1"/>
  <c r="D2" i="14" a="1"/>
  <c r="D2" i="14" s="1"/>
  <c r="C2" i="14" a="1"/>
  <c r="C2" i="14" s="1"/>
  <c r="L28" i="1"/>
  <c r="I28" i="1"/>
  <c r="J28" i="1"/>
  <c r="K28" i="1"/>
  <c r="M10" i="14" l="1"/>
  <c r="M9" i="14"/>
  <c r="M16" i="14"/>
  <c r="M13" i="14"/>
  <c r="M14" i="14"/>
  <c r="M11" i="14"/>
  <c r="M15" i="14"/>
  <c r="M12" i="14"/>
  <c r="M5" i="14"/>
  <c r="M7" i="14"/>
  <c r="M8" i="14"/>
  <c r="M6" i="14"/>
  <c r="M3" i="14"/>
  <c r="M4" i="14"/>
  <c r="AH14" i="1" l="1"/>
  <c r="AH15" i="1"/>
  <c r="C6" i="13" s="1"/>
  <c r="F6" i="13" s="1"/>
  <c r="AH16" i="1"/>
  <c r="C7" i="13" s="1"/>
  <c r="F7" i="13" s="1"/>
  <c r="AH17" i="1"/>
  <c r="C8" i="13" s="1"/>
  <c r="F8" i="13" s="1"/>
  <c r="AH18" i="1"/>
  <c r="C9" i="13" s="1"/>
  <c r="F9" i="13" s="1"/>
  <c r="AH19" i="1"/>
  <c r="AH20" i="1"/>
  <c r="C11" i="13" s="1"/>
  <c r="F11" i="13" s="1"/>
  <c r="C10" i="13" l="1"/>
  <c r="F10" i="13" s="1"/>
  <c r="C5" i="13"/>
  <c r="F5" i="13" s="1"/>
  <c r="G17" i="14" l="1" a="1"/>
  <c r="G17" i="14" s="1"/>
  <c r="G18" i="14" s="1"/>
  <c r="I17" i="14" a="1"/>
  <c r="I17" i="14" s="1"/>
  <c r="I18" i="14" s="1"/>
  <c r="F17" i="14" a="1"/>
  <c r="F17" i="14" s="1"/>
  <c r="F18" i="14" s="1"/>
  <c r="J17" i="14" a="1"/>
  <c r="J17" i="14" s="1"/>
  <c r="J18" i="14" s="1"/>
  <c r="C17" i="14" a="1"/>
  <c r="C17" i="14" s="1"/>
  <c r="H17" i="14" a="1"/>
  <c r="H17" i="14" s="1"/>
  <c r="H18" i="14" s="1"/>
  <c r="K17" i="14" a="1"/>
  <c r="K17" i="14" s="1"/>
  <c r="K18" i="14" s="1"/>
  <c r="L17" i="14" a="1"/>
  <c r="L17" i="14" s="1"/>
  <c r="L18" i="14" s="1"/>
  <c r="E17" i="14" a="1"/>
  <c r="E17" i="14" s="1"/>
  <c r="E18" i="14" s="1"/>
  <c r="D17" i="14" a="1"/>
  <c r="D17" i="14" s="1"/>
  <c r="D18" i="14" s="1"/>
  <c r="AH25" i="1"/>
  <c r="C16" i="13" s="1"/>
  <c r="F16" i="13" s="1"/>
  <c r="C18" i="14" l="1"/>
  <c r="M17" i="14"/>
  <c r="D22" i="14" l="1"/>
  <c r="Q5" i="1" l="1"/>
  <c r="R5" i="1"/>
  <c r="S5" i="1"/>
  <c r="T5" i="1"/>
  <c r="U5" i="1"/>
  <c r="V5" i="1"/>
  <c r="W5" i="1"/>
  <c r="X5" i="1"/>
  <c r="AB28" i="1" l="1"/>
  <c r="Z28" i="1" l="1"/>
  <c r="AH22" i="1"/>
  <c r="AH23" i="1"/>
  <c r="C14" i="13" s="1"/>
  <c r="F14" i="13" s="1"/>
  <c r="Y5" i="1"/>
  <c r="K5" i="1"/>
  <c r="N5" i="1"/>
  <c r="K35" i="1"/>
  <c r="L35" i="1"/>
  <c r="M35" i="1"/>
  <c r="N35" i="1"/>
  <c r="O35" i="1"/>
  <c r="P35" i="1"/>
  <c r="Q35" i="1"/>
  <c r="R35" i="1"/>
  <c r="S35" i="1"/>
  <c r="F35" i="1"/>
  <c r="E28" i="1"/>
  <c r="R28" i="1"/>
  <c r="S28" i="1"/>
  <c r="T28" i="1"/>
  <c r="U28" i="1"/>
  <c r="V28" i="1"/>
  <c r="W28" i="1"/>
  <c r="X28" i="1"/>
  <c r="Y28" i="1"/>
  <c r="AA28" i="1"/>
  <c r="AC28" i="1"/>
  <c r="AD28" i="1"/>
  <c r="AE28" i="1"/>
  <c r="AF28" i="1"/>
  <c r="AG28" i="1"/>
  <c r="AH4" i="1"/>
  <c r="AG5" i="1"/>
  <c r="AF5" i="1"/>
  <c r="AE5" i="1"/>
  <c r="AD5" i="1"/>
  <c r="AC5" i="1"/>
  <c r="AA5" i="1"/>
  <c r="Z5" i="1"/>
  <c r="P5" i="1"/>
  <c r="O5" i="1"/>
  <c r="M5" i="1"/>
  <c r="F5" i="1"/>
  <c r="E5" i="1"/>
  <c r="AH26" i="1"/>
  <c r="C17" i="13" s="1"/>
  <c r="F17" i="13" s="1"/>
  <c r="AH24" i="1"/>
  <c r="C15" i="13" s="1"/>
  <c r="F15" i="13" s="1"/>
  <c r="AH21" i="1"/>
  <c r="C12" i="13" s="1"/>
  <c r="F12" i="13" s="1"/>
  <c r="AH13" i="1"/>
  <c r="C3" i="13" l="1"/>
  <c r="D11" i="13" s="1"/>
  <c r="C13" i="13"/>
  <c r="F13" i="13" s="1"/>
  <c r="C4" i="13"/>
  <c r="F4" i="13" s="1"/>
  <c r="AH27" i="1"/>
  <c r="D16" i="13" l="1"/>
  <c r="D14" i="13"/>
  <c r="D7" i="13"/>
  <c r="D8" i="13"/>
  <c r="D17" i="13"/>
  <c r="D6" i="13"/>
  <c r="D15" i="13"/>
  <c r="D5" i="13"/>
  <c r="D9" i="13"/>
  <c r="D12" i="13"/>
  <c r="D10" i="13"/>
  <c r="M2" i="14"/>
  <c r="D13" i="13"/>
  <c r="AH28" i="1"/>
  <c r="C18" i="13"/>
  <c r="D18" i="13" s="1"/>
  <c r="D4" i="13"/>
  <c r="D21" i="14" l="1"/>
  <c r="D23" i="14" s="1"/>
  <c r="M18" i="14"/>
  <c r="N11" i="14"/>
  <c r="N10" i="14"/>
  <c r="N12" i="14"/>
  <c r="N9" i="14"/>
  <c r="N14" i="14"/>
  <c r="N16" i="14"/>
  <c r="N15" i="14"/>
  <c r="N13" i="14"/>
  <c r="N7" i="14"/>
  <c r="N6" i="14"/>
  <c r="N5" i="14"/>
  <c r="N8" i="14"/>
  <c r="N4" i="14"/>
  <c r="N3" i="14"/>
  <c r="N17" i="14"/>
  <c r="G7" i="13"/>
  <c r="H7" i="13" s="1"/>
  <c r="G11" i="13"/>
  <c r="H11" i="13" s="1"/>
  <c r="G15" i="13"/>
  <c r="H15" i="13" s="1"/>
  <c r="G4" i="13"/>
  <c r="H4" i="13" s="1"/>
  <c r="J4" i="13" s="1"/>
  <c r="G8" i="13"/>
  <c r="H8" i="13" s="1"/>
  <c r="G12" i="13"/>
  <c r="H12" i="13" s="1"/>
  <c r="G16" i="13"/>
  <c r="H16" i="13" s="1"/>
  <c r="G5" i="13"/>
  <c r="H5" i="13" s="1"/>
  <c r="G9" i="13"/>
  <c r="H9" i="13" s="1"/>
  <c r="G13" i="13"/>
  <c r="H13" i="13" s="1"/>
  <c r="G17" i="13"/>
  <c r="H17" i="13" s="1"/>
  <c r="G6" i="13"/>
  <c r="H6" i="13" s="1"/>
  <c r="G10" i="13"/>
  <c r="H10" i="13" s="1"/>
  <c r="G14" i="13"/>
  <c r="H14" i="13" s="1"/>
  <c r="K17" i="13" l="1"/>
  <c r="L17" i="13"/>
  <c r="J17" i="13"/>
  <c r="K16" i="13"/>
  <c r="L16" i="13"/>
  <c r="J16" i="13"/>
  <c r="K14" i="13"/>
  <c r="J14" i="13"/>
  <c r="L14" i="13"/>
  <c r="K13" i="13"/>
  <c r="L13" i="13"/>
  <c r="J13" i="13"/>
  <c r="K12" i="13"/>
  <c r="L12" i="13"/>
  <c r="J12" i="13"/>
  <c r="K15" i="13"/>
  <c r="J15" i="13"/>
  <c r="L15" i="13"/>
  <c r="K10" i="13"/>
  <c r="J10" i="13"/>
  <c r="L10" i="13"/>
  <c r="K9" i="13"/>
  <c r="L9" i="13"/>
  <c r="J9" i="13"/>
  <c r="K8" i="13"/>
  <c r="L8" i="13"/>
  <c r="J8" i="13"/>
  <c r="K11" i="13"/>
  <c r="L11" i="13"/>
  <c r="J11" i="13"/>
  <c r="K6" i="13"/>
  <c r="L6" i="13"/>
  <c r="J6" i="13"/>
  <c r="K5" i="13"/>
  <c r="L5" i="13"/>
  <c r="J5" i="13"/>
  <c r="K4" i="13"/>
  <c r="L4" i="13"/>
  <c r="M4" i="13" s="1"/>
  <c r="K7" i="13"/>
  <c r="J7" i="13"/>
  <c r="L7" i="13"/>
  <c r="M5" i="13" l="1"/>
  <c r="M6" i="13" l="1"/>
  <c r="M7" i="13" l="1"/>
  <c r="M8" i="13" l="1"/>
  <c r="M9" i="13" l="1"/>
  <c r="M10" i="13" l="1"/>
  <c r="M11" i="13" l="1"/>
  <c r="M12" i="13" l="1"/>
  <c r="M13" i="13" l="1"/>
  <c r="M14" i="13" l="1"/>
  <c r="M15" i="13" l="1"/>
  <c r="M16" i="13" l="1"/>
  <c r="M17" i="13" l="1"/>
  <c r="N17" i="13" l="1"/>
  <c r="O17" i="13" s="1"/>
  <c r="N4" i="13"/>
  <c r="O4" i="13" s="1"/>
  <c r="N5" i="13"/>
  <c r="O5" i="13" s="1"/>
  <c r="N6" i="13"/>
  <c r="O6" i="13" s="1"/>
  <c r="N7" i="13"/>
  <c r="O7" i="13" s="1"/>
  <c r="N8" i="13"/>
  <c r="O8" i="13" s="1"/>
  <c r="N9" i="13"/>
  <c r="O9" i="13" s="1"/>
  <c r="N10" i="13"/>
  <c r="O10" i="13" s="1"/>
  <c r="N11" i="13"/>
  <c r="O11" i="13" s="1"/>
  <c r="N12" i="13"/>
  <c r="O12" i="13" s="1"/>
  <c r="N13" i="13"/>
  <c r="O13" i="13" s="1"/>
  <c r="N14" i="13"/>
  <c r="O14" i="13" s="1"/>
  <c r="N15" i="13"/>
  <c r="O15" i="13" s="1"/>
  <c r="N16" i="13"/>
  <c r="O16" i="13" s="1"/>
</calcChain>
</file>

<file path=xl/sharedStrings.xml><?xml version="1.0" encoding="utf-8"?>
<sst xmlns="http://schemas.openxmlformats.org/spreadsheetml/2006/main" count="188" uniqueCount="73">
  <si>
    <t>DIA</t>
  </si>
  <si>
    <t>PRODUÇÃO</t>
  </si>
  <si>
    <t>T O T A L</t>
  </si>
  <si>
    <t>TOTAL</t>
  </si>
  <si>
    <t>Objetivo</t>
  </si>
  <si>
    <t>Ocorrências</t>
  </si>
  <si>
    <t>Diurno</t>
  </si>
  <si>
    <t>Inspetor:</t>
  </si>
  <si>
    <t>Data:</t>
  </si>
  <si>
    <t>Produção:</t>
  </si>
  <si>
    <t>Controle da Qualidade:</t>
  </si>
  <si>
    <t>ppm</t>
  </si>
  <si>
    <t>Recuperáveis</t>
  </si>
  <si>
    <t>TURNO:________</t>
  </si>
  <si>
    <t>L1D</t>
  </si>
  <si>
    <t>Qt</t>
  </si>
  <si>
    <t>Calculo</t>
  </si>
  <si>
    <t>maior</t>
  </si>
  <si>
    <t>corresp</t>
  </si>
  <si>
    <t>SHRINK MAL CORTADO</t>
  </si>
  <si>
    <t>SHRINK MAL ENCOLHIDO</t>
  </si>
  <si>
    <t>PILHA AMASSADA</t>
  </si>
  <si>
    <t>SEM ANEL VERMELHO</t>
  </si>
  <si>
    <t>SEM ARRUELA</t>
  </si>
  <si>
    <t>SEM CAP</t>
  </si>
  <si>
    <t>SEM BOTTOM PLATE</t>
  </si>
  <si>
    <t>PILHA AMASSADA PELA FACA</t>
  </si>
  <si>
    <t>SHRINK FROUXO</t>
  </si>
  <si>
    <t>OUTROS</t>
  </si>
  <si>
    <t>FALHAS DO ACABAMENTO - MÁQUINA SHRINK 2 PEÇAS</t>
  </si>
  <si>
    <t>RISCADA</t>
  </si>
  <si>
    <t>MANCHADA</t>
  </si>
  <si>
    <t>FALHA DE SOLDAGEM</t>
  </si>
  <si>
    <t>SHRINK</t>
  </si>
  <si>
    <t>SH</t>
  </si>
  <si>
    <t>Turno</t>
  </si>
  <si>
    <t>Modelo</t>
  </si>
  <si>
    <t>Total</t>
  </si>
  <si>
    <t>Produção</t>
  </si>
  <si>
    <t>SUBTOTAL</t>
  </si>
  <si>
    <t>NOITE</t>
  </si>
  <si>
    <t>Un.</t>
  </si>
  <si>
    <t>Valor</t>
  </si>
  <si>
    <t>Diferença</t>
  </si>
  <si>
    <t>Produzido</t>
  </si>
  <si>
    <t>pçs</t>
  </si>
  <si>
    <t>Falhas</t>
  </si>
  <si>
    <t>LR6</t>
  </si>
  <si>
    <t>TAXA DEFEITUOSA (ppm)</t>
  </si>
  <si>
    <t>PILHA AMASSADA-ENCAIXOT.</t>
  </si>
  <si>
    <t>Não Recuperáveis</t>
  </si>
  <si>
    <t>ACABAMENTO</t>
  </si>
  <si>
    <t>Ac (%)</t>
  </si>
  <si>
    <t>Fr. (pçs)</t>
  </si>
  <si>
    <t>Ac. (ppm)</t>
  </si>
  <si>
    <r>
      <t xml:space="preserve">TOTAL NÃO RECUPERÁVEL 
</t>
    </r>
    <r>
      <rPr>
        <b/>
        <sz val="8"/>
        <rFont val="Arial"/>
        <family val="2"/>
      </rPr>
      <t>SOMA DAS FALHAS DOS ITENS DE 6 A 14</t>
    </r>
  </si>
  <si>
    <t>Visto Supervisor</t>
  </si>
  <si>
    <t>Visto CQ</t>
  </si>
  <si>
    <t>Noturno</t>
  </si>
  <si>
    <t>OUTROS - QUEIMADO</t>
  </si>
  <si>
    <t>conta</t>
  </si>
  <si>
    <t>Lin</t>
  </si>
  <si>
    <t>Problemas</t>
  </si>
  <si>
    <t>Mês / Ano</t>
  </si>
  <si>
    <t>MODELO</t>
  </si>
  <si>
    <t>MODELOS</t>
  </si>
  <si>
    <t>3SH</t>
  </si>
  <si>
    <t>LR6EGR</t>
  </si>
  <si>
    <t>CUSTO/MODELO</t>
  </si>
  <si>
    <t>Quantidade</t>
  </si>
  <si>
    <t>CUSTO</t>
  </si>
  <si>
    <t>TURNO</t>
  </si>
  <si>
    <t xml:space="preserve">SUB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</si>
</sst>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_)"/>
  </numFmts>
  <fonts count="2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b/>
      <sz val="10"/>
      <color theme="1"/>
      <name val="Arial"/>
      <family val="2"/>
    </font>
    <font>
      <b/>
      <sz val="10"/>
      <color theme="1" tint="4.9989318521683403E-2"/>
      <name val="Arial"/>
      <family val="2"/>
    </font>
    <font>
      <b/>
      <sz val="10"/>
      <color rgb="FF080808"/>
      <name val="Arial"/>
      <family val="2"/>
    </font>
    <font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10" fontId="5" fillId="0" borderId="0" applyFont="0" applyFill="0" applyBorder="0" applyAlignment="0" applyProtection="0"/>
    <xf numFmtId="0" fontId="6" fillId="0" borderId="0"/>
  </cellStyleXfs>
  <cellXfs count="280">
    <xf numFmtId="0" fontId="0" fillId="0" borderId="0" xfId="0"/>
    <xf numFmtId="0" fontId="0" fillId="0" borderId="0" xfId="0" applyAlignment="1">
      <alignment vertical="center"/>
    </xf>
    <xf numFmtId="0" fontId="0" fillId="0" borderId="8" xfId="0" applyBorder="1"/>
    <xf numFmtId="0" fontId="0" fillId="0" borderId="1" xfId="0" applyBorder="1"/>
    <xf numFmtId="0" fontId="9" fillId="0" borderId="6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2" fillId="0" borderId="0" xfId="0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 wrapText="1"/>
    </xf>
    <xf numFmtId="0" fontId="8" fillId="0" borderId="1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0" fillId="0" borderId="20" xfId="0" applyBorder="1" applyAlignment="1">
      <alignment horizontal="center"/>
    </xf>
    <xf numFmtId="0" fontId="0" fillId="0" borderId="22" xfId="0" applyBorder="1"/>
    <xf numFmtId="3" fontId="0" fillId="0" borderId="10" xfId="0" applyNumberFormat="1" applyBorder="1"/>
    <xf numFmtId="0" fontId="0" fillId="0" borderId="11" xfId="0" applyBorder="1"/>
    <xf numFmtId="0" fontId="0" fillId="0" borderId="12" xfId="0" applyBorder="1"/>
    <xf numFmtId="0" fontId="5" fillId="0" borderId="12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/>
    <xf numFmtId="0" fontId="0" fillId="0" borderId="14" xfId="0" applyBorder="1"/>
    <xf numFmtId="0" fontId="12" fillId="0" borderId="19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9" fillId="0" borderId="7" xfId="0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 shrinkToFit="1"/>
    </xf>
    <xf numFmtId="3" fontId="0" fillId="0" borderId="22" xfId="0" applyNumberFormat="1" applyBorder="1"/>
    <xf numFmtId="3" fontId="0" fillId="0" borderId="1" xfId="0" applyNumberFormat="1" applyBorder="1"/>
    <xf numFmtId="3" fontId="0" fillId="0" borderId="0" xfId="0" applyNumberFormat="1"/>
    <xf numFmtId="1" fontId="0" fillId="0" borderId="0" xfId="0" applyNumberFormat="1"/>
    <xf numFmtId="164" fontId="9" fillId="0" borderId="7" xfId="0" applyNumberFormat="1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/>
    </xf>
    <xf numFmtId="3" fontId="0" fillId="0" borderId="29" xfId="0" applyNumberFormat="1" applyBorder="1"/>
    <xf numFmtId="0" fontId="8" fillId="0" borderId="2" xfId="0" applyFont="1" applyBorder="1"/>
    <xf numFmtId="3" fontId="8" fillId="0" borderId="31" xfId="0" applyNumberFormat="1" applyFont="1" applyBorder="1"/>
    <xf numFmtId="0" fontId="1" fillId="2" borderId="32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3" fontId="0" fillId="0" borderId="39" xfId="0" applyNumberFormat="1" applyBorder="1"/>
    <xf numFmtId="3" fontId="0" fillId="0" borderId="28" xfId="0" applyNumberFormat="1" applyBorder="1"/>
    <xf numFmtId="3" fontId="0" fillId="0" borderId="35" xfId="0" applyNumberFormat="1" applyBorder="1"/>
    <xf numFmtId="3" fontId="0" fillId="0" borderId="40" xfId="0" applyNumberFormat="1" applyBorder="1" applyAlignment="1">
      <alignment horizontal="center"/>
    </xf>
    <xf numFmtId="3" fontId="0" fillId="0" borderId="42" xfId="0" applyNumberFormat="1" applyBorder="1"/>
    <xf numFmtId="3" fontId="0" fillId="0" borderId="43" xfId="0" applyNumberFormat="1" applyBorder="1"/>
    <xf numFmtId="3" fontId="0" fillId="0" borderId="41" xfId="0" applyNumberFormat="1" applyBorder="1"/>
    <xf numFmtId="3" fontId="0" fillId="0" borderId="44" xfId="0" applyNumberFormat="1" applyBorder="1"/>
    <xf numFmtId="0" fontId="1" fillId="0" borderId="2" xfId="0" applyFont="1" applyBorder="1"/>
    <xf numFmtId="0" fontId="1" fillId="0" borderId="48" xfId="0" applyFont="1" applyBorder="1"/>
    <xf numFmtId="0" fontId="1" fillId="0" borderId="2" xfId="0" applyFont="1" applyBorder="1" applyAlignment="1">
      <alignment shrinkToFit="1"/>
    </xf>
    <xf numFmtId="0" fontId="1" fillId="0" borderId="20" xfId="0" applyFont="1" applyBorder="1"/>
    <xf numFmtId="0" fontId="1" fillId="0" borderId="1" xfId="0" applyFont="1" applyBorder="1"/>
    <xf numFmtId="3" fontId="1" fillId="0" borderId="25" xfId="0" applyNumberFormat="1" applyFont="1" applyBorder="1"/>
    <xf numFmtId="0" fontId="1" fillId="0" borderId="4" xfId="0" applyFont="1" applyBorder="1"/>
    <xf numFmtId="1" fontId="1" fillId="0" borderId="49" xfId="0" applyNumberFormat="1" applyFont="1" applyBorder="1"/>
    <xf numFmtId="0" fontId="0" fillId="0" borderId="4" xfId="0" applyBorder="1"/>
    <xf numFmtId="0" fontId="0" fillId="0" borderId="10" xfId="0" applyBorder="1"/>
    <xf numFmtId="0" fontId="1" fillId="0" borderId="0" xfId="0" applyFont="1"/>
    <xf numFmtId="0" fontId="17" fillId="0" borderId="0" xfId="0" applyFont="1"/>
    <xf numFmtId="3" fontId="0" fillId="0" borderId="51" xfId="0" applyNumberFormat="1" applyBorder="1"/>
    <xf numFmtId="3" fontId="0" fillId="0" borderId="38" xfId="0" applyNumberFormat="1" applyBorder="1"/>
    <xf numFmtId="3" fontId="0" fillId="0" borderId="54" xfId="0" applyNumberFormat="1" applyBorder="1"/>
    <xf numFmtId="3" fontId="0" fillId="0" borderId="18" xfId="0" applyNumberFormat="1" applyBorder="1"/>
    <xf numFmtId="3" fontId="0" fillId="0" borderId="16" xfId="0" applyNumberFormat="1" applyBorder="1"/>
    <xf numFmtId="0" fontId="12" fillId="0" borderId="37" xfId="0" applyFont="1" applyBorder="1"/>
    <xf numFmtId="0" fontId="12" fillId="0" borderId="41" xfId="0" applyFont="1" applyBorder="1"/>
    <xf numFmtId="3" fontId="0" fillId="0" borderId="23" xfId="0" applyNumberFormat="1" applyBorder="1"/>
    <xf numFmtId="0" fontId="0" fillId="0" borderId="55" xfId="0" applyBorder="1" applyAlignment="1">
      <alignment horizontal="left"/>
    </xf>
    <xf numFmtId="3" fontId="0" fillId="0" borderId="27" xfId="0" applyNumberFormat="1" applyBorder="1"/>
    <xf numFmtId="0" fontId="12" fillId="0" borderId="46" xfId="0" applyFont="1" applyBorder="1"/>
    <xf numFmtId="0" fontId="16" fillId="4" borderId="35" xfId="0" applyFont="1" applyFill="1" applyBorder="1" applyAlignment="1">
      <alignment horizontal="left" vertical="center"/>
    </xf>
    <xf numFmtId="3" fontId="0" fillId="4" borderId="47" xfId="0" applyNumberFormat="1" applyFill="1" applyBorder="1"/>
    <xf numFmtId="3" fontId="0" fillId="4" borderId="36" xfId="0" applyNumberFormat="1" applyFill="1" applyBorder="1"/>
    <xf numFmtId="3" fontId="0" fillId="0" borderId="57" xfId="0" applyNumberFormat="1" applyBorder="1"/>
    <xf numFmtId="3" fontId="0" fillId="0" borderId="26" xfId="0" applyNumberFormat="1" applyBorder="1"/>
    <xf numFmtId="3" fontId="0" fillId="0" borderId="17" xfId="0" applyNumberFormat="1" applyBorder="1"/>
    <xf numFmtId="3" fontId="0" fillId="4" borderId="58" xfId="0" applyNumberFormat="1" applyFill="1" applyBorder="1"/>
    <xf numFmtId="3" fontId="0" fillId="4" borderId="35" xfId="0" applyNumberFormat="1" applyFill="1" applyBorder="1"/>
    <xf numFmtId="3" fontId="0" fillId="0" borderId="59" xfId="0" applyNumberFormat="1" applyBorder="1"/>
    <xf numFmtId="0" fontId="12" fillId="0" borderId="20" xfId="0" applyFont="1" applyBorder="1"/>
    <xf numFmtId="0" fontId="12" fillId="0" borderId="22" xfId="0" applyFont="1" applyBorder="1"/>
    <xf numFmtId="0" fontId="12" fillId="0" borderId="30" xfId="0" applyFont="1" applyBorder="1" applyAlignment="1">
      <alignment horizontal="center"/>
    </xf>
    <xf numFmtId="0" fontId="12" fillId="0" borderId="29" xfId="0" applyFont="1" applyBorder="1"/>
    <xf numFmtId="0" fontId="12" fillId="0" borderId="10" xfId="0" applyFont="1" applyBorder="1"/>
    <xf numFmtId="0" fontId="0" fillId="0" borderId="0" xfId="0" quotePrefix="1" applyAlignment="1">
      <alignment horizontal="left"/>
    </xf>
    <xf numFmtId="0" fontId="12" fillId="5" borderId="20" xfId="0" applyFont="1" applyFill="1" applyBorder="1"/>
    <xf numFmtId="3" fontId="0" fillId="5" borderId="20" xfId="0" applyNumberFormat="1" applyFill="1" applyBorder="1"/>
    <xf numFmtId="0" fontId="12" fillId="5" borderId="22" xfId="0" applyFont="1" applyFill="1" applyBorder="1"/>
    <xf numFmtId="3" fontId="0" fillId="5" borderId="22" xfId="0" applyNumberFormat="1" applyFill="1" applyBorder="1"/>
    <xf numFmtId="0" fontId="12" fillId="5" borderId="19" xfId="0" applyFont="1" applyFill="1" applyBorder="1" applyAlignment="1">
      <alignment horizontal="center"/>
    </xf>
    <xf numFmtId="0" fontId="12" fillId="5" borderId="21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5" xfId="0" applyBorder="1" applyAlignment="1">
      <alignment horizontal="center" vertical="center" textRotation="90" wrapText="1"/>
    </xf>
    <xf numFmtId="1" fontId="11" fillId="0" borderId="18" xfId="0" applyNumberFormat="1" applyFont="1" applyBorder="1" applyAlignment="1">
      <alignment shrinkToFit="1"/>
    </xf>
    <xf numFmtId="1" fontId="11" fillId="0" borderId="63" xfId="0" applyNumberFormat="1" applyFont="1" applyBorder="1" applyAlignment="1">
      <alignment shrinkToFit="1"/>
    </xf>
    <xf numFmtId="1" fontId="11" fillId="0" borderId="64" xfId="0" applyNumberFormat="1" applyFont="1" applyBorder="1" applyAlignment="1">
      <alignment shrinkToFit="1"/>
    </xf>
    <xf numFmtId="0" fontId="8" fillId="0" borderId="23" xfId="0" applyFont="1" applyBorder="1"/>
    <xf numFmtId="0" fontId="3" fillId="0" borderId="1" xfId="0" applyFont="1" applyBorder="1" applyAlignment="1">
      <alignment horizontal="center" vertical="center" textRotation="90" wrapText="1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33" xfId="0" applyBorder="1"/>
    <xf numFmtId="0" fontId="0" fillId="0" borderId="67" xfId="0" applyBorder="1"/>
    <xf numFmtId="0" fontId="0" fillId="0" borderId="20" xfId="0" applyBorder="1"/>
    <xf numFmtId="0" fontId="0" fillId="0" borderId="63" xfId="0" applyBorder="1"/>
    <xf numFmtId="0" fontId="0" fillId="0" borderId="64" xfId="0" applyBorder="1"/>
    <xf numFmtId="0" fontId="0" fillId="0" borderId="23" xfId="0" applyBorder="1"/>
    <xf numFmtId="0" fontId="0" fillId="0" borderId="18" xfId="0" applyBorder="1"/>
    <xf numFmtId="0" fontId="0" fillId="0" borderId="37" xfId="0" applyBorder="1"/>
    <xf numFmtId="0" fontId="0" fillId="0" borderId="46" xfId="0" applyBorder="1"/>
    <xf numFmtId="2" fontId="0" fillId="0" borderId="63" xfId="0" applyNumberFormat="1" applyBorder="1"/>
    <xf numFmtId="3" fontId="0" fillId="0" borderId="32" xfId="0" applyNumberFormat="1" applyBorder="1"/>
    <xf numFmtId="2" fontId="0" fillId="0" borderId="47" xfId="0" applyNumberFormat="1" applyBorder="1"/>
    <xf numFmtId="2" fontId="0" fillId="0" borderId="33" xfId="0" applyNumberFormat="1" applyBorder="1"/>
    <xf numFmtId="2" fontId="0" fillId="0" borderId="67" xfId="0" applyNumberFormat="1" applyBorder="1"/>
    <xf numFmtId="0" fontId="0" fillId="6" borderId="54" xfId="0" applyFill="1" applyBorder="1"/>
    <xf numFmtId="0" fontId="0" fillId="6" borderId="51" xfId="0" applyFill="1" applyBorder="1"/>
    <xf numFmtId="0" fontId="0" fillId="6" borderId="66" xfId="0" applyFill="1" applyBorder="1"/>
    <xf numFmtId="2" fontId="0" fillId="6" borderId="51" xfId="0" applyNumberFormat="1" applyFill="1" applyBorder="1"/>
    <xf numFmtId="2" fontId="0" fillId="6" borderId="66" xfId="0" applyNumberFormat="1" applyFill="1" applyBorder="1"/>
    <xf numFmtId="3" fontId="0" fillId="6" borderId="1" xfId="0" applyNumberFormat="1" applyFill="1" applyBorder="1"/>
    <xf numFmtId="3" fontId="0" fillId="6" borderId="22" xfId="0" applyNumberFormat="1" applyFill="1" applyBorder="1"/>
    <xf numFmtId="2" fontId="0" fillId="6" borderId="1" xfId="0" applyNumberFormat="1" applyFill="1" applyBorder="1"/>
    <xf numFmtId="2" fontId="0" fillId="6" borderId="22" xfId="0" applyNumberFormat="1" applyFill="1" applyBorder="1"/>
    <xf numFmtId="3" fontId="0" fillId="6" borderId="63" xfId="0" applyNumberFormat="1" applyFill="1" applyBorder="1"/>
    <xf numFmtId="3" fontId="0" fillId="6" borderId="64" xfId="0" applyNumberFormat="1" applyFill="1" applyBorder="1"/>
    <xf numFmtId="2" fontId="0" fillId="6" borderId="63" xfId="0" applyNumberFormat="1" applyFill="1" applyBorder="1"/>
    <xf numFmtId="2" fontId="0" fillId="6" borderId="64" xfId="0" applyNumberFormat="1" applyFill="1" applyBorder="1"/>
    <xf numFmtId="3" fontId="0" fillId="7" borderId="3" xfId="0" applyNumberFormat="1" applyFill="1" applyBorder="1"/>
    <xf numFmtId="3" fontId="0" fillId="7" borderId="29" xfId="0" applyNumberFormat="1" applyFill="1" applyBorder="1"/>
    <xf numFmtId="2" fontId="0" fillId="7" borderId="3" xfId="0" applyNumberFormat="1" applyFill="1" applyBorder="1"/>
    <xf numFmtId="2" fontId="0" fillId="7" borderId="29" xfId="0" applyNumberFormat="1" applyFill="1" applyBorder="1"/>
    <xf numFmtId="3" fontId="0" fillId="7" borderId="1" xfId="0" applyNumberFormat="1" applyFill="1" applyBorder="1"/>
    <xf numFmtId="3" fontId="0" fillId="7" borderId="22" xfId="0" applyNumberFormat="1" applyFill="1" applyBorder="1"/>
    <xf numFmtId="2" fontId="0" fillId="7" borderId="1" xfId="0" applyNumberFormat="1" applyFill="1" applyBorder="1"/>
    <xf numFmtId="2" fontId="0" fillId="7" borderId="22" xfId="0" applyNumberFormat="1" applyFill="1" applyBorder="1"/>
    <xf numFmtId="3" fontId="0" fillId="7" borderId="24" xfId="0" applyNumberFormat="1" applyFill="1" applyBorder="1"/>
    <xf numFmtId="3" fontId="0" fillId="7" borderId="16" xfId="0" applyNumberFormat="1" applyFill="1" applyBorder="1"/>
    <xf numFmtId="3" fontId="0" fillId="6" borderId="16" xfId="0" applyNumberFormat="1" applyFill="1" applyBorder="1"/>
    <xf numFmtId="3" fontId="0" fillId="6" borderId="18" xfId="0" applyNumberFormat="1" applyFill="1" applyBorder="1"/>
    <xf numFmtId="0" fontId="0" fillId="6" borderId="55" xfId="0" applyFill="1" applyBorder="1"/>
    <xf numFmtId="0" fontId="12" fillId="7" borderId="42" xfId="0" applyFont="1" applyFill="1" applyBorder="1"/>
    <xf numFmtId="0" fontId="12" fillId="7" borderId="41" xfId="0" applyFont="1" applyFill="1" applyBorder="1"/>
    <xf numFmtId="0" fontId="12" fillId="6" borderId="41" xfId="0" applyFont="1" applyFill="1" applyBorder="1"/>
    <xf numFmtId="0" fontId="12" fillId="6" borderId="69" xfId="0" applyFont="1" applyFill="1" applyBorder="1"/>
    <xf numFmtId="0" fontId="12" fillId="8" borderId="41" xfId="0" applyFont="1" applyFill="1" applyBorder="1"/>
    <xf numFmtId="3" fontId="0" fillId="8" borderId="16" xfId="0" applyNumberFormat="1" applyFill="1" applyBorder="1"/>
    <xf numFmtId="3" fontId="0" fillId="8" borderId="1" xfId="0" applyNumberFormat="1" applyFill="1" applyBorder="1"/>
    <xf numFmtId="3" fontId="0" fillId="8" borderId="22" xfId="0" applyNumberFormat="1" applyFill="1" applyBorder="1"/>
    <xf numFmtId="4" fontId="0" fillId="8" borderId="1" xfId="0" applyNumberFormat="1" applyFill="1" applyBorder="1"/>
    <xf numFmtId="4" fontId="0" fillId="8" borderId="22" xfId="0" applyNumberFormat="1" applyFill="1" applyBorder="1"/>
    <xf numFmtId="0" fontId="12" fillId="8" borderId="69" xfId="0" applyFont="1" applyFill="1" applyBorder="1"/>
    <xf numFmtId="3" fontId="0" fillId="8" borderId="15" xfId="0" applyNumberFormat="1" applyFill="1" applyBorder="1"/>
    <xf numFmtId="3" fontId="0" fillId="8" borderId="4" xfId="0" applyNumberFormat="1" applyFill="1" applyBorder="1"/>
    <xf numFmtId="3" fontId="0" fillId="8" borderId="10" xfId="0" applyNumberFormat="1" applyFill="1" applyBorder="1"/>
    <xf numFmtId="4" fontId="0" fillId="8" borderId="4" xfId="0" applyNumberFormat="1" applyFill="1" applyBorder="1"/>
    <xf numFmtId="4" fontId="0" fillId="8" borderId="10" xfId="0" applyNumberFormat="1" applyFill="1" applyBorder="1"/>
    <xf numFmtId="0" fontId="12" fillId="9" borderId="41" xfId="0" applyFont="1" applyFill="1" applyBorder="1"/>
    <xf numFmtId="3" fontId="0" fillId="9" borderId="16" xfId="0" applyNumberFormat="1" applyFill="1" applyBorder="1"/>
    <xf numFmtId="3" fontId="0" fillId="9" borderId="1" xfId="0" applyNumberFormat="1" applyFill="1" applyBorder="1"/>
    <xf numFmtId="3" fontId="0" fillId="9" borderId="22" xfId="0" applyNumberFormat="1" applyFill="1" applyBorder="1"/>
    <xf numFmtId="4" fontId="0" fillId="9" borderId="1" xfId="0" applyNumberFormat="1" applyFill="1" applyBorder="1"/>
    <xf numFmtId="4" fontId="0" fillId="9" borderId="22" xfId="0" applyNumberFormat="1" applyFill="1" applyBorder="1"/>
    <xf numFmtId="0" fontId="12" fillId="9" borderId="42" xfId="0" applyFont="1" applyFill="1" applyBorder="1"/>
    <xf numFmtId="3" fontId="0" fillId="9" borderId="24" xfId="0" applyNumberFormat="1" applyFill="1" applyBorder="1"/>
    <xf numFmtId="3" fontId="0" fillId="9" borderId="3" xfId="0" applyNumberFormat="1" applyFill="1" applyBorder="1"/>
    <xf numFmtId="3" fontId="0" fillId="9" borderId="29" xfId="0" applyNumberFormat="1" applyFill="1" applyBorder="1"/>
    <xf numFmtId="4" fontId="0" fillId="9" borderId="3" xfId="0" applyNumberFormat="1" applyFill="1" applyBorder="1"/>
    <xf numFmtId="4" fontId="0" fillId="9" borderId="29" xfId="0" applyNumberFormat="1" applyFill="1" applyBorder="1"/>
    <xf numFmtId="0" fontId="0" fillId="8" borderId="37" xfId="0" applyFill="1" applyBorder="1"/>
    <xf numFmtId="0" fontId="0" fillId="8" borderId="23" xfId="0" applyFill="1" applyBorder="1"/>
    <xf numFmtId="0" fontId="0" fillId="8" borderId="2" xfId="0" applyFill="1" applyBorder="1"/>
    <xf numFmtId="0" fontId="0" fillId="8" borderId="20" xfId="0" applyFill="1" applyBorder="1"/>
    <xf numFmtId="2" fontId="0" fillId="8" borderId="2" xfId="0" applyNumberFormat="1" applyFill="1" applyBorder="1"/>
    <xf numFmtId="49" fontId="19" fillId="0" borderId="2" xfId="0" applyNumberFormat="1" applyFont="1" applyBorder="1" applyAlignment="1" applyProtection="1">
      <alignment horizontal="center"/>
      <protection locked="0"/>
    </xf>
    <xf numFmtId="49" fontId="20" fillId="0" borderId="2" xfId="0" applyNumberFormat="1" applyFont="1" applyBorder="1" applyAlignment="1" applyProtection="1">
      <alignment horizontal="center"/>
      <protection locked="0"/>
    </xf>
    <xf numFmtId="49" fontId="18" fillId="0" borderId="2" xfId="0" applyNumberFormat="1" applyFont="1" applyBorder="1" applyAlignment="1" applyProtection="1">
      <alignment horizontal="center"/>
      <protection locked="0"/>
    </xf>
    <xf numFmtId="49" fontId="1" fillId="0" borderId="2" xfId="0" applyNumberFormat="1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4" fillId="0" borderId="2" xfId="0" applyFont="1" applyBorder="1" applyProtection="1">
      <protection locked="0"/>
    </xf>
    <xf numFmtId="0" fontId="0" fillId="0" borderId="2" xfId="0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shrinkToFit="1"/>
      <protection locked="0"/>
    </xf>
    <xf numFmtId="0" fontId="15" fillId="0" borderId="4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vertical="center" shrinkToFit="1"/>
      <protection locked="0"/>
    </xf>
    <xf numFmtId="0" fontId="0" fillId="0" borderId="4" xfId="0" applyBorder="1" applyAlignment="1" applyProtection="1">
      <alignment shrinkToFit="1"/>
      <protection locked="0"/>
    </xf>
    <xf numFmtId="0" fontId="3" fillId="0" borderId="1" xfId="0" applyFont="1" applyBorder="1" applyAlignment="1" applyProtection="1">
      <alignment horizontal="center" shrinkToFit="1"/>
      <protection locked="0"/>
    </xf>
    <xf numFmtId="0" fontId="0" fillId="5" borderId="23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24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right" shrinkToFit="1"/>
      <protection locked="0"/>
    </xf>
    <xf numFmtId="1" fontId="11" fillId="0" borderId="23" xfId="0" applyNumberFormat="1" applyFont="1" applyBorder="1" applyAlignment="1" applyProtection="1">
      <alignment shrinkToFit="1"/>
      <protection locked="0"/>
    </xf>
    <xf numFmtId="1" fontId="11" fillId="0" borderId="2" xfId="0" applyNumberFormat="1" applyFont="1" applyBorder="1" applyAlignment="1" applyProtection="1">
      <alignment shrinkToFit="1"/>
      <protection locked="0"/>
    </xf>
    <xf numFmtId="1" fontId="11" fillId="0" borderId="20" xfId="0" applyNumberFormat="1" applyFont="1" applyBorder="1" applyAlignment="1" applyProtection="1">
      <alignment shrinkToFit="1"/>
      <protection locked="0"/>
    </xf>
    <xf numFmtId="1" fontId="11" fillId="0" borderId="15" xfId="0" applyNumberFormat="1" applyFont="1" applyBorder="1" applyAlignment="1" applyProtection="1">
      <alignment shrinkToFit="1"/>
      <protection locked="0"/>
    </xf>
    <xf numFmtId="1" fontId="11" fillId="0" borderId="4" xfId="0" applyNumberFormat="1" applyFont="1" applyBorder="1" applyAlignment="1" applyProtection="1">
      <alignment shrinkToFit="1"/>
      <protection locked="0"/>
    </xf>
    <xf numFmtId="1" fontId="11" fillId="0" borderId="10" xfId="0" applyNumberFormat="1" applyFont="1" applyBorder="1" applyAlignment="1" applyProtection="1">
      <alignment shrinkToFit="1"/>
      <protection locked="0"/>
    </xf>
    <xf numFmtId="164" fontId="9" fillId="0" borderId="0" xfId="0" applyNumberFormat="1" applyFont="1" applyAlignment="1" applyProtection="1">
      <alignment horizontal="left" vertical="top" shrinkToFit="1"/>
      <protection locked="0"/>
    </xf>
    <xf numFmtId="0" fontId="0" fillId="0" borderId="0" xfId="0" applyProtection="1">
      <protection locked="0"/>
    </xf>
    <xf numFmtId="0" fontId="0" fillId="0" borderId="8" xfId="0" applyBorder="1" applyProtection="1">
      <protection locked="0"/>
    </xf>
    <xf numFmtId="0" fontId="9" fillId="0" borderId="5" xfId="0" applyFont="1" applyBorder="1" applyAlignment="1" applyProtection="1">
      <alignment horizontal="left"/>
      <protection locked="0"/>
    </xf>
    <xf numFmtId="0" fontId="2" fillId="0" borderId="5" xfId="0" applyFont="1" applyBorder="1" applyProtection="1">
      <protection locked="0"/>
    </xf>
    <xf numFmtId="0" fontId="2" fillId="0" borderId="14" xfId="0" applyFont="1" applyBorder="1" applyProtection="1">
      <protection locked="0"/>
    </xf>
    <xf numFmtId="164" fontId="9" fillId="0" borderId="8" xfId="0" applyNumberFormat="1" applyFont="1" applyBorder="1" applyAlignment="1" applyProtection="1">
      <alignment horizontal="left" vertical="top" shrinkToFit="1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top"/>
      <protection locked="0"/>
    </xf>
    <xf numFmtId="164" fontId="9" fillId="0" borderId="8" xfId="0" applyNumberFormat="1" applyFont="1" applyBorder="1" applyAlignment="1" applyProtection="1">
      <alignment horizontal="left" vertical="top"/>
      <protection locked="0"/>
    </xf>
    <xf numFmtId="14" fontId="9" fillId="0" borderId="5" xfId="0" quotePrefix="1" applyNumberFormat="1" applyFont="1" applyBorder="1" applyAlignment="1" applyProtection="1">
      <alignment horizontal="left"/>
      <protection locked="0"/>
    </xf>
    <xf numFmtId="14" fontId="9" fillId="0" borderId="5" xfId="0" applyNumberFormat="1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10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21" fillId="0" borderId="65" xfId="0" quotePrefix="1" applyFont="1" applyBorder="1" applyAlignment="1">
      <alignment horizontal="center" vertical="center" wrapText="1"/>
    </xf>
    <xf numFmtId="0" fontId="21" fillId="0" borderId="58" xfId="0" quotePrefix="1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5" xfId="0" applyBorder="1" applyAlignment="1">
      <alignment horizontal="center" vertical="center" textRotation="90" wrapText="1"/>
    </xf>
    <xf numFmtId="0" fontId="1" fillId="0" borderId="1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 textRotation="90"/>
    </xf>
    <xf numFmtId="0" fontId="12" fillId="0" borderId="39" xfId="0" applyFont="1" applyBorder="1" applyAlignment="1">
      <alignment horizontal="center" vertical="center" textRotation="90"/>
    </xf>
    <xf numFmtId="0" fontId="12" fillId="0" borderId="54" xfId="0" applyFont="1" applyBorder="1" applyAlignment="1">
      <alignment horizontal="center" vertical="center" textRotation="90"/>
    </xf>
    <xf numFmtId="0" fontId="12" fillId="0" borderId="38" xfId="0" applyFont="1" applyBorder="1" applyAlignment="1">
      <alignment horizontal="center" vertical="center" textRotation="90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5" borderId="60" xfId="0" applyFont="1" applyFill="1" applyBorder="1" applyAlignment="1">
      <alignment horizontal="center" vertical="center" textRotation="90"/>
    </xf>
    <xf numFmtId="0" fontId="12" fillId="5" borderId="54" xfId="0" applyFont="1" applyFill="1" applyBorder="1" applyAlignment="1">
      <alignment horizontal="center" vertical="center" textRotation="90"/>
    </xf>
    <xf numFmtId="0" fontId="12" fillId="5" borderId="24" xfId="0" applyFont="1" applyFill="1" applyBorder="1" applyAlignment="1">
      <alignment horizontal="center" vertical="center" textRotation="90"/>
    </xf>
    <xf numFmtId="0" fontId="1" fillId="0" borderId="0" xfId="0" applyFont="1" applyAlignment="1">
      <alignment horizontal="left" vertical="center" textRotation="90"/>
    </xf>
    <xf numFmtId="0" fontId="8" fillId="0" borderId="0" xfId="0" applyFont="1" applyAlignment="1">
      <alignment horizontal="left" vertical="center" textRotation="90"/>
    </xf>
    <xf numFmtId="0" fontId="12" fillId="5" borderId="61" xfId="0" applyFont="1" applyFill="1" applyBorder="1" applyAlignment="1">
      <alignment horizontal="center" vertical="center" textRotation="90"/>
    </xf>
    <xf numFmtId="0" fontId="12" fillId="5" borderId="51" xfId="0" applyFont="1" applyFill="1" applyBorder="1" applyAlignment="1">
      <alignment horizontal="center" vertical="center" textRotation="90"/>
    </xf>
    <xf numFmtId="0" fontId="12" fillId="5" borderId="3" xfId="0" applyFont="1" applyFill="1" applyBorder="1" applyAlignment="1">
      <alignment horizontal="center" vertical="center" textRotation="90"/>
    </xf>
    <xf numFmtId="0" fontId="1" fillId="0" borderId="45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50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52" xfId="0" applyBorder="1" applyAlignment="1">
      <alignment horizontal="center" vertical="center" textRotation="90"/>
    </xf>
    <xf numFmtId="0" fontId="0" fillId="0" borderId="45" xfId="0" applyBorder="1" applyAlignment="1">
      <alignment horizontal="center" vertical="center" textRotation="90"/>
    </xf>
    <xf numFmtId="0" fontId="0" fillId="0" borderId="53" xfId="0" applyBorder="1" applyAlignment="1">
      <alignment horizontal="center" vertical="center" textRotation="90"/>
    </xf>
    <xf numFmtId="0" fontId="0" fillId="0" borderId="50" xfId="0" applyBorder="1" applyAlignment="1">
      <alignment horizontal="center" vertical="center" textRotation="90"/>
    </xf>
    <xf numFmtId="0" fontId="15" fillId="0" borderId="32" xfId="0" applyFont="1" applyBorder="1" applyAlignment="1">
      <alignment horizontal="center" vertical="center"/>
    </xf>
    <xf numFmtId="0" fontId="15" fillId="0" borderId="56" xfId="0" applyFont="1" applyBorder="1" applyAlignment="1">
      <alignment horizontal="center" vertical="center"/>
    </xf>
    <xf numFmtId="0" fontId="1" fillId="0" borderId="19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2" fillId="0" borderId="32" xfId="0" applyFont="1" applyFill="1" applyBorder="1" applyAlignment="1">
      <alignment horizontal="center"/>
    </xf>
    <xf numFmtId="0" fontId="12" fillId="0" borderId="67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6" borderId="13" xfId="0" applyFill="1" applyBorder="1" applyAlignment="1">
      <alignment horizontal="center" vertical="center" textRotation="90"/>
    </xf>
    <xf numFmtId="0" fontId="0" fillId="6" borderId="8" xfId="0" applyFill="1" applyBorder="1" applyAlignment="1">
      <alignment horizontal="center" vertical="center" textRotation="90"/>
    </xf>
    <xf numFmtId="0" fontId="0" fillId="6" borderId="14" xfId="0" applyFill="1" applyBorder="1" applyAlignment="1">
      <alignment horizontal="center" vertical="center" textRotation="90"/>
    </xf>
    <xf numFmtId="0" fontId="0" fillId="0" borderId="6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 shrinkToFit="1"/>
    </xf>
    <xf numFmtId="0" fontId="0" fillId="0" borderId="68" xfId="0" applyBorder="1" applyAlignment="1">
      <alignment horizontal="center" vertical="center" textRotation="90" shrinkToFit="1"/>
    </xf>
  </cellXfs>
  <cellStyles count="6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標準_品質検査" xfId="5" xr:uid="{00000000-0005-0000-0000-000005000000}"/>
  </cellStyles>
  <dxfs count="5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53449464068387E-2"/>
          <c:y val="3.2989690721649485E-2"/>
          <c:w val="0.95054516928400712"/>
          <c:h val="0.93608247422680413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'SJCPIL-R 15-082-05 Dia'!$E$28:$AG$28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F1-4A75-9799-9EB6BAF99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5080"/>
        <c:axId val="596263120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15-082-05 Dia'!$E$33:$AG$33</c:f>
              <c:numCache>
                <c:formatCode>0</c:formatCode>
                <c:ptCount val="29"/>
                <c:pt idx="0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1-4A75-9799-9EB6BAF99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263512"/>
        <c:axId val="596268608"/>
      </c:scatterChart>
      <c:catAx>
        <c:axId val="596265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@" sourceLinked="1"/>
        <c:majorTickMark val="none"/>
        <c:minorTickMark val="none"/>
        <c:tickLblPos val="none"/>
        <c:spPr>
          <a:ln w="6350">
            <a:noFill/>
          </a:ln>
        </c:spPr>
        <c:crossAx val="596263120"/>
        <c:crosses val="autoZero"/>
        <c:auto val="1"/>
        <c:lblAlgn val="ctr"/>
        <c:lblOffset val="100"/>
        <c:noMultiLvlLbl val="0"/>
      </c:catAx>
      <c:valAx>
        <c:axId val="596263120"/>
        <c:scaling>
          <c:orientation val="minMax"/>
          <c:max val="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96265080"/>
        <c:crosses val="autoZero"/>
        <c:crossBetween val="between"/>
      </c:valAx>
      <c:valAx>
        <c:axId val="59626860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96263512"/>
        <c:crosses val="max"/>
        <c:crossBetween val="midCat"/>
      </c:valAx>
      <c:valAx>
        <c:axId val="5962635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96268608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'SJCPIL-R 15-082-05 Dia'!$E$28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15-082-05 Dia'!$E$2:$AG$2</c:f>
              <c:numCache>
                <c:formatCode>@</c:formatCode>
                <c:ptCount val="29"/>
              </c:numCache>
            </c:numRef>
          </c:cat>
          <c:val>
            <c:numRef>
              <c:f>'LINHA - 1D'!#REF!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69-43DE-801C-E7ABE695CBB1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'SJCPIL-R 15-082-05 Dia'!$E$33:$AG$33</c:f>
              <c:numCache>
                <c:formatCode>0</c:formatCode>
                <c:ptCount val="29"/>
                <c:pt idx="0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69-43DE-801C-E7ABE695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66648"/>
        <c:axId val="596267040"/>
      </c:lineChart>
      <c:catAx>
        <c:axId val="596266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@" sourceLinked="1"/>
        <c:majorTickMark val="none"/>
        <c:minorTickMark val="none"/>
        <c:tickLblPos val="none"/>
        <c:spPr>
          <a:ln w="6350">
            <a:noFill/>
          </a:ln>
        </c:spPr>
        <c:crossAx val="596267040"/>
        <c:crosses val="autoZero"/>
        <c:auto val="1"/>
        <c:lblAlgn val="ctr"/>
        <c:lblOffset val="100"/>
        <c:tickMarkSkip val="1"/>
        <c:noMultiLvlLbl val="0"/>
      </c:catAx>
      <c:valAx>
        <c:axId val="596267040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96266648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53449464068387E-2"/>
          <c:y val="3.2989690721649485E-2"/>
          <c:w val="0.95054516928400712"/>
          <c:h val="0.93608247422680413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'SJCPIL-R 15-082-05 Noite'!$E$28:$AG$28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8-4031-A35C-0F8C92375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51048"/>
        <c:axId val="514454184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15-082-05 Noite'!$E$33:$AG$33</c:f>
              <c:numCache>
                <c:formatCode>0</c:formatCode>
                <c:ptCount val="29"/>
                <c:pt idx="0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D8-4031-A35C-0F8C92375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56928"/>
        <c:axId val="514454968"/>
      </c:scatterChart>
      <c:catAx>
        <c:axId val="5144510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@" sourceLinked="1"/>
        <c:majorTickMark val="none"/>
        <c:minorTickMark val="none"/>
        <c:tickLblPos val="none"/>
        <c:spPr>
          <a:ln w="6350">
            <a:noFill/>
          </a:ln>
        </c:spPr>
        <c:crossAx val="514454184"/>
        <c:crosses val="autoZero"/>
        <c:auto val="1"/>
        <c:lblAlgn val="ctr"/>
        <c:lblOffset val="100"/>
        <c:noMultiLvlLbl val="0"/>
      </c:catAx>
      <c:valAx>
        <c:axId val="514454184"/>
        <c:scaling>
          <c:orientation val="minMax"/>
          <c:max val="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14451048"/>
        <c:crosses val="autoZero"/>
        <c:crossBetween val="between"/>
      </c:valAx>
      <c:valAx>
        <c:axId val="51445496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14456928"/>
        <c:crosses val="max"/>
        <c:crossBetween val="midCat"/>
      </c:valAx>
      <c:valAx>
        <c:axId val="51445692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14454968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'SJCPIL-R 15-082-05 Noite'!$E$28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15-082-05 Noite'!$E$2:$AG$2</c:f>
              <c:numCache>
                <c:formatCode>@</c:formatCode>
                <c:ptCount val="29"/>
              </c:numCache>
            </c:numRef>
          </c:cat>
          <c:val>
            <c:numRef>
              <c:f>'LINHA - 1D'!#REF!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BD-4890-BE42-734A01C27D8B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'SJCPIL-R 15-082-05 Noite'!$E$33:$AG$33</c:f>
              <c:numCache>
                <c:formatCode>0</c:formatCode>
                <c:ptCount val="29"/>
                <c:pt idx="0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D-4890-BE42-734A01C27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51440"/>
        <c:axId val="514458104"/>
      </c:lineChart>
      <c:catAx>
        <c:axId val="514451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@" sourceLinked="1"/>
        <c:majorTickMark val="none"/>
        <c:minorTickMark val="none"/>
        <c:tickLblPos val="none"/>
        <c:spPr>
          <a:ln w="6350">
            <a:noFill/>
          </a:ln>
        </c:spPr>
        <c:crossAx val="514458104"/>
        <c:crosses val="autoZero"/>
        <c:auto val="1"/>
        <c:lblAlgn val="ctr"/>
        <c:lblOffset val="100"/>
        <c:tickMarkSkip val="1"/>
        <c:noMultiLvlLbl val="0"/>
      </c:catAx>
      <c:valAx>
        <c:axId val="514458104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14451440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Pareto por Tipo de Falhas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para grafico'!$L$3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[0]!LinFalhasD_X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[0]!LinFalhasD_Y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0-4BF6-9154-A065856507C5}"/>
            </c:ext>
          </c:extLst>
        </c:ser>
        <c:ser>
          <c:idx val="2"/>
          <c:order val="1"/>
          <c:tx>
            <c:strRef>
              <c:f>'Dados para grafico'!$O$3</c:f>
              <c:strCache>
                <c:ptCount val="1"/>
                <c:pt idx="0">
                  <c:v>Falhas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cat>
            <c:strRef>
              <c:f>[0]!LinFalhasD_X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[0]!LinProbD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8-4E88-9AD5-8CFA3C01A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602764840"/>
        <c:axId val="602764056"/>
      </c:barChart>
      <c:lineChart>
        <c:grouping val="standard"/>
        <c:varyColors val="0"/>
        <c:ser>
          <c:idx val="1"/>
          <c:order val="2"/>
          <c:tx>
            <c:strRef>
              <c:f>'Dados para grafico'!$N$3</c:f>
              <c:strCache>
                <c:ptCount val="1"/>
                <c:pt idx="0">
                  <c:v>Ac (%)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para grafico'!$J$4:$J$17</c:f>
              <c:strCache>
                <c:ptCount val="14"/>
                <c:pt idx="0">
                  <c:v>OUTROS</c:v>
                </c:pt>
                <c:pt idx="1">
                  <c:v>PILHA AMASSADA-ENCAIXOT.</c:v>
                </c:pt>
                <c:pt idx="2">
                  <c:v>MANCHADA</c:v>
                </c:pt>
                <c:pt idx="3">
                  <c:v>RISCADA</c:v>
                </c:pt>
                <c:pt idx="4">
                  <c:v>SEM BOTTOM PLATE</c:v>
                </c:pt>
                <c:pt idx="5">
                  <c:v>SEM CAP</c:v>
                </c:pt>
                <c:pt idx="6">
                  <c:v>SEM ARRUELA</c:v>
                </c:pt>
                <c:pt idx="7">
                  <c:v>SEM ANEL VERMELHO</c:v>
                </c:pt>
                <c:pt idx="8">
                  <c:v>PILHA AMASSADA PELA FACA</c:v>
                </c:pt>
                <c:pt idx="9">
                  <c:v>OUTROS</c:v>
                </c:pt>
                <c:pt idx="10">
                  <c:v>FALHA DE SOLDAGEM</c:v>
                </c:pt>
                <c:pt idx="11">
                  <c:v>SHRINK FROUXO</c:v>
                </c:pt>
                <c:pt idx="12">
                  <c:v>SHRINK MAL ENCOLHIDO</c:v>
                </c:pt>
                <c:pt idx="13">
                  <c:v>SHRINK MAL CORTADO</c:v>
                </c:pt>
              </c:strCache>
            </c:strRef>
          </c:cat>
          <c:val>
            <c:numRef>
              <c:f>[0]!LinACD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60-4BF6-9154-A065856507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2765624"/>
        <c:axId val="602765232"/>
      </c:lineChart>
      <c:catAx>
        <c:axId val="60276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Tipo de Falhas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2764056"/>
        <c:crosses val="autoZero"/>
        <c:auto val="1"/>
        <c:lblAlgn val="ctr"/>
        <c:lblOffset val="100"/>
        <c:noMultiLvlLbl val="0"/>
      </c:catAx>
      <c:valAx>
        <c:axId val="60276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2764840"/>
        <c:crosses val="autoZero"/>
        <c:crossBetween val="between"/>
      </c:valAx>
      <c:valAx>
        <c:axId val="6027652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 Acumulado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2765624"/>
        <c:crosses val="max"/>
        <c:crossBetween val="between"/>
      </c:valAx>
      <c:catAx>
        <c:axId val="602765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2765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1266825</xdr:colOff>
      <xdr:row>4</xdr:row>
      <xdr:rowOff>47625</xdr:rowOff>
    </xdr:from>
    <xdr:to>
      <xdr:col>33</xdr:col>
      <xdr:colOff>180975</xdr:colOff>
      <xdr:row>12</xdr:row>
      <xdr:rowOff>95250</xdr:rowOff>
    </xdr:to>
    <xdr:graphicFrame macro="">
      <xdr:nvGraphicFramePr>
        <xdr:cNvPr id="1034" name="Gráfico 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7430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3</xdr:col>
      <xdr:colOff>1333500</xdr:colOff>
      <xdr:row>30</xdr:row>
      <xdr:rowOff>0</xdr:rowOff>
    </xdr:from>
    <xdr:to>
      <xdr:col>33</xdr:col>
      <xdr:colOff>123825</xdr:colOff>
      <xdr:row>30</xdr:row>
      <xdr:rowOff>0</xdr:rowOff>
    </xdr:to>
    <xdr:graphicFrame macro="">
      <xdr:nvGraphicFramePr>
        <xdr:cNvPr id="1036" name="Gráfico 4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JCPIL-R 15-082-05 Dia'!$E$33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140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1266825</xdr:colOff>
      <xdr:row>4</xdr:row>
      <xdr:rowOff>47625</xdr:rowOff>
    </xdr:from>
    <xdr:to>
      <xdr:col>33</xdr:col>
      <xdr:colOff>180975</xdr:colOff>
      <xdr:row>12</xdr:row>
      <xdr:rowOff>95250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3</xdr:col>
      <xdr:colOff>1333500</xdr:colOff>
      <xdr:row>30</xdr:row>
      <xdr:rowOff>0</xdr:rowOff>
    </xdr:from>
    <xdr:to>
      <xdr:col>33</xdr:col>
      <xdr:colOff>123825</xdr:colOff>
      <xdr:row>30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JCPIL-R 15-082-05 Noite'!$E$33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140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9531</xdr:rowOff>
    </xdr:from>
    <xdr:to>
      <xdr:col>16</xdr:col>
      <xdr:colOff>333369</xdr:colOff>
      <xdr:row>52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ADOS\PIL\PUB\QUALIDADE\FY2021\(1)%20Quality%20Business%20Plan\1.3%20-%20Medi&#231;&#227;o%20e%20Monitoramento\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41">
          <cell r="Y41">
            <v>140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indexed="13"/>
    <pageSetUpPr fitToPage="1"/>
  </sheetPr>
  <dimension ref="A1:AH36"/>
  <sheetViews>
    <sheetView showZeros="0" zoomScaleNormal="100" workbookViewId="0">
      <selection activeCell="K2" sqref="K2"/>
    </sheetView>
  </sheetViews>
  <sheetFormatPr defaultColWidth="11.42578125" defaultRowHeight="12.75"/>
  <cols>
    <col min="1" max="1" width="3" bestFit="1" customWidth="1"/>
    <col min="2" max="2" width="3.28515625" customWidth="1"/>
    <col min="3" max="3" width="3.28515625" hidden="1" customWidth="1"/>
    <col min="4" max="4" width="26.140625" customWidth="1"/>
    <col min="5" max="33" width="6.7109375" customWidth="1"/>
    <col min="34" max="34" width="11.42578125" customWidth="1"/>
    <col min="35" max="35" width="3.28515625" customWidth="1"/>
  </cols>
  <sheetData>
    <row r="1" spans="1:34" ht="32.25" customHeight="1" thickBot="1">
      <c r="F1" s="10" t="s">
        <v>29</v>
      </c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1"/>
      <c r="AC1" s="1"/>
      <c r="AE1" s="221" t="s">
        <v>63</v>
      </c>
      <c r="AF1" s="222"/>
      <c r="AG1" s="223" t="str">
        <f ca="1">MID(CELL("nome.arquivo"),SEARCH(".xl",CELL("nome.arquivo"))-2,2)&amp;" / 20"&amp;MID(CELL("nome.arquivo"),SEARCH(".xl",CELL("nome.arquivo"))-4,2)</f>
        <v>03 / 2022</v>
      </c>
      <c r="AH1" s="224"/>
    </row>
    <row r="2" spans="1:34" ht="21" customHeight="1">
      <c r="A2" s="242" t="s">
        <v>0</v>
      </c>
      <c r="B2" s="243"/>
      <c r="C2" s="243"/>
      <c r="D2" s="243"/>
      <c r="E2" s="174"/>
      <c r="F2" s="175"/>
      <c r="G2" s="176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7"/>
      <c r="S2" s="177"/>
      <c r="T2" s="177"/>
      <c r="U2" s="177"/>
      <c r="V2" s="178"/>
      <c r="W2" s="178"/>
      <c r="X2" s="178"/>
      <c r="Y2" s="179"/>
      <c r="Z2" s="179"/>
      <c r="AA2" s="179"/>
      <c r="AB2" s="179"/>
      <c r="AC2" s="179"/>
      <c r="AD2" s="179"/>
      <c r="AE2" s="180"/>
      <c r="AF2" s="181"/>
      <c r="AG2" s="181"/>
      <c r="AH2" s="11" t="s">
        <v>3</v>
      </c>
    </row>
    <row r="3" spans="1:34" ht="21" customHeight="1">
      <c r="A3" s="244" t="s">
        <v>64</v>
      </c>
      <c r="B3" s="245"/>
      <c r="C3" s="245"/>
      <c r="D3" s="245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3"/>
      <c r="AH3" s="12"/>
    </row>
    <row r="4" spans="1:34" ht="21" customHeight="1" thickBot="1">
      <c r="A4" s="246" t="s">
        <v>1</v>
      </c>
      <c r="B4" s="247"/>
      <c r="C4" s="247"/>
      <c r="D4" s="247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5"/>
      <c r="Z4" s="186"/>
      <c r="AA4" s="185"/>
      <c r="AB4" s="185"/>
      <c r="AC4" s="185"/>
      <c r="AD4" s="185"/>
      <c r="AE4" s="187"/>
      <c r="AF4" s="187"/>
      <c r="AG4" s="187"/>
      <c r="AH4" s="13">
        <f>SUM(E4:AG4)</f>
        <v>0</v>
      </c>
    </row>
    <row r="5" spans="1:34" ht="50.1" customHeight="1">
      <c r="A5" s="14"/>
      <c r="B5" s="15"/>
      <c r="C5" s="15"/>
      <c r="D5" s="16" t="s">
        <v>11</v>
      </c>
      <c r="E5" s="225">
        <f>E36</f>
        <v>0</v>
      </c>
      <c r="F5" s="225">
        <f t="shared" ref="F5:AG5" si="0">F36</f>
        <v>0</v>
      </c>
      <c r="G5" s="91"/>
      <c r="H5" s="91"/>
      <c r="I5" s="91"/>
      <c r="J5" s="91"/>
      <c r="K5" s="225">
        <f>K36</f>
        <v>0</v>
      </c>
      <c r="L5" s="225"/>
      <c r="M5" s="225">
        <f t="shared" si="0"/>
        <v>0</v>
      </c>
      <c r="N5" s="225">
        <f>N36</f>
        <v>0</v>
      </c>
      <c r="O5" s="225">
        <f t="shared" si="0"/>
        <v>0</v>
      </c>
      <c r="P5" s="225">
        <f t="shared" si="0"/>
        <v>0</v>
      </c>
      <c r="Q5" s="225">
        <f t="shared" ref="Q5" si="1">Q36</f>
        <v>0</v>
      </c>
      <c r="R5" s="91">
        <f>R36</f>
        <v>0</v>
      </c>
      <c r="S5" s="91">
        <f t="shared" ref="S5:X5" si="2">S36</f>
        <v>0</v>
      </c>
      <c r="T5" s="91">
        <f t="shared" si="2"/>
        <v>0</v>
      </c>
      <c r="U5" s="91">
        <f t="shared" si="2"/>
        <v>0</v>
      </c>
      <c r="V5" s="91">
        <f t="shared" si="2"/>
        <v>0</v>
      </c>
      <c r="W5" s="91">
        <f t="shared" si="2"/>
        <v>0</v>
      </c>
      <c r="X5" s="91">
        <f t="shared" si="2"/>
        <v>0</v>
      </c>
      <c r="Y5" s="225">
        <f>Y36</f>
        <v>0</v>
      </c>
      <c r="Z5" s="225">
        <f t="shared" si="0"/>
        <v>0</v>
      </c>
      <c r="AA5" s="225">
        <f t="shared" si="0"/>
        <v>0</v>
      </c>
      <c r="AB5" s="91"/>
      <c r="AC5" s="225">
        <f t="shared" si="0"/>
        <v>0</v>
      </c>
      <c r="AD5" s="225">
        <f t="shared" si="0"/>
        <v>0</v>
      </c>
      <c r="AE5" s="225">
        <f t="shared" si="0"/>
        <v>0</v>
      </c>
      <c r="AF5" s="225">
        <f t="shared" si="0"/>
        <v>0</v>
      </c>
      <c r="AG5" s="225">
        <f t="shared" si="0"/>
        <v>0</v>
      </c>
      <c r="AH5" s="17"/>
    </row>
    <row r="6" spans="1:34" ht="50.1" customHeight="1">
      <c r="A6" s="18"/>
      <c r="D6" s="251" t="s">
        <v>13</v>
      </c>
      <c r="E6" s="226"/>
      <c r="F6" s="226"/>
      <c r="G6" s="92"/>
      <c r="H6" s="92"/>
      <c r="I6" s="92"/>
      <c r="J6" s="92"/>
      <c r="K6" s="226"/>
      <c r="L6" s="226"/>
      <c r="M6" s="226"/>
      <c r="N6" s="226"/>
      <c r="O6" s="226"/>
      <c r="P6" s="226"/>
      <c r="Q6" s="226"/>
      <c r="R6" s="92"/>
      <c r="S6" s="92"/>
      <c r="T6" s="92"/>
      <c r="U6" s="92"/>
      <c r="V6" s="92"/>
      <c r="W6" s="92"/>
      <c r="X6" s="92"/>
      <c r="Y6" s="226"/>
      <c r="Z6" s="226"/>
      <c r="AA6" s="226"/>
      <c r="AB6" s="92"/>
      <c r="AC6" s="226"/>
      <c r="AD6" s="226"/>
      <c r="AE6" s="226"/>
      <c r="AF6" s="226"/>
      <c r="AG6" s="226"/>
      <c r="AH6" s="2"/>
    </row>
    <row r="7" spans="1:34" ht="50.1" customHeight="1">
      <c r="A7" s="18"/>
      <c r="D7" s="252"/>
      <c r="E7" s="226"/>
      <c r="F7" s="226"/>
      <c r="G7" s="92"/>
      <c r="H7" s="92"/>
      <c r="I7" s="92"/>
      <c r="J7" s="92"/>
      <c r="K7" s="226"/>
      <c r="L7" s="226"/>
      <c r="M7" s="226"/>
      <c r="N7" s="226"/>
      <c r="O7" s="226"/>
      <c r="P7" s="226"/>
      <c r="Q7" s="226"/>
      <c r="R7" s="92"/>
      <c r="S7" s="92"/>
      <c r="T7" s="92"/>
      <c r="U7" s="92"/>
      <c r="V7" s="92"/>
      <c r="W7" s="92"/>
      <c r="X7" s="92"/>
      <c r="Y7" s="226"/>
      <c r="Z7" s="226"/>
      <c r="AA7" s="226"/>
      <c r="AB7" s="92"/>
      <c r="AC7" s="226"/>
      <c r="AD7" s="226"/>
      <c r="AE7" s="226"/>
      <c r="AF7" s="226"/>
      <c r="AG7" s="226"/>
      <c r="AH7" s="2"/>
    </row>
    <row r="8" spans="1:34" ht="50.1" customHeight="1">
      <c r="A8" s="18"/>
      <c r="D8" s="252"/>
      <c r="E8" s="226"/>
      <c r="F8" s="226"/>
      <c r="G8" s="92"/>
      <c r="H8" s="92"/>
      <c r="I8" s="92"/>
      <c r="J8" s="92"/>
      <c r="K8" s="226"/>
      <c r="L8" s="226"/>
      <c r="M8" s="226"/>
      <c r="N8" s="226"/>
      <c r="O8" s="226"/>
      <c r="P8" s="226"/>
      <c r="Q8" s="226"/>
      <c r="R8" s="92"/>
      <c r="S8" s="92"/>
      <c r="T8" s="92"/>
      <c r="U8" s="92"/>
      <c r="V8" s="92"/>
      <c r="W8" s="92"/>
      <c r="X8" s="92"/>
      <c r="Y8" s="226"/>
      <c r="Z8" s="226"/>
      <c r="AA8" s="226"/>
      <c r="AB8" s="92"/>
      <c r="AC8" s="226"/>
      <c r="AD8" s="226"/>
      <c r="AE8" s="226"/>
      <c r="AF8" s="226"/>
      <c r="AG8" s="226"/>
      <c r="AH8" s="2"/>
    </row>
    <row r="9" spans="1:34" ht="50.1" customHeight="1">
      <c r="A9" s="18"/>
      <c r="D9" s="252"/>
      <c r="E9" s="226"/>
      <c r="F9" s="226"/>
      <c r="G9" s="92"/>
      <c r="H9" s="92"/>
      <c r="I9" s="92"/>
      <c r="J9" s="92"/>
      <c r="K9" s="226"/>
      <c r="L9" s="226"/>
      <c r="M9" s="226"/>
      <c r="N9" s="226"/>
      <c r="O9" s="226"/>
      <c r="P9" s="226"/>
      <c r="Q9" s="226"/>
      <c r="R9" s="92"/>
      <c r="S9" s="92"/>
      <c r="T9" s="92"/>
      <c r="U9" s="92"/>
      <c r="V9" s="92"/>
      <c r="W9" s="92"/>
      <c r="X9" s="92"/>
      <c r="Y9" s="226"/>
      <c r="Z9" s="226"/>
      <c r="AA9" s="226"/>
      <c r="AB9" s="92"/>
      <c r="AC9" s="226"/>
      <c r="AD9" s="226"/>
      <c r="AE9" s="226"/>
      <c r="AF9" s="226"/>
      <c r="AG9" s="226"/>
      <c r="AH9" s="2"/>
    </row>
    <row r="10" spans="1:34" ht="50.1" customHeight="1">
      <c r="A10" s="18"/>
      <c r="D10" s="252"/>
      <c r="E10" s="226"/>
      <c r="F10" s="226"/>
      <c r="G10" s="92"/>
      <c r="H10" s="92"/>
      <c r="I10" s="92"/>
      <c r="J10" s="92"/>
      <c r="K10" s="226"/>
      <c r="L10" s="226"/>
      <c r="M10" s="226"/>
      <c r="N10" s="226"/>
      <c r="O10" s="226"/>
      <c r="P10" s="226"/>
      <c r="Q10" s="226"/>
      <c r="R10" s="92"/>
      <c r="S10" s="92"/>
      <c r="T10" s="92"/>
      <c r="U10" s="92"/>
      <c r="V10" s="92"/>
      <c r="W10" s="92"/>
      <c r="X10" s="92"/>
      <c r="Y10" s="226"/>
      <c r="Z10" s="226"/>
      <c r="AA10" s="226"/>
      <c r="AB10" s="92"/>
      <c r="AC10" s="226"/>
      <c r="AD10" s="226"/>
      <c r="AE10" s="226"/>
      <c r="AF10" s="226"/>
      <c r="AG10" s="226"/>
      <c r="AH10" s="2"/>
    </row>
    <row r="11" spans="1:34" ht="50.1" customHeight="1">
      <c r="A11" s="18"/>
      <c r="D11" s="252"/>
      <c r="E11" s="226"/>
      <c r="F11" s="226"/>
      <c r="G11" s="92"/>
      <c r="H11" s="92"/>
      <c r="I11" s="92"/>
      <c r="J11" s="92"/>
      <c r="K11" s="226"/>
      <c r="L11" s="226"/>
      <c r="M11" s="226"/>
      <c r="N11" s="226"/>
      <c r="O11" s="226"/>
      <c r="P11" s="226"/>
      <c r="Q11" s="226"/>
      <c r="R11" s="92"/>
      <c r="S11" s="92"/>
      <c r="T11" s="92"/>
      <c r="U11" s="92"/>
      <c r="V11" s="92"/>
      <c r="W11" s="92"/>
      <c r="X11" s="92"/>
      <c r="Y11" s="226"/>
      <c r="Z11" s="226"/>
      <c r="AA11" s="226"/>
      <c r="AB11" s="92"/>
      <c r="AC11" s="226"/>
      <c r="AD11" s="226"/>
      <c r="AE11" s="226"/>
      <c r="AF11" s="226"/>
      <c r="AG11" s="226"/>
      <c r="AH11" s="2"/>
    </row>
    <row r="12" spans="1:34" ht="50.1" customHeight="1" thickBot="1">
      <c r="A12" s="18"/>
      <c r="D12" s="252"/>
      <c r="E12" s="227"/>
      <c r="F12" s="227"/>
      <c r="G12" s="93"/>
      <c r="H12" s="93"/>
      <c r="I12" s="93"/>
      <c r="J12" s="93"/>
      <c r="K12" s="227"/>
      <c r="L12" s="227"/>
      <c r="M12" s="227"/>
      <c r="N12" s="227"/>
      <c r="O12" s="227"/>
      <c r="P12" s="227"/>
      <c r="Q12" s="227"/>
      <c r="R12" s="93"/>
      <c r="S12" s="93"/>
      <c r="T12" s="93"/>
      <c r="U12" s="93"/>
      <c r="V12" s="93"/>
      <c r="W12" s="93"/>
      <c r="X12" s="93"/>
      <c r="Y12" s="227"/>
      <c r="Z12" s="227"/>
      <c r="AA12" s="227"/>
      <c r="AB12" s="93"/>
      <c r="AC12" s="227"/>
      <c r="AD12" s="227"/>
      <c r="AE12" s="227"/>
      <c r="AF12" s="227"/>
      <c r="AG12" s="227"/>
      <c r="AH12" s="19"/>
    </row>
    <row r="13" spans="1:34" ht="21" customHeight="1">
      <c r="A13" s="89">
        <v>1</v>
      </c>
      <c r="B13" s="253" t="s">
        <v>12</v>
      </c>
      <c r="C13" s="248" t="s">
        <v>33</v>
      </c>
      <c r="D13" s="85" t="s">
        <v>19</v>
      </c>
      <c r="E13" s="189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86">
        <f t="shared" ref="AH13:AH27" si="3">SUM(E13:AG13)</f>
        <v>0</v>
      </c>
    </row>
    <row r="14" spans="1:34" ht="21" customHeight="1">
      <c r="A14" s="90">
        <v>2</v>
      </c>
      <c r="B14" s="254"/>
      <c r="C14" s="249"/>
      <c r="D14" s="87" t="s">
        <v>20</v>
      </c>
      <c r="E14" s="191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88">
        <f t="shared" si="3"/>
        <v>0</v>
      </c>
    </row>
    <row r="15" spans="1:34" ht="25.5" customHeight="1">
      <c r="A15" s="90">
        <v>3</v>
      </c>
      <c r="B15" s="254"/>
      <c r="C15" s="249"/>
      <c r="D15" s="87" t="s">
        <v>27</v>
      </c>
      <c r="E15" s="191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88">
        <f t="shared" si="3"/>
        <v>0</v>
      </c>
    </row>
    <row r="16" spans="1:34" ht="21" customHeight="1">
      <c r="A16" s="90">
        <v>4</v>
      </c>
      <c r="B16" s="254"/>
      <c r="C16" s="249"/>
      <c r="D16" s="87" t="s">
        <v>32</v>
      </c>
      <c r="E16" s="191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88">
        <f t="shared" si="3"/>
        <v>0</v>
      </c>
    </row>
    <row r="17" spans="1:34" ht="21" customHeight="1">
      <c r="A17" s="90">
        <v>5</v>
      </c>
      <c r="B17" s="255"/>
      <c r="C17" s="250"/>
      <c r="D17" s="87" t="s">
        <v>28</v>
      </c>
      <c r="E17" s="191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88">
        <f t="shared" si="3"/>
        <v>0</v>
      </c>
    </row>
    <row r="18" spans="1:34" ht="21" customHeight="1">
      <c r="A18" s="81">
        <v>6</v>
      </c>
      <c r="B18" s="238" t="s">
        <v>50</v>
      </c>
      <c r="C18" s="240" t="s">
        <v>51</v>
      </c>
      <c r="D18" s="82" t="s">
        <v>26</v>
      </c>
      <c r="E18" s="193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31">
        <f t="shared" si="3"/>
        <v>0</v>
      </c>
    </row>
    <row r="19" spans="1:34" ht="21" customHeight="1">
      <c r="A19" s="21">
        <v>7</v>
      </c>
      <c r="B19" s="238"/>
      <c r="C19" s="240"/>
      <c r="D19" s="80" t="s">
        <v>22</v>
      </c>
      <c r="E19" s="195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25">
        <f t="shared" si="3"/>
        <v>0</v>
      </c>
    </row>
    <row r="20" spans="1:34" ht="21" customHeight="1">
      <c r="A20" s="21">
        <v>8</v>
      </c>
      <c r="B20" s="238"/>
      <c r="C20" s="240"/>
      <c r="D20" s="80" t="s">
        <v>23</v>
      </c>
      <c r="E20" s="195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  <c r="AD20" s="196"/>
      <c r="AE20" s="196"/>
      <c r="AF20" s="196"/>
      <c r="AG20" s="196"/>
      <c r="AH20" s="25">
        <f t="shared" si="3"/>
        <v>0</v>
      </c>
    </row>
    <row r="21" spans="1:34" ht="21" customHeight="1">
      <c r="A21" s="21">
        <v>9</v>
      </c>
      <c r="B21" s="238"/>
      <c r="C21" s="240"/>
      <c r="D21" s="80" t="s">
        <v>24</v>
      </c>
      <c r="E21" s="195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25">
        <f t="shared" si="3"/>
        <v>0</v>
      </c>
    </row>
    <row r="22" spans="1:34" ht="21" customHeight="1">
      <c r="A22" s="21">
        <v>10</v>
      </c>
      <c r="B22" s="238"/>
      <c r="C22" s="240"/>
      <c r="D22" s="80" t="s">
        <v>25</v>
      </c>
      <c r="E22" s="195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  <c r="AD22" s="196"/>
      <c r="AE22" s="196"/>
      <c r="AF22" s="196"/>
      <c r="AG22" s="196"/>
      <c r="AH22" s="25">
        <f t="shared" si="3"/>
        <v>0</v>
      </c>
    </row>
    <row r="23" spans="1:34" ht="21" customHeight="1">
      <c r="A23" s="21">
        <v>11</v>
      </c>
      <c r="B23" s="238"/>
      <c r="C23" s="240"/>
      <c r="D23" s="80" t="s">
        <v>30</v>
      </c>
      <c r="E23" s="195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25">
        <f t="shared" si="3"/>
        <v>0</v>
      </c>
    </row>
    <row r="24" spans="1:34" ht="21" customHeight="1">
      <c r="A24" s="21">
        <v>12</v>
      </c>
      <c r="B24" s="238"/>
      <c r="C24" s="240"/>
      <c r="D24" s="80" t="s">
        <v>31</v>
      </c>
      <c r="E24" s="195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25">
        <f t="shared" si="3"/>
        <v>0</v>
      </c>
    </row>
    <row r="25" spans="1:34" ht="21" customHeight="1">
      <c r="A25" s="21">
        <v>13</v>
      </c>
      <c r="B25" s="238"/>
      <c r="C25" s="240"/>
      <c r="D25" s="80" t="s">
        <v>49</v>
      </c>
      <c r="E25" s="195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196"/>
      <c r="AG25" s="196"/>
      <c r="AH25" s="25">
        <f t="shared" si="3"/>
        <v>0</v>
      </c>
    </row>
    <row r="26" spans="1:34" ht="21" customHeight="1" thickBot="1">
      <c r="A26" s="22">
        <v>14</v>
      </c>
      <c r="B26" s="239"/>
      <c r="C26" s="241"/>
      <c r="D26" s="83" t="s">
        <v>28</v>
      </c>
      <c r="E26" s="197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9"/>
      <c r="S26" s="199"/>
      <c r="T26" s="199"/>
      <c r="U26" s="199"/>
      <c r="V26" s="199"/>
      <c r="W26" s="199"/>
      <c r="X26" s="199"/>
      <c r="Y26" s="198"/>
      <c r="Z26" s="198"/>
      <c r="AA26" s="198"/>
      <c r="AB26" s="198"/>
      <c r="AC26" s="198"/>
      <c r="AD26" s="198"/>
      <c r="AE26" s="198"/>
      <c r="AF26" s="198"/>
      <c r="AG26" s="198"/>
      <c r="AH26" s="13">
        <f t="shared" si="3"/>
        <v>0</v>
      </c>
    </row>
    <row r="27" spans="1:34" ht="29.25" customHeight="1">
      <c r="A27" s="234" t="s">
        <v>55</v>
      </c>
      <c r="B27" s="229"/>
      <c r="C27" s="229"/>
      <c r="D27" s="230"/>
      <c r="E27" s="97">
        <f t="shared" ref="E27" si="4">SUM(E18:E26)</f>
        <v>0</v>
      </c>
      <c r="F27" s="32">
        <f t="shared" ref="F27:G27" si="5">SUM(F18:F26)</f>
        <v>0</v>
      </c>
      <c r="G27" s="32">
        <f t="shared" si="5"/>
        <v>0</v>
      </c>
      <c r="H27" s="32">
        <f t="shared" ref="H27:AG27" si="6">SUM(H18:H26)</f>
        <v>0</v>
      </c>
      <c r="I27" s="32">
        <f t="shared" si="6"/>
        <v>0</v>
      </c>
      <c r="J27" s="32">
        <f t="shared" si="6"/>
        <v>0</v>
      </c>
      <c r="K27" s="32">
        <f t="shared" si="6"/>
        <v>0</v>
      </c>
      <c r="L27" s="32">
        <f t="shared" si="6"/>
        <v>0</v>
      </c>
      <c r="M27" s="32">
        <f t="shared" si="6"/>
        <v>0</v>
      </c>
      <c r="N27" s="32">
        <f t="shared" si="6"/>
        <v>0</v>
      </c>
      <c r="O27" s="32">
        <f t="shared" si="6"/>
        <v>0</v>
      </c>
      <c r="P27" s="32">
        <f t="shared" si="6"/>
        <v>0</v>
      </c>
      <c r="Q27" s="32">
        <f t="shared" si="6"/>
        <v>0</v>
      </c>
      <c r="R27" s="32">
        <f t="shared" si="6"/>
        <v>0</v>
      </c>
      <c r="S27" s="32">
        <f t="shared" si="6"/>
        <v>0</v>
      </c>
      <c r="T27" s="32">
        <f t="shared" si="6"/>
        <v>0</v>
      </c>
      <c r="U27" s="32">
        <f t="shared" si="6"/>
        <v>0</v>
      </c>
      <c r="V27" s="32">
        <f t="shared" si="6"/>
        <v>0</v>
      </c>
      <c r="W27" s="32">
        <f t="shared" si="6"/>
        <v>0</v>
      </c>
      <c r="X27" s="32">
        <f t="shared" si="6"/>
        <v>0</v>
      </c>
      <c r="Y27" s="32">
        <f t="shared" si="6"/>
        <v>0</v>
      </c>
      <c r="Z27" s="32">
        <f t="shared" si="6"/>
        <v>0</v>
      </c>
      <c r="AA27" s="32">
        <f t="shared" si="6"/>
        <v>0</v>
      </c>
      <c r="AB27" s="32">
        <f t="shared" si="6"/>
        <v>0</v>
      </c>
      <c r="AC27" s="32">
        <f t="shared" si="6"/>
        <v>0</v>
      </c>
      <c r="AD27" s="32">
        <f t="shared" si="6"/>
        <v>0</v>
      </c>
      <c r="AE27" s="32">
        <f t="shared" si="6"/>
        <v>0</v>
      </c>
      <c r="AF27" s="32">
        <f t="shared" si="6"/>
        <v>0</v>
      </c>
      <c r="AG27" s="32">
        <f t="shared" si="6"/>
        <v>0</v>
      </c>
      <c r="AH27" s="33">
        <f t="shared" si="3"/>
        <v>0</v>
      </c>
    </row>
    <row r="28" spans="1:34" ht="21" customHeight="1" thickBot="1">
      <c r="A28" s="235" t="s">
        <v>11</v>
      </c>
      <c r="B28" s="236"/>
      <c r="C28" s="236"/>
      <c r="D28" s="237"/>
      <c r="E28" s="94" t="str">
        <f t="shared" ref="E28:AH28" si="7">IF(E4&gt;0,E27/E4*1000000," ")</f>
        <v xml:space="preserve"> </v>
      </c>
      <c r="F28" s="94" t="str">
        <f t="shared" si="7"/>
        <v xml:space="preserve"> </v>
      </c>
      <c r="G28" s="94" t="str">
        <f t="shared" si="7"/>
        <v xml:space="preserve"> </v>
      </c>
      <c r="H28" s="94" t="str">
        <f t="shared" si="7"/>
        <v xml:space="preserve"> </v>
      </c>
      <c r="I28" s="95" t="str">
        <f t="shared" si="7"/>
        <v xml:space="preserve"> </v>
      </c>
      <c r="J28" s="95" t="str">
        <f t="shared" si="7"/>
        <v xml:space="preserve"> </v>
      </c>
      <c r="K28" s="95" t="str">
        <f t="shared" si="7"/>
        <v xml:space="preserve"> </v>
      </c>
      <c r="L28" s="95" t="str">
        <f t="shared" si="7"/>
        <v xml:space="preserve"> </v>
      </c>
      <c r="M28" s="95" t="str">
        <f t="shared" si="7"/>
        <v xml:space="preserve"> </v>
      </c>
      <c r="N28" s="95" t="str">
        <f t="shared" si="7"/>
        <v xml:space="preserve"> </v>
      </c>
      <c r="O28" s="95" t="str">
        <f t="shared" si="7"/>
        <v xml:space="preserve"> </v>
      </c>
      <c r="P28" s="95" t="str">
        <f t="shared" si="7"/>
        <v xml:space="preserve"> </v>
      </c>
      <c r="Q28" s="95" t="str">
        <f t="shared" si="7"/>
        <v xml:space="preserve"> </v>
      </c>
      <c r="R28" s="95" t="str">
        <f t="shared" si="7"/>
        <v xml:space="preserve"> </v>
      </c>
      <c r="S28" s="95" t="str">
        <f t="shared" si="7"/>
        <v xml:space="preserve"> </v>
      </c>
      <c r="T28" s="95" t="str">
        <f t="shared" si="7"/>
        <v xml:space="preserve"> </v>
      </c>
      <c r="U28" s="95" t="str">
        <f t="shared" si="7"/>
        <v xml:space="preserve"> </v>
      </c>
      <c r="V28" s="95" t="str">
        <f t="shared" si="7"/>
        <v xml:space="preserve"> </v>
      </c>
      <c r="W28" s="95" t="str">
        <f t="shared" si="7"/>
        <v xml:space="preserve"> </v>
      </c>
      <c r="X28" s="95" t="str">
        <f t="shared" si="7"/>
        <v xml:space="preserve"> </v>
      </c>
      <c r="Y28" s="95" t="str">
        <f t="shared" si="7"/>
        <v xml:space="preserve"> </v>
      </c>
      <c r="Z28" s="95" t="str">
        <f t="shared" si="7"/>
        <v xml:space="preserve"> </v>
      </c>
      <c r="AA28" s="95" t="str">
        <f t="shared" si="7"/>
        <v xml:space="preserve"> </v>
      </c>
      <c r="AB28" s="95" t="str">
        <f t="shared" si="7"/>
        <v xml:space="preserve"> </v>
      </c>
      <c r="AC28" s="95" t="str">
        <f t="shared" si="7"/>
        <v xml:space="preserve"> </v>
      </c>
      <c r="AD28" s="95" t="str">
        <f t="shared" si="7"/>
        <v xml:space="preserve"> </v>
      </c>
      <c r="AE28" s="95" t="str">
        <f t="shared" si="7"/>
        <v xml:space="preserve"> </v>
      </c>
      <c r="AF28" s="95" t="str">
        <f t="shared" si="7"/>
        <v xml:space="preserve"> </v>
      </c>
      <c r="AG28" s="95" t="str">
        <f t="shared" si="7"/>
        <v xml:space="preserve"> </v>
      </c>
      <c r="AH28" s="96" t="str">
        <f t="shared" si="7"/>
        <v xml:space="preserve"> </v>
      </c>
    </row>
    <row r="29" spans="1:34" ht="21" customHeight="1">
      <c r="A29" s="228" t="s">
        <v>56</v>
      </c>
      <c r="B29" s="229"/>
      <c r="C29" s="229"/>
      <c r="D29" s="230"/>
      <c r="E29" s="200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2"/>
    </row>
    <row r="30" spans="1:34" ht="21" customHeight="1" thickBot="1">
      <c r="A30" s="231" t="s">
        <v>57</v>
      </c>
      <c r="B30" s="232"/>
      <c r="C30" s="232"/>
      <c r="D30" s="233"/>
      <c r="E30" s="203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5"/>
    </row>
    <row r="31" spans="1:34" ht="21" customHeight="1">
      <c r="A31" s="23" t="s">
        <v>7</v>
      </c>
      <c r="B31" s="24"/>
      <c r="C31" s="24"/>
      <c r="D31" s="24"/>
      <c r="E31" s="206"/>
      <c r="F31" s="206"/>
      <c r="G31" s="206"/>
      <c r="H31" s="206"/>
      <c r="I31" s="206"/>
      <c r="J31" s="206"/>
      <c r="K31" s="206"/>
      <c r="L31" s="206"/>
      <c r="M31" s="207"/>
      <c r="N31" s="207"/>
      <c r="O31" s="208"/>
      <c r="P31" s="29" t="s">
        <v>9</v>
      </c>
      <c r="Q31" s="24"/>
      <c r="R31" s="206"/>
      <c r="S31" s="206"/>
      <c r="T31" s="206"/>
      <c r="U31" s="206"/>
      <c r="V31" s="206"/>
      <c r="W31" s="206"/>
      <c r="X31" s="206"/>
      <c r="Y31" s="206"/>
      <c r="Z31" s="212"/>
      <c r="AA31" s="29" t="s">
        <v>10</v>
      </c>
      <c r="AB31" s="30"/>
      <c r="AC31" s="24"/>
      <c r="AD31" s="24"/>
      <c r="AE31" s="206"/>
      <c r="AF31" s="206"/>
      <c r="AG31" s="214"/>
      <c r="AH31" s="215"/>
    </row>
    <row r="32" spans="1:34" s="6" customFormat="1" ht="21" customHeight="1" thickBot="1">
      <c r="A32" s="4" t="s">
        <v>8</v>
      </c>
      <c r="B32" s="5"/>
      <c r="C32" s="5"/>
      <c r="D32" s="5"/>
      <c r="E32" s="209"/>
      <c r="F32" s="209"/>
      <c r="G32" s="209"/>
      <c r="H32" s="209"/>
      <c r="I32" s="209"/>
      <c r="J32" s="209"/>
      <c r="K32" s="209"/>
      <c r="L32" s="209"/>
      <c r="M32" s="210"/>
      <c r="N32" s="210"/>
      <c r="O32" s="211"/>
      <c r="P32" s="4" t="s">
        <v>8</v>
      </c>
      <c r="Q32" s="5"/>
      <c r="R32" s="209"/>
      <c r="S32" s="209"/>
      <c r="T32" s="209"/>
      <c r="U32" s="209"/>
      <c r="V32" s="209"/>
      <c r="W32" s="209"/>
      <c r="X32" s="209"/>
      <c r="Y32" s="209"/>
      <c r="Z32" s="213"/>
      <c r="AA32" s="4" t="s">
        <v>8</v>
      </c>
      <c r="AB32" s="5"/>
      <c r="AC32" s="5"/>
      <c r="AD32" s="5"/>
      <c r="AE32" s="216"/>
      <c r="AF32" s="217"/>
      <c r="AG32" s="216"/>
      <c r="AH32" s="213"/>
    </row>
    <row r="33" spans="4:33">
      <c r="D33" t="s">
        <v>4</v>
      </c>
      <c r="E33" s="7">
        <f>'[1]SJCPIL 16-006-08'!$Y$41</f>
        <v>140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</row>
    <row r="35" spans="4:33">
      <c r="D35" s="3" t="s">
        <v>5</v>
      </c>
      <c r="E35" s="9"/>
      <c r="F35" s="9">
        <f>F2</f>
        <v>0</v>
      </c>
      <c r="G35" s="9">
        <f t="shared" ref="G35:J35" si="8">G2</f>
        <v>0</v>
      </c>
      <c r="H35" s="9">
        <f t="shared" si="8"/>
        <v>0</v>
      </c>
      <c r="I35" s="9">
        <f t="shared" si="8"/>
        <v>0</v>
      </c>
      <c r="J35" s="9">
        <f t="shared" si="8"/>
        <v>0</v>
      </c>
      <c r="K35" s="9">
        <f t="shared" ref="K35:AG35" si="9">K2</f>
        <v>0</v>
      </c>
      <c r="L35" s="9">
        <f t="shared" si="9"/>
        <v>0</v>
      </c>
      <c r="M35" s="9">
        <f t="shared" si="9"/>
        <v>0</v>
      </c>
      <c r="N35" s="9">
        <f t="shared" si="9"/>
        <v>0</v>
      </c>
      <c r="O35" s="9">
        <f t="shared" si="9"/>
        <v>0</v>
      </c>
      <c r="P35" s="9">
        <f t="shared" si="9"/>
        <v>0</v>
      </c>
      <c r="Q35" s="9">
        <f t="shared" si="9"/>
        <v>0</v>
      </c>
      <c r="R35" s="9">
        <f t="shared" si="9"/>
        <v>0</v>
      </c>
      <c r="S35" s="9">
        <f t="shared" si="9"/>
        <v>0</v>
      </c>
      <c r="T35" s="9">
        <f t="shared" si="9"/>
        <v>0</v>
      </c>
      <c r="U35" s="9">
        <f t="shared" si="9"/>
        <v>0</v>
      </c>
      <c r="V35" s="9">
        <f t="shared" si="9"/>
        <v>0</v>
      </c>
      <c r="W35" s="9">
        <f t="shared" si="9"/>
        <v>0</v>
      </c>
      <c r="X35" s="9">
        <f t="shared" si="9"/>
        <v>0</v>
      </c>
      <c r="Y35" s="9">
        <f t="shared" si="9"/>
        <v>0</v>
      </c>
      <c r="Z35" s="9">
        <f t="shared" si="9"/>
        <v>0</v>
      </c>
      <c r="AA35" s="9">
        <f t="shared" si="9"/>
        <v>0</v>
      </c>
      <c r="AB35" s="9">
        <f t="shared" si="9"/>
        <v>0</v>
      </c>
      <c r="AC35" s="9">
        <f t="shared" si="9"/>
        <v>0</v>
      </c>
      <c r="AD35" s="9">
        <f t="shared" si="9"/>
        <v>0</v>
      </c>
      <c r="AE35" s="9">
        <f t="shared" si="9"/>
        <v>0</v>
      </c>
      <c r="AF35" s="9">
        <f t="shared" si="9"/>
        <v>0</v>
      </c>
      <c r="AG35" s="9">
        <f t="shared" si="9"/>
        <v>0</v>
      </c>
    </row>
    <row r="36" spans="4:33" ht="170.1" customHeight="1">
      <c r="D36" s="8" t="s">
        <v>6</v>
      </c>
      <c r="E36" s="218"/>
      <c r="F36" s="218"/>
      <c r="G36" s="218"/>
      <c r="H36" s="218"/>
      <c r="I36" s="218"/>
      <c r="J36" s="218"/>
      <c r="K36" s="218"/>
      <c r="L36" s="218"/>
      <c r="M36" s="218"/>
      <c r="N36" s="219"/>
      <c r="O36" s="219"/>
      <c r="P36" s="219"/>
      <c r="Q36" s="218"/>
      <c r="R36" s="218"/>
      <c r="S36" s="218"/>
      <c r="T36" s="218"/>
      <c r="U36" s="218"/>
      <c r="V36" s="218"/>
      <c r="W36" s="218"/>
      <c r="X36" s="218"/>
      <c r="Y36" s="219"/>
      <c r="Z36" s="219"/>
      <c r="AA36" s="220"/>
      <c r="AB36" s="220"/>
      <c r="AC36" s="219"/>
      <c r="AD36" s="220"/>
      <c r="AE36" s="220"/>
      <c r="AF36" s="220"/>
      <c r="AG36" s="220"/>
    </row>
  </sheetData>
  <sheetProtection algorithmName="SHA-512" hashValue="rqErezZzg2BmLqbKbKktVgsTgZuewDNX0l5QHh7p+oFy2zDyqyEGcgRxOxOuhDfzPcxeEIGqX/XIkZdWbJSqaQ==" saltValue="dmeYgrzAYobrNbF7aYxppw==" spinCount="100000" sheet="1" objects="1" scenarios="1" selectLockedCells="1"/>
  <mergeCells count="31">
    <mergeCell ref="A2:D2"/>
    <mergeCell ref="A3:D3"/>
    <mergeCell ref="A4:D4"/>
    <mergeCell ref="C13:C17"/>
    <mergeCell ref="D6:D12"/>
    <mergeCell ref="B13:B17"/>
    <mergeCell ref="AC5:AC12"/>
    <mergeCell ref="AE5:AE12"/>
    <mergeCell ref="AF5:AF12"/>
    <mergeCell ref="A29:D29"/>
    <mergeCell ref="A30:D30"/>
    <mergeCell ref="A27:D27"/>
    <mergeCell ref="A28:D28"/>
    <mergeCell ref="B18:B26"/>
    <mergeCell ref="C18:C26"/>
    <mergeCell ref="AE1:AF1"/>
    <mergeCell ref="AG1:AH1"/>
    <mergeCell ref="E5:E12"/>
    <mergeCell ref="F5:F12"/>
    <mergeCell ref="K5:K12"/>
    <mergeCell ref="P5:P12"/>
    <mergeCell ref="Q5:Q12"/>
    <mergeCell ref="L5:L12"/>
    <mergeCell ref="M5:M12"/>
    <mergeCell ref="N5:N12"/>
    <mergeCell ref="O5:O12"/>
    <mergeCell ref="Y5:Y12"/>
    <mergeCell ref="Z5:Z12"/>
    <mergeCell ref="AG5:AG12"/>
    <mergeCell ref="AD5:AD12"/>
    <mergeCell ref="AA5:AA12"/>
  </mergeCells>
  <phoneticPr fontId="0" type="noConversion"/>
  <conditionalFormatting sqref="AH27">
    <cfRule type="cellIs" dxfId="4" priority="1" stopIfTrue="1" operator="notEqual">
      <formula>SUM($E$18:$AG$26)</formula>
    </cfRule>
  </conditionalFormatting>
  <printOptions horizontalCentered="1" gridLines="1" gridLinesSet="0"/>
  <pageMargins left="0.47244094488188981" right="0.31496062992125984" top="0.78740157480314965" bottom="0.59055118110236227" header="0.27559055118110237" footer="0.27559055118110237"/>
  <pageSetup paperSize="9" scale="54" orientation="landscape" r:id="rId1"/>
  <headerFooter alignWithMargins="0">
    <oddFooter xml:space="preserve">&amp;L &amp;R&amp;A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'Resumo para Custo'!$C$2:$E$2</xm:f>
          </x14:formula1>
          <xm:sqref>E3:AF3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92D050"/>
    <pageSetUpPr fitToPage="1"/>
  </sheetPr>
  <dimension ref="A1:AH36"/>
  <sheetViews>
    <sheetView showZeros="0" zoomScaleNormal="100" workbookViewId="0">
      <selection activeCell="E2" sqref="E2"/>
    </sheetView>
  </sheetViews>
  <sheetFormatPr defaultColWidth="11.42578125" defaultRowHeight="12.75"/>
  <cols>
    <col min="1" max="1" width="3" bestFit="1" customWidth="1"/>
    <col min="2" max="2" width="3.28515625" customWidth="1"/>
    <col min="3" max="3" width="3.28515625" hidden="1" customWidth="1"/>
    <col min="4" max="4" width="26.140625" customWidth="1"/>
    <col min="5" max="33" width="6.7109375" customWidth="1"/>
    <col min="34" max="34" width="11.42578125" customWidth="1"/>
    <col min="35" max="35" width="3.28515625" customWidth="1"/>
  </cols>
  <sheetData>
    <row r="1" spans="1:34" ht="32.25" customHeight="1" thickBot="1">
      <c r="F1" s="10" t="s">
        <v>29</v>
      </c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1"/>
      <c r="AC1" s="1"/>
      <c r="AE1" s="221" t="s">
        <v>63</v>
      </c>
      <c r="AF1" s="222"/>
      <c r="AG1" s="223" t="str">
        <f ca="1">'SJCPIL-R 15-082-05 Dia'!AG1</f>
        <v>03 / 2022</v>
      </c>
      <c r="AH1" s="224"/>
    </row>
    <row r="2" spans="1:34" ht="21" customHeight="1">
      <c r="A2" s="242" t="s">
        <v>0</v>
      </c>
      <c r="B2" s="243"/>
      <c r="C2" s="243"/>
      <c r="D2" s="243"/>
      <c r="E2" s="174"/>
      <c r="F2" s="175"/>
      <c r="G2" s="176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7"/>
      <c r="S2" s="177"/>
      <c r="T2" s="177"/>
      <c r="U2" s="177"/>
      <c r="V2" s="178"/>
      <c r="W2" s="178"/>
      <c r="X2" s="178"/>
      <c r="Y2" s="179"/>
      <c r="Z2" s="179"/>
      <c r="AA2" s="179"/>
      <c r="AB2" s="179"/>
      <c r="AC2" s="179"/>
      <c r="AD2" s="179"/>
      <c r="AE2" s="180"/>
      <c r="AF2" s="181"/>
      <c r="AG2" s="181"/>
      <c r="AH2" s="11" t="s">
        <v>3</v>
      </c>
    </row>
    <row r="3" spans="1:34" ht="21" customHeight="1">
      <c r="A3" s="244" t="s">
        <v>64</v>
      </c>
      <c r="B3" s="245"/>
      <c r="C3" s="245"/>
      <c r="D3" s="245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3"/>
      <c r="AH3" s="12"/>
    </row>
    <row r="4" spans="1:34" ht="21" customHeight="1" thickBot="1">
      <c r="A4" s="246" t="s">
        <v>1</v>
      </c>
      <c r="B4" s="247"/>
      <c r="C4" s="247"/>
      <c r="D4" s="247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5"/>
      <c r="Z4" s="186"/>
      <c r="AA4" s="185"/>
      <c r="AB4" s="185"/>
      <c r="AC4" s="185"/>
      <c r="AD4" s="185"/>
      <c r="AE4" s="187"/>
      <c r="AF4" s="187"/>
      <c r="AG4" s="187"/>
      <c r="AH4" s="13">
        <f>SUM(E4:AG4)</f>
        <v>0</v>
      </c>
    </row>
    <row r="5" spans="1:34" ht="50.1" customHeight="1">
      <c r="A5" s="14"/>
      <c r="B5" s="15"/>
      <c r="C5" s="15"/>
      <c r="D5" s="16" t="s">
        <v>11</v>
      </c>
      <c r="E5" s="225">
        <f>E36</f>
        <v>0</v>
      </c>
      <c r="F5" s="225">
        <f t="shared" ref="F5:AG5" si="0">F36</f>
        <v>0</v>
      </c>
      <c r="G5" s="91"/>
      <c r="H5" s="91"/>
      <c r="I5" s="91"/>
      <c r="J5" s="91"/>
      <c r="K5" s="225">
        <f>K36</f>
        <v>0</v>
      </c>
      <c r="L5" s="225"/>
      <c r="M5" s="225">
        <f t="shared" si="0"/>
        <v>0</v>
      </c>
      <c r="N5" s="225">
        <f>N36</f>
        <v>0</v>
      </c>
      <c r="O5" s="225">
        <f t="shared" si="0"/>
        <v>0</v>
      </c>
      <c r="P5" s="225">
        <f t="shared" si="0"/>
        <v>0</v>
      </c>
      <c r="Q5" s="225">
        <f t="shared" si="0"/>
        <v>0</v>
      </c>
      <c r="R5" s="91">
        <f>R36</f>
        <v>0</v>
      </c>
      <c r="S5" s="91">
        <f t="shared" ref="S5:X5" si="1">S36</f>
        <v>0</v>
      </c>
      <c r="T5" s="91">
        <f t="shared" si="1"/>
        <v>0</v>
      </c>
      <c r="U5" s="91">
        <f t="shared" si="1"/>
        <v>0</v>
      </c>
      <c r="V5" s="91">
        <f t="shared" si="1"/>
        <v>0</v>
      </c>
      <c r="W5" s="91">
        <f t="shared" si="1"/>
        <v>0</v>
      </c>
      <c r="X5" s="91">
        <f t="shared" si="1"/>
        <v>0</v>
      </c>
      <c r="Y5" s="225">
        <f>Y36</f>
        <v>0</v>
      </c>
      <c r="Z5" s="225">
        <f t="shared" si="0"/>
        <v>0</v>
      </c>
      <c r="AA5" s="225">
        <f t="shared" si="0"/>
        <v>0</v>
      </c>
      <c r="AB5" s="91"/>
      <c r="AC5" s="225">
        <f t="shared" si="0"/>
        <v>0</v>
      </c>
      <c r="AD5" s="225">
        <f t="shared" si="0"/>
        <v>0</v>
      </c>
      <c r="AE5" s="225">
        <f t="shared" si="0"/>
        <v>0</v>
      </c>
      <c r="AF5" s="225">
        <f t="shared" si="0"/>
        <v>0</v>
      </c>
      <c r="AG5" s="225">
        <f t="shared" si="0"/>
        <v>0</v>
      </c>
      <c r="AH5" s="17"/>
    </row>
    <row r="6" spans="1:34" ht="50.1" customHeight="1">
      <c r="A6" s="18"/>
      <c r="D6" s="251" t="s">
        <v>13</v>
      </c>
      <c r="E6" s="226"/>
      <c r="F6" s="226"/>
      <c r="G6" s="92"/>
      <c r="H6" s="92"/>
      <c r="I6" s="92"/>
      <c r="J6" s="92"/>
      <c r="K6" s="226"/>
      <c r="L6" s="226"/>
      <c r="M6" s="226"/>
      <c r="N6" s="226"/>
      <c r="O6" s="226"/>
      <c r="P6" s="226"/>
      <c r="Q6" s="226"/>
      <c r="R6" s="92"/>
      <c r="S6" s="92"/>
      <c r="T6" s="92"/>
      <c r="U6" s="92"/>
      <c r="V6" s="92"/>
      <c r="W6" s="92"/>
      <c r="X6" s="92"/>
      <c r="Y6" s="226"/>
      <c r="Z6" s="226"/>
      <c r="AA6" s="226"/>
      <c r="AB6" s="92"/>
      <c r="AC6" s="226"/>
      <c r="AD6" s="226"/>
      <c r="AE6" s="226"/>
      <c r="AF6" s="226"/>
      <c r="AG6" s="226"/>
      <c r="AH6" s="2"/>
    </row>
    <row r="7" spans="1:34" ht="50.1" customHeight="1">
      <c r="A7" s="18"/>
      <c r="D7" s="252"/>
      <c r="E7" s="226"/>
      <c r="F7" s="226"/>
      <c r="G7" s="92"/>
      <c r="H7" s="92"/>
      <c r="I7" s="92"/>
      <c r="J7" s="92"/>
      <c r="K7" s="226"/>
      <c r="L7" s="226"/>
      <c r="M7" s="226"/>
      <c r="N7" s="226"/>
      <c r="O7" s="226"/>
      <c r="P7" s="226"/>
      <c r="Q7" s="226"/>
      <c r="R7" s="92"/>
      <c r="S7" s="92"/>
      <c r="T7" s="92"/>
      <c r="U7" s="92"/>
      <c r="V7" s="92"/>
      <c r="W7" s="92"/>
      <c r="X7" s="92"/>
      <c r="Y7" s="226"/>
      <c r="Z7" s="226"/>
      <c r="AA7" s="226"/>
      <c r="AB7" s="92"/>
      <c r="AC7" s="226"/>
      <c r="AD7" s="226"/>
      <c r="AE7" s="226"/>
      <c r="AF7" s="226"/>
      <c r="AG7" s="226"/>
      <c r="AH7" s="2"/>
    </row>
    <row r="8" spans="1:34" ht="50.1" customHeight="1">
      <c r="A8" s="18"/>
      <c r="D8" s="252"/>
      <c r="E8" s="226"/>
      <c r="F8" s="226"/>
      <c r="G8" s="92"/>
      <c r="H8" s="92"/>
      <c r="I8" s="92"/>
      <c r="J8" s="92"/>
      <c r="K8" s="226"/>
      <c r="L8" s="226"/>
      <c r="M8" s="226"/>
      <c r="N8" s="226"/>
      <c r="O8" s="226"/>
      <c r="P8" s="226"/>
      <c r="Q8" s="226"/>
      <c r="R8" s="92"/>
      <c r="S8" s="92"/>
      <c r="T8" s="92"/>
      <c r="U8" s="92"/>
      <c r="V8" s="92"/>
      <c r="W8" s="92"/>
      <c r="X8" s="92"/>
      <c r="Y8" s="226"/>
      <c r="Z8" s="226"/>
      <c r="AA8" s="226"/>
      <c r="AB8" s="92"/>
      <c r="AC8" s="226"/>
      <c r="AD8" s="226"/>
      <c r="AE8" s="226"/>
      <c r="AF8" s="226"/>
      <c r="AG8" s="226"/>
      <c r="AH8" s="2"/>
    </row>
    <row r="9" spans="1:34" ht="50.1" customHeight="1">
      <c r="A9" s="18"/>
      <c r="D9" s="252"/>
      <c r="E9" s="226"/>
      <c r="F9" s="226"/>
      <c r="G9" s="92"/>
      <c r="H9" s="92"/>
      <c r="I9" s="92"/>
      <c r="J9" s="92"/>
      <c r="K9" s="226"/>
      <c r="L9" s="226"/>
      <c r="M9" s="226"/>
      <c r="N9" s="226"/>
      <c r="O9" s="226"/>
      <c r="P9" s="226"/>
      <c r="Q9" s="226"/>
      <c r="R9" s="92"/>
      <c r="S9" s="92"/>
      <c r="T9" s="92"/>
      <c r="U9" s="92"/>
      <c r="V9" s="92"/>
      <c r="W9" s="92"/>
      <c r="X9" s="92"/>
      <c r="Y9" s="226"/>
      <c r="Z9" s="226"/>
      <c r="AA9" s="226"/>
      <c r="AB9" s="92"/>
      <c r="AC9" s="226"/>
      <c r="AD9" s="226"/>
      <c r="AE9" s="226"/>
      <c r="AF9" s="226"/>
      <c r="AG9" s="226"/>
      <c r="AH9" s="2"/>
    </row>
    <row r="10" spans="1:34" ht="50.1" customHeight="1">
      <c r="A10" s="18"/>
      <c r="D10" s="252"/>
      <c r="E10" s="226"/>
      <c r="F10" s="226"/>
      <c r="G10" s="92"/>
      <c r="H10" s="92"/>
      <c r="I10" s="92"/>
      <c r="J10" s="92"/>
      <c r="K10" s="226"/>
      <c r="L10" s="226"/>
      <c r="M10" s="226"/>
      <c r="N10" s="226"/>
      <c r="O10" s="226"/>
      <c r="P10" s="226"/>
      <c r="Q10" s="226"/>
      <c r="R10" s="92"/>
      <c r="S10" s="92"/>
      <c r="T10" s="92"/>
      <c r="U10" s="92"/>
      <c r="V10" s="92"/>
      <c r="W10" s="92"/>
      <c r="X10" s="92"/>
      <c r="Y10" s="226"/>
      <c r="Z10" s="226"/>
      <c r="AA10" s="226"/>
      <c r="AB10" s="92"/>
      <c r="AC10" s="226"/>
      <c r="AD10" s="226"/>
      <c r="AE10" s="226"/>
      <c r="AF10" s="226"/>
      <c r="AG10" s="226"/>
      <c r="AH10" s="2"/>
    </row>
    <row r="11" spans="1:34" ht="50.1" customHeight="1">
      <c r="A11" s="18"/>
      <c r="D11" s="252"/>
      <c r="E11" s="226"/>
      <c r="F11" s="226"/>
      <c r="G11" s="92"/>
      <c r="H11" s="92"/>
      <c r="I11" s="92"/>
      <c r="J11" s="92"/>
      <c r="K11" s="226"/>
      <c r="L11" s="226"/>
      <c r="M11" s="226"/>
      <c r="N11" s="226"/>
      <c r="O11" s="226"/>
      <c r="P11" s="226"/>
      <c r="Q11" s="226"/>
      <c r="R11" s="92"/>
      <c r="S11" s="92"/>
      <c r="T11" s="92"/>
      <c r="U11" s="92"/>
      <c r="V11" s="92"/>
      <c r="W11" s="92"/>
      <c r="X11" s="92"/>
      <c r="Y11" s="226"/>
      <c r="Z11" s="226"/>
      <c r="AA11" s="226"/>
      <c r="AB11" s="92"/>
      <c r="AC11" s="226"/>
      <c r="AD11" s="226"/>
      <c r="AE11" s="226"/>
      <c r="AF11" s="226"/>
      <c r="AG11" s="226"/>
      <c r="AH11" s="2"/>
    </row>
    <row r="12" spans="1:34" ht="50.1" customHeight="1" thickBot="1">
      <c r="A12" s="18"/>
      <c r="D12" s="252"/>
      <c r="E12" s="227"/>
      <c r="F12" s="227"/>
      <c r="G12" s="93"/>
      <c r="H12" s="93"/>
      <c r="I12" s="93"/>
      <c r="J12" s="93"/>
      <c r="K12" s="227"/>
      <c r="L12" s="227"/>
      <c r="M12" s="227"/>
      <c r="N12" s="227"/>
      <c r="O12" s="227"/>
      <c r="P12" s="227"/>
      <c r="Q12" s="227"/>
      <c r="R12" s="93"/>
      <c r="S12" s="93"/>
      <c r="T12" s="93"/>
      <c r="U12" s="93"/>
      <c r="V12" s="93"/>
      <c r="W12" s="93"/>
      <c r="X12" s="93"/>
      <c r="Y12" s="227"/>
      <c r="Z12" s="227"/>
      <c r="AA12" s="227"/>
      <c r="AB12" s="93"/>
      <c r="AC12" s="227"/>
      <c r="AD12" s="227"/>
      <c r="AE12" s="227"/>
      <c r="AF12" s="227"/>
      <c r="AG12" s="227"/>
      <c r="AH12" s="19"/>
    </row>
    <row r="13" spans="1:34" ht="21" customHeight="1">
      <c r="A13" s="89">
        <v>1</v>
      </c>
      <c r="B13" s="253" t="s">
        <v>12</v>
      </c>
      <c r="C13" s="248" t="s">
        <v>33</v>
      </c>
      <c r="D13" s="85" t="s">
        <v>19</v>
      </c>
      <c r="E13" s="189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86">
        <f t="shared" ref="AH13:AH27" si="2">SUM(E13:AG13)</f>
        <v>0</v>
      </c>
    </row>
    <row r="14" spans="1:34" ht="21" customHeight="1">
      <c r="A14" s="90">
        <v>2</v>
      </c>
      <c r="B14" s="254"/>
      <c r="C14" s="249"/>
      <c r="D14" s="87" t="s">
        <v>20</v>
      </c>
      <c r="E14" s="191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88">
        <f t="shared" si="2"/>
        <v>0</v>
      </c>
    </row>
    <row r="15" spans="1:34" ht="25.5" customHeight="1">
      <c r="A15" s="90">
        <v>3</v>
      </c>
      <c r="B15" s="254"/>
      <c r="C15" s="249"/>
      <c r="D15" s="87" t="s">
        <v>27</v>
      </c>
      <c r="E15" s="191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88">
        <f t="shared" si="2"/>
        <v>0</v>
      </c>
    </row>
    <row r="16" spans="1:34" ht="21" customHeight="1">
      <c r="A16" s="90">
        <v>4</v>
      </c>
      <c r="B16" s="254"/>
      <c r="C16" s="249"/>
      <c r="D16" s="87" t="s">
        <v>32</v>
      </c>
      <c r="E16" s="191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88">
        <f t="shared" si="2"/>
        <v>0</v>
      </c>
    </row>
    <row r="17" spans="1:34" ht="21" customHeight="1">
      <c r="A17" s="90">
        <v>5</v>
      </c>
      <c r="B17" s="255"/>
      <c r="C17" s="250"/>
      <c r="D17" s="87" t="s">
        <v>59</v>
      </c>
      <c r="E17" s="191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88">
        <f t="shared" si="2"/>
        <v>0</v>
      </c>
    </row>
    <row r="18" spans="1:34" ht="21" customHeight="1">
      <c r="A18" s="81">
        <v>6</v>
      </c>
      <c r="B18" s="238" t="s">
        <v>50</v>
      </c>
      <c r="C18" s="240" t="s">
        <v>51</v>
      </c>
      <c r="D18" s="82" t="s">
        <v>26</v>
      </c>
      <c r="E18" s="193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31">
        <f t="shared" si="2"/>
        <v>0</v>
      </c>
    </row>
    <row r="19" spans="1:34" ht="21" customHeight="1">
      <c r="A19" s="21">
        <v>7</v>
      </c>
      <c r="B19" s="238"/>
      <c r="C19" s="240"/>
      <c r="D19" s="80" t="s">
        <v>22</v>
      </c>
      <c r="E19" s="195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25">
        <f t="shared" si="2"/>
        <v>0</v>
      </c>
    </row>
    <row r="20" spans="1:34" ht="21" customHeight="1">
      <c r="A20" s="21">
        <v>8</v>
      </c>
      <c r="B20" s="238"/>
      <c r="C20" s="240"/>
      <c r="D20" s="80" t="s">
        <v>23</v>
      </c>
      <c r="E20" s="195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  <c r="AD20" s="196"/>
      <c r="AE20" s="196"/>
      <c r="AF20" s="196"/>
      <c r="AG20" s="196"/>
      <c r="AH20" s="25">
        <f t="shared" si="2"/>
        <v>0</v>
      </c>
    </row>
    <row r="21" spans="1:34" ht="21" customHeight="1">
      <c r="A21" s="21">
        <v>9</v>
      </c>
      <c r="B21" s="238"/>
      <c r="C21" s="240"/>
      <c r="D21" s="80" t="s">
        <v>24</v>
      </c>
      <c r="E21" s="195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25">
        <f t="shared" si="2"/>
        <v>0</v>
      </c>
    </row>
    <row r="22" spans="1:34" ht="21" customHeight="1">
      <c r="A22" s="21">
        <v>10</v>
      </c>
      <c r="B22" s="238"/>
      <c r="C22" s="240"/>
      <c r="D22" s="80" t="s">
        <v>25</v>
      </c>
      <c r="E22" s="195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  <c r="AD22" s="196"/>
      <c r="AE22" s="196"/>
      <c r="AF22" s="196"/>
      <c r="AG22" s="196"/>
      <c r="AH22" s="25">
        <f t="shared" si="2"/>
        <v>0</v>
      </c>
    </row>
    <row r="23" spans="1:34" ht="21" customHeight="1">
      <c r="A23" s="21">
        <v>11</v>
      </c>
      <c r="B23" s="238"/>
      <c r="C23" s="240"/>
      <c r="D23" s="80" t="s">
        <v>30</v>
      </c>
      <c r="E23" s="195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25">
        <f t="shared" si="2"/>
        <v>0</v>
      </c>
    </row>
    <row r="24" spans="1:34" ht="21" customHeight="1">
      <c r="A24" s="21">
        <v>12</v>
      </c>
      <c r="B24" s="238"/>
      <c r="C24" s="240"/>
      <c r="D24" s="80" t="s">
        <v>31</v>
      </c>
      <c r="E24" s="195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25">
        <f t="shared" si="2"/>
        <v>0</v>
      </c>
    </row>
    <row r="25" spans="1:34" ht="21" customHeight="1">
      <c r="A25" s="21">
        <v>13</v>
      </c>
      <c r="B25" s="238"/>
      <c r="C25" s="240"/>
      <c r="D25" s="80" t="s">
        <v>49</v>
      </c>
      <c r="E25" s="195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196"/>
      <c r="AG25" s="196"/>
      <c r="AH25" s="25">
        <f t="shared" si="2"/>
        <v>0</v>
      </c>
    </row>
    <row r="26" spans="1:34" ht="21" customHeight="1" thickBot="1">
      <c r="A26" s="22">
        <v>14</v>
      </c>
      <c r="B26" s="239"/>
      <c r="C26" s="241"/>
      <c r="D26" s="83" t="s">
        <v>28</v>
      </c>
      <c r="E26" s="197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9"/>
      <c r="S26" s="199"/>
      <c r="T26" s="199"/>
      <c r="U26" s="199"/>
      <c r="V26" s="199"/>
      <c r="W26" s="199"/>
      <c r="X26" s="199"/>
      <c r="Y26" s="198"/>
      <c r="Z26" s="198"/>
      <c r="AA26" s="198"/>
      <c r="AB26" s="198"/>
      <c r="AC26" s="198"/>
      <c r="AD26" s="198"/>
      <c r="AE26" s="198"/>
      <c r="AF26" s="198"/>
      <c r="AG26" s="198"/>
      <c r="AH26" s="13">
        <f t="shared" si="2"/>
        <v>0</v>
      </c>
    </row>
    <row r="27" spans="1:34" ht="29.25" customHeight="1">
      <c r="A27" s="234" t="s">
        <v>55</v>
      </c>
      <c r="B27" s="229"/>
      <c r="C27" s="229"/>
      <c r="D27" s="230"/>
      <c r="E27" s="97">
        <f>SUM(E13:E26)</f>
        <v>0</v>
      </c>
      <c r="F27" s="97">
        <f t="shared" ref="F27:AG27" si="3">SUM(F13:F26)</f>
        <v>0</v>
      </c>
      <c r="G27" s="97">
        <f t="shared" si="3"/>
        <v>0</v>
      </c>
      <c r="H27" s="97">
        <f t="shared" si="3"/>
        <v>0</v>
      </c>
      <c r="I27" s="97">
        <f t="shared" si="3"/>
        <v>0</v>
      </c>
      <c r="J27" s="97">
        <f t="shared" si="3"/>
        <v>0</v>
      </c>
      <c r="K27" s="97">
        <f t="shared" si="3"/>
        <v>0</v>
      </c>
      <c r="L27" s="97">
        <f t="shared" si="3"/>
        <v>0</v>
      </c>
      <c r="M27" s="97">
        <f t="shared" si="3"/>
        <v>0</v>
      </c>
      <c r="N27" s="97">
        <f t="shared" si="3"/>
        <v>0</v>
      </c>
      <c r="O27" s="97">
        <f t="shared" si="3"/>
        <v>0</v>
      </c>
      <c r="P27" s="97">
        <f t="shared" si="3"/>
        <v>0</v>
      </c>
      <c r="Q27" s="97">
        <f t="shared" si="3"/>
        <v>0</v>
      </c>
      <c r="R27" s="97">
        <f t="shared" si="3"/>
        <v>0</v>
      </c>
      <c r="S27" s="97">
        <f>SUM(S13:S26)</f>
        <v>0</v>
      </c>
      <c r="T27" s="97">
        <f t="shared" si="3"/>
        <v>0</v>
      </c>
      <c r="U27" s="97">
        <f t="shared" si="3"/>
        <v>0</v>
      </c>
      <c r="V27" s="97">
        <f t="shared" si="3"/>
        <v>0</v>
      </c>
      <c r="W27" s="97">
        <f t="shared" si="3"/>
        <v>0</v>
      </c>
      <c r="X27" s="97">
        <f t="shared" si="3"/>
        <v>0</v>
      </c>
      <c r="Y27" s="97">
        <f t="shared" si="3"/>
        <v>0</v>
      </c>
      <c r="Z27" s="97">
        <f t="shared" si="3"/>
        <v>0</v>
      </c>
      <c r="AA27" s="97">
        <f t="shared" si="3"/>
        <v>0</v>
      </c>
      <c r="AB27" s="97">
        <f t="shared" si="3"/>
        <v>0</v>
      </c>
      <c r="AC27" s="97">
        <f t="shared" si="3"/>
        <v>0</v>
      </c>
      <c r="AD27" s="97">
        <f t="shared" si="3"/>
        <v>0</v>
      </c>
      <c r="AE27" s="97">
        <f t="shared" si="3"/>
        <v>0</v>
      </c>
      <c r="AF27" s="97">
        <f t="shared" si="3"/>
        <v>0</v>
      </c>
      <c r="AG27" s="97">
        <f t="shared" si="3"/>
        <v>0</v>
      </c>
      <c r="AH27" s="33">
        <f t="shared" si="2"/>
        <v>0</v>
      </c>
    </row>
    <row r="28" spans="1:34" ht="21" customHeight="1" thickBot="1">
      <c r="A28" s="235" t="s">
        <v>11</v>
      </c>
      <c r="B28" s="236"/>
      <c r="C28" s="236"/>
      <c r="D28" s="237"/>
      <c r="E28" s="94" t="str">
        <f t="shared" ref="E28:AH28" si="4">IF(E4&gt;0,E27/E4*1000000," ")</f>
        <v xml:space="preserve"> </v>
      </c>
      <c r="F28" s="94" t="str">
        <f t="shared" si="4"/>
        <v xml:space="preserve"> </v>
      </c>
      <c r="G28" s="94" t="str">
        <f t="shared" si="4"/>
        <v xml:space="preserve"> </v>
      </c>
      <c r="H28" s="94" t="str">
        <f t="shared" si="4"/>
        <v xml:space="preserve"> </v>
      </c>
      <c r="I28" s="95" t="str">
        <f t="shared" si="4"/>
        <v xml:space="preserve"> </v>
      </c>
      <c r="J28" s="95" t="str">
        <f t="shared" si="4"/>
        <v xml:space="preserve"> </v>
      </c>
      <c r="K28" s="95" t="str">
        <f t="shared" si="4"/>
        <v xml:space="preserve"> </v>
      </c>
      <c r="L28" s="95" t="str">
        <f t="shared" si="4"/>
        <v xml:space="preserve"> </v>
      </c>
      <c r="M28" s="95" t="str">
        <f t="shared" si="4"/>
        <v xml:space="preserve"> </v>
      </c>
      <c r="N28" s="95" t="str">
        <f t="shared" si="4"/>
        <v xml:space="preserve"> </v>
      </c>
      <c r="O28" s="95" t="str">
        <f t="shared" si="4"/>
        <v xml:space="preserve"> </v>
      </c>
      <c r="P28" s="95" t="str">
        <f t="shared" si="4"/>
        <v xml:space="preserve"> </v>
      </c>
      <c r="Q28" s="95" t="str">
        <f t="shared" si="4"/>
        <v xml:space="preserve"> </v>
      </c>
      <c r="R28" s="95" t="str">
        <f t="shared" si="4"/>
        <v xml:space="preserve"> </v>
      </c>
      <c r="S28" s="95" t="str">
        <f t="shared" si="4"/>
        <v xml:space="preserve"> </v>
      </c>
      <c r="T28" s="95" t="str">
        <f t="shared" si="4"/>
        <v xml:space="preserve"> </v>
      </c>
      <c r="U28" s="95" t="str">
        <f t="shared" si="4"/>
        <v xml:space="preserve"> </v>
      </c>
      <c r="V28" s="95" t="str">
        <f t="shared" si="4"/>
        <v xml:space="preserve"> </v>
      </c>
      <c r="W28" s="95" t="str">
        <f t="shared" si="4"/>
        <v xml:space="preserve"> </v>
      </c>
      <c r="X28" s="95" t="str">
        <f t="shared" si="4"/>
        <v xml:space="preserve"> </v>
      </c>
      <c r="Y28" s="95" t="str">
        <f t="shared" si="4"/>
        <v xml:space="preserve"> </v>
      </c>
      <c r="Z28" s="95" t="str">
        <f t="shared" si="4"/>
        <v xml:space="preserve"> </v>
      </c>
      <c r="AA28" s="95" t="str">
        <f t="shared" si="4"/>
        <v xml:space="preserve"> </v>
      </c>
      <c r="AB28" s="95" t="str">
        <f t="shared" si="4"/>
        <v xml:space="preserve"> </v>
      </c>
      <c r="AC28" s="95" t="str">
        <f t="shared" si="4"/>
        <v xml:space="preserve"> </v>
      </c>
      <c r="AD28" s="95" t="str">
        <f t="shared" si="4"/>
        <v xml:space="preserve"> </v>
      </c>
      <c r="AE28" s="95" t="str">
        <f t="shared" si="4"/>
        <v xml:space="preserve"> </v>
      </c>
      <c r="AF28" s="95" t="str">
        <f t="shared" si="4"/>
        <v xml:space="preserve"> </v>
      </c>
      <c r="AG28" s="95" t="str">
        <f t="shared" si="4"/>
        <v xml:space="preserve"> </v>
      </c>
      <c r="AH28" s="96" t="str">
        <f t="shared" si="4"/>
        <v xml:space="preserve"> </v>
      </c>
    </row>
    <row r="29" spans="1:34" ht="21" customHeight="1">
      <c r="A29" s="228" t="s">
        <v>56</v>
      </c>
      <c r="B29" s="229"/>
      <c r="C29" s="229"/>
      <c r="D29" s="230"/>
      <c r="E29" s="200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2"/>
    </row>
    <row r="30" spans="1:34" ht="21" customHeight="1" thickBot="1">
      <c r="A30" s="231" t="s">
        <v>57</v>
      </c>
      <c r="B30" s="232"/>
      <c r="C30" s="232"/>
      <c r="D30" s="233"/>
      <c r="E30" s="203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5"/>
    </row>
    <row r="31" spans="1:34" ht="21" customHeight="1">
      <c r="A31" s="23" t="s">
        <v>7</v>
      </c>
      <c r="B31" s="24"/>
      <c r="C31" s="24"/>
      <c r="D31" s="24"/>
      <c r="E31" s="206"/>
      <c r="F31" s="206"/>
      <c r="G31" s="206"/>
      <c r="H31" s="206"/>
      <c r="I31" s="206"/>
      <c r="J31" s="206"/>
      <c r="K31" s="206"/>
      <c r="L31" s="206"/>
      <c r="M31" s="207"/>
      <c r="N31" s="207"/>
      <c r="O31" s="208"/>
      <c r="P31" s="29" t="s">
        <v>9</v>
      </c>
      <c r="Q31" s="24"/>
      <c r="R31" s="206"/>
      <c r="S31" s="206"/>
      <c r="T31" s="206"/>
      <c r="U31" s="206"/>
      <c r="V31" s="206"/>
      <c r="W31" s="206"/>
      <c r="X31" s="206"/>
      <c r="Y31" s="206"/>
      <c r="Z31" s="212"/>
      <c r="AA31" s="29" t="s">
        <v>10</v>
      </c>
      <c r="AB31" s="30"/>
      <c r="AC31" s="24"/>
      <c r="AD31" s="24"/>
      <c r="AE31" s="206"/>
      <c r="AF31" s="206"/>
      <c r="AG31" s="214"/>
      <c r="AH31" s="215"/>
    </row>
    <row r="32" spans="1:34" s="6" customFormat="1" ht="21" customHeight="1" thickBot="1">
      <c r="A32" s="4" t="s">
        <v>8</v>
      </c>
      <c r="B32" s="5"/>
      <c r="C32" s="5"/>
      <c r="D32" s="5"/>
      <c r="E32" s="209"/>
      <c r="F32" s="209"/>
      <c r="G32" s="209"/>
      <c r="H32" s="209"/>
      <c r="I32" s="209"/>
      <c r="J32" s="209"/>
      <c r="K32" s="209"/>
      <c r="L32" s="209"/>
      <c r="M32" s="210"/>
      <c r="N32" s="210"/>
      <c r="O32" s="211"/>
      <c r="P32" s="4" t="s">
        <v>8</v>
      </c>
      <c r="Q32" s="5"/>
      <c r="R32" s="209"/>
      <c r="S32" s="209"/>
      <c r="T32" s="209"/>
      <c r="U32" s="209"/>
      <c r="V32" s="209"/>
      <c r="W32" s="209"/>
      <c r="X32" s="209"/>
      <c r="Y32" s="209"/>
      <c r="Z32" s="213"/>
      <c r="AA32" s="4" t="s">
        <v>8</v>
      </c>
      <c r="AB32" s="5"/>
      <c r="AC32" s="5"/>
      <c r="AD32" s="5"/>
      <c r="AE32" s="216"/>
      <c r="AF32" s="217"/>
      <c r="AG32" s="216"/>
      <c r="AH32" s="213"/>
    </row>
    <row r="33" spans="4:33">
      <c r="D33" t="s">
        <v>4</v>
      </c>
      <c r="E33" s="7">
        <f>'SJCPIL-R 15-082-05 Dia'!E33</f>
        <v>140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</row>
    <row r="35" spans="4:33">
      <c r="D35" s="3" t="s">
        <v>5</v>
      </c>
      <c r="E35" s="9"/>
      <c r="F35" s="9">
        <f>F2</f>
        <v>0</v>
      </c>
      <c r="G35" s="9">
        <f t="shared" ref="G35:AG35" si="5">G2</f>
        <v>0</v>
      </c>
      <c r="H35" s="9">
        <f t="shared" si="5"/>
        <v>0</v>
      </c>
      <c r="I35" s="9">
        <f t="shared" si="5"/>
        <v>0</v>
      </c>
      <c r="J35" s="9">
        <f t="shared" si="5"/>
        <v>0</v>
      </c>
      <c r="K35" s="9">
        <f t="shared" si="5"/>
        <v>0</v>
      </c>
      <c r="L35" s="9">
        <f t="shared" si="5"/>
        <v>0</v>
      </c>
      <c r="M35" s="9">
        <f t="shared" si="5"/>
        <v>0</v>
      </c>
      <c r="N35" s="9">
        <f t="shared" si="5"/>
        <v>0</v>
      </c>
      <c r="O35" s="9">
        <f t="shared" si="5"/>
        <v>0</v>
      </c>
      <c r="P35" s="9">
        <f t="shared" si="5"/>
        <v>0</v>
      </c>
      <c r="Q35" s="9">
        <f t="shared" si="5"/>
        <v>0</v>
      </c>
      <c r="R35" s="9">
        <f t="shared" si="5"/>
        <v>0</v>
      </c>
      <c r="S35" s="9">
        <f t="shared" si="5"/>
        <v>0</v>
      </c>
      <c r="T35" s="9">
        <f t="shared" si="5"/>
        <v>0</v>
      </c>
      <c r="U35" s="9">
        <f t="shared" si="5"/>
        <v>0</v>
      </c>
      <c r="V35" s="9">
        <f t="shared" si="5"/>
        <v>0</v>
      </c>
      <c r="W35" s="9">
        <f t="shared" si="5"/>
        <v>0</v>
      </c>
      <c r="X35" s="9">
        <f t="shared" si="5"/>
        <v>0</v>
      </c>
      <c r="Y35" s="9">
        <f t="shared" si="5"/>
        <v>0</v>
      </c>
      <c r="Z35" s="9">
        <f t="shared" si="5"/>
        <v>0</v>
      </c>
      <c r="AA35" s="9">
        <f t="shared" si="5"/>
        <v>0</v>
      </c>
      <c r="AB35" s="9">
        <f t="shared" si="5"/>
        <v>0</v>
      </c>
      <c r="AC35" s="9">
        <f t="shared" si="5"/>
        <v>0</v>
      </c>
      <c r="AD35" s="9">
        <f t="shared" si="5"/>
        <v>0</v>
      </c>
      <c r="AE35" s="9">
        <f t="shared" si="5"/>
        <v>0</v>
      </c>
      <c r="AF35" s="9">
        <f t="shared" si="5"/>
        <v>0</v>
      </c>
      <c r="AG35" s="9">
        <f t="shared" si="5"/>
        <v>0</v>
      </c>
    </row>
    <row r="36" spans="4:33" ht="170.1" customHeight="1">
      <c r="D36" s="98" t="s">
        <v>58</v>
      </c>
      <c r="E36" s="218"/>
      <c r="F36" s="218"/>
      <c r="G36" s="218"/>
      <c r="H36" s="218"/>
      <c r="I36" s="218"/>
      <c r="J36" s="218"/>
      <c r="K36" s="218"/>
      <c r="L36" s="218"/>
      <c r="M36" s="218"/>
      <c r="N36" s="219"/>
      <c r="O36" s="219"/>
      <c r="P36" s="219"/>
      <c r="Q36" s="218"/>
      <c r="R36" s="218"/>
      <c r="S36" s="218"/>
      <c r="T36" s="218"/>
      <c r="U36" s="218"/>
      <c r="V36" s="218"/>
      <c r="W36" s="218"/>
      <c r="X36" s="218"/>
      <c r="Y36" s="219"/>
      <c r="Z36" s="219"/>
      <c r="AA36" s="220"/>
      <c r="AB36" s="220"/>
      <c r="AC36" s="219"/>
      <c r="AD36" s="220"/>
      <c r="AE36" s="220"/>
      <c r="AF36" s="220"/>
      <c r="AG36" s="220"/>
    </row>
  </sheetData>
  <sheetProtection algorithmName="SHA-512" hashValue="OOHyTWHGZgVFJpAhEW4mcTdVrzA5lyre62ZuxCHd9Sf2IWgHwQc8q1lSBvfQLxUjedgDO5VOqqA2K2XDG9IHNg==" saltValue="uEcziYyV/clEEvxVTPN+zg==" spinCount="100000" sheet="1" objects="1" scenarios="1" selectLockedCells="1"/>
  <mergeCells count="31">
    <mergeCell ref="AE1:AF1"/>
    <mergeCell ref="AG1:AH1"/>
    <mergeCell ref="A2:D2"/>
    <mergeCell ref="A3:D3"/>
    <mergeCell ref="A4:D4"/>
    <mergeCell ref="N5:N12"/>
    <mergeCell ref="D6:D12"/>
    <mergeCell ref="O5:O12"/>
    <mergeCell ref="P5:P12"/>
    <mergeCell ref="Q5:Q12"/>
    <mergeCell ref="E5:E12"/>
    <mergeCell ref="F5:F12"/>
    <mergeCell ref="K5:K12"/>
    <mergeCell ref="L5:L12"/>
    <mergeCell ref="M5:M12"/>
    <mergeCell ref="AG5:AG12"/>
    <mergeCell ref="Y5:Y12"/>
    <mergeCell ref="A29:D29"/>
    <mergeCell ref="A30:D30"/>
    <mergeCell ref="B13:B17"/>
    <mergeCell ref="C13:C17"/>
    <mergeCell ref="B18:B26"/>
    <mergeCell ref="C18:C26"/>
    <mergeCell ref="A27:D27"/>
    <mergeCell ref="A28:D28"/>
    <mergeCell ref="AC5:AC12"/>
    <mergeCell ref="AD5:AD12"/>
    <mergeCell ref="AE5:AE12"/>
    <mergeCell ref="AF5:AF12"/>
    <mergeCell ref="Z5:Z12"/>
    <mergeCell ref="AA5:AA12"/>
  </mergeCells>
  <conditionalFormatting sqref="AH27">
    <cfRule type="cellIs" dxfId="3" priority="1" stopIfTrue="1" operator="notEqual">
      <formula>SUM($E$18:$AG$26)</formula>
    </cfRule>
  </conditionalFormatting>
  <printOptions horizontalCentered="1" gridLines="1" gridLinesSet="0"/>
  <pageMargins left="0.47244094488188981" right="0.31496062992125984" top="0.78740157480314965" bottom="0.59055118110236227" header="0.27559055118110237" footer="0.27559055118110237"/>
  <pageSetup paperSize="9" scale="55" orientation="landscape" r:id="rId1"/>
  <headerFooter alignWithMargins="0">
    <oddFooter xml:space="preserve">&amp;L &amp;R&amp;A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'Resumo para Custo'!$C$2:$E$2</xm:f>
          </x14:formula1>
          <xm:sqref>E3:AF3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N24"/>
  <sheetViews>
    <sheetView zoomScaleNormal="100" workbookViewId="0">
      <selection activeCell="C3" sqref="C3"/>
    </sheetView>
  </sheetViews>
  <sheetFormatPr defaultRowHeight="12.75"/>
  <cols>
    <col min="1" max="1" width="6.28515625" bestFit="1" customWidth="1"/>
    <col min="2" max="2" width="23" bestFit="1" customWidth="1"/>
    <col min="3" max="3" width="11.7109375" bestFit="1" customWidth="1"/>
    <col min="4" max="6" width="10.140625" bestFit="1" customWidth="1"/>
    <col min="7" max="7" width="9.7109375" bestFit="1" customWidth="1"/>
    <col min="8" max="8" width="9.28515625" bestFit="1" customWidth="1"/>
    <col min="9" max="9" width="10.140625" bestFit="1" customWidth="1"/>
    <col min="10" max="12" width="9.28515625" bestFit="1" customWidth="1"/>
    <col min="13" max="13" width="11.7109375" bestFit="1" customWidth="1"/>
    <col min="14" max="14" width="9.28515625" bestFit="1" customWidth="1"/>
  </cols>
  <sheetData>
    <row r="1" spans="1:14" ht="13.5" thickBot="1">
      <c r="A1" s="34" t="s">
        <v>35</v>
      </c>
      <c r="B1" s="35" t="s">
        <v>36</v>
      </c>
      <c r="C1" s="35" t="s">
        <v>34</v>
      </c>
      <c r="D1" s="35" t="s">
        <v>47</v>
      </c>
      <c r="E1" s="35"/>
      <c r="F1" s="35"/>
      <c r="G1" s="35"/>
      <c r="H1" s="35"/>
      <c r="I1" s="35"/>
      <c r="J1" s="35"/>
      <c r="K1" s="35"/>
      <c r="L1" s="36"/>
      <c r="M1" s="37" t="s">
        <v>37</v>
      </c>
      <c r="N1" s="38" t="s">
        <v>11</v>
      </c>
    </row>
    <row r="2" spans="1:14" ht="13.5" thickBot="1">
      <c r="A2" s="260" t="s">
        <v>0</v>
      </c>
      <c r="B2" s="67" t="s">
        <v>38</v>
      </c>
      <c r="C2" s="61">
        <f t="array" ref="C2">SUM(IF('SJCPIL-R 15-082-05 Dia'!$E$3:$AG$3='Resumo de Falhas'!C1,'SJCPIL-R 15-082-05 Dia'!$E$4:$AG$4))</f>
        <v>0</v>
      </c>
      <c r="D2" s="59">
        <f t="array" ref="D2">SUM(IF('SJCPIL-R 15-082-05 Dia'!$E$3:$AG$3='Resumo de Falhas'!D1,'SJCPIL-R 15-082-05 Dia'!$E$4:$AG$4))</f>
        <v>0</v>
      </c>
      <c r="E2" s="59">
        <f t="array" ref="E2">SUM(IF('SJCPIL-R 15-082-05 Dia'!$E$3:$AG$3='Resumo de Falhas'!E1,'SJCPIL-R 15-082-05 Dia'!$E$4:$AG$4))</f>
        <v>0</v>
      </c>
      <c r="F2" s="59">
        <f t="array" ref="F2">SUM(IF('SJCPIL-R 15-082-05 Dia'!$E$3:$AG$3='Resumo de Falhas'!F1,'SJCPIL-R 15-082-05 Dia'!$E$4:$AG$4))</f>
        <v>0</v>
      </c>
      <c r="G2" s="59">
        <f t="array" ref="G2">SUM(IF('SJCPIL-R 15-082-05 Dia'!$E$3:$AG$3='Resumo de Falhas'!G1,'SJCPIL-R 15-082-05 Dia'!$E$4:$AG$4))</f>
        <v>0</v>
      </c>
      <c r="H2" s="59">
        <f t="array" ref="H2">SUM(IF('SJCPIL-R 15-082-05 Dia'!$E$3:$AG$3='Resumo de Falhas'!H1,'SJCPIL-R 15-082-05 Dia'!$E$4:$AG$4))</f>
        <v>0</v>
      </c>
      <c r="I2" s="59">
        <f t="array" ref="I2">SUM(IF('SJCPIL-R 15-082-05 Dia'!$E$3:$AG$3='Resumo de Falhas'!I1,'SJCPIL-R 15-082-05 Dia'!$E$4:$AG$4))</f>
        <v>0</v>
      </c>
      <c r="J2" s="68">
        <f t="array" ref="J2">SUM(IF('SJCPIL-R 15-082-05 Dia'!$E$3:$AG$3='Resumo de Falhas'!J1,'SJCPIL-R 15-082-05 Dia'!$E$4:$AG$4))</f>
        <v>0</v>
      </c>
      <c r="K2" s="59">
        <f t="array" ref="K2">SUM(IF('SJCPIL-R 15-082-05 Dia'!$E$3:$AG$3='Resumo de Falhas'!K1,'SJCPIL-R 15-082-05 Dia'!$E$4:$AG$4))</f>
        <v>0</v>
      </c>
      <c r="L2" s="27">
        <f t="array" ref="L2">SUM(IF('SJCPIL-R 15-082-05 Dia'!$E$3:$AG$3='Resumo de Falhas'!L1,'SJCPIL-R 15-082-05 Dia'!$E$4:$AG$4))</f>
        <v>0</v>
      </c>
      <c r="M2" s="41">
        <f>SUM(C2:L2)</f>
        <v>0</v>
      </c>
      <c r="N2" s="42"/>
    </row>
    <row r="3" spans="1:14">
      <c r="A3" s="261"/>
      <c r="B3" s="64" t="s">
        <v>19</v>
      </c>
      <c r="C3" s="66">
        <f t="array" ref="C3">SUM(IF('SJCPIL-R 15-082-05 Dia'!$E$3:$AG$3='Resumo de Falhas'!C$1,'SJCPIL-R 15-082-05 Dia'!$E13:$AG13))</f>
        <v>0</v>
      </c>
      <c r="D3" s="66">
        <f t="array" ref="D3">SUM(IF('SJCPIL-R 15-082-05 Dia'!$E$3:$AG$3='Resumo de Falhas'!D$1,'SJCPIL-R 15-082-05 Dia'!$E13:$AG13))</f>
        <v>0</v>
      </c>
      <c r="E3" s="66">
        <f t="array" ref="E3">SUM(IF('SJCPIL-R 15-082-05 Dia'!$E$3:$AG$3='Resumo de Falhas'!E$1,'SJCPIL-R 15-082-05 Dia'!$E13:$AG13))</f>
        <v>0</v>
      </c>
      <c r="F3" s="66">
        <f t="array" ref="F3">SUM(IF('SJCPIL-R 15-082-05 Dia'!$E$3:$AG$3='Resumo de Falhas'!F$1,'SJCPIL-R 15-082-05 Dia'!$E13:$AG13))</f>
        <v>0</v>
      </c>
      <c r="G3" s="66">
        <f t="array" ref="G3">SUM(IF('SJCPIL-R 15-082-05 Dia'!$E$3:$AG$3='Resumo de Falhas'!G$1,'SJCPIL-R 15-082-05 Dia'!$E13:$AG13))</f>
        <v>0</v>
      </c>
      <c r="H3" s="66">
        <f t="array" ref="H3">SUM(IF('SJCPIL-R 15-082-05 Dia'!$E$3:$AG$3='Resumo de Falhas'!H$1,'SJCPIL-R 15-082-05 Dia'!$E13:$AG13))</f>
        <v>0</v>
      </c>
      <c r="I3" s="66">
        <f t="array" ref="I3">SUM(IF('SJCPIL-R 15-082-05 Dia'!$E$3:$AG$3='Resumo de Falhas'!I$1,'SJCPIL-R 15-082-05 Dia'!$E13:$AG13))</f>
        <v>0</v>
      </c>
      <c r="J3" s="66">
        <f t="array" ref="J3">SUM(IF('SJCPIL-R 15-082-05 Dia'!$E$3:$AG$3='Resumo de Falhas'!J$1,'SJCPIL-R 15-082-05 Dia'!$E13:$AG13))</f>
        <v>0</v>
      </c>
      <c r="K3" s="66">
        <f t="array" ref="K3">SUM(IF('SJCPIL-R 15-082-05 Dia'!$E$3:$AG$3='Resumo de Falhas'!K$1,'SJCPIL-R 15-082-05 Dia'!$E13:$AG13))</f>
        <v>0</v>
      </c>
      <c r="L3" s="73">
        <f t="array" ref="L3">SUM(IF('SJCPIL-R 15-082-05 Dia'!$E$3:$AG$3='Resumo de Falhas'!L$1,'SJCPIL-R 15-082-05 Dia'!$E13:$AG13))</f>
        <v>0</v>
      </c>
      <c r="M3" s="43">
        <f t="shared" ref="M3:M17" si="0">SUM(C3:L3)</f>
        <v>0</v>
      </c>
      <c r="N3" s="44" t="e">
        <f t="shared" ref="N3:N17" si="1">M3/M$2*1000000</f>
        <v>#DIV/0!</v>
      </c>
    </row>
    <row r="4" spans="1:14">
      <c r="A4" s="261"/>
      <c r="B4" s="65" t="s">
        <v>20</v>
      </c>
      <c r="C4" s="63">
        <f t="array" ref="C4">SUM(IF('SJCPIL-R 15-082-05 Dia'!$E$3:$AG$3='Resumo de Falhas'!C$1,'SJCPIL-R 15-082-05 Dia'!$E14:$AG14))</f>
        <v>0</v>
      </c>
      <c r="D4" s="63">
        <f t="array" ref="D4">SUM(IF('SJCPIL-R 15-082-05 Dia'!$E$3:$AG$3='Resumo de Falhas'!D$1,'SJCPIL-R 15-082-05 Dia'!$E14:$AG14))</f>
        <v>0</v>
      </c>
      <c r="E4" s="63">
        <f t="array" ref="E4">SUM(IF('SJCPIL-R 15-082-05 Dia'!$E$3:$AG$3='Resumo de Falhas'!E$1,'SJCPIL-R 15-082-05 Dia'!$E14:$AG14))</f>
        <v>0</v>
      </c>
      <c r="F4" s="63">
        <f t="array" ref="F4">SUM(IF('SJCPIL-R 15-082-05 Dia'!$E$3:$AG$3='Resumo de Falhas'!F$1,'SJCPIL-R 15-082-05 Dia'!$E14:$AG14))</f>
        <v>0</v>
      </c>
      <c r="G4" s="63">
        <f t="array" ref="G4">SUM(IF('SJCPIL-R 15-082-05 Dia'!$E$3:$AG$3='Resumo de Falhas'!G$1,'SJCPIL-R 15-082-05 Dia'!$E14:$AG14))</f>
        <v>0</v>
      </c>
      <c r="H4" s="63">
        <f t="array" ref="H4">SUM(IF('SJCPIL-R 15-082-05 Dia'!$E$3:$AG$3='Resumo de Falhas'!H$1,'SJCPIL-R 15-082-05 Dia'!$E14:$AG14))</f>
        <v>0</v>
      </c>
      <c r="I4" s="63">
        <f t="array" ref="I4">SUM(IF('SJCPIL-R 15-082-05 Dia'!$E$3:$AG$3='Resumo de Falhas'!I$1,'SJCPIL-R 15-082-05 Dia'!$E14:$AG14))</f>
        <v>0</v>
      </c>
      <c r="J4" s="63">
        <f t="array" ref="J4">SUM(IF('SJCPIL-R 15-082-05 Dia'!$E$3:$AG$3='Resumo de Falhas'!J$1,'SJCPIL-R 15-082-05 Dia'!$E14:$AG14))</f>
        <v>0</v>
      </c>
      <c r="K4" s="63">
        <f t="array" ref="K4">SUM(IF('SJCPIL-R 15-082-05 Dia'!$E$3:$AG$3='Resumo de Falhas'!K$1,'SJCPIL-R 15-082-05 Dia'!$E14:$AG14))</f>
        <v>0</v>
      </c>
      <c r="L4" s="74">
        <f t="array" ref="L4">SUM(IF('SJCPIL-R 15-082-05 Dia'!$E$3:$AG$3='Resumo de Falhas'!L$1,'SJCPIL-R 15-082-05 Dia'!$E14:$AG14))</f>
        <v>0</v>
      </c>
      <c r="M4" s="45">
        <f t="shared" si="0"/>
        <v>0</v>
      </c>
      <c r="N4" s="46" t="e">
        <f t="shared" si="1"/>
        <v>#DIV/0!</v>
      </c>
    </row>
    <row r="5" spans="1:14">
      <c r="A5" s="261"/>
      <c r="B5" s="65" t="s">
        <v>27</v>
      </c>
      <c r="C5" s="63">
        <f t="array" ref="C5">SUM(IF('SJCPIL-R 15-082-05 Dia'!$E$3:$AG$3='Resumo de Falhas'!C$1,'SJCPIL-R 15-082-05 Dia'!$E15:$AG15))</f>
        <v>0</v>
      </c>
      <c r="D5" s="63">
        <f t="array" ref="D5">SUM(IF('SJCPIL-R 15-082-05 Dia'!$E$3:$AG$3='Resumo de Falhas'!D$1,'SJCPIL-R 15-082-05 Dia'!$E15:$AG15))</f>
        <v>0</v>
      </c>
      <c r="E5" s="63">
        <f t="array" ref="E5">SUM(IF('SJCPIL-R 15-082-05 Dia'!$E$3:$AG$3='Resumo de Falhas'!E$1,'SJCPIL-R 15-082-05 Dia'!$E15:$AG15))</f>
        <v>0</v>
      </c>
      <c r="F5" s="63">
        <f t="array" ref="F5">SUM(IF('SJCPIL-R 15-082-05 Dia'!$E$3:$AG$3='Resumo de Falhas'!F$1,'SJCPIL-R 15-082-05 Dia'!$E15:$AG15))</f>
        <v>0</v>
      </c>
      <c r="G5" s="63">
        <f t="array" ref="G5">SUM(IF('SJCPIL-R 15-082-05 Dia'!$E$3:$AG$3='Resumo de Falhas'!G$1,'SJCPIL-R 15-082-05 Dia'!$E15:$AG15))</f>
        <v>0</v>
      </c>
      <c r="H5" s="63">
        <f t="array" ref="H5">SUM(IF('SJCPIL-R 15-082-05 Dia'!$E$3:$AG$3='Resumo de Falhas'!H$1,'SJCPIL-R 15-082-05 Dia'!$E15:$AG15))</f>
        <v>0</v>
      </c>
      <c r="I5" s="63">
        <f t="array" ref="I5">SUM(IF('SJCPIL-R 15-082-05 Dia'!$E$3:$AG$3='Resumo de Falhas'!I$1,'SJCPIL-R 15-082-05 Dia'!$E15:$AG15))</f>
        <v>0</v>
      </c>
      <c r="J5" s="63">
        <f t="array" ref="J5">SUM(IF('SJCPIL-R 15-082-05 Dia'!$E$3:$AG$3='Resumo de Falhas'!J$1,'SJCPIL-R 15-082-05 Dia'!$E15:$AG15))</f>
        <v>0</v>
      </c>
      <c r="K5" s="63">
        <f t="array" ref="K5">SUM(IF('SJCPIL-R 15-082-05 Dia'!$E$3:$AG$3='Resumo de Falhas'!K$1,'SJCPIL-R 15-082-05 Dia'!$E15:$AG15))</f>
        <v>0</v>
      </c>
      <c r="L5" s="74">
        <f t="array" ref="L5">SUM(IF('SJCPIL-R 15-082-05 Dia'!$E$3:$AG$3='Resumo de Falhas'!L$1,'SJCPIL-R 15-082-05 Dia'!$E15:$AG15))</f>
        <v>0</v>
      </c>
      <c r="M5" s="45">
        <f t="shared" si="0"/>
        <v>0</v>
      </c>
      <c r="N5" s="46" t="e">
        <f t="shared" si="1"/>
        <v>#DIV/0!</v>
      </c>
    </row>
    <row r="6" spans="1:14">
      <c r="A6" s="261"/>
      <c r="B6" s="65" t="s">
        <v>32</v>
      </c>
      <c r="C6" s="63">
        <f t="array" ref="C6">SUM(IF('SJCPIL-R 15-082-05 Dia'!$E$3:$AG$3='Resumo de Falhas'!C$1,'SJCPIL-R 15-082-05 Dia'!$E16:$AG16))</f>
        <v>0</v>
      </c>
      <c r="D6" s="63">
        <f t="array" ref="D6">SUM(IF('SJCPIL-R 15-082-05 Dia'!$E$3:$AG$3='Resumo de Falhas'!D$1,'SJCPIL-R 15-082-05 Dia'!$E16:$AG16))</f>
        <v>0</v>
      </c>
      <c r="E6" s="63">
        <f t="array" ref="E6">SUM(IF('SJCPIL-R 15-082-05 Dia'!$E$3:$AG$3='Resumo de Falhas'!E$1,'SJCPIL-R 15-082-05 Dia'!$E16:$AG16))</f>
        <v>0</v>
      </c>
      <c r="F6" s="63">
        <f t="array" ref="F6">SUM(IF('SJCPIL-R 15-082-05 Dia'!$E$3:$AG$3='Resumo de Falhas'!F$1,'SJCPIL-R 15-082-05 Dia'!$E16:$AG16))</f>
        <v>0</v>
      </c>
      <c r="G6" s="63">
        <f t="array" ref="G6">SUM(IF('SJCPIL-R 15-082-05 Dia'!$E$3:$AG$3='Resumo de Falhas'!G$1,'SJCPIL-R 15-082-05 Dia'!$E16:$AG16))</f>
        <v>0</v>
      </c>
      <c r="H6" s="63">
        <f t="array" ref="H6">SUM(IF('SJCPIL-R 15-082-05 Dia'!$E$3:$AG$3='Resumo de Falhas'!H$1,'SJCPIL-R 15-082-05 Dia'!$E16:$AG16))</f>
        <v>0</v>
      </c>
      <c r="I6" s="63">
        <f t="array" ref="I6">SUM(IF('SJCPIL-R 15-082-05 Dia'!$E$3:$AG$3='Resumo de Falhas'!I$1,'SJCPIL-R 15-082-05 Dia'!$E16:$AG16))</f>
        <v>0</v>
      </c>
      <c r="J6" s="63">
        <f t="array" ref="J6">SUM(IF('SJCPIL-R 15-082-05 Dia'!$E$3:$AG$3='Resumo de Falhas'!J$1,'SJCPIL-R 15-082-05 Dia'!$E16:$AG16))</f>
        <v>0</v>
      </c>
      <c r="K6" s="63">
        <f t="array" ref="K6">SUM(IF('SJCPIL-R 15-082-05 Dia'!$E$3:$AG$3='Resumo de Falhas'!K$1,'SJCPIL-R 15-082-05 Dia'!$E16:$AG16))</f>
        <v>0</v>
      </c>
      <c r="L6" s="74">
        <f t="array" ref="L6">SUM(IF('SJCPIL-R 15-082-05 Dia'!$E$3:$AG$3='Resumo de Falhas'!L$1,'SJCPIL-R 15-082-05 Dia'!$E16:$AG16))</f>
        <v>0</v>
      </c>
      <c r="M6" s="45">
        <f t="shared" si="0"/>
        <v>0</v>
      </c>
      <c r="N6" s="46" t="e">
        <f t="shared" si="1"/>
        <v>#DIV/0!</v>
      </c>
    </row>
    <row r="7" spans="1:14">
      <c r="A7" s="261"/>
      <c r="B7" s="65" t="s">
        <v>28</v>
      </c>
      <c r="C7" s="63">
        <f t="array" ref="C7">SUM(IF('SJCPIL-R 15-082-05 Dia'!$E$3:$AG$3='Resumo de Falhas'!C$1,'SJCPIL-R 15-082-05 Dia'!$E17:$AG17))</f>
        <v>0</v>
      </c>
      <c r="D7" s="63">
        <f t="array" ref="D7">SUM(IF('SJCPIL-R 15-082-05 Dia'!$E$3:$AG$3='Resumo de Falhas'!D$1,'SJCPIL-R 15-082-05 Dia'!$E17:$AG17))</f>
        <v>0</v>
      </c>
      <c r="E7" s="63">
        <f t="array" ref="E7">SUM(IF('SJCPIL-R 15-082-05 Dia'!$E$3:$AG$3='Resumo de Falhas'!E$1,'SJCPIL-R 15-082-05 Dia'!$E17:$AG17))</f>
        <v>0</v>
      </c>
      <c r="F7" s="63">
        <f t="array" ref="F7">SUM(IF('SJCPIL-R 15-082-05 Dia'!$E$3:$AG$3='Resumo de Falhas'!F$1,'SJCPIL-R 15-082-05 Dia'!$E17:$AG17))</f>
        <v>0</v>
      </c>
      <c r="G7" s="63">
        <f t="array" ref="G7">SUM(IF('SJCPIL-R 15-082-05 Dia'!$E$3:$AG$3='Resumo de Falhas'!G$1,'SJCPIL-R 15-082-05 Dia'!$E17:$AG17))</f>
        <v>0</v>
      </c>
      <c r="H7" s="63">
        <f t="array" ref="H7">SUM(IF('SJCPIL-R 15-082-05 Dia'!$E$3:$AG$3='Resumo de Falhas'!H$1,'SJCPIL-R 15-082-05 Dia'!$E17:$AG17))</f>
        <v>0</v>
      </c>
      <c r="I7" s="63">
        <f t="array" ref="I7">SUM(IF('SJCPIL-R 15-082-05 Dia'!$E$3:$AG$3='Resumo de Falhas'!I$1,'SJCPIL-R 15-082-05 Dia'!$E17:$AG17))</f>
        <v>0</v>
      </c>
      <c r="J7" s="63">
        <f t="array" ref="J7">SUM(IF('SJCPIL-R 15-082-05 Dia'!$E$3:$AG$3='Resumo de Falhas'!J$1,'SJCPIL-R 15-082-05 Dia'!$E17:$AG17))</f>
        <v>0</v>
      </c>
      <c r="K7" s="63">
        <f t="array" ref="K7">SUM(IF('SJCPIL-R 15-082-05 Dia'!$E$3:$AG$3='Resumo de Falhas'!K$1,'SJCPIL-R 15-082-05 Dia'!$E17:$AG17))</f>
        <v>0</v>
      </c>
      <c r="L7" s="74">
        <f t="array" ref="L7">SUM(IF('SJCPIL-R 15-082-05 Dia'!$E$3:$AG$3='Resumo de Falhas'!L$1,'SJCPIL-R 15-082-05 Dia'!$E17:$AG17))</f>
        <v>0</v>
      </c>
      <c r="M7" s="45">
        <f t="shared" si="0"/>
        <v>0</v>
      </c>
      <c r="N7" s="46" t="e">
        <f t="shared" si="1"/>
        <v>#DIV/0!</v>
      </c>
    </row>
    <row r="8" spans="1:14">
      <c r="A8" s="261"/>
      <c r="B8" s="65" t="s">
        <v>26</v>
      </c>
      <c r="C8" s="63">
        <f t="array" ref="C8">SUM(IF('SJCPIL-R 15-082-05 Dia'!$E$3:$AG$3='Resumo de Falhas'!C$1,'SJCPIL-R 15-082-05 Dia'!$E18:$AG18))</f>
        <v>0</v>
      </c>
      <c r="D8" s="63">
        <f t="array" ref="D8">SUM(IF('SJCPIL-R 15-082-05 Dia'!$E$3:$AG$3='Resumo de Falhas'!D$1,'SJCPIL-R 15-082-05 Dia'!$E18:$AG18))</f>
        <v>0</v>
      </c>
      <c r="E8" s="63">
        <f t="array" ref="E8">SUM(IF('SJCPIL-R 15-082-05 Dia'!$E$3:$AG$3='Resumo de Falhas'!E$1,'SJCPIL-R 15-082-05 Dia'!$E18:$AG18))</f>
        <v>0</v>
      </c>
      <c r="F8" s="63">
        <f t="array" ref="F8">SUM(IF('SJCPIL-R 15-082-05 Dia'!$E$3:$AG$3='Resumo de Falhas'!F$1,'SJCPIL-R 15-082-05 Dia'!$E18:$AG18))</f>
        <v>0</v>
      </c>
      <c r="G8" s="63">
        <f t="array" ref="G8">SUM(IF('SJCPIL-R 15-082-05 Dia'!$E$3:$AG$3='Resumo de Falhas'!G$1,'SJCPIL-R 15-082-05 Dia'!$E18:$AG18))</f>
        <v>0</v>
      </c>
      <c r="H8" s="63">
        <f t="array" ref="H8">SUM(IF('SJCPIL-R 15-082-05 Dia'!$E$3:$AG$3='Resumo de Falhas'!H$1,'SJCPIL-R 15-082-05 Dia'!$E18:$AG18))</f>
        <v>0</v>
      </c>
      <c r="I8" s="63">
        <f t="array" ref="I8">SUM(IF('SJCPIL-R 15-082-05 Dia'!$E$3:$AG$3='Resumo de Falhas'!I$1,'SJCPIL-R 15-082-05 Dia'!$E18:$AG18))</f>
        <v>0</v>
      </c>
      <c r="J8" s="63">
        <f t="array" ref="J8">SUM(IF('SJCPIL-R 15-082-05 Dia'!$E$3:$AG$3='Resumo de Falhas'!J$1,'SJCPIL-R 15-082-05 Dia'!$E18:$AG18))</f>
        <v>0</v>
      </c>
      <c r="K8" s="63">
        <f t="array" ref="K8">SUM(IF('SJCPIL-R 15-082-05 Dia'!$E$3:$AG$3='Resumo de Falhas'!K$1,'SJCPIL-R 15-082-05 Dia'!$E18:$AG18))</f>
        <v>0</v>
      </c>
      <c r="L8" s="74">
        <f t="array" ref="L8">SUM(IF('SJCPIL-R 15-082-05 Dia'!$E$3:$AG$3='Resumo de Falhas'!L$1,'SJCPIL-R 15-082-05 Dia'!$E18:$AG18))</f>
        <v>0</v>
      </c>
      <c r="M8" s="45">
        <f t="shared" si="0"/>
        <v>0</v>
      </c>
      <c r="N8" s="46" t="e">
        <f t="shared" si="1"/>
        <v>#DIV/0!</v>
      </c>
    </row>
    <row r="9" spans="1:14">
      <c r="A9" s="262"/>
      <c r="B9" s="65" t="s">
        <v>22</v>
      </c>
      <c r="C9" s="63">
        <f t="array" ref="C9">SUM(IF('SJCPIL-R 15-082-05 Dia'!$E$3:$AG$3='Resumo de Falhas'!C$1,'SJCPIL-R 15-082-05 Dia'!$E19:$AG19))</f>
        <v>0</v>
      </c>
      <c r="D9" s="63">
        <f t="array" ref="D9">SUM(IF('SJCPIL-R 15-082-05 Dia'!$E$3:$AG$3='Resumo de Falhas'!D$1,'SJCPIL-R 15-082-05 Dia'!$E19:$AG19))</f>
        <v>0</v>
      </c>
      <c r="E9" s="63">
        <f t="array" ref="E9">SUM(IF('SJCPIL-R 15-082-05 Dia'!$E$3:$AG$3='Resumo de Falhas'!E$1,'SJCPIL-R 15-082-05 Dia'!$E19:$AG19))</f>
        <v>0</v>
      </c>
      <c r="F9" s="63">
        <f t="array" ref="F9">SUM(IF('SJCPIL-R 15-082-05 Dia'!$E$3:$AG$3='Resumo de Falhas'!F$1,'SJCPIL-R 15-082-05 Dia'!$E19:$AG19))</f>
        <v>0</v>
      </c>
      <c r="G9" s="63">
        <f t="array" ref="G9">SUM(IF('SJCPIL-R 15-082-05 Dia'!$E$3:$AG$3='Resumo de Falhas'!G$1,'SJCPIL-R 15-082-05 Dia'!$E19:$AG19))</f>
        <v>0</v>
      </c>
      <c r="H9" s="63">
        <f t="array" ref="H9">SUM(IF('SJCPIL-R 15-082-05 Dia'!$E$3:$AG$3='Resumo de Falhas'!H$1,'SJCPIL-R 15-082-05 Dia'!$E19:$AG19))</f>
        <v>0</v>
      </c>
      <c r="I9" s="63">
        <f t="array" ref="I9">SUM(IF('SJCPIL-R 15-082-05 Dia'!$E$3:$AG$3='Resumo de Falhas'!I$1,'SJCPIL-R 15-082-05 Dia'!$E19:$AG19))</f>
        <v>0</v>
      </c>
      <c r="J9" s="63">
        <f t="array" ref="J9">SUM(IF('SJCPIL-R 15-082-05 Dia'!$E$3:$AG$3='Resumo de Falhas'!J$1,'SJCPIL-R 15-082-05 Dia'!$E19:$AG19))</f>
        <v>0</v>
      </c>
      <c r="K9" s="63">
        <f t="array" ref="K9">SUM(IF('SJCPIL-R 15-082-05 Dia'!$E$3:$AG$3='Resumo de Falhas'!K$1,'SJCPIL-R 15-082-05 Dia'!$E19:$AG19))</f>
        <v>0</v>
      </c>
      <c r="L9" s="74">
        <f t="array" ref="L9">SUM(IF('SJCPIL-R 15-082-05 Dia'!$E$3:$AG$3='Resumo de Falhas'!L$1,'SJCPIL-R 15-082-05 Dia'!$E19:$AG19))</f>
        <v>0</v>
      </c>
      <c r="M9" s="45">
        <f t="shared" si="0"/>
        <v>0</v>
      </c>
      <c r="N9" s="46" t="e">
        <f t="shared" si="1"/>
        <v>#DIV/0!</v>
      </c>
    </row>
    <row r="10" spans="1:14">
      <c r="A10" s="262"/>
      <c r="B10" s="65" t="s">
        <v>23</v>
      </c>
      <c r="C10" s="63">
        <f t="array" ref="C10">SUM(IF('SJCPIL-R 15-082-05 Dia'!$E$3:$AG$3='Resumo de Falhas'!C$1,'SJCPIL-R 15-082-05 Dia'!$E20:$AG20))</f>
        <v>0</v>
      </c>
      <c r="D10" s="63">
        <f t="array" ref="D10">SUM(IF('SJCPIL-R 15-082-05 Dia'!$E$3:$AG$3='Resumo de Falhas'!D$1,'SJCPIL-R 15-082-05 Dia'!$E20:$AG20))</f>
        <v>0</v>
      </c>
      <c r="E10" s="63">
        <f t="array" ref="E10">SUM(IF('SJCPIL-R 15-082-05 Dia'!$E$3:$AG$3='Resumo de Falhas'!E$1,'SJCPIL-R 15-082-05 Dia'!$E20:$AG20))</f>
        <v>0</v>
      </c>
      <c r="F10" s="63">
        <f t="array" ref="F10">SUM(IF('SJCPIL-R 15-082-05 Dia'!$E$3:$AG$3='Resumo de Falhas'!F$1,'SJCPIL-R 15-082-05 Dia'!$E20:$AG20))</f>
        <v>0</v>
      </c>
      <c r="G10" s="63">
        <f t="array" ref="G10">SUM(IF('SJCPIL-R 15-082-05 Dia'!$E$3:$AG$3='Resumo de Falhas'!G$1,'SJCPIL-R 15-082-05 Dia'!$E20:$AG20))</f>
        <v>0</v>
      </c>
      <c r="H10" s="63">
        <f t="array" ref="H10">SUM(IF('SJCPIL-R 15-082-05 Dia'!$E$3:$AG$3='Resumo de Falhas'!H$1,'SJCPIL-R 15-082-05 Dia'!$E20:$AG20))</f>
        <v>0</v>
      </c>
      <c r="I10" s="63">
        <f t="array" ref="I10">SUM(IF('SJCPIL-R 15-082-05 Dia'!$E$3:$AG$3='Resumo de Falhas'!I$1,'SJCPIL-R 15-082-05 Dia'!$E20:$AG20))</f>
        <v>0</v>
      </c>
      <c r="J10" s="63">
        <f t="array" ref="J10">SUM(IF('SJCPIL-R 15-082-05 Dia'!$E$3:$AG$3='Resumo de Falhas'!J$1,'SJCPIL-R 15-082-05 Dia'!$E20:$AG20))</f>
        <v>0</v>
      </c>
      <c r="K10" s="63">
        <f t="array" ref="K10">SUM(IF('SJCPIL-R 15-082-05 Dia'!$E$3:$AG$3='Resumo de Falhas'!K$1,'SJCPIL-R 15-082-05 Dia'!$E20:$AG20))</f>
        <v>0</v>
      </c>
      <c r="L10" s="74">
        <f t="array" ref="L10">SUM(IF('SJCPIL-R 15-082-05 Dia'!$E$3:$AG$3='Resumo de Falhas'!L$1,'SJCPIL-R 15-082-05 Dia'!$E20:$AG20))</f>
        <v>0</v>
      </c>
      <c r="M10" s="45">
        <f t="shared" si="0"/>
        <v>0</v>
      </c>
      <c r="N10" s="46" t="e">
        <f t="shared" si="1"/>
        <v>#DIV/0!</v>
      </c>
    </row>
    <row r="11" spans="1:14">
      <c r="A11" s="262"/>
      <c r="B11" s="65" t="s">
        <v>24</v>
      </c>
      <c r="C11" s="63">
        <f t="array" ref="C11">SUM(IF('SJCPIL-R 15-082-05 Dia'!$E$3:$AG$3='Resumo de Falhas'!C$1,'SJCPIL-R 15-082-05 Dia'!$E21:$AG21))</f>
        <v>0</v>
      </c>
      <c r="D11" s="63">
        <f t="array" ref="D11">SUM(IF('SJCPIL-R 15-082-05 Dia'!$E$3:$AG$3='Resumo de Falhas'!D$1,'SJCPIL-R 15-082-05 Dia'!$E21:$AG21))</f>
        <v>0</v>
      </c>
      <c r="E11" s="63">
        <f t="array" ref="E11">SUM(IF('SJCPIL-R 15-082-05 Dia'!$E$3:$AG$3='Resumo de Falhas'!E$1,'SJCPIL-R 15-082-05 Dia'!$E21:$AG21))</f>
        <v>0</v>
      </c>
      <c r="F11" s="63">
        <f t="array" ref="F11">SUM(IF('SJCPIL-R 15-082-05 Dia'!$E$3:$AG$3='Resumo de Falhas'!F$1,'SJCPIL-R 15-082-05 Dia'!$E21:$AG21))</f>
        <v>0</v>
      </c>
      <c r="G11" s="63">
        <f t="array" ref="G11">SUM(IF('SJCPIL-R 15-082-05 Dia'!$E$3:$AG$3='Resumo de Falhas'!G$1,'SJCPIL-R 15-082-05 Dia'!$E21:$AG21))</f>
        <v>0</v>
      </c>
      <c r="H11" s="63">
        <f t="array" ref="H11">SUM(IF('SJCPIL-R 15-082-05 Dia'!$E$3:$AG$3='Resumo de Falhas'!H$1,'SJCPIL-R 15-082-05 Dia'!$E21:$AG21))</f>
        <v>0</v>
      </c>
      <c r="I11" s="63">
        <f t="array" ref="I11">SUM(IF('SJCPIL-R 15-082-05 Dia'!$E$3:$AG$3='Resumo de Falhas'!I$1,'SJCPIL-R 15-082-05 Dia'!$E21:$AG21))</f>
        <v>0</v>
      </c>
      <c r="J11" s="63">
        <f t="array" ref="J11">SUM(IF('SJCPIL-R 15-082-05 Dia'!$E$3:$AG$3='Resumo de Falhas'!J$1,'SJCPIL-R 15-082-05 Dia'!$E21:$AG21))</f>
        <v>0</v>
      </c>
      <c r="K11" s="63">
        <f t="array" ref="K11">SUM(IF('SJCPIL-R 15-082-05 Dia'!$E$3:$AG$3='Resumo de Falhas'!K$1,'SJCPIL-R 15-082-05 Dia'!$E21:$AG21))</f>
        <v>0</v>
      </c>
      <c r="L11" s="74">
        <f t="array" ref="L11">SUM(IF('SJCPIL-R 15-082-05 Dia'!$E$3:$AG$3='Resumo de Falhas'!L$1,'SJCPIL-R 15-082-05 Dia'!$E21:$AG21))</f>
        <v>0</v>
      </c>
      <c r="M11" s="45">
        <f t="shared" si="0"/>
        <v>0</v>
      </c>
      <c r="N11" s="46" t="e">
        <f t="shared" si="1"/>
        <v>#DIV/0!</v>
      </c>
    </row>
    <row r="12" spans="1:14">
      <c r="A12" s="262"/>
      <c r="B12" s="65" t="s">
        <v>25</v>
      </c>
      <c r="C12" s="63">
        <f t="array" ref="C12">SUM(IF('SJCPIL-R 15-082-05 Dia'!$E$3:$AG$3='Resumo de Falhas'!C$1,'SJCPIL-R 15-082-05 Dia'!$E22:$AG22))</f>
        <v>0</v>
      </c>
      <c r="D12" s="63">
        <f t="array" ref="D12">SUM(IF('SJCPIL-R 15-082-05 Dia'!$E$3:$AG$3='Resumo de Falhas'!D$1,'SJCPIL-R 15-082-05 Dia'!$E22:$AG22))</f>
        <v>0</v>
      </c>
      <c r="E12" s="63">
        <f t="array" ref="E12">SUM(IF('SJCPIL-R 15-082-05 Dia'!$E$3:$AG$3='Resumo de Falhas'!E$1,'SJCPIL-R 15-082-05 Dia'!$E22:$AG22))</f>
        <v>0</v>
      </c>
      <c r="F12" s="63">
        <f t="array" ref="F12">SUM(IF('SJCPIL-R 15-082-05 Dia'!$E$3:$AG$3='Resumo de Falhas'!F$1,'SJCPIL-R 15-082-05 Dia'!$E22:$AG22))</f>
        <v>0</v>
      </c>
      <c r="G12" s="63">
        <f t="array" ref="G12">SUM(IF('SJCPIL-R 15-082-05 Dia'!$E$3:$AG$3='Resumo de Falhas'!G$1,'SJCPIL-R 15-082-05 Dia'!$E22:$AG22))</f>
        <v>0</v>
      </c>
      <c r="H12" s="63">
        <f t="array" ref="H12">SUM(IF('SJCPIL-R 15-082-05 Dia'!$E$3:$AG$3='Resumo de Falhas'!H$1,'SJCPIL-R 15-082-05 Dia'!$E22:$AG22))</f>
        <v>0</v>
      </c>
      <c r="I12" s="63">
        <f t="array" ref="I12">SUM(IF('SJCPIL-R 15-082-05 Dia'!$E$3:$AG$3='Resumo de Falhas'!I$1,'SJCPIL-R 15-082-05 Dia'!$E22:$AG22))</f>
        <v>0</v>
      </c>
      <c r="J12" s="63">
        <f t="array" ref="J12">SUM(IF('SJCPIL-R 15-082-05 Dia'!$E$3:$AG$3='Resumo de Falhas'!J$1,'SJCPIL-R 15-082-05 Dia'!$E22:$AG22))</f>
        <v>0</v>
      </c>
      <c r="K12" s="63">
        <f t="array" ref="K12">SUM(IF('SJCPIL-R 15-082-05 Dia'!$E$3:$AG$3='Resumo de Falhas'!K$1,'SJCPIL-R 15-082-05 Dia'!$E22:$AG22))</f>
        <v>0</v>
      </c>
      <c r="L12" s="74">
        <f t="array" ref="L12">SUM(IF('SJCPIL-R 15-082-05 Dia'!$E$3:$AG$3='Resumo de Falhas'!L$1,'SJCPIL-R 15-082-05 Dia'!$E22:$AG22))</f>
        <v>0</v>
      </c>
      <c r="M12" s="45">
        <f t="shared" si="0"/>
        <v>0</v>
      </c>
      <c r="N12" s="46" t="e">
        <f t="shared" si="1"/>
        <v>#DIV/0!</v>
      </c>
    </row>
    <row r="13" spans="1:14">
      <c r="A13" s="262"/>
      <c r="B13" s="65" t="s">
        <v>30</v>
      </c>
      <c r="C13" s="63">
        <f t="array" ref="C13">SUM(IF('SJCPIL-R 15-082-05 Dia'!$E$3:$AG$3='Resumo de Falhas'!C$1,'SJCPIL-R 15-082-05 Dia'!$E23:$AG23))</f>
        <v>0</v>
      </c>
      <c r="D13" s="63">
        <f t="array" ref="D13">SUM(IF('SJCPIL-R 15-082-05 Dia'!$E$3:$AG$3='Resumo de Falhas'!D$1,'SJCPIL-R 15-082-05 Dia'!$E23:$AG23))</f>
        <v>0</v>
      </c>
      <c r="E13" s="63">
        <f t="array" ref="E13">SUM(IF('SJCPIL-R 15-082-05 Dia'!$E$3:$AG$3='Resumo de Falhas'!E$1,'SJCPIL-R 15-082-05 Dia'!$E23:$AG23))</f>
        <v>0</v>
      </c>
      <c r="F13" s="63">
        <f t="array" ref="F13">SUM(IF('SJCPIL-R 15-082-05 Dia'!$E$3:$AG$3='Resumo de Falhas'!F$1,'SJCPIL-R 15-082-05 Dia'!$E23:$AG23))</f>
        <v>0</v>
      </c>
      <c r="G13" s="63">
        <f t="array" ref="G13">SUM(IF('SJCPIL-R 15-082-05 Dia'!$E$3:$AG$3='Resumo de Falhas'!G$1,'SJCPIL-R 15-082-05 Dia'!$E23:$AG23))</f>
        <v>0</v>
      </c>
      <c r="H13" s="63">
        <f t="array" ref="H13">SUM(IF('SJCPIL-R 15-082-05 Dia'!$E$3:$AG$3='Resumo de Falhas'!H$1,'SJCPIL-R 15-082-05 Dia'!$E23:$AG23))</f>
        <v>0</v>
      </c>
      <c r="I13" s="63">
        <f t="array" ref="I13">SUM(IF('SJCPIL-R 15-082-05 Dia'!$E$3:$AG$3='Resumo de Falhas'!I$1,'SJCPIL-R 15-082-05 Dia'!$E23:$AG23))</f>
        <v>0</v>
      </c>
      <c r="J13" s="63">
        <f t="array" ref="J13">SUM(IF('SJCPIL-R 15-082-05 Dia'!$E$3:$AG$3='Resumo de Falhas'!J$1,'SJCPIL-R 15-082-05 Dia'!$E23:$AG23))</f>
        <v>0</v>
      </c>
      <c r="K13" s="63">
        <f t="array" ref="K13">SUM(IF('SJCPIL-R 15-082-05 Dia'!$E$3:$AG$3='Resumo de Falhas'!K$1,'SJCPIL-R 15-082-05 Dia'!$E23:$AG23))</f>
        <v>0</v>
      </c>
      <c r="L13" s="74">
        <f t="array" ref="L13">SUM(IF('SJCPIL-R 15-082-05 Dia'!$E$3:$AG$3='Resumo de Falhas'!L$1,'SJCPIL-R 15-082-05 Dia'!$E23:$AG23))</f>
        <v>0</v>
      </c>
      <c r="M13" s="45">
        <f t="shared" si="0"/>
        <v>0</v>
      </c>
      <c r="N13" s="46" t="e">
        <f t="shared" si="1"/>
        <v>#DIV/0!</v>
      </c>
    </row>
    <row r="14" spans="1:14">
      <c r="A14" s="262"/>
      <c r="B14" s="65" t="s">
        <v>31</v>
      </c>
      <c r="C14" s="63">
        <f t="array" ref="C14">SUM(IF('SJCPIL-R 15-082-05 Dia'!$E$3:$AG$3='Resumo de Falhas'!C$1,'SJCPIL-R 15-082-05 Dia'!$E24:$AG24))</f>
        <v>0</v>
      </c>
      <c r="D14" s="63">
        <f t="array" ref="D14">SUM(IF('SJCPIL-R 15-082-05 Dia'!$E$3:$AG$3='Resumo de Falhas'!D$1,'SJCPIL-R 15-082-05 Dia'!$E24:$AG24))</f>
        <v>0</v>
      </c>
      <c r="E14" s="63">
        <f t="array" ref="E14">SUM(IF('SJCPIL-R 15-082-05 Dia'!$E$3:$AG$3='Resumo de Falhas'!E$1,'SJCPIL-R 15-082-05 Dia'!$E24:$AG24))</f>
        <v>0</v>
      </c>
      <c r="F14" s="63">
        <f t="array" ref="F14">SUM(IF('SJCPIL-R 15-082-05 Dia'!$E$3:$AG$3='Resumo de Falhas'!F$1,'SJCPIL-R 15-082-05 Dia'!$E24:$AG24))</f>
        <v>0</v>
      </c>
      <c r="G14" s="63">
        <f t="array" ref="G14">SUM(IF('SJCPIL-R 15-082-05 Dia'!$E$3:$AG$3='Resumo de Falhas'!G$1,'SJCPIL-R 15-082-05 Dia'!$E24:$AG24))</f>
        <v>0</v>
      </c>
      <c r="H14" s="63">
        <f t="array" ref="H14">SUM(IF('SJCPIL-R 15-082-05 Dia'!$E$3:$AG$3='Resumo de Falhas'!H$1,'SJCPIL-R 15-082-05 Dia'!$E24:$AG24))</f>
        <v>0</v>
      </c>
      <c r="I14" s="63">
        <f t="array" ref="I14">SUM(IF('SJCPIL-R 15-082-05 Dia'!$E$3:$AG$3='Resumo de Falhas'!I$1,'SJCPIL-R 15-082-05 Dia'!$E24:$AG24))</f>
        <v>0</v>
      </c>
      <c r="J14" s="63">
        <f t="array" ref="J14">SUM(IF('SJCPIL-R 15-082-05 Dia'!$E$3:$AG$3='Resumo de Falhas'!J$1,'SJCPIL-R 15-082-05 Dia'!$E24:$AG24))</f>
        <v>0</v>
      </c>
      <c r="K14" s="63">
        <f t="array" ref="K14">SUM(IF('SJCPIL-R 15-082-05 Dia'!$E$3:$AG$3='Resumo de Falhas'!K$1,'SJCPIL-R 15-082-05 Dia'!$E24:$AG24))</f>
        <v>0</v>
      </c>
      <c r="L14" s="74">
        <f t="array" ref="L14">SUM(IF('SJCPIL-R 15-082-05 Dia'!$E$3:$AG$3='Resumo de Falhas'!L$1,'SJCPIL-R 15-082-05 Dia'!$E24:$AG24))</f>
        <v>0</v>
      </c>
      <c r="M14" s="45">
        <f t="shared" si="0"/>
        <v>0</v>
      </c>
      <c r="N14" s="46" t="e">
        <f t="shared" si="1"/>
        <v>#DIV/0!</v>
      </c>
    </row>
    <row r="15" spans="1:14">
      <c r="A15" s="262"/>
      <c r="B15" s="65" t="s">
        <v>21</v>
      </c>
      <c r="C15" s="63">
        <f t="array" ref="C15">SUM(IF('SJCPIL-R 15-082-05 Dia'!$E$3:$AG$3='Resumo de Falhas'!C$1,'SJCPIL-R 15-082-05 Dia'!$E25:$AG25))</f>
        <v>0</v>
      </c>
      <c r="D15" s="63">
        <f t="array" ref="D15">SUM(IF('SJCPIL-R 15-082-05 Dia'!$E$3:$AG$3='Resumo de Falhas'!D$1,'SJCPIL-R 15-082-05 Dia'!$E25:$AG25))</f>
        <v>0</v>
      </c>
      <c r="E15" s="63">
        <f t="array" ref="E15">SUM(IF('SJCPIL-R 15-082-05 Dia'!$E$3:$AG$3='Resumo de Falhas'!E$1,'SJCPIL-R 15-082-05 Dia'!$E25:$AG25))</f>
        <v>0</v>
      </c>
      <c r="F15" s="63">
        <f t="array" ref="F15">SUM(IF('SJCPIL-R 15-082-05 Dia'!$E$3:$AG$3='Resumo de Falhas'!F$1,'SJCPIL-R 15-082-05 Dia'!$E25:$AG25))</f>
        <v>0</v>
      </c>
      <c r="G15" s="63">
        <f t="array" ref="G15">SUM(IF('SJCPIL-R 15-082-05 Dia'!$E$3:$AG$3='Resumo de Falhas'!G$1,'SJCPIL-R 15-082-05 Dia'!$E25:$AG25))</f>
        <v>0</v>
      </c>
      <c r="H15" s="63">
        <f t="array" ref="H15">SUM(IF('SJCPIL-R 15-082-05 Dia'!$E$3:$AG$3='Resumo de Falhas'!H$1,'SJCPIL-R 15-082-05 Dia'!$E25:$AG25))</f>
        <v>0</v>
      </c>
      <c r="I15" s="63">
        <f t="array" ref="I15">SUM(IF('SJCPIL-R 15-082-05 Dia'!$E$3:$AG$3='Resumo de Falhas'!I$1,'SJCPIL-R 15-082-05 Dia'!$E25:$AG25))</f>
        <v>0</v>
      </c>
      <c r="J15" s="63">
        <f t="array" ref="J15">SUM(IF('SJCPIL-R 15-082-05 Dia'!$E$3:$AG$3='Resumo de Falhas'!J$1,'SJCPIL-R 15-082-05 Dia'!$E25:$AG25))</f>
        <v>0</v>
      </c>
      <c r="K15" s="63">
        <f t="array" ref="K15">SUM(IF('SJCPIL-R 15-082-05 Dia'!$E$3:$AG$3='Resumo de Falhas'!K$1,'SJCPIL-R 15-082-05 Dia'!$E25:$AG25))</f>
        <v>0</v>
      </c>
      <c r="L15" s="74">
        <f t="array" ref="L15">SUM(IF('SJCPIL-R 15-082-05 Dia'!$E$3:$AG$3='Resumo de Falhas'!L$1,'SJCPIL-R 15-082-05 Dia'!$E25:$AG25))</f>
        <v>0</v>
      </c>
      <c r="M15" s="45">
        <f t="shared" si="0"/>
        <v>0</v>
      </c>
      <c r="N15" s="46" t="e">
        <f t="shared" si="1"/>
        <v>#DIV/0!</v>
      </c>
    </row>
    <row r="16" spans="1:14" ht="13.5" thickBot="1">
      <c r="A16" s="262"/>
      <c r="B16" s="69" t="s">
        <v>28</v>
      </c>
      <c r="C16" s="62">
        <f t="array" ref="C16">SUM(IF('SJCPIL-R 15-082-05 Dia'!$E$3:$AG$3='Resumo de Falhas'!C$1,'SJCPIL-R 15-082-05 Dia'!$E26:$AG26))</f>
        <v>0</v>
      </c>
      <c r="D16" s="62">
        <f t="array" ref="D16">SUM(IF('SJCPIL-R 15-082-05 Dia'!$E$3:$AG$3='Resumo de Falhas'!D$1,'SJCPIL-R 15-082-05 Dia'!$E26:$AG26))</f>
        <v>0</v>
      </c>
      <c r="E16" s="62">
        <f t="array" ref="E16">SUM(IF('SJCPIL-R 15-082-05 Dia'!$E$3:$AG$3='Resumo de Falhas'!E$1,'SJCPIL-R 15-082-05 Dia'!$E26:$AG26))</f>
        <v>0</v>
      </c>
      <c r="F16" s="62">
        <f t="array" ref="F16">SUM(IF('SJCPIL-R 15-082-05 Dia'!$E$3:$AG$3='Resumo de Falhas'!F$1,'SJCPIL-R 15-082-05 Dia'!$E26:$AG26))</f>
        <v>0</v>
      </c>
      <c r="G16" s="62">
        <f t="array" ref="G16">SUM(IF('SJCPIL-R 15-082-05 Dia'!$E$3:$AG$3='Resumo de Falhas'!G$1,'SJCPIL-R 15-082-05 Dia'!$E26:$AG26))</f>
        <v>0</v>
      </c>
      <c r="H16" s="62">
        <f t="array" ref="H16">SUM(IF('SJCPIL-R 15-082-05 Dia'!$E$3:$AG$3='Resumo de Falhas'!H$1,'SJCPIL-R 15-082-05 Dia'!$E26:$AG26))</f>
        <v>0</v>
      </c>
      <c r="I16" s="62">
        <f t="array" ref="I16">SUM(IF('SJCPIL-R 15-082-05 Dia'!$E$3:$AG$3='Resumo de Falhas'!I$1,'SJCPIL-R 15-082-05 Dia'!$E26:$AG26))</f>
        <v>0</v>
      </c>
      <c r="J16" s="62">
        <f t="array" ref="J16">SUM(IF('SJCPIL-R 15-082-05 Dia'!$E$3:$AG$3='Resumo de Falhas'!J$1,'SJCPIL-R 15-082-05 Dia'!$E26:$AG26))</f>
        <v>0</v>
      </c>
      <c r="K16" s="62">
        <f t="array" ref="K16">SUM(IF('SJCPIL-R 15-082-05 Dia'!$E$3:$AG$3='Resumo de Falhas'!K$1,'SJCPIL-R 15-082-05 Dia'!$E26:$AG26))</f>
        <v>0</v>
      </c>
      <c r="L16" s="75">
        <f t="array" ref="L16">SUM(IF('SJCPIL-R 15-082-05 Dia'!$E$3:$AG$3='Resumo de Falhas'!L$1,'SJCPIL-R 15-082-05 Dia'!$E26:$AG26))</f>
        <v>0</v>
      </c>
      <c r="M16" s="45">
        <f t="shared" si="0"/>
        <v>0</v>
      </c>
      <c r="N16" s="46" t="e">
        <f t="shared" si="1"/>
        <v>#DIV/0!</v>
      </c>
    </row>
    <row r="17" spans="1:14" ht="13.5" thickBot="1">
      <c r="A17" s="263"/>
      <c r="B17" s="70" t="s">
        <v>39</v>
      </c>
      <c r="C17" s="71">
        <f t="array" ref="C17">SUM(IF('SJCPIL-R 15-082-05 Dia'!$E$3:$AG$3='Resumo de Falhas'!C$1,'SJCPIL-R 15-082-05 Dia'!$E27:$AG27))</f>
        <v>0</v>
      </c>
      <c r="D17" s="71">
        <f t="array" ref="D17">SUM(IF('SJCPIL-R 15-082-05 Dia'!$E$3:$AG$3='Resumo de Falhas'!D$1,'SJCPIL-R 15-082-05 Dia'!$E27:$AG27))</f>
        <v>0</v>
      </c>
      <c r="E17" s="71">
        <f t="array" ref="E17">SUM(IF('SJCPIL-R 15-082-05 Dia'!$E$3:$AG$3='Resumo de Falhas'!E$1,'SJCPIL-R 15-082-05 Dia'!$E27:$AG27))</f>
        <v>0</v>
      </c>
      <c r="F17" s="71">
        <f t="array" ref="F17">SUM(IF('SJCPIL-R 15-082-05 Dia'!$E$3:$AG$3='Resumo de Falhas'!F$1,'SJCPIL-R 15-082-05 Dia'!$E27:$AG27))</f>
        <v>0</v>
      </c>
      <c r="G17" s="71">
        <f t="array" ref="G17">SUM(IF('SJCPIL-R 15-082-05 Dia'!$E$3:$AG$3='Resumo de Falhas'!G$1,'SJCPIL-R 15-082-05 Dia'!$E27:$AG27))</f>
        <v>0</v>
      </c>
      <c r="H17" s="71">
        <f t="array" ref="H17">SUM(IF('SJCPIL-R 15-082-05 Dia'!$E$3:$AG$3='Resumo de Falhas'!H$1,'SJCPIL-R 15-082-05 Dia'!$E27:$AG27))</f>
        <v>0</v>
      </c>
      <c r="I17" s="71">
        <f t="array" ref="I17">SUM(IF('SJCPIL-R 15-082-05 Dia'!$E$3:$AG$3='Resumo de Falhas'!I$1,'SJCPIL-R 15-082-05 Dia'!$E27:$AG27))</f>
        <v>0</v>
      </c>
      <c r="J17" s="71">
        <f t="array" ref="J17">SUM(IF('SJCPIL-R 15-082-05 Dia'!$E$3:$AG$3='Resumo de Falhas'!J$1,'SJCPIL-R 15-082-05 Dia'!$E27:$AG27))</f>
        <v>0</v>
      </c>
      <c r="K17" s="71">
        <f t="array" ref="K17">SUM(IF('SJCPIL-R 15-082-05 Dia'!$E$3:$AG$3='Resumo de Falhas'!K$1,'SJCPIL-R 15-082-05 Dia'!$E27:$AG27))</f>
        <v>0</v>
      </c>
      <c r="L17" s="76">
        <f t="array" ref="L17">SUM(IF('SJCPIL-R 15-082-05 Dia'!$E$3:$AG$3='Resumo de Falhas'!L$1,'SJCPIL-R 15-082-05 Dia'!$E27:$AG27))</f>
        <v>0</v>
      </c>
      <c r="M17" s="77">
        <f t="shared" si="0"/>
        <v>0</v>
      </c>
      <c r="N17" s="72" t="e">
        <f t="shared" si="1"/>
        <v>#DIV/0!</v>
      </c>
    </row>
    <row r="18" spans="1:14" ht="13.5" thickBot="1">
      <c r="A18" s="264" t="s">
        <v>48</v>
      </c>
      <c r="B18" s="265"/>
      <c r="C18" s="60">
        <f>IF(ISERR(C17/C2),0,C17/C2*1000000)</f>
        <v>0</v>
      </c>
      <c r="D18" s="39">
        <f t="shared" ref="D18:M18" si="2">IF(ISERR(D17/D2),0,D17/D2*1000000)</f>
        <v>0</v>
      </c>
      <c r="E18" s="39">
        <f t="shared" si="2"/>
        <v>0</v>
      </c>
      <c r="F18" s="39">
        <f t="shared" si="2"/>
        <v>0</v>
      </c>
      <c r="G18" s="39">
        <f t="shared" si="2"/>
        <v>0</v>
      </c>
      <c r="H18" s="39">
        <f t="shared" si="2"/>
        <v>0</v>
      </c>
      <c r="I18" s="39">
        <f t="shared" si="2"/>
        <v>0</v>
      </c>
      <c r="J18" s="39">
        <f t="shared" si="2"/>
        <v>0</v>
      </c>
      <c r="K18" s="39">
        <f t="shared" si="2"/>
        <v>0</v>
      </c>
      <c r="L18" s="40">
        <f t="shared" si="2"/>
        <v>0</v>
      </c>
      <c r="M18" s="78">
        <f t="shared" si="2"/>
        <v>0</v>
      </c>
      <c r="N18" s="42"/>
    </row>
    <row r="19" spans="1:14" ht="13.5" thickBot="1"/>
    <row r="20" spans="1:14">
      <c r="A20" s="266" t="s">
        <v>3</v>
      </c>
      <c r="B20" s="267"/>
      <c r="C20" s="47" t="s">
        <v>41</v>
      </c>
      <c r="D20" s="48" t="s">
        <v>42</v>
      </c>
      <c r="E20" s="49" t="s">
        <v>0</v>
      </c>
      <c r="F20" s="47" t="s">
        <v>40</v>
      </c>
      <c r="G20" s="50" t="s">
        <v>43</v>
      </c>
    </row>
    <row r="21" spans="1:14">
      <c r="A21" s="256" t="s">
        <v>44</v>
      </c>
      <c r="B21" s="257"/>
      <c r="C21" s="51" t="s">
        <v>45</v>
      </c>
      <c r="D21" s="52">
        <f>M2</f>
        <v>0</v>
      </c>
      <c r="E21" s="26"/>
      <c r="F21" s="3"/>
      <c r="G21" s="25"/>
    </row>
    <row r="22" spans="1:14">
      <c r="A22" s="256" t="s">
        <v>46</v>
      </c>
      <c r="B22" s="257"/>
      <c r="C22" s="51" t="s">
        <v>45</v>
      </c>
      <c r="D22" s="52">
        <f>M17</f>
        <v>0</v>
      </c>
      <c r="E22" s="3"/>
      <c r="F22" s="3"/>
      <c r="G22" s="25"/>
    </row>
    <row r="23" spans="1:14" ht="13.5" thickBot="1">
      <c r="A23" s="258" t="s">
        <v>46</v>
      </c>
      <c r="B23" s="259"/>
      <c r="C23" s="53" t="s">
        <v>11</v>
      </c>
      <c r="D23" s="54" t="str">
        <f>IF(ISERR(D22/D21)," ",D22/D21*1000000)</f>
        <v xml:space="preserve"> </v>
      </c>
      <c r="E23" s="55"/>
      <c r="F23" s="55"/>
      <c r="G23" s="56"/>
    </row>
    <row r="24" spans="1:14">
      <c r="C24" s="57"/>
      <c r="D24" s="58">
        <v>450</v>
      </c>
    </row>
  </sheetData>
  <sheetProtection algorithmName="SHA-512" hashValue="ZzMe1e7RYk2JuaWRwNNMAnxOiXLpgFfGyjsIQlGPguIxjiET7ERRxzkIGkDNzfgrRjcgUDYzslf4KgqL7542Ug==" saltValue="5+jEKVxJQwxA633zTm2YyQ==" spinCount="100000" sheet="1" objects="1" scenarios="1" selectLockedCells="1"/>
  <mergeCells count="6">
    <mergeCell ref="A22:B22"/>
    <mergeCell ref="A23:B23"/>
    <mergeCell ref="A2:A17"/>
    <mergeCell ref="A18:B18"/>
    <mergeCell ref="A20:B20"/>
    <mergeCell ref="A21:B21"/>
  </mergeCells>
  <conditionalFormatting sqref="G21">
    <cfRule type="cellIs" dxfId="2" priority="1" stopIfTrue="1" operator="notEqual">
      <formula>0</formula>
    </cfRule>
  </conditionalFormatting>
  <conditionalFormatting sqref="G22">
    <cfRule type="cellIs" dxfId="1" priority="2" stopIfTrue="1" operator="notEqual">
      <formula>0</formula>
    </cfRule>
  </conditionalFormatting>
  <conditionalFormatting sqref="D23">
    <cfRule type="cellIs" dxfId="0" priority="3" stopIfTrue="1" operator="greaterThanOrEqual">
      <formula>$D$24</formula>
    </cfRule>
  </conditionalFormatting>
  <pageMargins left="0.78740157499999996" right="0.78740157499999996" top="1.1299999999999999" bottom="0.984251969" header="0.49212598499999999" footer="0.49212598499999999"/>
  <pageSetup paperSize="9" scale="66" orientation="landscape" r:id="rId1"/>
  <headerFooter alignWithMargins="0">
    <oddHeader>&amp;L&amp;"SwitzerlandBlack,Negrito"&amp;16Panasonic
&amp;"Arial,Negrito"&amp;9PILHAS / BATERIAS&amp;C&amp;"Arial,Negrito"&amp;14RESUMO DE FALHAS UM-1</oddHeader>
    <oddFooter>&amp;L&amp;A&amp;R&amp;F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36"/>
  <sheetViews>
    <sheetView zoomScaleNormal="100" workbookViewId="0">
      <selection activeCell="F3" sqref="F3:H3"/>
    </sheetView>
  </sheetViews>
  <sheetFormatPr defaultRowHeight="12.75"/>
  <cols>
    <col min="1" max="1" width="3.28515625" bestFit="1" customWidth="1"/>
    <col min="2" max="2" width="23.42578125" bestFit="1" customWidth="1"/>
    <col min="3" max="8" width="10.7109375" customWidth="1"/>
  </cols>
  <sheetData>
    <row r="1" spans="1:8" ht="13.5" thickBot="1">
      <c r="C1" s="270" t="s">
        <v>69</v>
      </c>
      <c r="D1" s="271"/>
      <c r="E1" s="272"/>
      <c r="F1" s="270" t="s">
        <v>70</v>
      </c>
      <c r="G1" s="271"/>
      <c r="H1" s="272"/>
    </row>
    <row r="2" spans="1:8" ht="12.75" customHeight="1">
      <c r="A2" s="278" t="s">
        <v>71</v>
      </c>
      <c r="B2" s="108" t="s">
        <v>65</v>
      </c>
      <c r="C2" s="106" t="s">
        <v>66</v>
      </c>
      <c r="D2" s="100" t="s">
        <v>47</v>
      </c>
      <c r="E2" s="103" t="s">
        <v>67</v>
      </c>
      <c r="F2" s="100" t="s">
        <v>66</v>
      </c>
      <c r="G2" s="100" t="s">
        <v>47</v>
      </c>
      <c r="H2" s="103" t="s">
        <v>67</v>
      </c>
    </row>
    <row r="3" spans="1:8" ht="13.5" thickBot="1">
      <c r="A3" s="279"/>
      <c r="B3" s="109" t="s">
        <v>68</v>
      </c>
      <c r="C3" s="107"/>
      <c r="D3" s="104"/>
      <c r="E3" s="105"/>
      <c r="F3" s="110"/>
      <c r="G3" s="104"/>
      <c r="H3" s="105"/>
    </row>
    <row r="4" spans="1:8">
      <c r="A4" s="276" t="s">
        <v>0</v>
      </c>
      <c r="B4" s="169" t="s">
        <v>38</v>
      </c>
      <c r="C4" s="170">
        <f t="array" ref="C4">SUM(IF('SJCPIL-R 15-082-05 Dia'!$E$3:$AG$3='Resumo para Custo'!C$2,'SJCPIL-R 15-082-05 Dia'!$E4:$AG4))</f>
        <v>0</v>
      </c>
      <c r="D4" s="171">
        <f t="array" ref="D4">SUM(IF('SJCPIL-R 15-082-05 Dia'!$E$3:$AG$3='Resumo para Custo'!D$2,'SJCPIL-R 15-082-05 Dia'!$E4:$AG4))</f>
        <v>0</v>
      </c>
      <c r="E4" s="172">
        <f t="array" ref="E4">SUM(IF('SJCPIL-R 15-082-05 Dia'!$E$3:$AG$3='Resumo para Custo'!E$2,'SJCPIL-R 15-082-05 Dia'!$E4:$AG4))</f>
        <v>0</v>
      </c>
      <c r="F4" s="173">
        <f t="shared" ref="F4:H4" si="0">C4*F$3/1000</f>
        <v>0</v>
      </c>
      <c r="G4" s="171">
        <f t="shared" si="0"/>
        <v>0</v>
      </c>
      <c r="H4" s="172">
        <f t="shared" si="0"/>
        <v>0</v>
      </c>
    </row>
    <row r="5" spans="1:8" ht="12.75" customHeight="1">
      <c r="A5" s="276"/>
      <c r="B5" s="163" t="s">
        <v>19</v>
      </c>
      <c r="C5" s="164">
        <f t="array" ref="C5">SUM(IF('SJCPIL-R 15-082-05 Dia'!$E$3:$AG$3='Resumo para Custo'!C$2,'SJCPIL-R 15-082-05 Dia'!$E13:$AG13))</f>
        <v>0</v>
      </c>
      <c r="D5" s="165">
        <f t="array" ref="D5">SUM(IF('SJCPIL-R 15-082-05 Dia'!$E$3:$AG$3='Resumo para Custo'!D2,'SJCPIL-R 15-082-05 Dia'!$E13:$AG13))</f>
        <v>0</v>
      </c>
      <c r="E5" s="166">
        <f t="array" ref="E5">SUM(IF('SJCPIL-R 15-082-05 Dia'!$E$3:$AG$3='Resumo para Custo'!E2,'SJCPIL-R 15-082-05 Dia'!$E13:$AG13))</f>
        <v>0</v>
      </c>
      <c r="F5" s="167">
        <f>C5*F$3/1000</f>
        <v>0</v>
      </c>
      <c r="G5" s="167">
        <f t="shared" ref="G5:G18" si="1">D5*G$3/1000</f>
        <v>0</v>
      </c>
      <c r="H5" s="168">
        <f t="shared" ref="H5:H18" si="2">E5*H$3/1000</f>
        <v>0</v>
      </c>
    </row>
    <row r="6" spans="1:8">
      <c r="A6" s="276"/>
      <c r="B6" s="157" t="s">
        <v>20</v>
      </c>
      <c r="C6" s="158">
        <f t="array" ref="C6">SUM(IF('SJCPIL-R 15-082-05 Dia'!$E$3:$AG$3='Resumo para Custo'!C$2,'SJCPIL-R 15-082-05 Dia'!$E14:$AG14))</f>
        <v>0</v>
      </c>
      <c r="D6" s="159">
        <f t="array" ref="D6">SUM(IF('SJCPIL-R 15-082-05 Dia'!$E$3:$AG$3='Resumo para Custo'!D3,'SJCPIL-R 15-082-05 Dia'!$E14:$AG14))</f>
        <v>0</v>
      </c>
      <c r="E6" s="160">
        <f t="array" ref="E6">SUM(IF('SJCPIL-R 15-082-05 Dia'!$E$3:$AG$3='Resumo para Custo'!E3,'SJCPIL-R 15-082-05 Dia'!$E14:$AG14))</f>
        <v>0</v>
      </c>
      <c r="F6" s="161">
        <f t="shared" ref="F6:F18" si="3">C6*F$3/1000</f>
        <v>0</v>
      </c>
      <c r="G6" s="161">
        <f t="shared" si="1"/>
        <v>0</v>
      </c>
      <c r="H6" s="162">
        <f t="shared" si="2"/>
        <v>0</v>
      </c>
    </row>
    <row r="7" spans="1:8">
      <c r="A7" s="276"/>
      <c r="B7" s="157" t="s">
        <v>27</v>
      </c>
      <c r="C7" s="158">
        <f t="array" ref="C7">SUM(IF('SJCPIL-R 15-082-05 Dia'!$E$3:$AG$3='Resumo para Custo'!C$2,'SJCPIL-R 15-082-05 Dia'!$E15:$AG15))</f>
        <v>0</v>
      </c>
      <c r="D7" s="159">
        <f t="array" ref="D7">SUM(IF('SJCPIL-R 15-082-05 Dia'!$E$3:$AG$3='Resumo para Custo'!D5,'SJCPIL-R 15-082-05 Dia'!$E15:$AG15))</f>
        <v>0</v>
      </c>
      <c r="E7" s="160">
        <f t="array" ref="E7">SUM(IF('SJCPIL-R 15-082-05 Dia'!$E$3:$AG$3='Resumo para Custo'!E5,'SJCPIL-R 15-082-05 Dia'!$E15:$AG15))</f>
        <v>0</v>
      </c>
      <c r="F7" s="161">
        <f t="shared" si="3"/>
        <v>0</v>
      </c>
      <c r="G7" s="161">
        <f t="shared" si="1"/>
        <v>0</v>
      </c>
      <c r="H7" s="162">
        <f t="shared" si="2"/>
        <v>0</v>
      </c>
    </row>
    <row r="8" spans="1:8">
      <c r="A8" s="276"/>
      <c r="B8" s="157" t="s">
        <v>32</v>
      </c>
      <c r="C8" s="158">
        <f t="array" ref="C8">SUM(IF('SJCPIL-R 15-082-05 Dia'!$E$3:$AG$3='Resumo para Custo'!C$2,'SJCPIL-R 15-082-05 Dia'!$E16:$AG16))</f>
        <v>0</v>
      </c>
      <c r="D8" s="159">
        <f t="array" ref="D8">SUM(IF('SJCPIL-R 15-082-05 Dia'!$E$3:$AG$3='Resumo para Custo'!D6,'SJCPIL-R 15-082-05 Dia'!$E16:$AG16))</f>
        <v>0</v>
      </c>
      <c r="E8" s="160">
        <f t="array" ref="E8">SUM(IF('SJCPIL-R 15-082-05 Dia'!$E$3:$AG$3='Resumo para Custo'!E6,'SJCPIL-R 15-082-05 Dia'!$E16:$AG16))</f>
        <v>0</v>
      </c>
      <c r="F8" s="161">
        <f t="shared" si="3"/>
        <v>0</v>
      </c>
      <c r="G8" s="161">
        <f t="shared" si="1"/>
        <v>0</v>
      </c>
      <c r="H8" s="162">
        <f t="shared" si="2"/>
        <v>0</v>
      </c>
    </row>
    <row r="9" spans="1:8">
      <c r="A9" s="276"/>
      <c r="B9" s="157" t="s">
        <v>28</v>
      </c>
      <c r="C9" s="158">
        <f t="array" ref="C9">SUM(IF('SJCPIL-R 15-082-05 Dia'!$E$3:$AG$3='Resumo para Custo'!C$2,'SJCPIL-R 15-082-05 Dia'!$E17:$AG17))</f>
        <v>0</v>
      </c>
      <c r="D9" s="159">
        <f t="array" ref="D9">SUM(IF('SJCPIL-R 15-082-05 Dia'!$E$3:$AG$3='Resumo para Custo'!D7,'SJCPIL-R 15-082-05 Dia'!$E17:$AG17))</f>
        <v>0</v>
      </c>
      <c r="E9" s="160">
        <f t="array" ref="E9">SUM(IF('SJCPIL-R 15-082-05 Dia'!$E$3:$AG$3='Resumo para Custo'!E7,'SJCPIL-R 15-082-05 Dia'!$E17:$AG17))</f>
        <v>0</v>
      </c>
      <c r="F9" s="161">
        <f t="shared" si="3"/>
        <v>0</v>
      </c>
      <c r="G9" s="161">
        <f t="shared" si="1"/>
        <v>0</v>
      </c>
      <c r="H9" s="162">
        <f t="shared" si="2"/>
        <v>0</v>
      </c>
    </row>
    <row r="10" spans="1:8">
      <c r="A10" s="276"/>
      <c r="B10" s="145" t="s">
        <v>26</v>
      </c>
      <c r="C10" s="146">
        <f t="array" ref="C10">SUM(IF('SJCPIL-R 15-082-05 Dia'!$E$3:$AG$3='Resumo para Custo'!C$2,'SJCPIL-R 15-082-05 Dia'!$E18:$AG18))</f>
        <v>0</v>
      </c>
      <c r="D10" s="147">
        <f t="array" ref="D10">SUM(IF('SJCPIL-R 15-082-05 Dia'!$E$3:$AG$3='Resumo para Custo'!D8,'SJCPIL-R 15-082-05 Dia'!$E18:$AG18))</f>
        <v>0</v>
      </c>
      <c r="E10" s="148">
        <f t="array" ref="E10">SUM(IF('SJCPIL-R 15-082-05 Dia'!$E$3:$AG$3='Resumo para Custo'!E8,'SJCPIL-R 15-082-05 Dia'!$E18:$AG18))</f>
        <v>0</v>
      </c>
      <c r="F10" s="149">
        <f t="shared" si="3"/>
        <v>0</v>
      </c>
      <c r="G10" s="149">
        <f t="shared" si="1"/>
        <v>0</v>
      </c>
      <c r="H10" s="150">
        <f t="shared" si="2"/>
        <v>0</v>
      </c>
    </row>
    <row r="11" spans="1:8">
      <c r="A11" s="276"/>
      <c r="B11" s="145" t="s">
        <v>22</v>
      </c>
      <c r="C11" s="146">
        <f t="array" ref="C11">SUM(IF('SJCPIL-R 15-082-05 Dia'!$E$3:$AG$3='Resumo para Custo'!C$2,'SJCPIL-R 15-082-05 Dia'!$E19:$AG19))</f>
        <v>0</v>
      </c>
      <c r="D11" s="147">
        <f t="array" ref="D11">SUM(IF('SJCPIL-R 15-082-05 Dia'!$E$3:$AG$3='Resumo para Custo'!D9,'SJCPIL-R 15-082-05 Dia'!$E19:$AG19))</f>
        <v>0</v>
      </c>
      <c r="E11" s="148">
        <f t="array" ref="E11">SUM(IF('SJCPIL-R 15-082-05 Dia'!$E$3:$AG$3='Resumo para Custo'!E9,'SJCPIL-R 15-082-05 Dia'!$E19:$AG19))</f>
        <v>0</v>
      </c>
      <c r="F11" s="149">
        <f t="shared" si="3"/>
        <v>0</v>
      </c>
      <c r="G11" s="149">
        <f t="shared" si="1"/>
        <v>0</v>
      </c>
      <c r="H11" s="150">
        <f t="shared" si="2"/>
        <v>0</v>
      </c>
    </row>
    <row r="12" spans="1:8">
      <c r="A12" s="276"/>
      <c r="B12" s="145" t="s">
        <v>23</v>
      </c>
      <c r="C12" s="146">
        <f t="array" ref="C12">SUM(IF('SJCPIL-R 15-082-05 Dia'!$E$3:$AG$3='Resumo para Custo'!C$2,'SJCPIL-R 15-082-05 Dia'!$E20:$AG20))</f>
        <v>0</v>
      </c>
      <c r="D12" s="147">
        <f t="array" ref="D12">SUM(IF('SJCPIL-R 15-082-05 Dia'!$E$3:$AG$3='Resumo para Custo'!D10,'SJCPIL-R 15-082-05 Dia'!$E20:$AG20))</f>
        <v>0</v>
      </c>
      <c r="E12" s="148">
        <f t="array" ref="E12">SUM(IF('SJCPIL-R 15-082-05 Dia'!$E$3:$AG$3='Resumo para Custo'!E10,'SJCPIL-R 15-082-05 Dia'!$E20:$AG20))</f>
        <v>0</v>
      </c>
      <c r="F12" s="149">
        <f t="shared" si="3"/>
        <v>0</v>
      </c>
      <c r="G12" s="149">
        <f t="shared" si="1"/>
        <v>0</v>
      </c>
      <c r="H12" s="150">
        <f t="shared" si="2"/>
        <v>0</v>
      </c>
    </row>
    <row r="13" spans="1:8">
      <c r="A13" s="276"/>
      <c r="B13" s="145" t="s">
        <v>24</v>
      </c>
      <c r="C13" s="146">
        <f t="array" ref="C13">SUM(IF('SJCPIL-R 15-082-05 Dia'!$E$3:$AG$3='Resumo para Custo'!C$2,'SJCPIL-R 15-082-05 Dia'!$E21:$AG21))</f>
        <v>0</v>
      </c>
      <c r="D13" s="147">
        <f t="array" ref="D13">SUM(IF('SJCPIL-R 15-082-05 Dia'!$E$3:$AG$3='Resumo para Custo'!D11,'SJCPIL-R 15-082-05 Dia'!$E21:$AG21))</f>
        <v>0</v>
      </c>
      <c r="E13" s="148">
        <f t="array" ref="E13">SUM(IF('SJCPIL-R 15-082-05 Dia'!$E$3:$AG$3='Resumo para Custo'!E11,'SJCPIL-R 15-082-05 Dia'!$E21:$AG21))</f>
        <v>0</v>
      </c>
      <c r="F13" s="149">
        <f t="shared" si="3"/>
        <v>0</v>
      </c>
      <c r="G13" s="149">
        <f t="shared" si="1"/>
        <v>0</v>
      </c>
      <c r="H13" s="150">
        <f t="shared" si="2"/>
        <v>0</v>
      </c>
    </row>
    <row r="14" spans="1:8">
      <c r="A14" s="276"/>
      <c r="B14" s="145" t="s">
        <v>25</v>
      </c>
      <c r="C14" s="146">
        <f t="array" ref="C14">SUM(IF('SJCPIL-R 15-082-05 Dia'!$E$3:$AG$3='Resumo para Custo'!C$2,'SJCPIL-R 15-082-05 Dia'!$E22:$AG22))</f>
        <v>0</v>
      </c>
      <c r="D14" s="147">
        <f t="array" ref="D14">SUM(IF('SJCPIL-R 15-082-05 Dia'!$E$3:$AG$3='Resumo para Custo'!D12,'SJCPIL-R 15-082-05 Dia'!$E22:$AG22))</f>
        <v>0</v>
      </c>
      <c r="E14" s="148">
        <f t="array" ref="E14">SUM(IF('SJCPIL-R 15-082-05 Dia'!$E$3:$AG$3='Resumo para Custo'!E12,'SJCPIL-R 15-082-05 Dia'!$E22:$AG22))</f>
        <v>0</v>
      </c>
      <c r="F14" s="149">
        <f t="shared" si="3"/>
        <v>0</v>
      </c>
      <c r="G14" s="149">
        <f t="shared" si="1"/>
        <v>0</v>
      </c>
      <c r="H14" s="150">
        <f t="shared" si="2"/>
        <v>0</v>
      </c>
    </row>
    <row r="15" spans="1:8">
      <c r="A15" s="276"/>
      <c r="B15" s="145" t="s">
        <v>30</v>
      </c>
      <c r="C15" s="146">
        <f t="array" ref="C15">SUM(IF('SJCPIL-R 15-082-05 Dia'!$E$3:$AG$3='Resumo para Custo'!C$2,'SJCPIL-R 15-082-05 Dia'!$E23:$AG23))</f>
        <v>0</v>
      </c>
      <c r="D15" s="147">
        <f t="array" ref="D15">SUM(IF('SJCPIL-R 15-082-05 Dia'!$E$3:$AG$3='Resumo para Custo'!D13,'SJCPIL-R 15-082-05 Dia'!$E23:$AG23))</f>
        <v>0</v>
      </c>
      <c r="E15" s="148">
        <f t="array" ref="E15">SUM(IF('SJCPIL-R 15-082-05 Dia'!$E$3:$AG$3='Resumo para Custo'!E13,'SJCPIL-R 15-082-05 Dia'!$E23:$AG23))</f>
        <v>0</v>
      </c>
      <c r="F15" s="149">
        <f t="shared" si="3"/>
        <v>0</v>
      </c>
      <c r="G15" s="149">
        <f t="shared" si="1"/>
        <v>0</v>
      </c>
      <c r="H15" s="150">
        <f t="shared" si="2"/>
        <v>0</v>
      </c>
    </row>
    <row r="16" spans="1:8">
      <c r="A16" s="276"/>
      <c r="B16" s="145" t="s">
        <v>31</v>
      </c>
      <c r="C16" s="146">
        <f t="array" ref="C16">SUM(IF('SJCPIL-R 15-082-05 Dia'!$E$3:$AG$3='Resumo para Custo'!C$2,'SJCPIL-R 15-082-05 Dia'!$E24:$AG24))</f>
        <v>0</v>
      </c>
      <c r="D16" s="147">
        <f t="array" ref="D16">SUM(IF('SJCPIL-R 15-082-05 Dia'!$E$3:$AG$3='Resumo para Custo'!D14,'SJCPIL-R 15-082-05 Dia'!$E24:$AG24))</f>
        <v>0</v>
      </c>
      <c r="E16" s="148">
        <f t="array" ref="E16">SUM(IF('SJCPIL-R 15-082-05 Dia'!$E$3:$AG$3='Resumo para Custo'!E14,'SJCPIL-R 15-082-05 Dia'!$E24:$AG24))</f>
        <v>0</v>
      </c>
      <c r="F16" s="149">
        <f t="shared" si="3"/>
        <v>0</v>
      </c>
      <c r="G16" s="149">
        <f t="shared" si="1"/>
        <v>0</v>
      </c>
      <c r="H16" s="150">
        <f t="shared" si="2"/>
        <v>0</v>
      </c>
    </row>
    <row r="17" spans="1:8">
      <c r="A17" s="276"/>
      <c r="B17" s="145" t="s">
        <v>49</v>
      </c>
      <c r="C17" s="146">
        <f t="array" ref="C17">SUM(IF('SJCPIL-R 15-082-05 Dia'!$E$3:$AG$3='Resumo para Custo'!C$2,'SJCPIL-R 15-082-05 Dia'!$E25:$AG25))</f>
        <v>0</v>
      </c>
      <c r="D17" s="147">
        <f t="array" ref="D17">SUM(IF('SJCPIL-R 15-082-05 Dia'!$E$3:$AG$3='Resumo para Custo'!D15,'SJCPIL-R 15-082-05 Dia'!$E25:$AG25))</f>
        <v>0</v>
      </c>
      <c r="E17" s="148">
        <f t="array" ref="E17">SUM(IF('SJCPIL-R 15-082-05 Dia'!$E$3:$AG$3='Resumo para Custo'!E15,'SJCPIL-R 15-082-05 Dia'!$E25:$AG25))</f>
        <v>0</v>
      </c>
      <c r="F17" s="149">
        <f t="shared" si="3"/>
        <v>0</v>
      </c>
      <c r="G17" s="149">
        <f t="shared" si="1"/>
        <v>0</v>
      </c>
      <c r="H17" s="150">
        <f t="shared" si="2"/>
        <v>0</v>
      </c>
    </row>
    <row r="18" spans="1:8">
      <c r="A18" s="276"/>
      <c r="B18" s="145" t="s">
        <v>28</v>
      </c>
      <c r="C18" s="146">
        <f t="array" ref="C18">SUM(IF('SJCPIL-R 15-082-05 Dia'!$E$3:$AG$3='Resumo para Custo'!C16,'SJCPIL-R 15-082-05 Dia'!$E26:$AG26))</f>
        <v>0</v>
      </c>
      <c r="D18" s="147">
        <f t="array" ref="D18">SUM(IF('SJCPIL-R 15-082-05 Dia'!$E$3:$AG$3='Resumo para Custo'!D16,'SJCPIL-R 15-082-05 Dia'!$E26:$AG26))</f>
        <v>0</v>
      </c>
      <c r="E18" s="148">
        <f t="array" ref="E18">SUM(IF('SJCPIL-R 15-082-05 Dia'!$E$3:$AG$3='Resumo para Custo'!E16,'SJCPIL-R 15-082-05 Dia'!$E26:$AG26))</f>
        <v>0</v>
      </c>
      <c r="F18" s="149">
        <f t="shared" si="3"/>
        <v>0</v>
      </c>
      <c r="G18" s="149">
        <f t="shared" si="1"/>
        <v>0</v>
      </c>
      <c r="H18" s="150">
        <f t="shared" si="2"/>
        <v>0</v>
      </c>
    </row>
    <row r="19" spans="1:8" ht="13.5" customHeight="1" thickBot="1">
      <c r="A19" s="277"/>
      <c r="B19" s="151" t="s">
        <v>72</v>
      </c>
      <c r="C19" s="152">
        <f>SUBTOTAL(9,C5:C18)</f>
        <v>0</v>
      </c>
      <c r="D19" s="153">
        <f t="shared" ref="D19:E19" si="4">SUBTOTAL(9,D5:D18)</f>
        <v>0</v>
      </c>
      <c r="E19" s="154">
        <f t="shared" si="4"/>
        <v>0</v>
      </c>
      <c r="F19" s="155">
        <f t="shared" ref="F19:H19" si="5">SUBTOTAL(9,F5:F18)</f>
        <v>0</v>
      </c>
      <c r="G19" s="155">
        <f t="shared" si="5"/>
        <v>0</v>
      </c>
      <c r="H19" s="156">
        <f t="shared" si="5"/>
        <v>0</v>
      </c>
    </row>
    <row r="20" spans="1:8" ht="13.5" customHeight="1">
      <c r="A20" s="273" t="s">
        <v>40</v>
      </c>
      <c r="B20" s="140" t="s">
        <v>38</v>
      </c>
      <c r="C20" s="115">
        <f t="array" ref="C20">SUM(IF('SJCPIL-R 15-082-05 Noite'!$E$3:$AG$3='Resumo para Custo'!C$2,'SJCPIL-R 15-082-05 Noite'!$E4:$AG4))</f>
        <v>0</v>
      </c>
      <c r="D20" s="116">
        <f t="array" ref="D20">SUM(IF('SJCPIL-R 15-082-05 Noite'!$E$3:$AG$3='Resumo para Custo'!D$2,'SJCPIL-R 15-082-05 Noite'!$E4:$AG4))</f>
        <v>0</v>
      </c>
      <c r="E20" s="117">
        <f t="array" ref="E20">SUM(IF('SJCPIL-R 15-082-05 Noite'!$E$3:$AG$3='Resumo para Custo'!E$2,'SJCPIL-R 15-082-05 Noite'!$E4:$AG4))</f>
        <v>0</v>
      </c>
      <c r="F20" s="118">
        <f t="shared" ref="F20" si="6">C20*F$3/1000</f>
        <v>0</v>
      </c>
      <c r="G20" s="118">
        <f t="shared" ref="G20" si="7">D20*G$3/1000</f>
        <v>0</v>
      </c>
      <c r="H20" s="119">
        <f t="shared" ref="H20" si="8">E20*H$3/1000</f>
        <v>0</v>
      </c>
    </row>
    <row r="21" spans="1:8" ht="12.75" customHeight="1">
      <c r="A21" s="274"/>
      <c r="B21" s="141" t="s">
        <v>19</v>
      </c>
      <c r="C21" s="136">
        <f t="array" ref="C21">SUM(IF('SJCPIL-R 15-082-05 Noite'!$E$3:$AG$3='Resumo para Custo'!C$2,'SJCPIL-R 15-082-05 Noite'!$E13:$AG13))</f>
        <v>0</v>
      </c>
      <c r="D21" s="128">
        <f t="array" ref="D21">SUM(IF('SJCPIL-R 15-082-05 Noite'!$E$3:$AG$3='Resumo para Custo'!D$2,'SJCPIL-R 15-082-05 Noite'!$E13:$AG13))</f>
        <v>0</v>
      </c>
      <c r="E21" s="129">
        <f t="array" ref="E21">SUM(IF('SJCPIL-R 15-082-05 Noite'!$E$3:$AG$3='Resumo para Custo'!E$2,'SJCPIL-R 15-082-05 Noite'!$E13:$AG13))</f>
        <v>0</v>
      </c>
      <c r="F21" s="130">
        <f t="shared" ref="F21:F34" si="9">C21*F$3/1000</f>
        <v>0</v>
      </c>
      <c r="G21" s="130">
        <f t="shared" ref="G21:G34" si="10">D21*G$3/1000</f>
        <v>0</v>
      </c>
      <c r="H21" s="131">
        <f t="shared" ref="H21:H34" si="11">E21*H$3/1000</f>
        <v>0</v>
      </c>
    </row>
    <row r="22" spans="1:8">
      <c r="A22" s="274"/>
      <c r="B22" s="142" t="s">
        <v>20</v>
      </c>
      <c r="C22" s="137">
        <f t="array" ref="C22">SUM(IF('SJCPIL-R 15-082-05 Noite'!$E$3:$AG$3='Resumo para Custo'!C$2,'SJCPIL-R 15-082-05 Noite'!$E14:$AG14))</f>
        <v>0</v>
      </c>
      <c r="D22" s="132">
        <f t="array" ref="D22">SUM(IF('SJCPIL-R 15-082-05 Noite'!$E$3:$AG$3='Resumo para Custo'!D$2,'SJCPIL-R 15-082-05 Noite'!$E14:$AG14))</f>
        <v>0</v>
      </c>
      <c r="E22" s="133">
        <f t="array" ref="E22">SUM(IF('SJCPIL-R 15-082-05 Noite'!$E$3:$AG$3='Resumo para Custo'!E$2,'SJCPIL-R 15-082-05 Noite'!$E14:$AG14))</f>
        <v>0</v>
      </c>
      <c r="F22" s="134">
        <f t="shared" si="9"/>
        <v>0</v>
      </c>
      <c r="G22" s="134">
        <f t="shared" si="10"/>
        <v>0</v>
      </c>
      <c r="H22" s="135">
        <f t="shared" si="11"/>
        <v>0</v>
      </c>
    </row>
    <row r="23" spans="1:8">
      <c r="A23" s="274"/>
      <c r="B23" s="142" t="s">
        <v>27</v>
      </c>
      <c r="C23" s="137">
        <f t="array" ref="C23">SUM(IF('SJCPIL-R 15-082-05 Noite'!$E$3:$AG$3='Resumo para Custo'!C$2,'SJCPIL-R 15-082-05 Noite'!$E15:$AG15))</f>
        <v>0</v>
      </c>
      <c r="D23" s="132">
        <f t="array" ref="D23">SUM(IF('SJCPIL-R 15-082-05 Noite'!$E$3:$AG$3='Resumo para Custo'!D$2,'SJCPIL-R 15-082-05 Noite'!$E15:$AG15))</f>
        <v>0</v>
      </c>
      <c r="E23" s="133">
        <f t="array" ref="E23">SUM(IF('SJCPIL-R 15-082-05 Noite'!$E$3:$AG$3='Resumo para Custo'!E$2,'SJCPIL-R 15-082-05 Noite'!$E15:$AG15))</f>
        <v>0</v>
      </c>
      <c r="F23" s="134">
        <f t="shared" si="9"/>
        <v>0</v>
      </c>
      <c r="G23" s="134">
        <f t="shared" si="10"/>
        <v>0</v>
      </c>
      <c r="H23" s="135">
        <f t="shared" si="11"/>
        <v>0</v>
      </c>
    </row>
    <row r="24" spans="1:8">
      <c r="A24" s="274"/>
      <c r="B24" s="142" t="s">
        <v>32</v>
      </c>
      <c r="C24" s="137">
        <f t="array" ref="C24">SUM(IF('SJCPIL-R 15-082-05 Noite'!$E$3:$AG$3='Resumo para Custo'!C$2,'SJCPIL-R 15-082-05 Noite'!$E16:$AG16))</f>
        <v>0</v>
      </c>
      <c r="D24" s="132">
        <f t="array" ref="D24">SUM(IF('SJCPIL-R 15-082-05 Noite'!$E$3:$AG$3='Resumo para Custo'!D$2,'SJCPIL-R 15-082-05 Noite'!$E16:$AG16))</f>
        <v>0</v>
      </c>
      <c r="E24" s="133">
        <f t="array" ref="E24">SUM(IF('SJCPIL-R 15-082-05 Noite'!$E$3:$AG$3='Resumo para Custo'!E$2,'SJCPIL-R 15-082-05 Noite'!$E16:$AG16))</f>
        <v>0</v>
      </c>
      <c r="F24" s="134">
        <f t="shared" si="9"/>
        <v>0</v>
      </c>
      <c r="G24" s="134">
        <f t="shared" si="10"/>
        <v>0</v>
      </c>
      <c r="H24" s="135">
        <f t="shared" si="11"/>
        <v>0</v>
      </c>
    </row>
    <row r="25" spans="1:8">
      <c r="A25" s="274"/>
      <c r="B25" s="142" t="s">
        <v>28</v>
      </c>
      <c r="C25" s="137">
        <f t="array" ref="C25">SUM(IF('SJCPIL-R 15-082-05 Noite'!$E$3:$AG$3='Resumo para Custo'!C$2,'SJCPIL-R 15-082-05 Noite'!$E17:$AG17))</f>
        <v>0</v>
      </c>
      <c r="D25" s="132">
        <f t="array" ref="D25">SUM(IF('SJCPIL-R 15-082-05 Noite'!$E$3:$AG$3='Resumo para Custo'!D$2,'SJCPIL-R 15-082-05 Noite'!$E17:$AG17))</f>
        <v>0</v>
      </c>
      <c r="E25" s="133">
        <f t="array" ref="E25">SUM(IF('SJCPIL-R 15-082-05 Noite'!$E$3:$AG$3='Resumo para Custo'!E$2,'SJCPIL-R 15-082-05 Noite'!$E17:$AG17))</f>
        <v>0</v>
      </c>
      <c r="F25" s="134">
        <f t="shared" si="9"/>
        <v>0</v>
      </c>
      <c r="G25" s="134">
        <f t="shared" si="10"/>
        <v>0</v>
      </c>
      <c r="H25" s="135">
        <f t="shared" si="11"/>
        <v>0</v>
      </c>
    </row>
    <row r="26" spans="1:8">
      <c r="A26" s="274"/>
      <c r="B26" s="143" t="s">
        <v>26</v>
      </c>
      <c r="C26" s="138">
        <f t="array" ref="C26">SUM(IF('SJCPIL-R 15-082-05 Noite'!$E$3:$AG$3='Resumo para Custo'!C$2,'SJCPIL-R 15-082-05 Noite'!$E18:$AG18))</f>
        <v>0</v>
      </c>
      <c r="D26" s="120">
        <f t="array" ref="D26">SUM(IF('SJCPIL-R 15-082-05 Noite'!$E$3:$AG$3='Resumo para Custo'!D$2,'SJCPIL-R 15-082-05 Noite'!$E18:$AG18))</f>
        <v>0</v>
      </c>
      <c r="E26" s="121">
        <f t="array" ref="E26">SUM(IF('SJCPIL-R 15-082-05 Noite'!$E$3:$AG$3='Resumo para Custo'!E$2,'SJCPIL-R 15-082-05 Noite'!$E18:$AG18))</f>
        <v>0</v>
      </c>
      <c r="F26" s="122">
        <f t="shared" si="9"/>
        <v>0</v>
      </c>
      <c r="G26" s="122">
        <f t="shared" si="10"/>
        <v>0</v>
      </c>
      <c r="H26" s="123">
        <f t="shared" si="11"/>
        <v>0</v>
      </c>
    </row>
    <row r="27" spans="1:8">
      <c r="A27" s="274"/>
      <c r="B27" s="143" t="s">
        <v>22</v>
      </c>
      <c r="C27" s="138">
        <f t="array" ref="C27">SUM(IF('SJCPIL-R 15-082-05 Noite'!$E$3:$AG$3='Resumo para Custo'!C$2,'SJCPIL-R 15-082-05 Noite'!$E19:$AG19))</f>
        <v>0</v>
      </c>
      <c r="D27" s="120">
        <f t="array" ref="D27">SUM(IF('SJCPIL-R 15-082-05 Noite'!$E$3:$AG$3='Resumo para Custo'!D$2,'SJCPIL-R 15-082-05 Noite'!$E19:$AG19))</f>
        <v>0</v>
      </c>
      <c r="E27" s="121">
        <f t="array" ref="E27">SUM(IF('SJCPIL-R 15-082-05 Noite'!$E$3:$AG$3='Resumo para Custo'!E$2,'SJCPIL-R 15-082-05 Noite'!$E19:$AG19))</f>
        <v>0</v>
      </c>
      <c r="F27" s="122">
        <f t="shared" si="9"/>
        <v>0</v>
      </c>
      <c r="G27" s="122">
        <f t="shared" si="10"/>
        <v>0</v>
      </c>
      <c r="H27" s="123">
        <f t="shared" si="11"/>
        <v>0</v>
      </c>
    </row>
    <row r="28" spans="1:8">
      <c r="A28" s="274"/>
      <c r="B28" s="143" t="s">
        <v>23</v>
      </c>
      <c r="C28" s="138">
        <f t="array" ref="C28">SUM(IF('SJCPIL-R 15-082-05 Noite'!$E$3:$AG$3='Resumo para Custo'!C$2,'SJCPIL-R 15-082-05 Noite'!$E20:$AG20))</f>
        <v>0</v>
      </c>
      <c r="D28" s="120">
        <f t="array" ref="D28">SUM(IF('SJCPIL-R 15-082-05 Noite'!$E$3:$AG$3='Resumo para Custo'!D$2,'SJCPIL-R 15-082-05 Noite'!$E20:$AG20))</f>
        <v>0</v>
      </c>
      <c r="E28" s="121">
        <f t="array" ref="E28">SUM(IF('SJCPIL-R 15-082-05 Noite'!$E$3:$AG$3='Resumo para Custo'!E$2,'SJCPIL-R 15-082-05 Noite'!$E20:$AG20))</f>
        <v>0</v>
      </c>
      <c r="F28" s="122">
        <f t="shared" si="9"/>
        <v>0</v>
      </c>
      <c r="G28" s="122">
        <f t="shared" si="10"/>
        <v>0</v>
      </c>
      <c r="H28" s="123">
        <f t="shared" si="11"/>
        <v>0</v>
      </c>
    </row>
    <row r="29" spans="1:8">
      <c r="A29" s="274"/>
      <c r="B29" s="143" t="s">
        <v>24</v>
      </c>
      <c r="C29" s="138">
        <f t="array" ref="C29">SUM(IF('SJCPIL-R 15-082-05 Noite'!$E$3:$AG$3='Resumo para Custo'!C$2,'SJCPIL-R 15-082-05 Noite'!$E21:$AG21))</f>
        <v>0</v>
      </c>
      <c r="D29" s="120">
        <f t="array" ref="D29">SUM(IF('SJCPIL-R 15-082-05 Noite'!$E$3:$AG$3='Resumo para Custo'!D$2,'SJCPIL-R 15-082-05 Noite'!$E21:$AG21))</f>
        <v>0</v>
      </c>
      <c r="E29" s="121">
        <f t="array" ref="E29">SUM(IF('SJCPIL-R 15-082-05 Noite'!$E$3:$AG$3='Resumo para Custo'!E$2,'SJCPIL-R 15-082-05 Noite'!$E21:$AG21))</f>
        <v>0</v>
      </c>
      <c r="F29" s="122">
        <f t="shared" si="9"/>
        <v>0</v>
      </c>
      <c r="G29" s="122">
        <f t="shared" si="10"/>
        <v>0</v>
      </c>
      <c r="H29" s="123">
        <f t="shared" si="11"/>
        <v>0</v>
      </c>
    </row>
    <row r="30" spans="1:8">
      <c r="A30" s="274"/>
      <c r="B30" s="143" t="s">
        <v>25</v>
      </c>
      <c r="C30" s="138">
        <f t="array" ref="C30">SUM(IF('SJCPIL-R 15-082-05 Noite'!$E$3:$AG$3='Resumo para Custo'!C$2,'SJCPIL-R 15-082-05 Noite'!$E22:$AG22))</f>
        <v>0</v>
      </c>
      <c r="D30" s="120">
        <f t="array" ref="D30">SUM(IF('SJCPIL-R 15-082-05 Noite'!$E$3:$AG$3='Resumo para Custo'!D$2,'SJCPIL-R 15-082-05 Noite'!$E22:$AG22))</f>
        <v>0</v>
      </c>
      <c r="E30" s="121">
        <f t="array" ref="E30">SUM(IF('SJCPIL-R 15-082-05 Noite'!$E$3:$AG$3='Resumo para Custo'!E$2,'SJCPIL-R 15-082-05 Noite'!$E22:$AG22))</f>
        <v>0</v>
      </c>
      <c r="F30" s="122">
        <f t="shared" si="9"/>
        <v>0</v>
      </c>
      <c r="G30" s="122">
        <f t="shared" si="10"/>
        <v>0</v>
      </c>
      <c r="H30" s="123">
        <f t="shared" si="11"/>
        <v>0</v>
      </c>
    </row>
    <row r="31" spans="1:8">
      <c r="A31" s="274"/>
      <c r="B31" s="143" t="s">
        <v>30</v>
      </c>
      <c r="C31" s="138">
        <f t="array" ref="C31">SUM(IF('SJCPIL-R 15-082-05 Noite'!$E$3:$AG$3='Resumo para Custo'!C$2,'SJCPIL-R 15-082-05 Noite'!$E23:$AG23))</f>
        <v>0</v>
      </c>
      <c r="D31" s="120">
        <f t="array" ref="D31">SUM(IF('SJCPIL-R 15-082-05 Noite'!$E$3:$AG$3='Resumo para Custo'!D$2,'SJCPIL-R 15-082-05 Noite'!$E23:$AG23))</f>
        <v>0</v>
      </c>
      <c r="E31" s="121">
        <f t="array" ref="E31">SUM(IF('SJCPIL-R 15-082-05 Noite'!$E$3:$AG$3='Resumo para Custo'!E$2,'SJCPIL-R 15-082-05 Noite'!$E23:$AG23))</f>
        <v>0</v>
      </c>
      <c r="F31" s="122">
        <f t="shared" si="9"/>
        <v>0</v>
      </c>
      <c r="G31" s="122">
        <f t="shared" si="10"/>
        <v>0</v>
      </c>
      <c r="H31" s="123">
        <f t="shared" si="11"/>
        <v>0</v>
      </c>
    </row>
    <row r="32" spans="1:8">
      <c r="A32" s="274"/>
      <c r="B32" s="143" t="s">
        <v>31</v>
      </c>
      <c r="C32" s="138">
        <f t="array" ref="C32">SUM(IF('SJCPIL-R 15-082-05 Noite'!$E$3:$AG$3='Resumo para Custo'!C$2,'SJCPIL-R 15-082-05 Noite'!$E24:$AG24))</f>
        <v>0</v>
      </c>
      <c r="D32" s="120">
        <f t="array" ref="D32">SUM(IF('SJCPIL-R 15-082-05 Noite'!$E$3:$AG$3='Resumo para Custo'!D$2,'SJCPIL-R 15-082-05 Noite'!$E24:$AG24))</f>
        <v>0</v>
      </c>
      <c r="E32" s="121">
        <f t="array" ref="E32">SUM(IF('SJCPIL-R 15-082-05 Noite'!$E$3:$AG$3='Resumo para Custo'!E$2,'SJCPIL-R 15-082-05 Noite'!$E24:$AG24))</f>
        <v>0</v>
      </c>
      <c r="F32" s="122">
        <f t="shared" si="9"/>
        <v>0</v>
      </c>
      <c r="G32" s="122">
        <f t="shared" si="10"/>
        <v>0</v>
      </c>
      <c r="H32" s="123">
        <f t="shared" si="11"/>
        <v>0</v>
      </c>
    </row>
    <row r="33" spans="1:8">
      <c r="A33" s="274"/>
      <c r="B33" s="143" t="s">
        <v>49</v>
      </c>
      <c r="C33" s="138">
        <f t="array" ref="C33">SUM(IF('SJCPIL-R 15-082-05 Noite'!$E$3:$AG$3='Resumo para Custo'!C$2,'SJCPIL-R 15-082-05 Noite'!$E25:$AG25))</f>
        <v>0</v>
      </c>
      <c r="D33" s="120">
        <f t="array" ref="D33">SUM(IF('SJCPIL-R 15-082-05 Noite'!$E$3:$AG$3='Resumo para Custo'!D$2,'SJCPIL-R 15-082-05 Noite'!$E25:$AG25))</f>
        <v>0</v>
      </c>
      <c r="E33" s="121">
        <f t="array" ref="E33">SUM(IF('SJCPIL-R 15-082-05 Noite'!$E$3:$AG$3='Resumo para Custo'!E$2,'SJCPIL-R 15-082-05 Noite'!$E25:$AG25))</f>
        <v>0</v>
      </c>
      <c r="F33" s="122">
        <f t="shared" si="9"/>
        <v>0</v>
      </c>
      <c r="G33" s="122">
        <f t="shared" si="10"/>
        <v>0</v>
      </c>
      <c r="H33" s="123">
        <f t="shared" si="11"/>
        <v>0</v>
      </c>
    </row>
    <row r="34" spans="1:8">
      <c r="A34" s="274"/>
      <c r="B34" s="143" t="s">
        <v>28</v>
      </c>
      <c r="C34" s="138">
        <f t="array" ref="C34">SUM(IF('SJCPIL-R 15-082-05 Noite'!$E$3:$AG$3='Resumo para Custo'!C$2,'SJCPIL-R 15-082-05 Noite'!$E26:$AG26))</f>
        <v>0</v>
      </c>
      <c r="D34" s="120">
        <f t="array" ref="D34">SUM(IF('SJCPIL-R 15-082-05 Noite'!$E$3:$AG$3='Resumo para Custo'!D$2,'SJCPIL-R 15-082-05 Noite'!$E26:$AG26))</f>
        <v>0</v>
      </c>
      <c r="E34" s="121">
        <f t="array" ref="E34">SUM(IF('SJCPIL-R 15-082-05 Noite'!$E$3:$AG$3='Resumo para Custo'!E$2,'SJCPIL-R 15-082-05 Noite'!$E26:$AG26))</f>
        <v>0</v>
      </c>
      <c r="F34" s="122">
        <f t="shared" si="9"/>
        <v>0</v>
      </c>
      <c r="G34" s="122">
        <f t="shared" si="10"/>
        <v>0</v>
      </c>
      <c r="H34" s="123">
        <f t="shared" si="11"/>
        <v>0</v>
      </c>
    </row>
    <row r="35" spans="1:8" ht="13.5" thickBot="1">
      <c r="A35" s="275"/>
      <c r="B35" s="144" t="s">
        <v>72</v>
      </c>
      <c r="C35" s="139">
        <f>SUBTOTAL(9,C21:C34)</f>
        <v>0</v>
      </c>
      <c r="D35" s="124">
        <f t="shared" ref="D35" si="12">SUBTOTAL(9,D21:D34)</f>
        <v>0</v>
      </c>
      <c r="E35" s="125">
        <f t="shared" ref="E35" si="13">SUBTOTAL(9,E21:E34)</f>
        <v>0</v>
      </c>
      <c r="F35" s="126">
        <f t="shared" ref="F35" si="14">SUBTOTAL(9,F21:F34)</f>
        <v>0</v>
      </c>
      <c r="G35" s="126">
        <f t="shared" ref="G35" si="15">SUBTOTAL(9,G21:G34)</f>
        <v>0</v>
      </c>
      <c r="H35" s="127">
        <f t="shared" ref="H35" si="16">SUBTOTAL(9,H21:H34)</f>
        <v>0</v>
      </c>
    </row>
    <row r="36" spans="1:8" ht="13.5" thickBot="1">
      <c r="A36" s="268" t="s">
        <v>3</v>
      </c>
      <c r="B36" s="269"/>
      <c r="C36" s="111">
        <f>C35+C19</f>
        <v>0</v>
      </c>
      <c r="D36" s="101">
        <f>SUBTOTAL(9,D5:D35)</f>
        <v>0</v>
      </c>
      <c r="E36" s="102">
        <f>SUBTOTAL(9,E5:E35)</f>
        <v>0</v>
      </c>
      <c r="F36" s="112">
        <f>SUBTOTAL(9,F5:F35)</f>
        <v>0</v>
      </c>
      <c r="G36" s="113">
        <f>SUBTOTAL(9,G5:G35)</f>
        <v>0</v>
      </c>
      <c r="H36" s="114">
        <f>SUBTOTAL(9,H5:H35)</f>
        <v>0</v>
      </c>
    </row>
  </sheetData>
  <sheetProtection algorithmName="SHA-512" hashValue="2AV8owiYfpvLa9JzVg7ZRXlI0uf2vkGCdfwjyDkdk4EuDfm5gaBpYLISeFiz0BNp7R2ATY63k1bdUJXfnFkPTw==" saltValue="dVhrhcE+eh7sGbbQ88HDew==" spinCount="100000" sheet="1" objects="1" scenarios="1" selectLockedCells="1"/>
  <mergeCells count="6">
    <mergeCell ref="A36:B36"/>
    <mergeCell ref="C1:E1"/>
    <mergeCell ref="F1:H1"/>
    <mergeCell ref="A20:A35"/>
    <mergeCell ref="A4:A19"/>
    <mergeCell ref="A2:A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Q18"/>
  <sheetViews>
    <sheetView tabSelected="1" topLeftCell="B1" zoomScaleNormal="100" workbookViewId="0">
      <selection activeCell="O4" sqref="O4"/>
    </sheetView>
  </sheetViews>
  <sheetFormatPr defaultRowHeight="12.75"/>
  <cols>
    <col min="2" max="2" width="25.140625" bestFit="1" customWidth="1"/>
    <col min="10" max="10" width="27.85546875" customWidth="1"/>
  </cols>
  <sheetData>
    <row r="1" spans="1:17">
      <c r="C1" t="s">
        <v>14</v>
      </c>
    </row>
    <row r="2" spans="1:17">
      <c r="C2" t="s">
        <v>15</v>
      </c>
      <c r="D2" t="s">
        <v>11</v>
      </c>
      <c r="F2" t="s">
        <v>16</v>
      </c>
      <c r="G2" t="s">
        <v>17</v>
      </c>
      <c r="H2" t="s">
        <v>18</v>
      </c>
    </row>
    <row r="3" spans="1:17" ht="13.5" thickBot="1">
      <c r="C3" s="27">
        <f>'SJCPIL-R 15-082-05 Dia'!AH4</f>
        <v>0</v>
      </c>
      <c r="D3" s="27"/>
      <c r="K3" s="84" t="s">
        <v>53</v>
      </c>
      <c r="L3" t="s">
        <v>62</v>
      </c>
      <c r="M3" s="84" t="s">
        <v>54</v>
      </c>
      <c r="N3" t="s">
        <v>52</v>
      </c>
      <c r="O3" s="99" t="s">
        <v>46</v>
      </c>
      <c r="P3" t="s">
        <v>60</v>
      </c>
      <c r="Q3" s="28"/>
    </row>
    <row r="4" spans="1:17" ht="12.75" customHeight="1">
      <c r="A4" s="20">
        <v>1</v>
      </c>
      <c r="B4" s="79" t="s">
        <v>19</v>
      </c>
      <c r="C4" s="27">
        <f>'SJCPIL-R 15-082-05 Dia'!AH13</f>
        <v>0</v>
      </c>
      <c r="D4" s="27" t="e">
        <f t="shared" ref="D4:D18" si="0">C4/C$3*1000000</f>
        <v>#DIV/0!</v>
      </c>
      <c r="F4" s="27">
        <f>C4*1000+A4</f>
        <v>1</v>
      </c>
      <c r="G4">
        <f t="shared" ref="G4:G17" si="1">LARGE(F$4:F$17,A4)</f>
        <v>14</v>
      </c>
      <c r="H4">
        <f t="shared" ref="H4:H17" si="2">MATCH(G4,F$4:F$17,0)</f>
        <v>14</v>
      </c>
      <c r="J4" t="str">
        <f t="shared" ref="J4:J17" si="3">VLOOKUP(H4,A$4:D$17,2,TRUE)</f>
        <v>OUTROS</v>
      </c>
      <c r="K4" s="28" t="e">
        <f t="shared" ref="K4:K17" si="4">VLOOKUP(H4,A$4:D$17,4,FALSE)</f>
        <v>#DIV/0!</v>
      </c>
      <c r="L4" s="28">
        <f t="shared" ref="L4:L17" si="5">VLOOKUP(H4,A$4:C$17,3,FALSE)</f>
        <v>0</v>
      </c>
      <c r="M4" s="28">
        <f>L4</f>
        <v>0</v>
      </c>
      <c r="N4" s="28" t="e">
        <f>M4/M$17*100</f>
        <v>#DIV/0!</v>
      </c>
      <c r="O4" t="e">
        <f>IF(($D$18&gt;'SJCPIL-R 15-082-05 Dia'!E33)*('Dados para grafico'!N4&lt;80),0,'Dados para grafico'!L4)</f>
        <v>#DIV/0!</v>
      </c>
      <c r="P4" t="s">
        <v>61</v>
      </c>
    </row>
    <row r="5" spans="1:17">
      <c r="A5" s="21">
        <v>2</v>
      </c>
      <c r="B5" s="80" t="s">
        <v>20</v>
      </c>
      <c r="C5" s="27">
        <f>'SJCPIL-R 15-082-05 Dia'!AH14</f>
        <v>0</v>
      </c>
      <c r="D5" s="27" t="e">
        <f t="shared" si="0"/>
        <v>#DIV/0!</v>
      </c>
      <c r="F5" s="27">
        <f t="shared" ref="F5:F17" si="6">C5*1000+A5</f>
        <v>2</v>
      </c>
      <c r="G5">
        <f t="shared" si="1"/>
        <v>13</v>
      </c>
      <c r="H5">
        <f t="shared" si="2"/>
        <v>13</v>
      </c>
      <c r="J5" t="str">
        <f t="shared" si="3"/>
        <v>PILHA AMASSADA-ENCAIXOT.</v>
      </c>
      <c r="K5" s="28" t="e">
        <f t="shared" si="4"/>
        <v>#DIV/0!</v>
      </c>
      <c r="L5" s="28">
        <f t="shared" si="5"/>
        <v>0</v>
      </c>
      <c r="M5" s="28">
        <f>L5+M4</f>
        <v>0</v>
      </c>
      <c r="N5" s="28" t="e">
        <f t="shared" ref="N5:N17" si="7">M5/M$17*100</f>
        <v>#DIV/0!</v>
      </c>
      <c r="O5" t="e">
        <f>IF(($D$18&gt;'SJCPIL-R 15-082-05 Dia'!E34)*('Dados para grafico'!N5&lt;80),0,'Dados para grafico'!L5)</f>
        <v>#DIV/0!</v>
      </c>
    </row>
    <row r="6" spans="1:17">
      <c r="A6" s="21">
        <v>3</v>
      </c>
      <c r="B6" s="80" t="s">
        <v>27</v>
      </c>
      <c r="C6" s="27">
        <f>'SJCPIL-R 15-082-05 Dia'!AH15</f>
        <v>0</v>
      </c>
      <c r="D6" s="27" t="e">
        <f t="shared" si="0"/>
        <v>#DIV/0!</v>
      </c>
      <c r="F6" s="27">
        <f t="shared" si="6"/>
        <v>3</v>
      </c>
      <c r="G6">
        <f t="shared" si="1"/>
        <v>12</v>
      </c>
      <c r="H6">
        <f t="shared" si="2"/>
        <v>12</v>
      </c>
      <c r="J6" t="str">
        <f t="shared" si="3"/>
        <v>MANCHADA</v>
      </c>
      <c r="K6" s="28" t="e">
        <f t="shared" si="4"/>
        <v>#DIV/0!</v>
      </c>
      <c r="L6" s="28">
        <f t="shared" si="5"/>
        <v>0</v>
      </c>
      <c r="M6" s="28">
        <f t="shared" ref="M6:M17" si="8">L6+M5</f>
        <v>0</v>
      </c>
      <c r="N6" s="28" t="e">
        <f t="shared" si="7"/>
        <v>#DIV/0!</v>
      </c>
      <c r="O6" t="e">
        <f>IF(($D$18&gt;'SJCPIL-R 15-082-05 Dia'!E35)*('Dados para grafico'!N6&lt;80),0,'Dados para grafico'!L6)</f>
        <v>#DIV/0!</v>
      </c>
    </row>
    <row r="7" spans="1:17">
      <c r="A7" s="21">
        <v>4</v>
      </c>
      <c r="B7" s="80" t="s">
        <v>32</v>
      </c>
      <c r="C7" s="27">
        <f>'SJCPIL-R 15-082-05 Dia'!AH16</f>
        <v>0</v>
      </c>
      <c r="D7" s="27" t="e">
        <f t="shared" si="0"/>
        <v>#DIV/0!</v>
      </c>
      <c r="F7" s="27">
        <f t="shared" si="6"/>
        <v>4</v>
      </c>
      <c r="G7">
        <f t="shared" si="1"/>
        <v>11</v>
      </c>
      <c r="H7">
        <f t="shared" si="2"/>
        <v>11</v>
      </c>
      <c r="J7" t="str">
        <f t="shared" si="3"/>
        <v>RISCADA</v>
      </c>
      <c r="K7" s="28" t="e">
        <f t="shared" si="4"/>
        <v>#DIV/0!</v>
      </c>
      <c r="L7" s="28">
        <f t="shared" si="5"/>
        <v>0</v>
      </c>
      <c r="M7" s="28">
        <f t="shared" si="8"/>
        <v>0</v>
      </c>
      <c r="N7" s="28" t="e">
        <f t="shared" si="7"/>
        <v>#DIV/0!</v>
      </c>
      <c r="O7" t="e">
        <f>IF(($D$18&gt;'SJCPIL-R 15-082-05 Dia'!E36)*('Dados para grafico'!N7&lt;80),0,'Dados para grafico'!L7)</f>
        <v>#DIV/0!</v>
      </c>
    </row>
    <row r="8" spans="1:17">
      <c r="A8" s="21">
        <v>5</v>
      </c>
      <c r="B8" s="80" t="s">
        <v>28</v>
      </c>
      <c r="C8" s="27">
        <f>'SJCPIL-R 15-082-05 Dia'!AH17</f>
        <v>0</v>
      </c>
      <c r="D8" s="27" t="e">
        <f t="shared" si="0"/>
        <v>#DIV/0!</v>
      </c>
      <c r="F8" s="27">
        <f t="shared" si="6"/>
        <v>5</v>
      </c>
      <c r="G8">
        <f t="shared" si="1"/>
        <v>10</v>
      </c>
      <c r="H8">
        <f t="shared" si="2"/>
        <v>10</v>
      </c>
      <c r="J8" t="str">
        <f t="shared" si="3"/>
        <v>SEM BOTTOM PLATE</v>
      </c>
      <c r="K8" s="28" t="e">
        <f t="shared" si="4"/>
        <v>#DIV/0!</v>
      </c>
      <c r="L8" s="28">
        <f t="shared" si="5"/>
        <v>0</v>
      </c>
      <c r="M8" s="28">
        <f t="shared" si="8"/>
        <v>0</v>
      </c>
      <c r="N8" s="28" t="e">
        <f t="shared" si="7"/>
        <v>#DIV/0!</v>
      </c>
      <c r="O8" t="e">
        <f>IF(($D$18&gt;'SJCPIL-R 15-082-05 Dia'!E37)*('Dados para grafico'!N8&lt;80),0,'Dados para grafico'!L8)</f>
        <v>#DIV/0!</v>
      </c>
    </row>
    <row r="9" spans="1:17" ht="12.75" customHeight="1">
      <c r="A9" s="21">
        <v>6</v>
      </c>
      <c r="B9" s="82" t="s">
        <v>26</v>
      </c>
      <c r="C9" s="27">
        <f>'SJCPIL-R 15-082-05 Dia'!AH18</f>
        <v>0</v>
      </c>
      <c r="D9" s="27" t="e">
        <f t="shared" si="0"/>
        <v>#DIV/0!</v>
      </c>
      <c r="F9" s="27">
        <f t="shared" si="6"/>
        <v>6</v>
      </c>
      <c r="G9">
        <f t="shared" si="1"/>
        <v>9</v>
      </c>
      <c r="H9">
        <f t="shared" si="2"/>
        <v>9</v>
      </c>
      <c r="J9" t="str">
        <f t="shared" si="3"/>
        <v>SEM CAP</v>
      </c>
      <c r="K9" s="28" t="e">
        <f t="shared" si="4"/>
        <v>#DIV/0!</v>
      </c>
      <c r="L9" s="28">
        <f t="shared" si="5"/>
        <v>0</v>
      </c>
      <c r="M9" s="28">
        <f t="shared" si="8"/>
        <v>0</v>
      </c>
      <c r="N9" s="28" t="e">
        <f t="shared" si="7"/>
        <v>#DIV/0!</v>
      </c>
      <c r="O9" t="e">
        <f>IF(($D$18&gt;'SJCPIL-R 15-082-05 Dia'!E38)*('Dados para grafico'!N9&lt;80),0,'Dados para grafico'!L9)</f>
        <v>#DIV/0!</v>
      </c>
    </row>
    <row r="10" spans="1:17">
      <c r="A10" s="21">
        <v>7</v>
      </c>
      <c r="B10" s="80" t="s">
        <v>22</v>
      </c>
      <c r="C10" s="27">
        <f>'SJCPIL-R 15-082-05 Dia'!AH19</f>
        <v>0</v>
      </c>
      <c r="D10" s="27" t="e">
        <f t="shared" si="0"/>
        <v>#DIV/0!</v>
      </c>
      <c r="F10" s="27">
        <f t="shared" si="6"/>
        <v>7</v>
      </c>
      <c r="G10">
        <f t="shared" si="1"/>
        <v>8</v>
      </c>
      <c r="H10">
        <f t="shared" si="2"/>
        <v>8</v>
      </c>
      <c r="J10" t="str">
        <f t="shared" si="3"/>
        <v>SEM ARRUELA</v>
      </c>
      <c r="K10" s="28" t="e">
        <f t="shared" si="4"/>
        <v>#DIV/0!</v>
      </c>
      <c r="L10" s="28">
        <f t="shared" si="5"/>
        <v>0</v>
      </c>
      <c r="M10" s="28">
        <f t="shared" si="8"/>
        <v>0</v>
      </c>
      <c r="N10" s="28" t="e">
        <f t="shared" si="7"/>
        <v>#DIV/0!</v>
      </c>
      <c r="O10" t="e">
        <f>IF(($D$18&gt;'SJCPIL-R 15-082-05 Dia'!E39)*('Dados para grafico'!N10&lt;80),0,'Dados para grafico'!L10)</f>
        <v>#DIV/0!</v>
      </c>
    </row>
    <row r="11" spans="1:17">
      <c r="A11" s="21">
        <v>8</v>
      </c>
      <c r="B11" s="80" t="s">
        <v>23</v>
      </c>
      <c r="C11" s="27">
        <f>'SJCPIL-R 15-082-05 Dia'!AH20</f>
        <v>0</v>
      </c>
      <c r="D11" s="27" t="e">
        <f t="shared" si="0"/>
        <v>#DIV/0!</v>
      </c>
      <c r="F11" s="27">
        <f t="shared" si="6"/>
        <v>8</v>
      </c>
      <c r="G11">
        <f t="shared" si="1"/>
        <v>7</v>
      </c>
      <c r="H11">
        <f t="shared" si="2"/>
        <v>7</v>
      </c>
      <c r="J11" t="str">
        <f t="shared" si="3"/>
        <v>SEM ANEL VERMELHO</v>
      </c>
      <c r="K11" s="28" t="e">
        <f t="shared" si="4"/>
        <v>#DIV/0!</v>
      </c>
      <c r="L11" s="28">
        <f t="shared" si="5"/>
        <v>0</v>
      </c>
      <c r="M11" s="28">
        <f t="shared" si="8"/>
        <v>0</v>
      </c>
      <c r="N11" s="28" t="e">
        <f t="shared" si="7"/>
        <v>#DIV/0!</v>
      </c>
      <c r="O11" t="e">
        <f>IF(($D$18&gt;'SJCPIL-R 15-082-05 Dia'!E40)*('Dados para grafico'!N11&lt;80),0,'Dados para grafico'!L11)</f>
        <v>#DIV/0!</v>
      </c>
    </row>
    <row r="12" spans="1:17">
      <c r="A12" s="21">
        <v>9</v>
      </c>
      <c r="B12" s="80" t="s">
        <v>24</v>
      </c>
      <c r="C12" s="27">
        <f>'SJCPIL-R 15-082-05 Dia'!AH21</f>
        <v>0</v>
      </c>
      <c r="D12" s="27" t="e">
        <f t="shared" si="0"/>
        <v>#DIV/0!</v>
      </c>
      <c r="F12" s="27">
        <f t="shared" si="6"/>
        <v>9</v>
      </c>
      <c r="G12">
        <f t="shared" si="1"/>
        <v>6</v>
      </c>
      <c r="H12">
        <f t="shared" si="2"/>
        <v>6</v>
      </c>
      <c r="J12" t="str">
        <f t="shared" si="3"/>
        <v>PILHA AMASSADA PELA FACA</v>
      </c>
      <c r="K12" s="28" t="e">
        <f t="shared" si="4"/>
        <v>#DIV/0!</v>
      </c>
      <c r="L12" s="28">
        <f t="shared" si="5"/>
        <v>0</v>
      </c>
      <c r="M12" s="28">
        <f t="shared" si="8"/>
        <v>0</v>
      </c>
      <c r="N12" s="28" t="e">
        <f t="shared" si="7"/>
        <v>#DIV/0!</v>
      </c>
      <c r="O12" t="e">
        <f>IF(($D$18&gt;'SJCPIL-R 15-082-05 Dia'!E41)*('Dados para grafico'!N12&lt;80),0,'Dados para grafico'!L12)</f>
        <v>#DIV/0!</v>
      </c>
    </row>
    <row r="13" spans="1:17">
      <c r="A13" s="21">
        <v>10</v>
      </c>
      <c r="B13" s="80" t="s">
        <v>25</v>
      </c>
      <c r="C13" s="27">
        <f>'SJCPIL-R 15-082-05 Dia'!AH22</f>
        <v>0</v>
      </c>
      <c r="D13" s="27" t="e">
        <f t="shared" si="0"/>
        <v>#DIV/0!</v>
      </c>
      <c r="F13" s="27">
        <f t="shared" si="6"/>
        <v>10</v>
      </c>
      <c r="G13">
        <f t="shared" si="1"/>
        <v>5</v>
      </c>
      <c r="H13">
        <f t="shared" si="2"/>
        <v>5</v>
      </c>
      <c r="J13" t="str">
        <f t="shared" si="3"/>
        <v>OUTROS</v>
      </c>
      <c r="K13" s="28" t="e">
        <f t="shared" si="4"/>
        <v>#DIV/0!</v>
      </c>
      <c r="L13" s="28">
        <f t="shared" si="5"/>
        <v>0</v>
      </c>
      <c r="M13" s="28">
        <f t="shared" si="8"/>
        <v>0</v>
      </c>
      <c r="N13" s="28" t="e">
        <f t="shared" si="7"/>
        <v>#DIV/0!</v>
      </c>
      <c r="O13" t="e">
        <f>IF(($D$18&gt;'SJCPIL-R 15-082-05 Dia'!E42)*('Dados para grafico'!N13&lt;80),0,'Dados para grafico'!L13)</f>
        <v>#DIV/0!</v>
      </c>
    </row>
    <row r="14" spans="1:17" ht="13.5" thickBot="1">
      <c r="A14" s="22">
        <v>11</v>
      </c>
      <c r="B14" s="80" t="s">
        <v>30</v>
      </c>
      <c r="C14" s="27">
        <f>'SJCPIL-R 15-082-05 Dia'!AH23</f>
        <v>0</v>
      </c>
      <c r="D14" s="27" t="e">
        <f t="shared" si="0"/>
        <v>#DIV/0!</v>
      </c>
      <c r="F14" s="27">
        <f t="shared" si="6"/>
        <v>11</v>
      </c>
      <c r="G14">
        <f t="shared" si="1"/>
        <v>4</v>
      </c>
      <c r="H14">
        <f t="shared" si="2"/>
        <v>4</v>
      </c>
      <c r="J14" t="str">
        <f t="shared" si="3"/>
        <v>FALHA DE SOLDAGEM</v>
      </c>
      <c r="K14" s="28" t="e">
        <f t="shared" si="4"/>
        <v>#DIV/0!</v>
      </c>
      <c r="L14" s="28">
        <f t="shared" si="5"/>
        <v>0</v>
      </c>
      <c r="M14" s="28">
        <f t="shared" si="8"/>
        <v>0</v>
      </c>
      <c r="N14" s="28" t="e">
        <f t="shared" si="7"/>
        <v>#DIV/0!</v>
      </c>
      <c r="O14" t="e">
        <f>IF(($D$18&gt;'SJCPIL-R 15-082-05 Dia'!E43)*('Dados para grafico'!N14&lt;80),0,'Dados para grafico'!L14)</f>
        <v>#DIV/0!</v>
      </c>
    </row>
    <row r="15" spans="1:17" ht="12.75" customHeight="1">
      <c r="A15" s="20">
        <v>12</v>
      </c>
      <c r="B15" s="80" t="s">
        <v>31</v>
      </c>
      <c r="C15" s="27">
        <f>'SJCPIL-R 15-082-05 Dia'!AH24</f>
        <v>0</v>
      </c>
      <c r="D15" s="27" t="e">
        <f t="shared" si="0"/>
        <v>#DIV/0!</v>
      </c>
      <c r="F15" s="27">
        <f t="shared" si="6"/>
        <v>12</v>
      </c>
      <c r="G15">
        <f t="shared" si="1"/>
        <v>3</v>
      </c>
      <c r="H15">
        <f t="shared" si="2"/>
        <v>3</v>
      </c>
      <c r="J15" t="str">
        <f t="shared" si="3"/>
        <v>SHRINK FROUXO</v>
      </c>
      <c r="K15" s="28" t="e">
        <f t="shared" si="4"/>
        <v>#DIV/0!</v>
      </c>
      <c r="L15" s="28">
        <f t="shared" si="5"/>
        <v>0</v>
      </c>
      <c r="M15" s="28">
        <f t="shared" si="8"/>
        <v>0</v>
      </c>
      <c r="N15" s="28" t="e">
        <f t="shared" si="7"/>
        <v>#DIV/0!</v>
      </c>
      <c r="O15" t="e">
        <f>IF(($D$18&gt;'SJCPIL-R 15-082-05 Dia'!E44)*('Dados para grafico'!N15&lt;80),0,'Dados para grafico'!L15)</f>
        <v>#DIV/0!</v>
      </c>
    </row>
    <row r="16" spans="1:17">
      <c r="A16" s="21">
        <v>13</v>
      </c>
      <c r="B16" s="80" t="s">
        <v>49</v>
      </c>
      <c r="C16" s="27">
        <f>'SJCPIL-R 15-082-05 Dia'!AH25</f>
        <v>0</v>
      </c>
      <c r="D16" s="27" t="e">
        <f t="shared" si="0"/>
        <v>#DIV/0!</v>
      </c>
      <c r="F16" s="27">
        <f t="shared" si="6"/>
        <v>13</v>
      </c>
      <c r="G16">
        <f t="shared" si="1"/>
        <v>2</v>
      </c>
      <c r="H16">
        <f t="shared" si="2"/>
        <v>2</v>
      </c>
      <c r="J16" t="str">
        <f t="shared" si="3"/>
        <v>SHRINK MAL ENCOLHIDO</v>
      </c>
      <c r="K16" s="28" t="e">
        <f t="shared" si="4"/>
        <v>#DIV/0!</v>
      </c>
      <c r="L16" s="28">
        <f t="shared" si="5"/>
        <v>0</v>
      </c>
      <c r="M16" s="28">
        <f t="shared" si="8"/>
        <v>0</v>
      </c>
      <c r="N16" s="28" t="e">
        <f t="shared" si="7"/>
        <v>#DIV/0!</v>
      </c>
      <c r="O16" t="e">
        <f>IF(($D$18&gt;'SJCPIL-R 15-082-05 Dia'!E45)*('Dados para grafico'!N16&lt;80),0,'Dados para grafico'!L16)</f>
        <v>#DIV/0!</v>
      </c>
    </row>
    <row r="17" spans="1:15" ht="13.5" thickBot="1">
      <c r="A17" s="21">
        <v>14</v>
      </c>
      <c r="B17" s="83" t="s">
        <v>28</v>
      </c>
      <c r="C17" s="27">
        <f>'SJCPIL-R 15-082-05 Dia'!AH26</f>
        <v>0</v>
      </c>
      <c r="D17" s="27" t="e">
        <f t="shared" si="0"/>
        <v>#DIV/0!</v>
      </c>
      <c r="F17" s="27">
        <f t="shared" si="6"/>
        <v>14</v>
      </c>
      <c r="G17">
        <f t="shared" si="1"/>
        <v>1</v>
      </c>
      <c r="H17">
        <f t="shared" si="2"/>
        <v>1</v>
      </c>
      <c r="J17" t="str">
        <f t="shared" si="3"/>
        <v>SHRINK MAL CORTADO</v>
      </c>
      <c r="K17" s="28" t="e">
        <f t="shared" si="4"/>
        <v>#DIV/0!</v>
      </c>
      <c r="L17" s="28">
        <f t="shared" si="5"/>
        <v>0</v>
      </c>
      <c r="M17" s="28">
        <f t="shared" si="8"/>
        <v>0</v>
      </c>
      <c r="N17" s="28" t="e">
        <f t="shared" si="7"/>
        <v>#DIV/0!</v>
      </c>
      <c r="O17" t="e">
        <f>IF(($D$18&gt;'SJCPIL-R 15-082-05 Dia'!E46)*('Dados para grafico'!N17&lt;80),0,'Dados para grafico'!L17)</f>
        <v>#DIV/0!</v>
      </c>
    </row>
    <row r="18" spans="1:15">
      <c r="A18" s="228" t="s">
        <v>2</v>
      </c>
      <c r="B18" s="230"/>
      <c r="C18" s="27">
        <f>'SJCPIL-R 15-082-05 Dia'!AH27</f>
        <v>0</v>
      </c>
      <c r="D18" s="27" t="e">
        <f t="shared" si="0"/>
        <v>#DIV/0!</v>
      </c>
      <c r="K18" s="28"/>
    </row>
  </sheetData>
  <sheetProtection algorithmName="SHA-512" hashValue="AbkeTlf8avVYb8gSKI/8tGcLjsIXE5R8lBPDa3BdSAQpRJWqRQwP0XD416AkGPy27nE9dOlqFao5lVKWik3a9g==" saltValue="64WSgsMaiDHJ9yRi7IBrDw==" spinCount="100000" sheet="1" objects="1" scenarios="1" selectLockedCells="1"/>
  <mergeCells count="1">
    <mergeCell ref="A18:B1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SJCPIL-R 15-082-05 Dia</vt:lpstr>
      <vt:lpstr>SJCPIL-R 15-082-05 Noite</vt:lpstr>
      <vt:lpstr>Resumo de Falhas</vt:lpstr>
      <vt:lpstr>Resumo para Custo</vt:lpstr>
      <vt:lpstr>Dados para grafico</vt:lpstr>
      <vt:lpstr>'SJCPIL-R 15-082-05 Dia'!Area_de_impressao</vt:lpstr>
      <vt:lpstr>'SJCPIL-R 15-082-05 Noite'!Area_de_impressao</vt:lpstr>
      <vt:lpstr>'SJCPIL-R 15-082-05 Noite'!F7.47</vt:lpstr>
      <vt:lpstr>F7.47</vt:lpstr>
      <vt:lpstr>FALHAS_UM3SH2D</vt:lpstr>
      <vt:lpstr>'SJCPIL-R 15-082-05 Noite'!FALHAS_UM3SH2N</vt:lpstr>
      <vt:lpstr>produtos</vt:lpstr>
      <vt:lpstr>TOTAL_UM3SH2_D</vt:lpstr>
      <vt:lpstr>'SJCPIL-R 15-082-05 Noite'!TOTAL_UM3SH2_N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2021-05-24T14:02:17Z</cp:lastPrinted>
  <dcterms:created xsi:type="dcterms:W3CDTF">2003-08-12T11:40:09Z</dcterms:created>
  <dcterms:modified xsi:type="dcterms:W3CDTF">2022-02-21T12:00:29Z</dcterms:modified>
</cp:coreProperties>
</file>