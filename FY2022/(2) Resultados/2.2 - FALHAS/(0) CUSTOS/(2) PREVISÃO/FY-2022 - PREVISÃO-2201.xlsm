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DADOS\PIL\PUB\QUALIDADE\FY2022\(2) Resultados\2.2 - FALHAS\(0) CUSTOS\(2) PREVISÃO\"/>
    </mc:Choice>
  </mc:AlternateContent>
  <xr:revisionPtr revIDLastSave="0" documentId="13_ncr:1_{F1144819-0929-4D94-B85D-2098AD83881D}" xr6:coauthVersionLast="47" xr6:coauthVersionMax="47" xr10:uidLastSave="{00000000-0000-0000-0000-000000000000}"/>
  <bookViews>
    <workbookView xWindow="-120" yWindow="-120" windowWidth="29040" windowHeight="16440" tabRatio="841" firstSheet="1" activeTab="3" xr2:uid="{00000000-000D-0000-FFFF-FFFF00000000}"/>
  </bookViews>
  <sheets>
    <sheet name="Configurações" sheetId="29" r:id="rId1"/>
    <sheet name="Prod &amp; Defects - Qty" sheetId="20" r:id="rId2"/>
    <sheet name="Prod &amp; Defects - Costs" sheetId="26" r:id="rId3"/>
    <sheet name="Falhas UM-1 - Qty" sheetId="1" r:id="rId4"/>
    <sheet name="Falhas UM-1 - Cost" sheetId="2" r:id="rId5"/>
    <sheet name="Falhas UM-3-1 Qty" sheetId="21" r:id="rId6"/>
    <sheet name="Falhas UM-3-1 Cost" sheetId="23" r:id="rId7"/>
    <sheet name="Falhas UM-3-2 Qty" sheetId="22" r:id="rId8"/>
    <sheet name="Falhas UM-3-2 Cost" sheetId="24" r:id="rId9"/>
    <sheet name="Falhas UM-4 Qty" sheetId="15" r:id="rId10"/>
    <sheet name="Falhas UM-4 Cost" sheetId="16" r:id="rId11"/>
    <sheet name="BLIND-PVC-PRE - Qty" sheetId="9" r:id="rId12"/>
    <sheet name="BLIND-PVC-PRE - Cost" sheetId="28" r:id="rId13"/>
    <sheet name="SM - Qty" sheetId="18" r:id="rId14"/>
    <sheet name="SM Cost" sheetId="19" r:id="rId15"/>
    <sheet name="RESUMO - QLOSS-BP" sheetId="27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ArqNome">MID(CELL("nome.arquivo"),SEARCH("[",CELL("nome.arquivo"))+1,SEARCH("]",CELL("nome.arquivo"))-SEARCH("[",CELL("nome.arquivo"))-1)</definedName>
    <definedName name="BLD_BP">'BLIND-PVC-PRE - Cost'!$F$23:$Q$23</definedName>
    <definedName name="bld_BP_y">OFFSET('BLIND-PVC-PRE - Cost'!$F$23,,,,COUNTA('BLIND-PVC-PRE - Cost'!$F$23:$Q$23))</definedName>
    <definedName name="bld_Total_y">OFFSET('BLIND-PVC-PRE - Cost'!$F$22,,,,COUNTA('BLIND-PVC-PRE - Cost'!$F$22:$Q$22))</definedName>
    <definedName name="BLD_TotalQloss">'BLIND-PVC-PRE - Cost'!$F$22:$Q$22</definedName>
    <definedName name="bld_um1_y">OFFSET('BLIND-PVC-PRE - Cost'!$F$10,0,0,,COUNTA('BLIND-PVC-PRE - Cost'!$F$10:$Q$10))</definedName>
    <definedName name="bld_um3_y">OFFSET('BLIND-PVC-PRE - Cost'!$F$58,,,,COUNTA('BLIND-PVC-PRE - Cost'!$F$58:$Q$58))</definedName>
    <definedName name="Custo_LR6">Configurações!$C$15</definedName>
    <definedName name="Custo_UM_1">Configurações!$C$12</definedName>
    <definedName name="Custo_UM_3">Configurações!$C$13</definedName>
    <definedName name="Custo_UM_4">Configurações!$C$14</definedName>
    <definedName name="LinUM1_BP" localSheetId="12">OFFSET('[1]Falhas UM-1 - Cost'!$F$70,0,0,,COUNTIF('[1]Falhas UM-1 - Cost'!$F$69:$Q$69,"&gt;0"))</definedName>
    <definedName name="LinUM1_BP">OFFSET('Falhas UM-1 - Cost'!$F$70,0,0,,COUNTIF('Falhas UM-1 - Cost'!$F$69:$Q$69,"&gt;0"))</definedName>
    <definedName name="LinUM1_X" localSheetId="12">OFFSET('[1]Falhas UM-1 - Cost'!$F$5,0,0,,COUNTIF('[1]Falhas UM-1 - Cost'!$F$69:$Q$69,"&gt;0"))</definedName>
    <definedName name="LinUM1_X">OFFSET('Falhas UM-1 - Cost'!$F$5,0,0,,COUNTIF('Falhas UM-1 - Cost'!$F$69:$Q$69,"&gt;0"))</definedName>
    <definedName name="LinUM1_Y" localSheetId="12">OFFSET('[1]Falhas UM-1 - Cost'!$F$69,0,0,1,COUNTIF('[1]Falhas UM-1 - Cost'!$F$69:$Q$69,"&gt;0"))</definedName>
    <definedName name="LinUM1_Y">OFFSET('Falhas UM-1 - Cost'!$F$69,0,0,1,COUNTIF('Falhas UM-1 - Cost'!$F$69:$Q$69,"&gt;0"))</definedName>
    <definedName name="LinUM31_BP" localSheetId="12">OFFSET('[1]Falhas UM-3-1 Cost'!$E$66,0,0,,COUNTIF('[1]Falhas UM-3-1 Cost'!$E$65:$P$65,"&gt;0"))</definedName>
    <definedName name="LinUM31_BP">OFFSET('Falhas UM-3-1 Cost'!$E$65,0,0,,COUNTIF('Falhas UM-3-1 Cost'!$E$64:$P$64,"&gt;0"))</definedName>
    <definedName name="LinUM31_X" localSheetId="12">OFFSET('[1]Falhas UM-3-1 Cost'!$E$4,0,0,,COUNTIF('[1]Falhas UM-3-1 Cost'!$E$65:$P$65,"&gt;0"))</definedName>
    <definedName name="LinUM31_X">OFFSET('Falhas UM-3-1 Cost'!$E$4,0,0,,COUNTIF('Falhas UM-3-1 Cost'!$E$64:$P$64,"&gt;0"))</definedName>
    <definedName name="LinUM31_Y">OFFSET('Falhas UM-3-1 Cost'!$E$64,0,0,,COUNTIF('Falhas UM-3-1 Cost'!$E$64:$P$64,"&gt;0"))</definedName>
    <definedName name="LinUM32_BP">OFFSET('Falhas UM-3-2 Cost'!$E$65,0,0,,COUNTIF('Falhas UM-3-2 Cost'!$E$64:$P$64,"&gt;0"))</definedName>
    <definedName name="LinUM32_X">OFFSET('Falhas UM-3-2 Cost'!$E$5,0,0,,COUNTIF('Falhas UM-3-2 Cost'!$E$64:$P$64,"&gt;0"))</definedName>
    <definedName name="LinUM32_Y">OFFSET('Falhas UM-3-2 Cost'!$E$64,0,0,,COUNTIF('Falhas UM-3-2 Cost'!$E$64:$P$64,"&gt;0"))</definedName>
    <definedName name="LinUM4_BP">OFFSET('Falhas UM-4 Cost'!$E$70,0,0,,COUNTIF('Falhas UM-4 Cost'!$E$69:$P$69,"&gt;0"))</definedName>
    <definedName name="LinUM4_X">OFFSET('Falhas UM-4 Cost'!$E$5,0,0,,COUNTIF('Falhas UM-4 Cost'!$E$69:$P$69,"&gt;0"))</definedName>
    <definedName name="LinUM4_Y">OFFSET('Falhas UM-4 Cost'!$E$69,0,0,,COUNTIF('Falhas UM-4 Cost'!$E$69:$P$69,"&gt;0"))</definedName>
    <definedName name="período">OFFSET('BLIND-PVC-PRE - Cost'!$F$5,,,,COUNTA('BLIND-PVC-PRE - Cost'!$F$6:$Q$6))</definedName>
    <definedName name="PesoPVC_UM1">Configurações!$C$8</definedName>
    <definedName name="PesoPVC_UM3">Configurações!$C$9</definedName>
    <definedName name="pre_BP_y">OFFSET('BLIND-PVC-PRE - Cost'!$F$33,,,,COUNTA('BLIND-PVC-PRE - Cost'!$F$33:$Q$33))</definedName>
    <definedName name="pre_Total_y">OFFSET('BLIND-PVC-PRE - Cost'!$F$32,,,,COUNTA('BLIND-PVC-PRE - Cost'!$F$32:$Q$32))</definedName>
    <definedName name="pre_um1_y">OFFSET('BLIND-PVC-PRE - Cost'!$F$29,,,,COUNTA('BLIND-PVC-PRE - Cost'!$F$29:$Q$29))</definedName>
    <definedName name="pre_UM3_y">OFFSET('BLIND-PVC-PRE - Cost'!$F$30,,,,COUNTA('BLIND-PVC-PRE - Cost'!$F$30:$Q$30))</definedName>
    <definedName name="pre_UM4_y">OFFSET('BLIND-PVC-PRE - Cost'!$F$31,,,,COUNTA('BLIND-PVC-PRE - Cost'!$F$31:$Q$31))</definedName>
    <definedName name="PRENSA_BP">'BLIND-PVC-PRE - Cost'!$F$33:$Q$33</definedName>
    <definedName name="PRENSA_Qloss">'BLIND-PVC-PRE - Cost'!$F$32:$Q$32</definedName>
    <definedName name="PVC_BP">'BLIND-PVC-PRE - Cost'!$F$28:$Q$28</definedName>
    <definedName name="pvc_BP_y">OFFSET('BLIND-PVC-PRE - Cost'!$F$28,,,,COUNTA('BLIND-PVC-PRE - Cost'!$F$27:$Q$27))</definedName>
    <definedName name="PVC_Qloss">'BLIND-PVC-PRE - Cost'!$F$27:$Q$27</definedName>
    <definedName name="pvc_Total_y">OFFSET('BLIND-PVC-PRE - Cost'!$F$27,,,,COUNTA('BLIND-PVC-PRE - Cost'!$F$27:$Q$27))</definedName>
    <definedName name="pvc_um1_y">OFFSET('BLIND-PVC-PRE - Cost'!$F$24,,,,COUNTA('BLIND-PVC-PRE - Cost'!$F$24:$Q$24))</definedName>
    <definedName name="pvc_um3_y">OFFSET('BLIND-PVC-PRE - Cost'!$F$25,,,,COUNTA('BLIND-PVC-PRE - Cost'!$F$25:$Q$25))</definedName>
    <definedName name="Redutor">Configurações!$D$5</definedName>
    <definedName name="SM_Qloss">'SM Cost'!$F$42:$Q$42</definedName>
    <definedName name="UM1_BP">'Falhas UM-1 - Cost'!$F$70:$Q$70</definedName>
    <definedName name="UM1_Qloss">'Falhas UM-1 - Cost'!$F$69:$Q$69</definedName>
    <definedName name="UM3L1_BP">'Falhas UM-3-1 Cost'!$E$65:$P$65</definedName>
    <definedName name="UM3L1_Qloss">'Falhas UM-3-1 Cost'!$E$64:$P$64</definedName>
    <definedName name="UM3L2_BP">'Falhas UM-3-2 Cost'!$E$65:$P$65</definedName>
    <definedName name="UM3L2_Qloss">'Falhas UM-3-2 Cost'!$E$64:$P$64</definedName>
    <definedName name="UM4_BP">'Falhas UM-4 Cost'!$E$70:$P$70</definedName>
    <definedName name="UM4_Qloss">'Falhas UM-4 Cost'!$E$69:$P$69</definedName>
    <definedName name="V_BLD_UM1_BM1">Configurações!$H$7</definedName>
    <definedName name="V_BLD_UM1_BM2">Configurações!$H$8</definedName>
    <definedName name="V_BLD_UM1_BM3">Configurações!$H$9</definedName>
    <definedName name="V_BLD_UM3_BM1">Configurações!$H$11</definedName>
    <definedName name="V_BLD_UM3_BM2">Configurações!$H$12</definedName>
    <definedName name="V_BLD_UM3_BM3">Configurações!$H$13</definedName>
    <definedName name="V_BLD_UM3_BM4">Configurações!$H$14</definedName>
    <definedName name="V_BLD_UM3_BM5">Configurações!$H$15</definedName>
    <definedName name="V_BLD_UM3_OP1">Configurações!$H$17</definedName>
    <definedName name="V_BLD_UM3_OP2">Configurações!$H$18</definedName>
    <definedName name="V_BLD_UM3_OP3">Configurações!$H$19</definedName>
    <definedName name="V_BLD_UM3_OP4">Configurações!$H$20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42" i="18" l="1"/>
  <c r="V41" i="18"/>
  <c r="V40" i="18"/>
  <c r="V39" i="18"/>
  <c r="V38" i="18"/>
  <c r="V37" i="18"/>
  <c r="V30" i="18"/>
  <c r="T42" i="18"/>
  <c r="T41" i="18"/>
  <c r="T40" i="18"/>
  <c r="T39" i="18"/>
  <c r="T38" i="18"/>
  <c r="T37" i="18"/>
  <c r="T30" i="18"/>
  <c r="R42" i="18"/>
  <c r="R41" i="18"/>
  <c r="R40" i="18"/>
  <c r="R39" i="18"/>
  <c r="R38" i="18"/>
  <c r="R37" i="18"/>
  <c r="R30" i="18"/>
  <c r="E36" i="19"/>
  <c r="E35" i="19"/>
  <c r="E33" i="19"/>
  <c r="E32" i="19"/>
  <c r="E31" i="19"/>
  <c r="E28" i="19"/>
  <c r="E27" i="19"/>
  <c r="E26" i="19"/>
  <c r="E24" i="19"/>
  <c r="E23" i="19"/>
  <c r="E22" i="19"/>
  <c r="E20" i="19"/>
  <c r="E19" i="19"/>
  <c r="E18" i="19"/>
  <c r="E16" i="19"/>
  <c r="E15" i="19"/>
  <c r="E14" i="19"/>
  <c r="E12" i="19"/>
  <c r="E11" i="19"/>
  <c r="E10" i="19"/>
  <c r="E8" i="19"/>
  <c r="E7" i="19"/>
  <c r="E6" i="19"/>
  <c r="D55" i="16"/>
  <c r="D56" i="16"/>
  <c r="D57" i="16"/>
  <c r="D58" i="16"/>
  <c r="D59" i="16"/>
  <c r="D60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6" i="16"/>
  <c r="D7" i="16"/>
  <c r="D8" i="16"/>
  <c r="D9" i="16"/>
  <c r="D10" i="16"/>
  <c r="D11" i="16"/>
  <c r="D12" i="16"/>
  <c r="D13" i="16"/>
  <c r="D14" i="16"/>
  <c r="E29" i="28"/>
  <c r="E30" i="28"/>
  <c r="E31" i="28"/>
  <c r="E24" i="28"/>
  <c r="E2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D62" i="16"/>
  <c r="D61" i="16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N64" i="15"/>
  <c r="O64" i="15"/>
  <c r="P64" i="15"/>
  <c r="N65" i="15"/>
  <c r="O65" i="15"/>
  <c r="P65" i="15"/>
  <c r="N60" i="21" l="1"/>
  <c r="O60" i="21"/>
  <c r="P60" i="21"/>
  <c r="N59" i="21"/>
  <c r="O59" i="21"/>
  <c r="P59" i="21"/>
  <c r="Q29" i="20" a="1"/>
  <c r="Q29" i="20" s="1"/>
  <c r="Q28" i="20" s="1" a="1"/>
  <c r="Q28" i="20" s="1"/>
  <c r="P29" i="20" a="1"/>
  <c r="P29" i="20" s="1"/>
  <c r="P28" i="20" s="1" a="1"/>
  <c r="P28" i="20" s="1"/>
  <c r="O29" i="20" a="1"/>
  <c r="O29" i="20" s="1"/>
  <c r="O28" i="20" s="1" a="1"/>
  <c r="O28" i="20" s="1"/>
  <c r="N29" i="20" a="1"/>
  <c r="N29" i="20" s="1"/>
  <c r="N28" i="20" s="1" a="1"/>
  <c r="N28" i="20" s="1"/>
  <c r="M29" i="20" a="1"/>
  <c r="M29" i="20" s="1"/>
  <c r="M28" i="20" s="1" a="1"/>
  <c r="M28" i="20" s="1"/>
  <c r="L29" i="20" a="1"/>
  <c r="L29" i="20" s="1"/>
  <c r="L28" i="20" s="1" a="1"/>
  <c r="L28" i="20" s="1"/>
  <c r="K29" i="20" a="1"/>
  <c r="K29" i="20" s="1"/>
  <c r="K28" i="20" s="1" a="1"/>
  <c r="K28" i="20" s="1"/>
  <c r="J29" i="20" a="1"/>
  <c r="J29" i="20" s="1"/>
  <c r="J28" i="20" s="1" a="1"/>
  <c r="J28" i="20" s="1"/>
  <c r="I29" i="20" a="1"/>
  <c r="I29" i="20" s="1"/>
  <c r="I28" i="20" s="1" a="1"/>
  <c r="I28" i="20" s="1"/>
  <c r="H29" i="20" a="1"/>
  <c r="H29" i="20" s="1"/>
  <c r="H28" i="20" s="1" a="1"/>
  <c r="H28" i="20" s="1"/>
  <c r="G29" i="20" a="1"/>
  <c r="G29" i="20" s="1"/>
  <c r="G28" i="20" s="1" a="1"/>
  <c r="G28" i="20" s="1"/>
  <c r="F29" i="20" a="1"/>
  <c r="F29" i="20" s="1"/>
  <c r="F28" i="20" s="1" a="1"/>
  <c r="F28" i="20" s="1"/>
  <c r="Q27" i="20" a="1"/>
  <c r="Q27" i="20" s="1"/>
  <c r="P27" i="20" a="1"/>
  <c r="P27" i="20" s="1"/>
  <c r="O27" i="20" a="1"/>
  <c r="O27" i="20" s="1"/>
  <c r="N27" i="20" a="1"/>
  <c r="N27" i="20" s="1"/>
  <c r="M27" i="20" a="1"/>
  <c r="M27" i="20" s="1"/>
  <c r="L27" i="20" a="1"/>
  <c r="L27" i="20" s="1"/>
  <c r="K27" i="20" a="1"/>
  <c r="K27" i="20" s="1"/>
  <c r="J27" i="20" a="1"/>
  <c r="J27" i="20" s="1"/>
  <c r="I27" i="20" a="1"/>
  <c r="I27" i="20" s="1"/>
  <c r="H27" i="20" a="1"/>
  <c r="H27" i="20" s="1"/>
  <c r="G27" i="20" a="1"/>
  <c r="G27" i="20" s="1"/>
  <c r="F27" i="20" a="1"/>
  <c r="F27" i="20" s="1"/>
  <c r="C15" i="29"/>
  <c r="R29" i="26" l="1" a="1"/>
  <c r="R29" i="26" s="1"/>
  <c r="R28" i="26" s="1" a="1"/>
  <c r="R28" i="26" s="1"/>
  <c r="Q29" i="26" a="1"/>
  <c r="Q29" i="26" s="1"/>
  <c r="Q28" i="26" s="1" a="1"/>
  <c r="Q28" i="26" s="1"/>
  <c r="P29" i="26" a="1"/>
  <c r="P29" i="26" s="1"/>
  <c r="P28" i="26" s="1" a="1"/>
  <c r="P28" i="26" s="1"/>
  <c r="O29" i="26" a="1"/>
  <c r="O29" i="26" s="1"/>
  <c r="O28" i="26" s="1" a="1"/>
  <c r="O28" i="26" s="1"/>
  <c r="N29" i="26" a="1"/>
  <c r="N29" i="26" s="1"/>
  <c r="N28" i="26" s="1" a="1"/>
  <c r="N28" i="26" s="1"/>
  <c r="M29" i="26" a="1"/>
  <c r="M29" i="26" s="1"/>
  <c r="M28" i="26" s="1" a="1"/>
  <c r="M28" i="26" s="1"/>
  <c r="L29" i="26" a="1"/>
  <c r="L29" i="26" s="1"/>
  <c r="L28" i="26" s="1" a="1"/>
  <c r="L28" i="26" s="1"/>
  <c r="K29" i="26" a="1"/>
  <c r="K29" i="26" s="1"/>
  <c r="K28" i="26" s="1" a="1"/>
  <c r="K28" i="26" s="1"/>
  <c r="J29" i="26" a="1"/>
  <c r="J29" i="26" s="1"/>
  <c r="J28" i="26" s="1" a="1"/>
  <c r="J28" i="26" s="1"/>
  <c r="I29" i="26" a="1"/>
  <c r="I29" i="26" s="1"/>
  <c r="I28" i="26" s="1" a="1"/>
  <c r="I28" i="26" s="1"/>
  <c r="H29" i="26" a="1"/>
  <c r="H29" i="26" s="1"/>
  <c r="H28" i="26" s="1" a="1"/>
  <c r="H28" i="26" s="1"/>
  <c r="G29" i="26" a="1"/>
  <c r="G29" i="26" s="1"/>
  <c r="G28" i="26" s="1" a="1"/>
  <c r="G28" i="26" s="1"/>
  <c r="R27" i="26" a="1"/>
  <c r="R27" i="26" s="1"/>
  <c r="Q27" i="26" a="1"/>
  <c r="Q27" i="26" s="1"/>
  <c r="P27" i="26" a="1"/>
  <c r="P27" i="26" s="1"/>
  <c r="O27" i="26" a="1"/>
  <c r="O27" i="26" s="1"/>
  <c r="N27" i="26" a="1"/>
  <c r="N27" i="26" s="1"/>
  <c r="M27" i="26" a="1"/>
  <c r="M27" i="26" s="1"/>
  <c r="L27" i="26" a="1"/>
  <c r="L27" i="26" s="1"/>
  <c r="K27" i="26" a="1"/>
  <c r="K27" i="26" s="1"/>
  <c r="J27" i="26" a="1"/>
  <c r="J27" i="26" s="1"/>
  <c r="I27" i="26" a="1"/>
  <c r="I27" i="26" s="1"/>
  <c r="H27" i="26" a="1"/>
  <c r="H27" i="26" s="1"/>
  <c r="G27" i="26" a="1"/>
  <c r="G27" i="26" s="1"/>
  <c r="E40" i="18" l="1"/>
  <c r="E39" i="18"/>
  <c r="E38" i="18"/>
  <c r="E34" i="18"/>
  <c r="E30" i="18"/>
  <c r="E29" i="18"/>
  <c r="E25" i="18"/>
  <c r="E21" i="18"/>
  <c r="E17" i="18"/>
  <c r="E13" i="18"/>
  <c r="E9" i="18"/>
  <c r="G36" i="18"/>
  <c r="H36" i="18"/>
  <c r="I36" i="18"/>
  <c r="J36" i="18"/>
  <c r="K36" i="18"/>
  <c r="L36" i="18"/>
  <c r="M36" i="18"/>
  <c r="N36" i="18"/>
  <c r="O36" i="18"/>
  <c r="P36" i="18"/>
  <c r="Q36" i="18"/>
  <c r="G34" i="18"/>
  <c r="H34" i="18"/>
  <c r="I34" i="18"/>
  <c r="J34" i="18"/>
  <c r="K34" i="18"/>
  <c r="L34" i="18"/>
  <c r="M34" i="18"/>
  <c r="N34" i="18"/>
  <c r="O34" i="18"/>
  <c r="P34" i="18"/>
  <c r="Q34" i="18"/>
  <c r="G29" i="18"/>
  <c r="H29" i="18"/>
  <c r="I29" i="18"/>
  <c r="J29" i="18"/>
  <c r="K29" i="18"/>
  <c r="L29" i="18"/>
  <c r="M29" i="18"/>
  <c r="N29" i="18"/>
  <c r="O29" i="18"/>
  <c r="P29" i="18"/>
  <c r="Q29" i="18"/>
  <c r="G25" i="18"/>
  <c r="H25" i="18"/>
  <c r="I25" i="18"/>
  <c r="J25" i="18"/>
  <c r="K25" i="18"/>
  <c r="L25" i="18"/>
  <c r="M25" i="18"/>
  <c r="N25" i="18"/>
  <c r="O25" i="18"/>
  <c r="P25" i="18"/>
  <c r="Q25" i="18"/>
  <c r="G21" i="18"/>
  <c r="H21" i="18"/>
  <c r="I21" i="18"/>
  <c r="J21" i="18"/>
  <c r="K21" i="18"/>
  <c r="L21" i="18"/>
  <c r="M21" i="18"/>
  <c r="N21" i="18"/>
  <c r="O21" i="18"/>
  <c r="P21" i="18"/>
  <c r="Q21" i="18"/>
  <c r="G17" i="18"/>
  <c r="H17" i="18"/>
  <c r="I17" i="18"/>
  <c r="J17" i="18"/>
  <c r="K17" i="18"/>
  <c r="L17" i="18"/>
  <c r="M17" i="18"/>
  <c r="N17" i="18"/>
  <c r="O17" i="18"/>
  <c r="P17" i="18"/>
  <c r="Q17" i="18"/>
  <c r="G13" i="18"/>
  <c r="H13" i="18"/>
  <c r="I13" i="18"/>
  <c r="J13" i="18"/>
  <c r="K13" i="18"/>
  <c r="L13" i="18"/>
  <c r="M13" i="18"/>
  <c r="N13" i="18"/>
  <c r="O13" i="18"/>
  <c r="P13" i="18"/>
  <c r="Q13" i="18"/>
  <c r="F36" i="18"/>
  <c r="F34" i="18"/>
  <c r="R34" i="18" s="1"/>
  <c r="F29" i="18"/>
  <c r="F25" i="18"/>
  <c r="F21" i="18"/>
  <c r="F17" i="18"/>
  <c r="R17" i="18" s="1"/>
  <c r="F13" i="18"/>
  <c r="G9" i="18"/>
  <c r="H9" i="18"/>
  <c r="I9" i="18"/>
  <c r="J9" i="18"/>
  <c r="K9" i="18"/>
  <c r="L9" i="18"/>
  <c r="M9" i="18"/>
  <c r="N9" i="18"/>
  <c r="O9" i="18"/>
  <c r="P9" i="18"/>
  <c r="Q9" i="18"/>
  <c r="F9" i="18"/>
  <c r="T29" i="18" l="1"/>
  <c r="R13" i="18"/>
  <c r="R21" i="18"/>
  <c r="R25" i="18"/>
  <c r="R9" i="18"/>
  <c r="R29" i="18"/>
  <c r="V29" i="18" s="1"/>
  <c r="T36" i="18"/>
  <c r="R36" i="18"/>
  <c r="T9" i="18"/>
  <c r="T21" i="18"/>
  <c r="T34" i="18"/>
  <c r="V34" i="18" s="1"/>
  <c r="T13" i="18"/>
  <c r="V13" i="18" s="1"/>
  <c r="T25" i="18"/>
  <c r="T17" i="18"/>
  <c r="V17" i="18" s="1"/>
  <c r="N36" i="19"/>
  <c r="F36" i="19"/>
  <c r="H36" i="19"/>
  <c r="K36" i="19"/>
  <c r="G36" i="19"/>
  <c r="O36" i="19"/>
  <c r="J36" i="19"/>
  <c r="L36" i="19"/>
  <c r="P36" i="19"/>
  <c r="I36" i="19"/>
  <c r="Q36" i="19"/>
  <c r="M36" i="19"/>
  <c r="V25" i="18" l="1"/>
  <c r="V21" i="18"/>
  <c r="V36" i="18"/>
  <c r="V9" i="18"/>
  <c r="R32" i="28"/>
  <c r="C14" i="29" l="1"/>
  <c r="D4" i="24" l="1"/>
  <c r="D5" i="24"/>
  <c r="E5" i="24"/>
  <c r="D4" i="22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1" i="24"/>
  <c r="D52" i="24"/>
  <c r="D53" i="24"/>
  <c r="D54" i="24"/>
  <c r="C12" i="29"/>
  <c r="E61" i="2"/>
  <c r="D50" i="24" l="1"/>
  <c r="C13" i="29"/>
  <c r="F9" i="20"/>
  <c r="G9" i="26" s="1"/>
  <c r="G9" i="20"/>
  <c r="H9" i="26" s="1"/>
  <c r="H9" i="20"/>
  <c r="I9" i="26" s="1"/>
  <c r="I9" i="20"/>
  <c r="J9" i="26" s="1"/>
  <c r="J9" i="20"/>
  <c r="K9" i="26" s="1"/>
  <c r="K9" i="20"/>
  <c r="L9" i="26" s="1"/>
  <c r="L9" i="20"/>
  <c r="M9" i="26" s="1"/>
  <c r="M9" i="20"/>
  <c r="N9" i="26" s="1"/>
  <c r="N9" i="20"/>
  <c r="O9" i="26" s="1"/>
  <c r="O9" i="20"/>
  <c r="P9" i="26" s="1"/>
  <c r="P9" i="20"/>
  <c r="Q9" i="26" s="1"/>
  <c r="Q9" i="20"/>
  <c r="R9" i="26" s="1"/>
  <c r="F8" i="20"/>
  <c r="E66" i="15" s="1"/>
  <c r="G8" i="20"/>
  <c r="F66" i="15" s="1"/>
  <c r="H8" i="20"/>
  <c r="G66" i="15" s="1"/>
  <c r="I8" i="20"/>
  <c r="H66" i="15" s="1"/>
  <c r="J8" i="20"/>
  <c r="I66" i="15" s="1"/>
  <c r="K8" i="20"/>
  <c r="J66" i="15" s="1"/>
  <c r="L8" i="20"/>
  <c r="K66" i="15" s="1"/>
  <c r="M8" i="20"/>
  <c r="L66" i="15" s="1"/>
  <c r="N8" i="20"/>
  <c r="M66" i="15" s="1"/>
  <c r="O8" i="20"/>
  <c r="N66" i="15" s="1"/>
  <c r="P8" i="20"/>
  <c r="O66" i="15" s="1"/>
  <c r="Q8" i="20"/>
  <c r="P66" i="15" s="1"/>
  <c r="F11" i="20"/>
  <c r="G11" i="20"/>
  <c r="H11" i="20"/>
  <c r="I11" i="20"/>
  <c r="J11" i="20"/>
  <c r="K11" i="20"/>
  <c r="L11" i="20"/>
  <c r="M11" i="20"/>
  <c r="N11" i="20"/>
  <c r="O11" i="20"/>
  <c r="P11" i="20"/>
  <c r="Q11" i="20"/>
  <c r="E11" i="20"/>
  <c r="N79" i="15" l="1"/>
  <c r="N80" i="15"/>
  <c r="P80" i="15"/>
  <c r="P79" i="15"/>
  <c r="P81" i="15" s="1"/>
  <c r="O80" i="15"/>
  <c r="O79" i="15"/>
  <c r="O81" i="15" s="1"/>
  <c r="K53" i="9"/>
  <c r="L8" i="26"/>
  <c r="F53" i="9"/>
  <c r="G8" i="26"/>
  <c r="M53" i="9"/>
  <c r="N8" i="26"/>
  <c r="L53" i="9"/>
  <c r="M8" i="26"/>
  <c r="J53" i="9"/>
  <c r="K8" i="26"/>
  <c r="N53" i="9"/>
  <c r="O8" i="26"/>
  <c r="Q53" i="9"/>
  <c r="Q56" i="28" s="1"/>
  <c r="R8" i="26"/>
  <c r="I53" i="9"/>
  <c r="J8" i="26"/>
  <c r="P53" i="9"/>
  <c r="P56" i="28" s="1"/>
  <c r="Q8" i="26"/>
  <c r="H53" i="9"/>
  <c r="I8" i="26"/>
  <c r="O53" i="9"/>
  <c r="O56" i="28" s="1"/>
  <c r="P8" i="26"/>
  <c r="G53" i="9"/>
  <c r="H8" i="26"/>
  <c r="M39" i="9"/>
  <c r="M38" i="9"/>
  <c r="M40" i="9"/>
  <c r="M41" i="9"/>
  <c r="M37" i="9"/>
  <c r="Q38" i="9"/>
  <c r="Q41" i="28" s="1"/>
  <c r="Q39" i="9"/>
  <c r="Q42" i="28" s="1"/>
  <c r="Q41" i="9"/>
  <c r="Q44" i="28" s="1"/>
  <c r="Q40" i="9"/>
  <c r="Q43" i="28" s="1"/>
  <c r="Q37" i="9"/>
  <c r="Q40" i="28" s="1"/>
  <c r="I38" i="9"/>
  <c r="I41" i="9"/>
  <c r="I37" i="9"/>
  <c r="I40" i="9"/>
  <c r="I39" i="9"/>
  <c r="K37" i="9"/>
  <c r="K40" i="9"/>
  <c r="K38" i="9"/>
  <c r="K41" i="9"/>
  <c r="K39" i="9"/>
  <c r="H39" i="9"/>
  <c r="H41" i="9"/>
  <c r="H37" i="9"/>
  <c r="H40" i="9"/>
  <c r="H38" i="9"/>
  <c r="L38" i="9"/>
  <c r="L37" i="9"/>
  <c r="L40" i="9"/>
  <c r="L41" i="9"/>
  <c r="L39" i="9"/>
  <c r="J38" i="9"/>
  <c r="J37" i="9"/>
  <c r="J40" i="9"/>
  <c r="J41" i="9"/>
  <c r="J39" i="9"/>
  <c r="P41" i="9"/>
  <c r="P44" i="28" s="1"/>
  <c r="P39" i="9"/>
  <c r="P42" i="28" s="1"/>
  <c r="P37" i="9"/>
  <c r="P40" i="28" s="1"/>
  <c r="P38" i="9"/>
  <c r="P41" i="28" s="1"/>
  <c r="P40" i="9"/>
  <c r="P43" i="28" s="1"/>
  <c r="O39" i="9"/>
  <c r="O42" i="28" s="1"/>
  <c r="O37" i="9"/>
  <c r="O40" i="28" s="1"/>
  <c r="O38" i="9"/>
  <c r="O41" i="28" s="1"/>
  <c r="O41" i="9"/>
  <c r="O44" i="28" s="1"/>
  <c r="O40" i="9"/>
  <c r="O43" i="28" s="1"/>
  <c r="G41" i="9"/>
  <c r="G39" i="9"/>
  <c r="G40" i="9"/>
  <c r="G38" i="9"/>
  <c r="G37" i="9"/>
  <c r="N39" i="9"/>
  <c r="N37" i="9"/>
  <c r="N40" i="9"/>
  <c r="N38" i="9"/>
  <c r="N41" i="9"/>
  <c r="F41" i="9"/>
  <c r="F39" i="9"/>
  <c r="F38" i="9"/>
  <c r="F40" i="9"/>
  <c r="F37" i="9"/>
  <c r="L52" i="9"/>
  <c r="L50" i="9"/>
  <c r="I52" i="9"/>
  <c r="I50" i="9"/>
  <c r="P50" i="9"/>
  <c r="P53" i="28" s="1"/>
  <c r="P52" i="9"/>
  <c r="P55" i="28" s="1"/>
  <c r="H52" i="9"/>
  <c r="H50" i="9"/>
  <c r="G50" i="9"/>
  <c r="G52" i="9"/>
  <c r="K52" i="9"/>
  <c r="K50" i="9"/>
  <c r="J52" i="9"/>
  <c r="J50" i="9"/>
  <c r="Q52" i="9"/>
  <c r="Q55" i="28" s="1"/>
  <c r="Q50" i="9"/>
  <c r="Q53" i="28" s="1"/>
  <c r="O52" i="9"/>
  <c r="O55" i="28" s="1"/>
  <c r="O50" i="9"/>
  <c r="O53" i="28" s="1"/>
  <c r="N52" i="9"/>
  <c r="N50" i="9"/>
  <c r="F52" i="9"/>
  <c r="F50" i="9"/>
  <c r="R11" i="20"/>
  <c r="M52" i="9"/>
  <c r="M50" i="9"/>
  <c r="K5" i="20"/>
  <c r="L5" i="26" s="1"/>
  <c r="N5" i="20"/>
  <c r="O5" i="26" s="1"/>
  <c r="Q5" i="20"/>
  <c r="R5" i="26" s="1"/>
  <c r="O5" i="20"/>
  <c r="P5" i="26" s="1"/>
  <c r="P5" i="20"/>
  <c r="Q5" i="26" s="1"/>
  <c r="F5" i="20"/>
  <c r="G5" i="26" s="1"/>
  <c r="G5" i="20"/>
  <c r="H5" i="26" s="1"/>
  <c r="H5" i="20"/>
  <c r="I5" i="26" s="1"/>
  <c r="M5" i="20"/>
  <c r="N5" i="26" s="1"/>
  <c r="L5" i="20"/>
  <c r="M5" i="26" s="1"/>
  <c r="J5" i="20"/>
  <c r="K5" i="26" s="1"/>
  <c r="I5" i="20"/>
  <c r="J5" i="26" s="1"/>
  <c r="N81" i="15" l="1"/>
  <c r="P45" i="28"/>
  <c r="P51" i="28" s="1"/>
  <c r="O45" i="28"/>
  <c r="O51" i="28" s="1"/>
  <c r="Q45" i="28"/>
  <c r="Q51" i="28" s="1"/>
  <c r="N42" i="9"/>
  <c r="I35" i="9"/>
  <c r="I33" i="9"/>
  <c r="I34" i="9"/>
  <c r="J35" i="9"/>
  <c r="J33" i="9"/>
  <c r="J34" i="9"/>
  <c r="Q35" i="9"/>
  <c r="Q38" i="28" s="1"/>
  <c r="Q34" i="9"/>
  <c r="Q37" i="28" s="1"/>
  <c r="Q33" i="9"/>
  <c r="Q36" i="28" s="1"/>
  <c r="J42" i="9"/>
  <c r="K42" i="9"/>
  <c r="H34" i="9"/>
  <c r="H33" i="9"/>
  <c r="H35" i="9"/>
  <c r="F42" i="9"/>
  <c r="L35" i="9"/>
  <c r="L33" i="9"/>
  <c r="L34" i="9"/>
  <c r="N34" i="9"/>
  <c r="N35" i="9"/>
  <c r="N33" i="9"/>
  <c r="H42" i="9"/>
  <c r="O35" i="9"/>
  <c r="O38" i="28" s="1"/>
  <c r="O33" i="9"/>
  <c r="O36" i="28" s="1"/>
  <c r="O34" i="9"/>
  <c r="O37" i="28" s="1"/>
  <c r="M34" i="9"/>
  <c r="M33" i="9"/>
  <c r="M35" i="9"/>
  <c r="K35" i="9"/>
  <c r="K33" i="9"/>
  <c r="K34" i="9"/>
  <c r="P42" i="9"/>
  <c r="I42" i="9"/>
  <c r="M42" i="9"/>
  <c r="G33" i="9"/>
  <c r="G34" i="9"/>
  <c r="G35" i="9"/>
  <c r="F33" i="9"/>
  <c r="F35" i="9"/>
  <c r="F34" i="9"/>
  <c r="L42" i="9"/>
  <c r="P33" i="9"/>
  <c r="P36" i="28" s="1"/>
  <c r="P34" i="9"/>
  <c r="P37" i="28" s="1"/>
  <c r="P35" i="9"/>
  <c r="P38" i="28" s="1"/>
  <c r="G42" i="9"/>
  <c r="O42" i="9"/>
  <c r="Q42" i="9"/>
  <c r="G51" i="9"/>
  <c r="G49" i="9"/>
  <c r="P49" i="9"/>
  <c r="P52" i="28" s="1"/>
  <c r="P51" i="9"/>
  <c r="P54" i="28" s="1"/>
  <c r="F51" i="9"/>
  <c r="F49" i="9"/>
  <c r="I51" i="9"/>
  <c r="I49" i="9"/>
  <c r="Q51" i="9"/>
  <c r="Q54" i="28" s="1"/>
  <c r="Q49" i="9"/>
  <c r="Q52" i="28" s="1"/>
  <c r="L49" i="9"/>
  <c r="L51" i="9"/>
  <c r="N51" i="9"/>
  <c r="N49" i="9"/>
  <c r="M51" i="9"/>
  <c r="M49" i="9"/>
  <c r="O51" i="9"/>
  <c r="O54" i="28" s="1"/>
  <c r="O49" i="9"/>
  <c r="O52" i="28" s="1"/>
  <c r="J51" i="9"/>
  <c r="J49" i="9"/>
  <c r="K49" i="9"/>
  <c r="K51" i="9"/>
  <c r="H51" i="9"/>
  <c r="H49" i="9"/>
  <c r="F62" i="1"/>
  <c r="F63" i="1"/>
  <c r="H63" i="1"/>
  <c r="H62" i="1"/>
  <c r="G63" i="1"/>
  <c r="G62" i="1"/>
  <c r="P63" i="1"/>
  <c r="P62" i="1"/>
  <c r="I63" i="1"/>
  <c r="I62" i="1"/>
  <c r="O63" i="1"/>
  <c r="O62" i="1"/>
  <c r="J63" i="1"/>
  <c r="J62" i="1"/>
  <c r="Q63" i="1"/>
  <c r="Q62" i="1"/>
  <c r="L62" i="1"/>
  <c r="L63" i="1"/>
  <c r="N63" i="1"/>
  <c r="N62" i="1"/>
  <c r="M62" i="1"/>
  <c r="M63" i="1"/>
  <c r="K62" i="1"/>
  <c r="K63" i="1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22" i="9"/>
  <c r="E25" i="9"/>
  <c r="E26" i="9"/>
  <c r="E30" i="9"/>
  <c r="D20" i="15"/>
  <c r="D32" i="15"/>
  <c r="D62" i="15"/>
  <c r="F27" i="26"/>
  <c r="F28" i="26"/>
  <c r="F29" i="26"/>
  <c r="F39" i="26"/>
  <c r="F48" i="26"/>
  <c r="F57" i="26"/>
  <c r="E43" i="20"/>
  <c r="E27" i="20"/>
  <c r="E28" i="20"/>
  <c r="E29" i="20"/>
  <c r="E35" i="20"/>
  <c r="P44" i="9" l="1"/>
  <c r="P47" i="28" s="1"/>
  <c r="P45" i="9"/>
  <c r="P48" i="28" s="1"/>
  <c r="P43" i="9"/>
  <c r="P46" i="28" s="1"/>
  <c r="P46" i="9"/>
  <c r="P49" i="28" s="1"/>
  <c r="K43" i="9"/>
  <c r="K46" i="9"/>
  <c r="K44" i="9"/>
  <c r="K45" i="9"/>
  <c r="Q44" i="9"/>
  <c r="Q47" i="28" s="1"/>
  <c r="Q45" i="9"/>
  <c r="Q48" i="28" s="1"/>
  <c r="Q43" i="9"/>
  <c r="Q46" i="9"/>
  <c r="Q49" i="28" s="1"/>
  <c r="O43" i="9"/>
  <c r="O46" i="28" s="1"/>
  <c r="O46" i="9"/>
  <c r="O49" i="28" s="1"/>
  <c r="O45" i="9"/>
  <c r="O48" i="28" s="1"/>
  <c r="O44" i="9"/>
  <c r="O47" i="28" s="1"/>
  <c r="H44" i="9"/>
  <c r="H45" i="9"/>
  <c r="H43" i="9"/>
  <c r="H46" i="9"/>
  <c r="F46" i="9"/>
  <c r="F45" i="9"/>
  <c r="F43" i="9"/>
  <c r="F44" i="9"/>
  <c r="G45" i="9"/>
  <c r="G43" i="9"/>
  <c r="G44" i="9"/>
  <c r="G46" i="9"/>
  <c r="L43" i="9"/>
  <c r="L46" i="9"/>
  <c r="L45" i="9"/>
  <c r="L44" i="9"/>
  <c r="M45" i="9"/>
  <c r="M43" i="9"/>
  <c r="M46" i="9"/>
  <c r="M44" i="9"/>
  <c r="J46" i="9"/>
  <c r="J45" i="9"/>
  <c r="J44" i="9"/>
  <c r="J43" i="9"/>
  <c r="N45" i="9"/>
  <c r="N43" i="9"/>
  <c r="N46" i="9"/>
  <c r="N44" i="9"/>
  <c r="I44" i="9"/>
  <c r="I45" i="9"/>
  <c r="I46" i="9"/>
  <c r="I43" i="9"/>
  <c r="M20" i="15"/>
  <c r="M20" i="16" s="1"/>
  <c r="F20" i="15"/>
  <c r="F20" i="16" s="1"/>
  <c r="N20" i="15"/>
  <c r="N20" i="16" s="1"/>
  <c r="G20" i="15"/>
  <c r="G20" i="16" s="1"/>
  <c r="O20" i="15"/>
  <c r="O20" i="16" s="1"/>
  <c r="H20" i="15"/>
  <c r="H20" i="16" s="1"/>
  <c r="P20" i="15"/>
  <c r="P20" i="16" s="1"/>
  <c r="I20" i="15"/>
  <c r="J20" i="15"/>
  <c r="J20" i="16" s="1"/>
  <c r="K20" i="15"/>
  <c r="K20" i="16" s="1"/>
  <c r="L20" i="15"/>
  <c r="L20" i="16" s="1"/>
  <c r="E20" i="15"/>
  <c r="I32" i="15"/>
  <c r="I32" i="16" s="1"/>
  <c r="J32" i="15"/>
  <c r="J32" i="16" s="1"/>
  <c r="E32" i="15"/>
  <c r="K32" i="15"/>
  <c r="K32" i="16" s="1"/>
  <c r="L32" i="15"/>
  <c r="L32" i="16" s="1"/>
  <c r="N32" i="15"/>
  <c r="N32" i="16" s="1"/>
  <c r="M32" i="15"/>
  <c r="M32" i="16" s="1"/>
  <c r="F32" i="15"/>
  <c r="F32" i="16" s="1"/>
  <c r="G32" i="15"/>
  <c r="G32" i="16" s="1"/>
  <c r="O32" i="15"/>
  <c r="O32" i="16" s="1"/>
  <c r="H32" i="15"/>
  <c r="H32" i="16" s="1"/>
  <c r="P32" i="15"/>
  <c r="P32" i="16" s="1"/>
  <c r="E32" i="16" l="1"/>
  <c r="Q32" i="15"/>
  <c r="E20" i="16"/>
  <c r="Q20" i="15"/>
  <c r="O50" i="28"/>
  <c r="Q47" i="9"/>
  <c r="Q46" i="28"/>
  <c r="Q50" i="28" s="1"/>
  <c r="P50" i="28"/>
  <c r="I47" i="9"/>
  <c r="J47" i="9"/>
  <c r="H47" i="9"/>
  <c r="F47" i="9"/>
  <c r="L47" i="9"/>
  <c r="O47" i="9"/>
  <c r="K47" i="9"/>
  <c r="P47" i="9"/>
  <c r="N47" i="9"/>
  <c r="M47" i="9"/>
  <c r="G47" i="9"/>
  <c r="I20" i="16"/>
  <c r="N56" i="28" l="1"/>
  <c r="N55" i="28"/>
  <c r="N54" i="28"/>
  <c r="N53" i="28"/>
  <c r="N52" i="28"/>
  <c r="N49" i="28"/>
  <c r="N48" i="28"/>
  <c r="N47" i="28"/>
  <c r="N46" i="28"/>
  <c r="N44" i="28"/>
  <c r="N43" i="28"/>
  <c r="N42" i="28"/>
  <c r="N41" i="28"/>
  <c r="N40" i="28"/>
  <c r="N38" i="28"/>
  <c r="N37" i="28"/>
  <c r="N36" i="28"/>
  <c r="M68" i="16"/>
  <c r="M66" i="16"/>
  <c r="M64" i="16"/>
  <c r="M65" i="15"/>
  <c r="M64" i="15"/>
  <c r="M63" i="24"/>
  <c r="M61" i="24"/>
  <c r="M59" i="24"/>
  <c r="M65" i="24" s="1"/>
  <c r="M60" i="22"/>
  <c r="M59" i="22"/>
  <c r="M58" i="22"/>
  <c r="M73" i="22" s="1"/>
  <c r="M63" i="23"/>
  <c r="M61" i="23"/>
  <c r="M59" i="23"/>
  <c r="M60" i="21"/>
  <c r="M59" i="21"/>
  <c r="N68" i="2"/>
  <c r="N66" i="2"/>
  <c r="N64" i="2"/>
  <c r="N79" i="1"/>
  <c r="N78" i="1"/>
  <c r="M79" i="15" l="1"/>
  <c r="M80" i="15"/>
  <c r="N70" i="2"/>
  <c r="M65" i="23"/>
  <c r="M70" i="16"/>
  <c r="M69" i="16" s="1"/>
  <c r="N50" i="28"/>
  <c r="N80" i="1"/>
  <c r="N45" i="28"/>
  <c r="N51" i="28" s="1"/>
  <c r="M74" i="22"/>
  <c r="M75" i="22" s="1"/>
  <c r="M81" i="15" l="1"/>
  <c r="M56" i="28"/>
  <c r="M55" i="28"/>
  <c r="M54" i="28"/>
  <c r="M53" i="28"/>
  <c r="M52" i="28"/>
  <c r="M49" i="28"/>
  <c r="M48" i="28"/>
  <c r="M47" i="28"/>
  <c r="M46" i="28"/>
  <c r="M44" i="28"/>
  <c r="M43" i="28"/>
  <c r="M42" i="28"/>
  <c r="M41" i="28"/>
  <c r="M40" i="28"/>
  <c r="M38" i="28"/>
  <c r="M37" i="28"/>
  <c r="M36" i="28"/>
  <c r="L56" i="28"/>
  <c r="L55" i="28"/>
  <c r="L54" i="28"/>
  <c r="L53" i="28"/>
  <c r="L52" i="28"/>
  <c r="L49" i="28"/>
  <c r="L48" i="28"/>
  <c r="L47" i="28"/>
  <c r="L46" i="28"/>
  <c r="L44" i="28"/>
  <c r="L43" i="28"/>
  <c r="L42" i="28"/>
  <c r="L41" i="28"/>
  <c r="L40" i="28"/>
  <c r="L38" i="28"/>
  <c r="L37" i="28"/>
  <c r="L36" i="28"/>
  <c r="K56" i="28"/>
  <c r="K55" i="28"/>
  <c r="K54" i="28"/>
  <c r="K53" i="28"/>
  <c r="K52" i="28"/>
  <c r="K49" i="28"/>
  <c r="K48" i="28"/>
  <c r="K47" i="28"/>
  <c r="K46" i="28"/>
  <c r="K44" i="28"/>
  <c r="K43" i="28"/>
  <c r="K42" i="28"/>
  <c r="K41" i="28"/>
  <c r="K40" i="28"/>
  <c r="K38" i="28"/>
  <c r="K37" i="28"/>
  <c r="K36" i="28"/>
  <c r="J56" i="28"/>
  <c r="J55" i="28"/>
  <c r="J54" i="28"/>
  <c r="J53" i="28"/>
  <c r="J52" i="28"/>
  <c r="J49" i="28"/>
  <c r="J48" i="28"/>
  <c r="J47" i="28"/>
  <c r="J46" i="28"/>
  <c r="J44" i="28"/>
  <c r="J43" i="28"/>
  <c r="J42" i="28"/>
  <c r="J41" i="28"/>
  <c r="J40" i="28"/>
  <c r="J38" i="28"/>
  <c r="J37" i="28"/>
  <c r="J36" i="28"/>
  <c r="I56" i="28"/>
  <c r="I55" i="28"/>
  <c r="I54" i="28"/>
  <c r="I53" i="28"/>
  <c r="I52" i="28"/>
  <c r="I49" i="28"/>
  <c r="I48" i="28"/>
  <c r="I47" i="28"/>
  <c r="I46" i="28"/>
  <c r="I44" i="28"/>
  <c r="I43" i="28"/>
  <c r="I42" i="28"/>
  <c r="I41" i="28"/>
  <c r="I40" i="28"/>
  <c r="I38" i="28"/>
  <c r="I37" i="28"/>
  <c r="I36" i="28"/>
  <c r="H56" i="28"/>
  <c r="H55" i="28"/>
  <c r="H54" i="28"/>
  <c r="H53" i="28"/>
  <c r="H52" i="28"/>
  <c r="H49" i="28"/>
  <c r="H48" i="28"/>
  <c r="H46" i="28"/>
  <c r="H44" i="28"/>
  <c r="H43" i="28"/>
  <c r="H42" i="28"/>
  <c r="H41" i="28"/>
  <c r="H40" i="28"/>
  <c r="H38" i="28"/>
  <c r="H37" i="28"/>
  <c r="H36" i="28"/>
  <c r="G56" i="28"/>
  <c r="G55" i="28"/>
  <c r="G54" i="28"/>
  <c r="G53" i="28"/>
  <c r="G52" i="28"/>
  <c r="G49" i="28"/>
  <c r="G48" i="28"/>
  <c r="G47" i="28"/>
  <c r="G46" i="28"/>
  <c r="G44" i="28"/>
  <c r="G43" i="28"/>
  <c r="G42" i="28"/>
  <c r="G41" i="28"/>
  <c r="G38" i="28"/>
  <c r="G37" i="28"/>
  <c r="G36" i="28"/>
  <c r="F55" i="28"/>
  <c r="F56" i="28"/>
  <c r="F54" i="28"/>
  <c r="F53" i="28"/>
  <c r="F52" i="28"/>
  <c r="F47" i="28"/>
  <c r="F48" i="28"/>
  <c r="F49" i="28"/>
  <c r="F41" i="28"/>
  <c r="F42" i="28"/>
  <c r="F43" i="28"/>
  <c r="F44" i="28"/>
  <c r="F37" i="28"/>
  <c r="F38" i="28"/>
  <c r="F36" i="28"/>
  <c r="I45" i="28" l="1"/>
  <c r="I51" i="28" s="1"/>
  <c r="J45" i="28"/>
  <c r="J51" i="28" s="1"/>
  <c r="L45" i="28"/>
  <c r="L51" i="28" s="1"/>
  <c r="G50" i="28"/>
  <c r="L50" i="28"/>
  <c r="M50" i="28"/>
  <c r="K45" i="28"/>
  <c r="K51" i="28" s="1"/>
  <c r="K50" i="28"/>
  <c r="H45" i="28"/>
  <c r="H51" i="28" s="1"/>
  <c r="I50" i="28"/>
  <c r="F46" i="28"/>
  <c r="F50" i="28" s="1"/>
  <c r="G40" i="28"/>
  <c r="G45" i="28" s="1"/>
  <c r="G51" i="28" s="1"/>
  <c r="H47" i="28"/>
  <c r="H50" i="28" s="1"/>
  <c r="J50" i="28"/>
  <c r="M45" i="28"/>
  <c r="M51" i="28" s="1"/>
  <c r="F40" i="28"/>
  <c r="F45" i="28" s="1"/>
  <c r="F51" i="28" s="1"/>
  <c r="N45" i="18"/>
  <c r="L68" i="16"/>
  <c r="L66" i="16"/>
  <c r="L64" i="16"/>
  <c r="L65" i="15"/>
  <c r="L64" i="15"/>
  <c r="L63" i="24"/>
  <c r="L61" i="24"/>
  <c r="L59" i="24"/>
  <c r="L60" i="22"/>
  <c r="L59" i="22"/>
  <c r="L58" i="22"/>
  <c r="L63" i="23"/>
  <c r="L61" i="23"/>
  <c r="L59" i="23"/>
  <c r="L60" i="21"/>
  <c r="L59" i="21"/>
  <c r="M68" i="2"/>
  <c r="M66" i="2"/>
  <c r="M64" i="2"/>
  <c r="L73" i="22" l="1"/>
  <c r="L65" i="23"/>
  <c r="L70" i="16"/>
  <c r="L69" i="16" s="1"/>
  <c r="L65" i="24"/>
  <c r="M78" i="1"/>
  <c r="M70" i="2"/>
  <c r="L74" i="22"/>
  <c r="M79" i="1"/>
  <c r="L79" i="15"/>
  <c r="L80" i="15"/>
  <c r="L75" i="22" l="1"/>
  <c r="M80" i="1"/>
  <c r="L81" i="15"/>
  <c r="F60" i="28" l="1" a="1"/>
  <c r="F60" i="28" s="1"/>
  <c r="M45" i="18"/>
  <c r="K68" i="16"/>
  <c r="K66" i="16"/>
  <c r="K64" i="16"/>
  <c r="K65" i="15"/>
  <c r="K64" i="15"/>
  <c r="K63" i="24"/>
  <c r="K61" i="24"/>
  <c r="K59" i="24"/>
  <c r="K60" i="22"/>
  <c r="K59" i="22"/>
  <c r="K58" i="22"/>
  <c r="K63" i="23"/>
  <c r="K61" i="23"/>
  <c r="K59" i="23"/>
  <c r="K60" i="21"/>
  <c r="K59" i="21"/>
  <c r="L68" i="2"/>
  <c r="L66" i="2"/>
  <c r="L64" i="2"/>
  <c r="J68" i="16"/>
  <c r="J66" i="16"/>
  <c r="J64" i="16"/>
  <c r="J63" i="24"/>
  <c r="J61" i="24"/>
  <c r="J59" i="24"/>
  <c r="J63" i="23"/>
  <c r="J61" i="23"/>
  <c r="J59" i="23"/>
  <c r="K68" i="2"/>
  <c r="K66" i="2"/>
  <c r="K64" i="2"/>
  <c r="J65" i="15"/>
  <c r="J64" i="15"/>
  <c r="J60" i="22"/>
  <c r="J59" i="22"/>
  <c r="J58" i="22"/>
  <c r="J60" i="21"/>
  <c r="J59" i="21"/>
  <c r="I68" i="16"/>
  <c r="I66" i="16"/>
  <c r="I64" i="16"/>
  <c r="I63" i="24"/>
  <c r="I61" i="24"/>
  <c r="I59" i="24"/>
  <c r="I63" i="23"/>
  <c r="I61" i="23"/>
  <c r="I59" i="23"/>
  <c r="J68" i="2"/>
  <c r="J66" i="2"/>
  <c r="J64" i="2"/>
  <c r="I65" i="15"/>
  <c r="I64" i="15"/>
  <c r="I60" i="22"/>
  <c r="I59" i="22"/>
  <c r="I58" i="22"/>
  <c r="I60" i="21"/>
  <c r="I59" i="21"/>
  <c r="K79" i="15" l="1"/>
  <c r="J70" i="16"/>
  <c r="J69" i="16" s="1"/>
  <c r="K65" i="23"/>
  <c r="L70" i="2"/>
  <c r="K65" i="24"/>
  <c r="K70" i="16"/>
  <c r="K69" i="16" s="1"/>
  <c r="L45" i="18"/>
  <c r="K73" i="22"/>
  <c r="K74" i="22"/>
  <c r="J73" i="22"/>
  <c r="L78" i="1"/>
  <c r="K80" i="15"/>
  <c r="K78" i="1"/>
  <c r="J80" i="15"/>
  <c r="I65" i="24"/>
  <c r="J79" i="15"/>
  <c r="J65" i="23"/>
  <c r="K70" i="2"/>
  <c r="J65" i="24"/>
  <c r="J74" i="22"/>
  <c r="K79" i="1"/>
  <c r="I65" i="23"/>
  <c r="J70" i="2"/>
  <c r="I73" i="22"/>
  <c r="I70" i="16"/>
  <c r="I69" i="16" s="1"/>
  <c r="I74" i="22"/>
  <c r="I79" i="15"/>
  <c r="I80" i="15"/>
  <c r="J45" i="18"/>
  <c r="H68" i="16"/>
  <c r="H66" i="16"/>
  <c r="H64" i="16"/>
  <c r="H65" i="15"/>
  <c r="H64" i="15"/>
  <c r="H63" i="24"/>
  <c r="H61" i="24"/>
  <c r="H59" i="24"/>
  <c r="K81" i="15" l="1"/>
  <c r="J75" i="22"/>
  <c r="K75" i="22"/>
  <c r="J81" i="15"/>
  <c r="K80" i="1"/>
  <c r="I75" i="22"/>
  <c r="I81" i="15"/>
  <c r="J79" i="1"/>
  <c r="J78" i="1"/>
  <c r="H79" i="15"/>
  <c r="H80" i="15"/>
  <c r="H58" i="22"/>
  <c r="G59" i="22"/>
  <c r="F59" i="22"/>
  <c r="E59" i="22"/>
  <c r="H59" i="22"/>
  <c r="J80" i="1" l="1"/>
  <c r="H81" i="15"/>
  <c r="H60" i="22"/>
  <c r="H73" i="22" s="1"/>
  <c r="H63" i="23"/>
  <c r="H61" i="23"/>
  <c r="H59" i="23"/>
  <c r="H60" i="21"/>
  <c r="H59" i="21"/>
  <c r="I68" i="2"/>
  <c r="I66" i="2"/>
  <c r="I64" i="2"/>
  <c r="I78" i="1" l="1"/>
  <c r="I79" i="1"/>
  <c r="H74" i="22"/>
  <c r="H75" i="22" s="1"/>
  <c r="G60" i="22"/>
  <c r="F60" i="22"/>
  <c r="E60" i="22"/>
  <c r="I80" i="1" l="1"/>
  <c r="G65" i="15" l="1"/>
  <c r="G80" i="15" s="1"/>
  <c r="F65" i="15"/>
  <c r="F80" i="15" s="1"/>
  <c r="G64" i="15"/>
  <c r="G79" i="15" s="1"/>
  <c r="F64" i="15"/>
  <c r="F79" i="15" s="1"/>
  <c r="E64" i="15"/>
  <c r="E79" i="15" s="1"/>
  <c r="E65" i="15"/>
  <c r="E80" i="15" s="1"/>
  <c r="E81" i="15" l="1"/>
  <c r="F81" i="15"/>
  <c r="G74" i="22"/>
  <c r="G58" i="22"/>
  <c r="G73" i="22" s="1"/>
  <c r="F74" i="22"/>
  <c r="F58" i="22"/>
  <c r="F73" i="22" s="1"/>
  <c r="G60" i="21"/>
  <c r="G59" i="21"/>
  <c r="F60" i="21"/>
  <c r="F59" i="21"/>
  <c r="E74" i="22"/>
  <c r="E58" i="22"/>
  <c r="E73" i="22" s="1"/>
  <c r="E60" i="21"/>
  <c r="E59" i="21"/>
  <c r="E75" i="22" l="1"/>
  <c r="F75" i="22"/>
  <c r="H78" i="1"/>
  <c r="H79" i="1" l="1"/>
  <c r="H80" i="1" s="1"/>
  <c r="G79" i="1" l="1"/>
  <c r="G78" i="1"/>
  <c r="G80" i="1" l="1"/>
  <c r="F79" i="1"/>
  <c r="F78" i="1" l="1"/>
  <c r="F80" i="1" l="1"/>
  <c r="G68" i="16"/>
  <c r="G66" i="16"/>
  <c r="G64" i="16"/>
  <c r="G63" i="24"/>
  <c r="G61" i="24"/>
  <c r="G59" i="24"/>
  <c r="G63" i="23"/>
  <c r="G61" i="23"/>
  <c r="G59" i="23"/>
  <c r="H68" i="2"/>
  <c r="H66" i="2"/>
  <c r="H64" i="2"/>
  <c r="I45" i="18"/>
  <c r="G70" i="16" l="1"/>
  <c r="G69" i="16" s="1"/>
  <c r="H70" i="2"/>
  <c r="G65" i="24"/>
  <c r="G65" i="23"/>
  <c r="G75" i="22" l="1"/>
  <c r="G81" i="15" l="1"/>
  <c r="I39" i="26" l="1"/>
  <c r="J39" i="26"/>
  <c r="K39" i="26" s="1"/>
  <c r="L39" i="26" s="1"/>
  <c r="M39" i="26" s="1"/>
  <c r="N39" i="26" s="1"/>
  <c r="O39" i="26" s="1"/>
  <c r="P39" i="26" s="1"/>
  <c r="Q39" i="26" s="1"/>
  <c r="R39" i="26" s="1"/>
  <c r="H39" i="26"/>
  <c r="N64" i="16"/>
  <c r="R5" i="19" l="1"/>
  <c r="S5" i="19"/>
  <c r="T5" i="19"/>
  <c r="R32" i="16"/>
  <c r="R20" i="16"/>
  <c r="Q5" i="16"/>
  <c r="R5" i="16"/>
  <c r="S5" i="16"/>
  <c r="R55" i="24"/>
  <c r="Q5" i="24"/>
  <c r="R5" i="24"/>
  <c r="S5" i="24"/>
  <c r="R55" i="23"/>
  <c r="Q4" i="23"/>
  <c r="R4" i="23"/>
  <c r="S4" i="23"/>
  <c r="N63" i="23" l="1"/>
  <c r="O63" i="23"/>
  <c r="P63" i="23"/>
  <c r="N61" i="23"/>
  <c r="O61" i="23"/>
  <c r="P61" i="23"/>
  <c r="N59" i="23"/>
  <c r="O59" i="23"/>
  <c r="P59" i="23"/>
  <c r="P65" i="23" l="1"/>
  <c r="H65" i="23"/>
  <c r="O65" i="23"/>
  <c r="N65" i="23"/>
  <c r="R63" i="23"/>
  <c r="R59" i="23"/>
  <c r="R61" i="23"/>
  <c r="R65" i="23" l="1"/>
  <c r="F73" i="18"/>
  <c r="F70" i="18" l="1"/>
  <c r="S68" i="2" l="1"/>
  <c r="O66" i="16" l="1"/>
  <c r="P66" i="16"/>
  <c r="N66" i="16"/>
  <c r="P64" i="16"/>
  <c r="O64" i="16"/>
  <c r="R64" i="16" l="1"/>
  <c r="R66" i="16"/>
  <c r="O64" i="2"/>
  <c r="Q64" i="2" l="1"/>
  <c r="P64" i="2"/>
  <c r="S64" i="2" l="1"/>
  <c r="R64" i="2" l="1"/>
  <c r="O61" i="24" l="1"/>
  <c r="P61" i="24"/>
  <c r="N61" i="24"/>
  <c r="R61" i="24" l="1"/>
  <c r="P63" i="24"/>
  <c r="N63" i="24"/>
  <c r="O63" i="24"/>
  <c r="R63" i="24" l="1"/>
  <c r="H65" i="24" l="1"/>
  <c r="O59" i="24"/>
  <c r="O65" i="24" s="1"/>
  <c r="P59" i="24"/>
  <c r="P65" i="24" s="1"/>
  <c r="N59" i="24"/>
  <c r="N65" i="24" s="1"/>
  <c r="R65" i="24" l="1"/>
  <c r="R59" i="24"/>
  <c r="O68" i="2"/>
  <c r="P68" i="2"/>
  <c r="Q68" i="2"/>
  <c r="R68" i="2" l="1"/>
  <c r="H70" i="16" l="1"/>
  <c r="H69" i="16" s="1"/>
  <c r="P68" i="16"/>
  <c r="P70" i="16" s="1"/>
  <c r="N68" i="16"/>
  <c r="N70" i="16" s="1"/>
  <c r="N69" i="16" s="1"/>
  <c r="O68" i="16"/>
  <c r="O70" i="16" s="1"/>
  <c r="O69" i="16" s="1"/>
  <c r="R68" i="16" l="1"/>
  <c r="R70" i="16"/>
  <c r="Q66" i="2"/>
  <c r="Q70" i="2" s="1"/>
  <c r="O66" i="2"/>
  <c r="O70" i="2" s="1"/>
  <c r="P66" i="2" l="1"/>
  <c r="P70" i="2" s="1"/>
  <c r="I70" i="2"/>
  <c r="S66" i="2" l="1"/>
  <c r="S70" i="2" s="1"/>
  <c r="R66" i="2" l="1"/>
  <c r="R70" i="2" s="1"/>
  <c r="Q63" i="23" l="1"/>
  <c r="S63" i="23" s="1"/>
  <c r="Q61" i="23"/>
  <c r="S61" i="23" s="1"/>
  <c r="Q55" i="24"/>
  <c r="S55" i="24" s="1"/>
  <c r="Q55" i="23"/>
  <c r="S55" i="23" s="1"/>
  <c r="F70" i="2" l="1"/>
  <c r="E70" i="16"/>
  <c r="E65" i="23"/>
  <c r="Q59" i="23"/>
  <c r="Q20" i="16"/>
  <c r="S20" i="16" s="1"/>
  <c r="Q32" i="16"/>
  <c r="S32" i="16" s="1"/>
  <c r="Q65" i="23" l="1"/>
  <c r="S65" i="23" s="1"/>
  <c r="S59" i="23"/>
  <c r="R32" i="15"/>
  <c r="R20" i="15"/>
  <c r="Q52" i="18" l="1"/>
  <c r="Q66" i="18"/>
  <c r="Q59" i="18"/>
  <c r="P52" i="18" l="1"/>
  <c r="P59" i="18"/>
  <c r="P66" i="18"/>
  <c r="O59" i="18" l="1"/>
  <c r="O52" i="18"/>
  <c r="O66" i="18"/>
  <c r="S32" i="15" l="1"/>
  <c r="T32" i="15" s="1"/>
  <c r="S20" i="15"/>
  <c r="T20" i="15" s="1"/>
  <c r="E5" i="15" l="1"/>
  <c r="D5" i="16" l="1"/>
  <c r="D5" i="15"/>
  <c r="D5" i="22"/>
  <c r="D6" i="21"/>
  <c r="D5" i="23"/>
  <c r="E5" i="9"/>
  <c r="E5" i="18"/>
  <c r="E5" i="19"/>
  <c r="E5" i="2"/>
  <c r="F59" i="18" l="1"/>
  <c r="F52" i="18" l="1"/>
  <c r="F66" i="18"/>
  <c r="H4" i="26" l="1"/>
  <c r="I4" i="26"/>
  <c r="J4" i="26"/>
  <c r="K4" i="26"/>
  <c r="L4" i="26"/>
  <c r="M4" i="26"/>
  <c r="N4" i="26"/>
  <c r="O4" i="26"/>
  <c r="P4" i="26"/>
  <c r="Q4" i="26"/>
  <c r="R4" i="26"/>
  <c r="G4" i="26"/>
  <c r="T68" i="18" l="1"/>
  <c r="R69" i="18" l="1"/>
  <c r="R68" i="18"/>
  <c r="V68" i="18" s="1"/>
  <c r="T71" i="18"/>
  <c r="T72" i="18"/>
  <c r="T69" i="18"/>
  <c r="R72" i="18"/>
  <c r="R71" i="18"/>
  <c r="T73" i="18" l="1"/>
  <c r="V69" i="18"/>
  <c r="V70" i="18" s="1"/>
  <c r="R70" i="18"/>
  <c r="V71" i="18"/>
  <c r="T70" i="18"/>
  <c r="V72" i="18"/>
  <c r="R73" i="18"/>
  <c r="V73" i="18" l="1"/>
  <c r="R51" i="26" l="1"/>
  <c r="R49" i="26" l="1"/>
  <c r="Q51" i="26"/>
  <c r="R50" i="26" l="1"/>
  <c r="Q49" i="26"/>
  <c r="Q50" i="26" l="1"/>
  <c r="P51" i="26" l="1"/>
  <c r="P49" i="26" l="1"/>
  <c r="P50" i="26" l="1"/>
  <c r="AA6" i="22"/>
  <c r="O51" i="26" l="1"/>
  <c r="O49" i="26" l="1"/>
  <c r="O50" i="26" l="1"/>
  <c r="A2" i="27" l="1" a="1"/>
  <c r="A3" i="27" s="1"/>
  <c r="A2" i="27" l="1"/>
  <c r="A10" i="27"/>
  <c r="A5" i="27"/>
  <c r="A7" i="27"/>
  <c r="A6" i="27"/>
  <c r="A13" i="27"/>
  <c r="A12" i="27"/>
  <c r="A4" i="27"/>
  <c r="A9" i="27"/>
  <c r="A8" i="27"/>
  <c r="A11" i="27"/>
  <c r="S40" i="19" l="1"/>
  <c r="S39" i="19"/>
  <c r="S38" i="19"/>
  <c r="S37" i="19"/>
  <c r="S36" i="19"/>
  <c r="R39" i="19" l="1"/>
  <c r="T39" i="19" s="1"/>
  <c r="R38" i="19"/>
  <c r="T38" i="19" s="1"/>
  <c r="R37" i="19"/>
  <c r="T37" i="19" s="1"/>
  <c r="T64" i="18" l="1"/>
  <c r="T63" i="18"/>
  <c r="T62" i="18"/>
  <c r="T61" i="18"/>
  <c r="T60" i="18"/>
  <c r="T57" i="18"/>
  <c r="T56" i="18"/>
  <c r="T55" i="18"/>
  <c r="T54" i="18"/>
  <c r="T53" i="18"/>
  <c r="T50" i="18"/>
  <c r="T49" i="18"/>
  <c r="T48" i="18"/>
  <c r="T47" i="18"/>
  <c r="T46" i="18"/>
  <c r="S51" i="18"/>
  <c r="S52" i="18" s="1"/>
  <c r="U51" i="18"/>
  <c r="U52" i="18" s="1"/>
  <c r="S58" i="18"/>
  <c r="S59" i="18" s="1"/>
  <c r="U58" i="18"/>
  <c r="U59" i="18" s="1"/>
  <c r="S65" i="18"/>
  <c r="S66" i="18" s="1"/>
  <c r="U65" i="18"/>
  <c r="U66" i="18" s="1"/>
  <c r="T51" i="18" l="1"/>
  <c r="T52" i="18" s="1"/>
  <c r="T58" i="18"/>
  <c r="T59" i="18" s="1"/>
  <c r="T65" i="18"/>
  <c r="T66" i="18" s="1"/>
  <c r="R46" i="18" l="1"/>
  <c r="V46" i="18"/>
  <c r="R60" i="18"/>
  <c r="V60" i="18"/>
  <c r="V53" i="18"/>
  <c r="R53" i="18"/>
  <c r="R49" i="18" l="1"/>
  <c r="V49" i="18"/>
  <c r="W49" i="18" s="1"/>
  <c r="R50" i="18"/>
  <c r="V50" i="18"/>
  <c r="W50" i="18" s="1"/>
  <c r="R62" i="18"/>
  <c r="V62" i="18"/>
  <c r="W62" i="18" s="1"/>
  <c r="V54" i="18"/>
  <c r="W54" i="18" s="1"/>
  <c r="R54" i="18"/>
  <c r="R61" i="18"/>
  <c r="V61" i="18"/>
  <c r="W61" i="18" s="1"/>
  <c r="V57" i="18"/>
  <c r="W57" i="18" s="1"/>
  <c r="R57" i="18"/>
  <c r="R56" i="18"/>
  <c r="V56" i="18"/>
  <c r="W56" i="18" s="1"/>
  <c r="R47" i="18"/>
  <c r="V47" i="18"/>
  <c r="W47" i="18" s="1"/>
  <c r="V63" i="18"/>
  <c r="W63" i="18" s="1"/>
  <c r="R63" i="18"/>
  <c r="R55" i="18"/>
  <c r="V55" i="18"/>
  <c r="W55" i="18" s="1"/>
  <c r="R48" i="18"/>
  <c r="V48" i="18"/>
  <c r="W48" i="18" s="1"/>
  <c r="V64" i="18"/>
  <c r="W64" i="18" s="1"/>
  <c r="R64" i="18"/>
  <c r="R51" i="18" l="1"/>
  <c r="R52" i="18" s="1"/>
  <c r="V58" i="18"/>
  <c r="V65" i="18"/>
  <c r="R65" i="18"/>
  <c r="R66" i="18" s="1"/>
  <c r="V51" i="18"/>
  <c r="R58" i="18"/>
  <c r="R59" i="18" s="1"/>
  <c r="V59" i="18" l="1"/>
  <c r="W59" i="18"/>
  <c r="W58" i="18"/>
  <c r="V52" i="18"/>
  <c r="W52" i="18"/>
  <c r="W51" i="18"/>
  <c r="V66" i="18"/>
  <c r="W66" i="18"/>
  <c r="W65" i="18"/>
  <c r="S39" i="26" l="1"/>
  <c r="O48" i="26" l="1"/>
  <c r="K48" i="26"/>
  <c r="O57" i="26" l="1"/>
  <c r="G48" i="26"/>
  <c r="J48" i="26"/>
  <c r="N48" i="26"/>
  <c r="R48" i="26"/>
  <c r="I48" i="26"/>
  <c r="M48" i="26"/>
  <c r="Q48" i="26"/>
  <c r="H48" i="26"/>
  <c r="L48" i="26"/>
  <c r="P48" i="26"/>
  <c r="F5" i="15"/>
  <c r="G5" i="15"/>
  <c r="H5" i="15"/>
  <c r="I5" i="15"/>
  <c r="J5" i="15"/>
  <c r="K5" i="15"/>
  <c r="L5" i="15"/>
  <c r="M5" i="15"/>
  <c r="N5" i="15"/>
  <c r="O5" i="15"/>
  <c r="P5" i="15"/>
  <c r="F4" i="22"/>
  <c r="G4" i="22"/>
  <c r="H4" i="22"/>
  <c r="I4" i="22"/>
  <c r="J4" i="22"/>
  <c r="K4" i="22"/>
  <c r="L4" i="22"/>
  <c r="M4" i="22"/>
  <c r="N4" i="22"/>
  <c r="O4" i="22"/>
  <c r="P4" i="22"/>
  <c r="E4" i="22"/>
  <c r="F4" i="23"/>
  <c r="G4" i="23"/>
  <c r="H4" i="23"/>
  <c r="I4" i="23"/>
  <c r="J4" i="23"/>
  <c r="K4" i="23"/>
  <c r="L4" i="23"/>
  <c r="M4" i="23"/>
  <c r="N4" i="23"/>
  <c r="O4" i="23"/>
  <c r="P4" i="23"/>
  <c r="E4" i="23"/>
  <c r="F4" i="21"/>
  <c r="G4" i="21"/>
  <c r="H4" i="21"/>
  <c r="I4" i="21"/>
  <c r="J4" i="21"/>
  <c r="K4" i="21"/>
  <c r="L4" i="21"/>
  <c r="M4" i="21"/>
  <c r="N4" i="21"/>
  <c r="O4" i="21"/>
  <c r="P4" i="21"/>
  <c r="E4" i="21"/>
  <c r="U48" i="26" l="1"/>
  <c r="V48" i="26"/>
  <c r="T48" i="26"/>
  <c r="Q57" i="26"/>
  <c r="R57" i="26"/>
  <c r="P57" i="26"/>
  <c r="S48" i="26"/>
  <c r="S57" i="26" s="1"/>
  <c r="G43" i="20" l="1"/>
  <c r="H43" i="20"/>
  <c r="I43" i="20"/>
  <c r="J43" i="20"/>
  <c r="K43" i="20"/>
  <c r="L43" i="20"/>
  <c r="M43" i="20"/>
  <c r="L50" i="20" l="1"/>
  <c r="L49" i="20"/>
  <c r="M49" i="20"/>
  <c r="M50" i="20"/>
  <c r="K49" i="20"/>
  <c r="K50" i="20"/>
  <c r="J49" i="20"/>
  <c r="J50" i="20"/>
  <c r="I49" i="20"/>
  <c r="I50" i="20"/>
  <c r="H49" i="20"/>
  <c r="H50" i="20"/>
  <c r="D56" i="24"/>
  <c r="D55" i="24" l="1"/>
  <c r="N43" i="20" l="1"/>
  <c r="O43" i="20"/>
  <c r="Q43" i="20"/>
  <c r="P43" i="20"/>
  <c r="P50" i="20" l="1"/>
  <c r="P49" i="20"/>
  <c r="Q49" i="20"/>
  <c r="Q50" i="20"/>
  <c r="O50" i="20"/>
  <c r="O49" i="20"/>
  <c r="N49" i="20"/>
  <c r="N50" i="20"/>
  <c r="S5" i="26" l="1"/>
  <c r="S27" i="26"/>
  <c r="S28" i="26"/>
  <c r="S29" i="26"/>
  <c r="R8" i="20" l="1"/>
  <c r="R5" i="20"/>
  <c r="F43" i="20" l="1"/>
  <c r="F49" i="20" l="1"/>
  <c r="F50" i="20"/>
  <c r="R43" i="20"/>
  <c r="B22" i="23" l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50" i="23" s="1"/>
  <c r="B51" i="23" s="1"/>
  <c r="B52" i="23" s="1"/>
  <c r="B53" i="23" s="1"/>
  <c r="B7" i="23"/>
  <c r="B22" i="22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50" i="22" s="1"/>
  <c r="B51" i="22" s="1"/>
  <c r="B52" i="22" s="1"/>
  <c r="B53" i="22" s="1"/>
  <c r="B7" i="22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23" i="21"/>
  <c r="B24" i="21" s="1"/>
  <c r="B25" i="21" s="1"/>
  <c r="B8" i="21"/>
  <c r="B9" i="21" s="1"/>
  <c r="B8" i="23" l="1"/>
  <c r="B9" i="23" s="1"/>
  <c r="B10" i="23" s="1"/>
  <c r="B11" i="23" s="1"/>
  <c r="B12" i="23" s="1"/>
  <c r="B13" i="23" s="1"/>
  <c r="B14" i="23" s="1"/>
  <c r="B15" i="23" s="1"/>
  <c r="B16" i="23" s="1"/>
  <c r="B17" i="23" s="1"/>
  <c r="B26" i="21"/>
  <c r="B10" i="21"/>
  <c r="B11" i="21" l="1"/>
  <c r="B27" i="21"/>
  <c r="B28" i="21" l="1"/>
  <c r="B12" i="21"/>
  <c r="B13" i="21" l="1"/>
  <c r="B29" i="21"/>
  <c r="B30" i="21" l="1"/>
  <c r="B14" i="21"/>
  <c r="B15" i="21" l="1"/>
  <c r="B31" i="21"/>
  <c r="B32" i="21" l="1"/>
  <c r="B16" i="21"/>
  <c r="B17" i="21" l="1"/>
  <c r="B33" i="21"/>
  <c r="B18" i="21" l="1"/>
  <c r="B34" i="21"/>
  <c r="B35" i="21" l="1"/>
  <c r="B36" i="21" l="1"/>
  <c r="B38" i="21" l="1"/>
  <c r="B39" i="21" l="1"/>
  <c r="B40" i="21" l="1"/>
  <c r="B41" i="21" l="1"/>
  <c r="B42" i="21" l="1"/>
  <c r="B43" i="21" l="1"/>
  <c r="B44" i="21" l="1"/>
  <c r="B45" i="21" l="1"/>
  <c r="B46" i="21" l="1"/>
  <c r="B47" i="21" l="1"/>
  <c r="B48" i="21" s="1"/>
  <c r="B49" i="21" l="1"/>
  <c r="B51" i="21" l="1"/>
  <c r="B52" i="21" l="1"/>
  <c r="B53" i="21" l="1"/>
  <c r="B54" i="21" l="1"/>
  <c r="R27" i="20" l="1"/>
  <c r="R28" i="20"/>
  <c r="R29" i="20"/>
  <c r="K45" i="18" l="1"/>
  <c r="Q5" i="18" l="1"/>
  <c r="P5" i="18"/>
  <c r="O5" i="18"/>
  <c r="N5" i="18"/>
  <c r="M5" i="18"/>
  <c r="L5" i="18"/>
  <c r="K5" i="18"/>
  <c r="J5" i="18"/>
  <c r="I5" i="18"/>
  <c r="H5" i="18"/>
  <c r="G5" i="18"/>
  <c r="F5" i="18"/>
  <c r="B28" i="9"/>
  <c r="B29" i="9" s="1"/>
  <c r="B7" i="9"/>
  <c r="B8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3" i="9" s="1"/>
  <c r="B24" i="9" s="1"/>
  <c r="Q5" i="2"/>
  <c r="P5" i="2"/>
  <c r="O5" i="2"/>
  <c r="N5" i="2"/>
  <c r="M5" i="2"/>
  <c r="L5" i="2"/>
  <c r="K5" i="2"/>
  <c r="J5" i="2"/>
  <c r="I5" i="2"/>
  <c r="H5" i="2"/>
  <c r="G5" i="2"/>
  <c r="F5" i="2"/>
  <c r="C38" i="2"/>
  <c r="C39" i="2" s="1"/>
  <c r="C40" i="2" s="1"/>
  <c r="C41" i="2" s="1"/>
  <c r="C42" i="2" s="1"/>
  <c r="C43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18" i="2"/>
  <c r="C38" i="1"/>
  <c r="C39" i="1" s="1"/>
  <c r="C40" i="1" s="1"/>
  <c r="C41" i="1" s="1"/>
  <c r="C42" i="1" s="1"/>
  <c r="C43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18" i="1"/>
  <c r="C19" i="1" s="1"/>
  <c r="C20" i="1" s="1"/>
  <c r="C21" i="1" s="1"/>
  <c r="C23" i="1" s="1"/>
  <c r="C24" i="1" s="1"/>
  <c r="C25" i="1" s="1"/>
  <c r="C26" i="1" s="1"/>
  <c r="C27" i="1" s="1"/>
  <c r="C28" i="1" s="1"/>
  <c r="C31" i="1" s="1"/>
  <c r="C32" i="1" s="1"/>
  <c r="C33" i="1" s="1"/>
  <c r="F5" i="24" l="1"/>
  <c r="G5" i="19"/>
  <c r="F5" i="16"/>
  <c r="G5" i="9" s="1"/>
  <c r="H5" i="24"/>
  <c r="I5" i="19"/>
  <c r="H5" i="16"/>
  <c r="I5" i="9" s="1"/>
  <c r="K5" i="19"/>
  <c r="J5" i="24"/>
  <c r="J5" i="16"/>
  <c r="K5" i="9" s="1"/>
  <c r="M5" i="19"/>
  <c r="L5" i="24"/>
  <c r="L5" i="16"/>
  <c r="M5" i="9" s="1"/>
  <c r="O5" i="19"/>
  <c r="N5" i="16"/>
  <c r="O5" i="9" s="1"/>
  <c r="N5" i="24"/>
  <c r="Q5" i="19"/>
  <c r="P5" i="16"/>
  <c r="Q5" i="9" s="1"/>
  <c r="P5" i="24"/>
  <c r="F5" i="19"/>
  <c r="E5" i="16"/>
  <c r="H5" i="19"/>
  <c r="G5" i="16"/>
  <c r="H5" i="9" s="1"/>
  <c r="G5" i="24"/>
  <c r="J5" i="19"/>
  <c r="I5" i="16"/>
  <c r="J5" i="9" s="1"/>
  <c r="I5" i="24"/>
  <c r="K5" i="16"/>
  <c r="L5" i="9" s="1"/>
  <c r="L5" i="19"/>
  <c r="K5" i="24"/>
  <c r="M5" i="16"/>
  <c r="N5" i="9" s="1"/>
  <c r="M5" i="24"/>
  <c r="N5" i="19"/>
  <c r="P5" i="19"/>
  <c r="O5" i="16"/>
  <c r="P5" i="9" s="1"/>
  <c r="O5" i="24"/>
  <c r="C19" i="2"/>
  <c r="C20" i="2" s="1"/>
  <c r="C21" i="2" s="1"/>
  <c r="C23" i="2" s="1"/>
  <c r="C24" i="2" s="1"/>
  <c r="C25" i="2" s="1"/>
  <c r="C26" i="2" s="1"/>
  <c r="C27" i="2" s="1"/>
  <c r="C28" i="2" s="1"/>
  <c r="C31" i="2" s="1"/>
  <c r="C32" i="2" s="1"/>
  <c r="C33" i="2" s="1"/>
  <c r="F5" i="9" l="1"/>
  <c r="X22" i="9" l="1"/>
  <c r="X25" i="9"/>
  <c r="X26" i="9"/>
  <c r="X30" i="9"/>
  <c r="R25" i="9" l="1"/>
  <c r="T25" i="9"/>
  <c r="V25" i="9" l="1"/>
  <c r="S8" i="26" l="1"/>
  <c r="S56" i="21" l="1"/>
  <c r="R26" i="9" l="1"/>
  <c r="T26" i="9"/>
  <c r="R30" i="9" l="1"/>
  <c r="V26" i="9"/>
  <c r="T30" i="9"/>
  <c r="V30" i="9" l="1"/>
  <c r="S56" i="22" l="1"/>
  <c r="Q56" i="22"/>
  <c r="U56" i="22" l="1"/>
  <c r="Q57" i="21" l="1"/>
  <c r="S57" i="21"/>
  <c r="U57" i="21" l="1"/>
  <c r="S30" i="19" l="1"/>
  <c r="S42" i="19" l="1"/>
  <c r="Q52" i="20" l="1"/>
  <c r="K52" i="20" l="1"/>
  <c r="G50" i="20"/>
  <c r="G49" i="20"/>
  <c r="R9" i="20"/>
  <c r="R52" i="20" l="1"/>
  <c r="S43" i="20"/>
  <c r="R50" i="20"/>
  <c r="R49" i="20"/>
  <c r="S9" i="26" l="1"/>
  <c r="R36" i="19"/>
  <c r="T36" i="19" s="1"/>
  <c r="G45" i="18" l="1"/>
  <c r="H45" i="18"/>
  <c r="R30" i="19"/>
  <c r="T30" i="19" s="1"/>
  <c r="T64" i="2" l="1"/>
  <c r="R40" i="19" l="1"/>
  <c r="T40" i="19" s="1"/>
  <c r="R42" i="19" l="1"/>
  <c r="T42" i="19" s="1"/>
  <c r="P2" i="27" a="1"/>
  <c r="P2" i="27" l="1"/>
  <c r="P10" i="27"/>
  <c r="P9" i="27"/>
  <c r="P4" i="27"/>
  <c r="P3" i="27"/>
  <c r="P11" i="27"/>
  <c r="P13" i="27"/>
  <c r="P5" i="27"/>
  <c r="P7" i="27"/>
  <c r="P8" i="27"/>
  <c r="P6" i="27"/>
  <c r="P12" i="27"/>
  <c r="Q59" i="24"/>
  <c r="S59" i="24"/>
  <c r="T66" i="2" l="1"/>
  <c r="Q66" i="16"/>
  <c r="S66" i="16"/>
  <c r="Q64" i="16" l="1"/>
  <c r="S64" i="16"/>
  <c r="F70" i="16"/>
  <c r="F69" i="16" s="1"/>
  <c r="Q68" i="16" l="1"/>
  <c r="S68" i="16"/>
  <c r="Q70" i="16"/>
  <c r="S70" i="16"/>
  <c r="H2" i="27" a="1"/>
  <c r="H8" i="27" l="1"/>
  <c r="H2" i="27"/>
  <c r="H5" i="27"/>
  <c r="H11" i="27"/>
  <c r="H9" i="27"/>
  <c r="H6" i="27"/>
  <c r="H4" i="27"/>
  <c r="H7" i="27"/>
  <c r="H12" i="27"/>
  <c r="H13" i="27"/>
  <c r="H10" i="27"/>
  <c r="H3" i="27"/>
  <c r="Q61" i="24" l="1"/>
  <c r="S61" i="24"/>
  <c r="F65" i="23"/>
  <c r="D2" i="27" l="1" a="1"/>
  <c r="S63" i="24"/>
  <c r="Q63" i="24"/>
  <c r="F65" i="24"/>
  <c r="D11" i="27" l="1"/>
  <c r="D5" i="27"/>
  <c r="D4" i="27"/>
  <c r="D13" i="27"/>
  <c r="D6" i="27"/>
  <c r="D8" i="27"/>
  <c r="D12" i="27"/>
  <c r="D7" i="27"/>
  <c r="D2" i="27"/>
  <c r="D3" i="27"/>
  <c r="D9" i="27"/>
  <c r="D10" i="27"/>
  <c r="T68" i="2" l="1"/>
  <c r="T70" i="2" s="1"/>
  <c r="G70" i="2"/>
  <c r="B2" i="27" s="1" a="1"/>
  <c r="B9" i="27" l="1"/>
  <c r="B6" i="27"/>
  <c r="B13" i="27"/>
  <c r="B11" i="27"/>
  <c r="B8" i="27"/>
  <c r="B3" i="27"/>
  <c r="B7" i="27"/>
  <c r="B12" i="27"/>
  <c r="B2" i="27"/>
  <c r="B4" i="27"/>
  <c r="B5" i="27"/>
  <c r="B10" i="27"/>
  <c r="L79" i="1" l="1"/>
  <c r="L80" i="1" s="1"/>
  <c r="E20" i="18"/>
  <c r="E12" i="18"/>
  <c r="Q20" i="18" l="1"/>
  <c r="Q20" i="19" s="1"/>
  <c r="P20" i="18"/>
  <c r="P20" i="19" s="1"/>
  <c r="L20" i="18"/>
  <c r="L20" i="19" s="1"/>
  <c r="I20" i="18"/>
  <c r="I20" i="19" s="1"/>
  <c r="H20" i="18"/>
  <c r="H20" i="19" s="1"/>
  <c r="F20" i="18"/>
  <c r="N20" i="18"/>
  <c r="N20" i="19" s="1"/>
  <c r="G20" i="18"/>
  <c r="G20" i="19" s="1"/>
  <c r="J20" i="18"/>
  <c r="J20" i="19" s="1"/>
  <c r="K20" i="18"/>
  <c r="K20" i="19" s="1"/>
  <c r="M20" i="18"/>
  <c r="O20" i="18"/>
  <c r="O20" i="19" s="1"/>
  <c r="E32" i="18"/>
  <c r="M12" i="18"/>
  <c r="Q12" i="18"/>
  <c r="Q12" i="19" s="1"/>
  <c r="N12" i="18"/>
  <c r="N12" i="19" s="1"/>
  <c r="K12" i="18"/>
  <c r="K12" i="19" s="1"/>
  <c r="G12" i="18"/>
  <c r="G12" i="19" s="1"/>
  <c r="F12" i="18"/>
  <c r="O12" i="18"/>
  <c r="O12" i="19" s="1"/>
  <c r="L12" i="18"/>
  <c r="L12" i="19" s="1"/>
  <c r="H12" i="18"/>
  <c r="H12" i="19" s="1"/>
  <c r="J12" i="18"/>
  <c r="J12" i="19" s="1"/>
  <c r="P12" i="18"/>
  <c r="P12" i="19" s="1"/>
  <c r="I12" i="18"/>
  <c r="I12" i="19" s="1"/>
  <c r="E14" i="18"/>
  <c r="E24" i="18"/>
  <c r="E22" i="18"/>
  <c r="E6" i="18"/>
  <c r="E16" i="18"/>
  <c r="E27" i="18"/>
  <c r="E7" i="18"/>
  <c r="E18" i="18"/>
  <c r="E28" i="18"/>
  <c r="E8" i="18"/>
  <c r="E19" i="18"/>
  <c r="E33" i="18"/>
  <c r="E31" i="18"/>
  <c r="E10" i="18"/>
  <c r="E26" i="18"/>
  <c r="E11" i="18"/>
  <c r="E37" i="18"/>
  <c r="M12" i="19" l="1"/>
  <c r="T12" i="18"/>
  <c r="F20" i="19"/>
  <c r="R20" i="19" s="1"/>
  <c r="R20" i="18"/>
  <c r="S20" i="18" s="1"/>
  <c r="F12" i="19"/>
  <c r="R12" i="19" s="1"/>
  <c r="R12" i="18"/>
  <c r="S12" i="18" s="1"/>
  <c r="M20" i="19"/>
  <c r="S20" i="19" s="1"/>
  <c r="T20" i="18"/>
  <c r="Q32" i="18"/>
  <c r="Q32" i="19" s="1"/>
  <c r="K32" i="18"/>
  <c r="K32" i="19" s="1"/>
  <c r="F32" i="18"/>
  <c r="G32" i="18"/>
  <c r="G32" i="19" s="1"/>
  <c r="M32" i="18"/>
  <c r="H32" i="18"/>
  <c r="H32" i="19" s="1"/>
  <c r="N32" i="18"/>
  <c r="N32" i="19" s="1"/>
  <c r="I32" i="18"/>
  <c r="I32" i="19" s="1"/>
  <c r="L32" i="18"/>
  <c r="L32" i="19" s="1"/>
  <c r="J32" i="18"/>
  <c r="J32" i="19" s="1"/>
  <c r="P32" i="18"/>
  <c r="P32" i="19" s="1"/>
  <c r="O32" i="18"/>
  <c r="O32" i="19" s="1"/>
  <c r="I22" i="18"/>
  <c r="I22" i="19" s="1"/>
  <c r="H22" i="18"/>
  <c r="H22" i="19" s="1"/>
  <c r="F22" i="18"/>
  <c r="L22" i="18"/>
  <c r="L22" i="19" s="1"/>
  <c r="J22" i="18"/>
  <c r="J22" i="19" s="1"/>
  <c r="P22" i="18"/>
  <c r="P22" i="19" s="1"/>
  <c r="Q22" i="18"/>
  <c r="Q22" i="19" s="1"/>
  <c r="K22" i="18"/>
  <c r="K22" i="19" s="1"/>
  <c r="N22" i="18"/>
  <c r="N22" i="19" s="1"/>
  <c r="M22" i="18"/>
  <c r="O22" i="18"/>
  <c r="O22" i="19" s="1"/>
  <c r="G22" i="18"/>
  <c r="G22" i="19" s="1"/>
  <c r="E35" i="18"/>
  <c r="E36" i="18"/>
  <c r="P27" i="18"/>
  <c r="P27" i="19" s="1"/>
  <c r="F27" i="18"/>
  <c r="Q27" i="18"/>
  <c r="Q27" i="19" s="1"/>
  <c r="O27" i="18"/>
  <c r="O27" i="19" s="1"/>
  <c r="I27" i="18"/>
  <c r="I27" i="19" s="1"/>
  <c r="L27" i="18"/>
  <c r="L27" i="19" s="1"/>
  <c r="H27" i="18"/>
  <c r="H27" i="19" s="1"/>
  <c r="G27" i="18"/>
  <c r="G27" i="19" s="1"/>
  <c r="J27" i="18"/>
  <c r="J27" i="19" s="1"/>
  <c r="N27" i="18"/>
  <c r="N27" i="19" s="1"/>
  <c r="M27" i="18"/>
  <c r="K27" i="18"/>
  <c r="K27" i="19" s="1"/>
  <c r="K31" i="18"/>
  <c r="K31" i="19" s="1"/>
  <c r="O31" i="18"/>
  <c r="O31" i="19" s="1"/>
  <c r="M31" i="18"/>
  <c r="G31" i="18"/>
  <c r="G31" i="19" s="1"/>
  <c r="J31" i="18"/>
  <c r="J31" i="19" s="1"/>
  <c r="Q31" i="18"/>
  <c r="Q31" i="19" s="1"/>
  <c r="P31" i="18"/>
  <c r="P31" i="19" s="1"/>
  <c r="F31" i="18"/>
  <c r="H31" i="18"/>
  <c r="H31" i="19" s="1"/>
  <c r="I31" i="18"/>
  <c r="I31" i="19" s="1"/>
  <c r="L31" i="18"/>
  <c r="L31" i="19" s="1"/>
  <c r="N31" i="18"/>
  <c r="N31" i="19" s="1"/>
  <c r="I26" i="18"/>
  <c r="I26" i="19" s="1"/>
  <c r="P26" i="18"/>
  <c r="P26" i="19" s="1"/>
  <c r="F26" i="18"/>
  <c r="G26" i="18"/>
  <c r="G26" i="19" s="1"/>
  <c r="J26" i="18"/>
  <c r="J26" i="19" s="1"/>
  <c r="O26" i="18"/>
  <c r="O26" i="19" s="1"/>
  <c r="K26" i="18"/>
  <c r="K26" i="19" s="1"/>
  <c r="H26" i="18"/>
  <c r="H26" i="19" s="1"/>
  <c r="Q26" i="18"/>
  <c r="Q26" i="19" s="1"/>
  <c r="M26" i="18"/>
  <c r="L26" i="18"/>
  <c r="L26" i="19" s="1"/>
  <c r="N26" i="18"/>
  <c r="N26" i="19" s="1"/>
  <c r="M19" i="18"/>
  <c r="O19" i="18"/>
  <c r="O19" i="19" s="1"/>
  <c r="P19" i="18"/>
  <c r="P19" i="19" s="1"/>
  <c r="G19" i="18"/>
  <c r="G19" i="19" s="1"/>
  <c r="I19" i="18"/>
  <c r="I19" i="19" s="1"/>
  <c r="Q19" i="18"/>
  <c r="Q19" i="19" s="1"/>
  <c r="K19" i="18"/>
  <c r="K19" i="19" s="1"/>
  <c r="F19" i="18"/>
  <c r="N19" i="18"/>
  <c r="N19" i="19" s="1"/>
  <c r="H19" i="18"/>
  <c r="H19" i="19" s="1"/>
  <c r="J19" i="18"/>
  <c r="J19" i="19" s="1"/>
  <c r="L19" i="18"/>
  <c r="L19" i="19" s="1"/>
  <c r="G6" i="18"/>
  <c r="G6" i="19" s="1"/>
  <c r="L6" i="18"/>
  <c r="L6" i="19" s="1"/>
  <c r="O6" i="18"/>
  <c r="O6" i="19" s="1"/>
  <c r="K6" i="18"/>
  <c r="K6" i="19" s="1"/>
  <c r="H6" i="18"/>
  <c r="H6" i="19" s="1"/>
  <c r="M6" i="18"/>
  <c r="P6" i="18"/>
  <c r="P6" i="19" s="1"/>
  <c r="N6" i="18"/>
  <c r="N6" i="19" s="1"/>
  <c r="I6" i="18"/>
  <c r="I6" i="19" s="1"/>
  <c r="Q6" i="18"/>
  <c r="Q6" i="19" s="1"/>
  <c r="J6" i="18"/>
  <c r="J6" i="19" s="1"/>
  <c r="F6" i="18"/>
  <c r="I14" i="18"/>
  <c r="I14" i="19" s="1"/>
  <c r="J14" i="18"/>
  <c r="J14" i="19" s="1"/>
  <c r="L14" i="18"/>
  <c r="L14" i="19" s="1"/>
  <c r="O14" i="18"/>
  <c r="O14" i="19" s="1"/>
  <c r="K14" i="18"/>
  <c r="K14" i="19" s="1"/>
  <c r="Q14" i="18"/>
  <c r="Q14" i="19" s="1"/>
  <c r="P14" i="18"/>
  <c r="P14" i="19" s="1"/>
  <c r="F14" i="18"/>
  <c r="G14" i="18"/>
  <c r="G14" i="19" s="1"/>
  <c r="N14" i="18"/>
  <c r="N14" i="19" s="1"/>
  <c r="H14" i="18"/>
  <c r="H14" i="19" s="1"/>
  <c r="M14" i="18"/>
  <c r="F18" i="18"/>
  <c r="Q18" i="18"/>
  <c r="Q18" i="19" s="1"/>
  <c r="Q21" i="19" s="1"/>
  <c r="H18" i="18"/>
  <c r="H18" i="19" s="1"/>
  <c r="I18" i="18"/>
  <c r="I18" i="19" s="1"/>
  <c r="L18" i="18"/>
  <c r="L18" i="19" s="1"/>
  <c r="N18" i="18"/>
  <c r="N18" i="19" s="1"/>
  <c r="K18" i="18"/>
  <c r="K18" i="19" s="1"/>
  <c r="J18" i="18"/>
  <c r="J18" i="19" s="1"/>
  <c r="M18" i="18"/>
  <c r="O18" i="18"/>
  <c r="O18" i="19" s="1"/>
  <c r="O21" i="19" s="1"/>
  <c r="P18" i="18"/>
  <c r="P18" i="19" s="1"/>
  <c r="G18" i="18"/>
  <c r="G18" i="19" s="1"/>
  <c r="G21" i="19" s="1"/>
  <c r="K8" i="18"/>
  <c r="K8" i="19" s="1"/>
  <c r="L8" i="18"/>
  <c r="L8" i="19" s="1"/>
  <c r="M8" i="18"/>
  <c r="N8" i="18"/>
  <c r="N8" i="19" s="1"/>
  <c r="Q8" i="18"/>
  <c r="Q8" i="19" s="1"/>
  <c r="O8" i="18"/>
  <c r="O8" i="19" s="1"/>
  <c r="I8" i="18"/>
  <c r="I8" i="19" s="1"/>
  <c r="G8" i="18"/>
  <c r="G8" i="19" s="1"/>
  <c r="J8" i="18"/>
  <c r="J8" i="19" s="1"/>
  <c r="H8" i="18"/>
  <c r="H8" i="19" s="1"/>
  <c r="F8" i="18"/>
  <c r="P8" i="18"/>
  <c r="P8" i="19" s="1"/>
  <c r="J11" i="18"/>
  <c r="J11" i="19" s="1"/>
  <c r="K11" i="18"/>
  <c r="K11" i="19" s="1"/>
  <c r="L11" i="18"/>
  <c r="L11" i="19" s="1"/>
  <c r="M11" i="18"/>
  <c r="P11" i="18"/>
  <c r="P11" i="19" s="1"/>
  <c r="G11" i="18"/>
  <c r="G11" i="19" s="1"/>
  <c r="H11" i="18"/>
  <c r="H11" i="19" s="1"/>
  <c r="N11" i="18"/>
  <c r="N11" i="19" s="1"/>
  <c r="I11" i="18"/>
  <c r="I11" i="19" s="1"/>
  <c r="O11" i="18"/>
  <c r="O11" i="19" s="1"/>
  <c r="Q11" i="18"/>
  <c r="Q11" i="19" s="1"/>
  <c r="F11" i="18"/>
  <c r="G7" i="18"/>
  <c r="G7" i="19" s="1"/>
  <c r="O7" i="18"/>
  <c r="O7" i="19" s="1"/>
  <c r="M7" i="18"/>
  <c r="Q7" i="18"/>
  <c r="Q7" i="19" s="1"/>
  <c r="H7" i="18"/>
  <c r="H7" i="19" s="1"/>
  <c r="L7" i="18"/>
  <c r="L7" i="19" s="1"/>
  <c r="P7" i="18"/>
  <c r="P7" i="19" s="1"/>
  <c r="I7" i="18"/>
  <c r="I7" i="19" s="1"/>
  <c r="N7" i="18"/>
  <c r="N7" i="19" s="1"/>
  <c r="J7" i="18"/>
  <c r="J7" i="19" s="1"/>
  <c r="F7" i="18"/>
  <c r="K7" i="18"/>
  <c r="K7" i="19" s="1"/>
  <c r="M16" i="18"/>
  <c r="I16" i="18"/>
  <c r="I16" i="19" s="1"/>
  <c r="O16" i="18"/>
  <c r="O16" i="19" s="1"/>
  <c r="F16" i="18"/>
  <c r="G16" i="18"/>
  <c r="G16" i="19" s="1"/>
  <c r="K16" i="18"/>
  <c r="K16" i="19" s="1"/>
  <c r="P16" i="18"/>
  <c r="P16" i="19" s="1"/>
  <c r="N16" i="18"/>
  <c r="N16" i="19" s="1"/>
  <c r="J16" i="18"/>
  <c r="J16" i="19" s="1"/>
  <c r="L16" i="18"/>
  <c r="L16" i="19" s="1"/>
  <c r="H16" i="18"/>
  <c r="H16" i="19" s="1"/>
  <c r="Q16" i="18"/>
  <c r="Q16" i="19" s="1"/>
  <c r="K33" i="18"/>
  <c r="K33" i="19" s="1"/>
  <c r="M33" i="18"/>
  <c r="O33" i="18"/>
  <c r="O33" i="19" s="1"/>
  <c r="Q33" i="18"/>
  <c r="Q33" i="19" s="1"/>
  <c r="G33" i="18"/>
  <c r="G33" i="19" s="1"/>
  <c r="L33" i="18"/>
  <c r="L33" i="19" s="1"/>
  <c r="F33" i="18"/>
  <c r="N33" i="18"/>
  <c r="N33" i="19" s="1"/>
  <c r="I33" i="18"/>
  <c r="I33" i="19" s="1"/>
  <c r="P33" i="18"/>
  <c r="P33" i="19" s="1"/>
  <c r="J33" i="18"/>
  <c r="J33" i="19" s="1"/>
  <c r="H33" i="18"/>
  <c r="H33" i="19" s="1"/>
  <c r="E15" i="18"/>
  <c r="S12" i="19"/>
  <c r="J24" i="18"/>
  <c r="J24" i="19" s="1"/>
  <c r="K24" i="18"/>
  <c r="K24" i="19" s="1"/>
  <c r="F24" i="18"/>
  <c r="H24" i="18"/>
  <c r="H24" i="19" s="1"/>
  <c r="M24" i="18"/>
  <c r="Q24" i="18"/>
  <c r="Q24" i="19" s="1"/>
  <c r="O24" i="18"/>
  <c r="O24" i="19" s="1"/>
  <c r="L24" i="18"/>
  <c r="L24" i="19" s="1"/>
  <c r="G24" i="18"/>
  <c r="G24" i="19" s="1"/>
  <c r="N24" i="18"/>
  <c r="N24" i="19" s="1"/>
  <c r="I24" i="18"/>
  <c r="I24" i="19" s="1"/>
  <c r="P24" i="18"/>
  <c r="P24" i="19" s="1"/>
  <c r="K10" i="18"/>
  <c r="K10" i="19" s="1"/>
  <c r="I10" i="18"/>
  <c r="I10" i="19" s="1"/>
  <c r="L10" i="18"/>
  <c r="L10" i="19" s="1"/>
  <c r="Q10" i="18"/>
  <c r="Q10" i="19" s="1"/>
  <c r="M10" i="18"/>
  <c r="J10" i="18"/>
  <c r="J10" i="19" s="1"/>
  <c r="H10" i="18"/>
  <c r="H10" i="19" s="1"/>
  <c r="F10" i="18"/>
  <c r="P10" i="18"/>
  <c r="P10" i="19" s="1"/>
  <c r="N10" i="18"/>
  <c r="N10" i="19" s="1"/>
  <c r="N13" i="19" s="1"/>
  <c r="G10" i="18"/>
  <c r="G10" i="19" s="1"/>
  <c r="O10" i="18"/>
  <c r="O10" i="19" s="1"/>
  <c r="O13" i="19" s="1"/>
  <c r="J28" i="18"/>
  <c r="J28" i="19" s="1"/>
  <c r="L28" i="18"/>
  <c r="L28" i="19" s="1"/>
  <c r="K28" i="18"/>
  <c r="K28" i="19" s="1"/>
  <c r="N28" i="18"/>
  <c r="N28" i="19" s="1"/>
  <c r="M28" i="18"/>
  <c r="P28" i="18"/>
  <c r="P28" i="19" s="1"/>
  <c r="O28" i="18"/>
  <c r="O28" i="19" s="1"/>
  <c r="H28" i="18"/>
  <c r="H28" i="19" s="1"/>
  <c r="Q28" i="18"/>
  <c r="Q28" i="19" s="1"/>
  <c r="F28" i="18"/>
  <c r="G28" i="18"/>
  <c r="G28" i="19" s="1"/>
  <c r="I28" i="18"/>
  <c r="I28" i="19" s="1"/>
  <c r="E23" i="18"/>
  <c r="H21" i="19" l="1"/>
  <c r="P13" i="19"/>
  <c r="M10" i="19"/>
  <c r="T10" i="18"/>
  <c r="F33" i="19"/>
  <c r="R33" i="19" s="1"/>
  <c r="R33" i="18"/>
  <c r="S33" i="18" s="1"/>
  <c r="F14" i="19"/>
  <c r="R14" i="19" s="1"/>
  <c r="R14" i="18"/>
  <c r="S14" i="18" s="1"/>
  <c r="F6" i="19"/>
  <c r="R6" i="19" s="1"/>
  <c r="R6" i="18"/>
  <c r="S6" i="18" s="1"/>
  <c r="F19" i="19"/>
  <c r="R19" i="18"/>
  <c r="S19" i="18" s="1"/>
  <c r="F31" i="19"/>
  <c r="R31" i="18"/>
  <c r="S31" i="18" s="1"/>
  <c r="F22" i="19"/>
  <c r="R22" i="19" s="1"/>
  <c r="R22" i="18"/>
  <c r="S22" i="18" s="1"/>
  <c r="U20" i="18"/>
  <c r="V20" i="18"/>
  <c r="W20" i="18" s="1"/>
  <c r="F26" i="19"/>
  <c r="R26" i="18"/>
  <c r="S26" i="18" s="1"/>
  <c r="M22" i="19"/>
  <c r="S22" i="19" s="1"/>
  <c r="T22" i="18"/>
  <c r="M16" i="19"/>
  <c r="S16" i="19" s="1"/>
  <c r="T16" i="18"/>
  <c r="M26" i="19"/>
  <c r="S26" i="19" s="1"/>
  <c r="T26" i="18"/>
  <c r="M27" i="19"/>
  <c r="T27" i="18"/>
  <c r="M32" i="19"/>
  <c r="S32" i="19" s="1"/>
  <c r="T32" i="18"/>
  <c r="M18" i="19"/>
  <c r="S18" i="19" s="1"/>
  <c r="T18" i="18"/>
  <c r="F18" i="19"/>
  <c r="F21" i="19" s="1"/>
  <c r="R18" i="18"/>
  <c r="S18" i="18" s="1"/>
  <c r="F27" i="19"/>
  <c r="R27" i="18"/>
  <c r="S27" i="18" s="1"/>
  <c r="M24" i="19"/>
  <c r="S24" i="19" s="1"/>
  <c r="T24" i="18"/>
  <c r="F7" i="19"/>
  <c r="R7" i="19" s="1"/>
  <c r="R7" i="18"/>
  <c r="S7" i="18" s="1"/>
  <c r="M7" i="19"/>
  <c r="S7" i="19" s="1"/>
  <c r="T7" i="18"/>
  <c r="M14" i="19"/>
  <c r="T14" i="18"/>
  <c r="F32" i="19"/>
  <c r="R32" i="19" s="1"/>
  <c r="R32" i="18"/>
  <c r="S32" i="18" s="1"/>
  <c r="M28" i="19"/>
  <c r="S28" i="19" s="1"/>
  <c r="T28" i="18"/>
  <c r="F10" i="19"/>
  <c r="R10" i="18"/>
  <c r="S10" i="18" s="1"/>
  <c r="M33" i="19"/>
  <c r="S33" i="19" s="1"/>
  <c r="T33" i="18"/>
  <c r="F8" i="19"/>
  <c r="R8" i="19" s="1"/>
  <c r="R8" i="18"/>
  <c r="S8" i="18" s="1"/>
  <c r="M8" i="19"/>
  <c r="S8" i="19" s="1"/>
  <c r="T8" i="18"/>
  <c r="M31" i="19"/>
  <c r="S31" i="19" s="1"/>
  <c r="T31" i="18"/>
  <c r="F24" i="19"/>
  <c r="R24" i="19" s="1"/>
  <c r="R24" i="18"/>
  <c r="S24" i="18" s="1"/>
  <c r="M6" i="19"/>
  <c r="S6" i="19" s="1"/>
  <c r="T6" i="18"/>
  <c r="U12" i="18"/>
  <c r="V12" i="18"/>
  <c r="W12" i="18" s="1"/>
  <c r="F28" i="19"/>
  <c r="F29" i="19" s="1"/>
  <c r="R28" i="18"/>
  <c r="S28" i="18" s="1"/>
  <c r="F16" i="19"/>
  <c r="R16" i="19" s="1"/>
  <c r="R16" i="18"/>
  <c r="S16" i="18" s="1"/>
  <c r="F11" i="19"/>
  <c r="R11" i="19" s="1"/>
  <c r="R11" i="18"/>
  <c r="S11" i="18" s="1"/>
  <c r="M11" i="19"/>
  <c r="S11" i="19" s="1"/>
  <c r="T11" i="18"/>
  <c r="M19" i="19"/>
  <c r="S19" i="19" s="1"/>
  <c r="T19" i="18"/>
  <c r="P21" i="19"/>
  <c r="G13" i="19"/>
  <c r="T20" i="19"/>
  <c r="J21" i="19"/>
  <c r="K9" i="19"/>
  <c r="L52" i="26" s="1"/>
  <c r="P34" i="19"/>
  <c r="J13" i="19"/>
  <c r="Q13" i="19"/>
  <c r="I13" i="19"/>
  <c r="G9" i="19"/>
  <c r="H52" i="26" s="1"/>
  <c r="Q29" i="19"/>
  <c r="R55" i="26" s="1"/>
  <c r="I29" i="19"/>
  <c r="J55" i="26" s="1"/>
  <c r="K13" i="19"/>
  <c r="P9" i="19"/>
  <c r="Q52" i="26" s="1"/>
  <c r="R27" i="19"/>
  <c r="Q34" i="19"/>
  <c r="K21" i="19"/>
  <c r="H9" i="19"/>
  <c r="I52" i="26" s="1"/>
  <c r="N21" i="19"/>
  <c r="L13" i="19"/>
  <c r="S10" i="19"/>
  <c r="P15" i="18"/>
  <c r="P15" i="19" s="1"/>
  <c r="P17" i="19" s="1"/>
  <c r="K15" i="18"/>
  <c r="K15" i="19" s="1"/>
  <c r="K17" i="19" s="1"/>
  <c r="L53" i="26" s="1"/>
  <c r="O15" i="18"/>
  <c r="O15" i="19" s="1"/>
  <c r="O17" i="19" s="1"/>
  <c r="P53" i="26" s="1"/>
  <c r="N15" i="18"/>
  <c r="N15" i="19" s="1"/>
  <c r="N17" i="19" s="1"/>
  <c r="O53" i="26" s="1"/>
  <c r="Q15" i="18"/>
  <c r="Q15" i="19" s="1"/>
  <c r="Q17" i="19" s="1"/>
  <c r="R53" i="26" s="1"/>
  <c r="M15" i="18"/>
  <c r="G15" i="18"/>
  <c r="G15" i="19" s="1"/>
  <c r="G17" i="19" s="1"/>
  <c r="H53" i="26" s="1"/>
  <c r="L15" i="18"/>
  <c r="L15" i="19" s="1"/>
  <c r="L17" i="19" s="1"/>
  <c r="J15" i="18"/>
  <c r="J15" i="19" s="1"/>
  <c r="J17" i="19" s="1"/>
  <c r="K53" i="26" s="1"/>
  <c r="H15" i="18"/>
  <c r="H15" i="19" s="1"/>
  <c r="H17" i="19" s="1"/>
  <c r="F15" i="18"/>
  <c r="I15" i="18"/>
  <c r="I15" i="19" s="1"/>
  <c r="I17" i="19" s="1"/>
  <c r="J53" i="26" s="1"/>
  <c r="J9" i="19"/>
  <c r="K52" i="26" s="1"/>
  <c r="O9" i="19"/>
  <c r="P52" i="26" s="1"/>
  <c r="L29" i="19"/>
  <c r="R26" i="19"/>
  <c r="R31" i="19"/>
  <c r="T12" i="19"/>
  <c r="H34" i="19"/>
  <c r="Q9" i="19"/>
  <c r="R52" i="26" s="1"/>
  <c r="L9" i="19"/>
  <c r="P29" i="19"/>
  <c r="Q55" i="26" s="1"/>
  <c r="N9" i="19"/>
  <c r="O52" i="26" s="1"/>
  <c r="H29" i="19"/>
  <c r="I55" i="26" s="1"/>
  <c r="J34" i="19"/>
  <c r="H13" i="19"/>
  <c r="S14" i="19"/>
  <c r="K29" i="19"/>
  <c r="L55" i="26" s="1"/>
  <c r="N34" i="19"/>
  <c r="G34" i="19"/>
  <c r="I9" i="19"/>
  <c r="J52" i="26" s="1"/>
  <c r="L21" i="19"/>
  <c r="O29" i="19"/>
  <c r="P55" i="26" s="1"/>
  <c r="L34" i="19"/>
  <c r="I23" i="18"/>
  <c r="I23" i="19" s="1"/>
  <c r="I25" i="19" s="1"/>
  <c r="J23" i="18"/>
  <c r="J23" i="19" s="1"/>
  <c r="J25" i="19" s="1"/>
  <c r="F23" i="18"/>
  <c r="O23" i="18"/>
  <c r="O23" i="19" s="1"/>
  <c r="O25" i="19" s="1"/>
  <c r="K23" i="18"/>
  <c r="K23" i="19" s="1"/>
  <c r="K25" i="19" s="1"/>
  <c r="M23" i="18"/>
  <c r="L23" i="18"/>
  <c r="L23" i="19" s="1"/>
  <c r="L25" i="19" s="1"/>
  <c r="P23" i="18"/>
  <c r="P23" i="19" s="1"/>
  <c r="P25" i="19" s="1"/>
  <c r="Q23" i="18"/>
  <c r="Q23" i="19" s="1"/>
  <c r="Q25" i="19" s="1"/>
  <c r="G23" i="18"/>
  <c r="G23" i="19" s="1"/>
  <c r="G25" i="19" s="1"/>
  <c r="H23" i="18"/>
  <c r="H23" i="19" s="1"/>
  <c r="H25" i="19" s="1"/>
  <c r="N23" i="18"/>
  <c r="N23" i="19" s="1"/>
  <c r="N25" i="19" s="1"/>
  <c r="I21" i="19"/>
  <c r="J29" i="19"/>
  <c r="K55" i="26" s="1"/>
  <c r="I34" i="19"/>
  <c r="O34" i="19"/>
  <c r="J35" i="18"/>
  <c r="J35" i="19" s="1"/>
  <c r="P35" i="18"/>
  <c r="P35" i="19" s="1"/>
  <c r="L35" i="18"/>
  <c r="L35" i="19" s="1"/>
  <c r="F35" i="18"/>
  <c r="H35" i="18"/>
  <c r="H35" i="19" s="1"/>
  <c r="I35" i="18"/>
  <c r="I35" i="19" s="1"/>
  <c r="K35" i="18"/>
  <c r="K35" i="19" s="1"/>
  <c r="Q35" i="18"/>
  <c r="Q35" i="19" s="1"/>
  <c r="M35" i="18"/>
  <c r="N35" i="18"/>
  <c r="N35" i="19" s="1"/>
  <c r="G35" i="18"/>
  <c r="G35" i="19" s="1"/>
  <c r="O35" i="18"/>
  <c r="O35" i="19" s="1"/>
  <c r="R19" i="19"/>
  <c r="N29" i="19"/>
  <c r="O55" i="26" s="1"/>
  <c r="G29" i="19"/>
  <c r="H55" i="26" s="1"/>
  <c r="K34" i="19"/>
  <c r="S27" i="19"/>
  <c r="Q56" i="26" l="1"/>
  <c r="F34" i="19"/>
  <c r="F13" i="19"/>
  <c r="R13" i="19" s="1"/>
  <c r="T7" i="19"/>
  <c r="R56" i="26"/>
  <c r="R28" i="19"/>
  <c r="T28" i="19" s="1"/>
  <c r="F9" i="19"/>
  <c r="R9" i="19" s="1"/>
  <c r="M13" i="19"/>
  <c r="S13" i="19" s="1"/>
  <c r="M9" i="19"/>
  <c r="N52" i="26" s="1"/>
  <c r="M29" i="19"/>
  <c r="N55" i="26" s="1"/>
  <c r="M34" i="19"/>
  <c r="R10" i="19"/>
  <c r="T10" i="19" s="1"/>
  <c r="R18" i="19"/>
  <c r="T18" i="19" s="1"/>
  <c r="I56" i="26"/>
  <c r="M21" i="19"/>
  <c r="S21" i="19" s="1"/>
  <c r="M35" i="19"/>
  <c r="S35" i="19" s="1"/>
  <c r="T35" i="18"/>
  <c r="M15" i="19"/>
  <c r="M17" i="19" s="1"/>
  <c r="N53" i="26" s="1"/>
  <c r="T15" i="18"/>
  <c r="V19" i="18"/>
  <c r="W19" i="18" s="1"/>
  <c r="U19" i="18"/>
  <c r="V31" i="18"/>
  <c r="W31" i="18" s="1"/>
  <c r="U31" i="18"/>
  <c r="V7" i="18"/>
  <c r="W7" i="18" s="1"/>
  <c r="U7" i="18"/>
  <c r="U26" i="18"/>
  <c r="V26" i="18"/>
  <c r="W26" i="18" s="1"/>
  <c r="F23" i="19"/>
  <c r="F25" i="19" s="1"/>
  <c r="R25" i="19" s="1"/>
  <c r="R23" i="18"/>
  <c r="S23" i="18" s="1"/>
  <c r="V11" i="18"/>
  <c r="W11" i="18" s="1"/>
  <c r="U11" i="18"/>
  <c r="V8" i="18"/>
  <c r="W8" i="18" s="1"/>
  <c r="U8" i="18"/>
  <c r="V28" i="18"/>
  <c r="W28" i="18" s="1"/>
  <c r="U28" i="18"/>
  <c r="V18" i="18"/>
  <c r="W18" i="18" s="1"/>
  <c r="U18" i="18"/>
  <c r="V16" i="18"/>
  <c r="W16" i="18" s="1"/>
  <c r="U16" i="18"/>
  <c r="F15" i="19"/>
  <c r="F17" i="19" s="1"/>
  <c r="G53" i="26" s="1"/>
  <c r="R15" i="18"/>
  <c r="S15" i="18" s="1"/>
  <c r="U6" i="18"/>
  <c r="V6" i="18"/>
  <c r="W6" i="18" s="1"/>
  <c r="V24" i="18"/>
  <c r="W24" i="18" s="1"/>
  <c r="U24" i="18"/>
  <c r="V32" i="18"/>
  <c r="W32" i="18" s="1"/>
  <c r="U32" i="18"/>
  <c r="V22" i="18"/>
  <c r="W22" i="18" s="1"/>
  <c r="U22" i="18"/>
  <c r="F35" i="19"/>
  <c r="R35" i="19" s="1"/>
  <c r="R35" i="18"/>
  <c r="S35" i="18" s="1"/>
  <c r="M23" i="19"/>
  <c r="M25" i="19" s="1"/>
  <c r="S25" i="19" s="1"/>
  <c r="T23" i="18"/>
  <c r="U33" i="18"/>
  <c r="V33" i="18"/>
  <c r="W33" i="18" s="1"/>
  <c r="V14" i="18"/>
  <c r="W14" i="18" s="1"/>
  <c r="U14" i="18"/>
  <c r="U27" i="18"/>
  <c r="V27" i="18"/>
  <c r="W27" i="18" s="1"/>
  <c r="U10" i="18"/>
  <c r="V10" i="18"/>
  <c r="W10" i="18" s="1"/>
  <c r="T19" i="19"/>
  <c r="T6" i="19"/>
  <c r="O56" i="26"/>
  <c r="K56" i="26"/>
  <c r="T8" i="19"/>
  <c r="T32" i="19"/>
  <c r="T22" i="19"/>
  <c r="T27" i="19"/>
  <c r="P56" i="26"/>
  <c r="H56" i="26"/>
  <c r="L56" i="26"/>
  <c r="K41" i="19"/>
  <c r="K43" i="19" s="1"/>
  <c r="L33" i="26" s="1"/>
  <c r="T14" i="19"/>
  <c r="M52" i="26"/>
  <c r="S9" i="19"/>
  <c r="G55" i="26"/>
  <c r="R29" i="19"/>
  <c r="J56" i="26"/>
  <c r="N41" i="19"/>
  <c r="N43" i="19" s="1"/>
  <c r="O33" i="26" s="1"/>
  <c r="Q41" i="19"/>
  <c r="Q43" i="19" s="1"/>
  <c r="R33" i="26" s="1"/>
  <c r="I41" i="19"/>
  <c r="I43" i="19" s="1"/>
  <c r="J33" i="26" s="1"/>
  <c r="M53" i="26"/>
  <c r="S17" i="19"/>
  <c r="G41" i="19"/>
  <c r="G43" i="19" s="1"/>
  <c r="H33" i="26" s="1"/>
  <c r="O41" i="19"/>
  <c r="O43" i="19" s="1"/>
  <c r="P33" i="26" s="1"/>
  <c r="T33" i="19"/>
  <c r="H41" i="19"/>
  <c r="H43" i="19" s="1"/>
  <c r="I33" i="26" s="1"/>
  <c r="I53" i="26"/>
  <c r="M55" i="26"/>
  <c r="S29" i="19"/>
  <c r="M56" i="26"/>
  <c r="R21" i="19"/>
  <c r="T31" i="19"/>
  <c r="J41" i="19"/>
  <c r="J43" i="19" s="1"/>
  <c r="K33" i="26" s="1"/>
  <c r="S34" i="19"/>
  <c r="T11" i="19"/>
  <c r="R34" i="19"/>
  <c r="S15" i="19"/>
  <c r="T16" i="19"/>
  <c r="T24" i="19"/>
  <c r="T26" i="19"/>
  <c r="P41" i="19"/>
  <c r="P43" i="19" s="1"/>
  <c r="Q33" i="26" s="1"/>
  <c r="Q53" i="26"/>
  <c r="L41" i="19"/>
  <c r="G52" i="26" l="1"/>
  <c r="R17" i="19"/>
  <c r="T17" i="19" s="1"/>
  <c r="R15" i="19"/>
  <c r="M41" i="19"/>
  <c r="M43" i="19" s="1"/>
  <c r="N33" i="26" s="1"/>
  <c r="F41" i="19"/>
  <c r="F43" i="19" s="1"/>
  <c r="R23" i="19"/>
  <c r="G56" i="26"/>
  <c r="S23" i="19"/>
  <c r="T23" i="19" s="1"/>
  <c r="V23" i="18"/>
  <c r="W23" i="18" s="1"/>
  <c r="U23" i="18"/>
  <c r="N56" i="26"/>
  <c r="V15" i="18"/>
  <c r="W15" i="18" s="1"/>
  <c r="U15" i="18"/>
  <c r="V35" i="18"/>
  <c r="W35" i="18" s="1"/>
  <c r="U35" i="18"/>
  <c r="T9" i="19"/>
  <c r="T25" i="19"/>
  <c r="T13" i="19"/>
  <c r="S55" i="26"/>
  <c r="S53" i="26"/>
  <c r="T34" i="19"/>
  <c r="T15" i="19"/>
  <c r="L43" i="19"/>
  <c r="S52" i="26"/>
  <c r="T21" i="19"/>
  <c r="T35" i="19"/>
  <c r="T29" i="19"/>
  <c r="S41" i="19" l="1"/>
  <c r="R41" i="19"/>
  <c r="T41" i="19" s="1"/>
  <c r="S56" i="26"/>
  <c r="G33" i="26"/>
  <c r="R43" i="19"/>
  <c r="M33" i="26"/>
  <c r="S43" i="19"/>
  <c r="T43" i="19" l="1"/>
  <c r="S33" i="26"/>
  <c r="F50" i="26" l="1"/>
  <c r="F5" i="26" l="1"/>
  <c r="F7" i="26"/>
  <c r="F6" i="26" l="1"/>
  <c r="E8" i="20" l="1"/>
  <c r="E7" i="20"/>
  <c r="E6" i="20"/>
  <c r="E5" i="20"/>
  <c r="S6" i="20" l="1"/>
  <c r="K6" i="20" s="1"/>
  <c r="J61" i="21" s="1"/>
  <c r="S7" i="20"/>
  <c r="N7" i="20" s="1"/>
  <c r="F6" i="20"/>
  <c r="E61" i="21" s="1"/>
  <c r="L6" i="20"/>
  <c r="K61" i="21" s="1"/>
  <c r="P7" i="20"/>
  <c r="F7" i="20"/>
  <c r="J7" i="20"/>
  <c r="O7" i="20"/>
  <c r="I7" i="20"/>
  <c r="Q7" i="20"/>
  <c r="G7" i="20"/>
  <c r="K7" i="20"/>
  <c r="L7" i="20"/>
  <c r="H7" i="20"/>
  <c r="E59" i="1"/>
  <c r="D51" i="15"/>
  <c r="D52" i="15"/>
  <c r="D53" i="15"/>
  <c r="M7" i="20" l="1"/>
  <c r="R7" i="20" s="1"/>
  <c r="V56" i="22" s="1"/>
  <c r="G6" i="20"/>
  <c r="F61" i="21" s="1"/>
  <c r="P6" i="20"/>
  <c r="O61" i="21" s="1"/>
  <c r="O75" i="21" s="1"/>
  <c r="Q6" i="20"/>
  <c r="P61" i="21" s="1"/>
  <c r="P74" i="21" s="1"/>
  <c r="M6" i="20"/>
  <c r="L61" i="21" s="1"/>
  <c r="L74" i="21" s="1"/>
  <c r="I6" i="20"/>
  <c r="H61" i="21" s="1"/>
  <c r="H75" i="21" s="1"/>
  <c r="J6" i="20"/>
  <c r="I61" i="21" s="1"/>
  <c r="I74" i="21" s="1"/>
  <c r="H6" i="20"/>
  <c r="G61" i="21" s="1"/>
  <c r="G75" i="21" s="1"/>
  <c r="O6" i="20"/>
  <c r="N61" i="21" s="1"/>
  <c r="N74" i="21" s="1"/>
  <c r="N6" i="20"/>
  <c r="M61" i="21" s="1"/>
  <c r="F74" i="21"/>
  <c r="F75" i="21"/>
  <c r="K75" i="21"/>
  <c r="K74" i="21"/>
  <c r="E74" i="21"/>
  <c r="E75" i="21"/>
  <c r="J75" i="21"/>
  <c r="J74" i="21"/>
  <c r="M75" i="21"/>
  <c r="M74" i="21"/>
  <c r="P75" i="21"/>
  <c r="L6" i="26"/>
  <c r="K10" i="20"/>
  <c r="R6" i="26"/>
  <c r="G53" i="15"/>
  <c r="G53" i="16" s="1"/>
  <c r="O53" i="15"/>
  <c r="O53" i="16" s="1"/>
  <c r="E53" i="15"/>
  <c r="H53" i="15"/>
  <c r="H53" i="16" s="1"/>
  <c r="N53" i="15"/>
  <c r="N53" i="16" s="1"/>
  <c r="I53" i="15"/>
  <c r="I53" i="16" s="1"/>
  <c r="K53" i="15"/>
  <c r="P53" i="15"/>
  <c r="P53" i="16" s="1"/>
  <c r="L53" i="15"/>
  <c r="L53" i="16" s="1"/>
  <c r="F53" i="15"/>
  <c r="F53" i="16" s="1"/>
  <c r="M53" i="15"/>
  <c r="M53" i="16" s="1"/>
  <c r="J53" i="15"/>
  <c r="J53" i="16" s="1"/>
  <c r="L7" i="26"/>
  <c r="G7" i="26"/>
  <c r="R56" i="22"/>
  <c r="H6" i="26"/>
  <c r="G10" i="20"/>
  <c r="F52" i="15"/>
  <c r="F52" i="16" s="1"/>
  <c r="L52" i="15"/>
  <c r="L52" i="16" s="1"/>
  <c r="K52" i="15"/>
  <c r="M52" i="15"/>
  <c r="M52" i="16" s="1"/>
  <c r="N52" i="15"/>
  <c r="N52" i="16" s="1"/>
  <c r="E52" i="15"/>
  <c r="G52" i="15"/>
  <c r="G52" i="16" s="1"/>
  <c r="O52" i="15"/>
  <c r="O52" i="16" s="1"/>
  <c r="H52" i="15"/>
  <c r="H52" i="16" s="1"/>
  <c r="J52" i="15"/>
  <c r="J52" i="16" s="1"/>
  <c r="P52" i="15"/>
  <c r="P52" i="16" s="1"/>
  <c r="I52" i="15"/>
  <c r="I52" i="16" s="1"/>
  <c r="Q7" i="26"/>
  <c r="P10" i="20"/>
  <c r="M51" i="15"/>
  <c r="M51" i="16" s="1"/>
  <c r="N51" i="15"/>
  <c r="N51" i="16" s="1"/>
  <c r="F51" i="15"/>
  <c r="F51" i="16" s="1"/>
  <c r="G51" i="15"/>
  <c r="G51" i="16" s="1"/>
  <c r="E51" i="15"/>
  <c r="I51" i="15"/>
  <c r="I51" i="16" s="1"/>
  <c r="K51" i="15"/>
  <c r="O51" i="15"/>
  <c r="O51" i="16" s="1"/>
  <c r="P51" i="15"/>
  <c r="P51" i="16" s="1"/>
  <c r="H51" i="15"/>
  <c r="H51" i="16" s="1"/>
  <c r="L51" i="15"/>
  <c r="L51" i="16" s="1"/>
  <c r="J51" i="15"/>
  <c r="J51" i="16" s="1"/>
  <c r="R7" i="26"/>
  <c r="J6" i="26"/>
  <c r="Q59" i="1"/>
  <c r="N59" i="1"/>
  <c r="N76" i="1" s="1"/>
  <c r="P59" i="1"/>
  <c r="J59" i="1"/>
  <c r="J76" i="1" s="1"/>
  <c r="L59" i="1"/>
  <c r="G59" i="1"/>
  <c r="G76" i="1" s="1"/>
  <c r="F59" i="1"/>
  <c r="O59" i="1"/>
  <c r="K59" i="1"/>
  <c r="K76" i="1" s="1"/>
  <c r="M59" i="1"/>
  <c r="M76" i="1" s="1"/>
  <c r="I59" i="1"/>
  <c r="I76" i="1" s="1"/>
  <c r="H59" i="1"/>
  <c r="H76" i="1" s="1"/>
  <c r="J7" i="26"/>
  <c r="K6" i="26"/>
  <c r="J10" i="20"/>
  <c r="I7" i="26"/>
  <c r="M7" i="26"/>
  <c r="T56" i="22"/>
  <c r="H7" i="26"/>
  <c r="N7" i="26"/>
  <c r="M6" i="26"/>
  <c r="L10" i="20"/>
  <c r="U10" i="20" s="1"/>
  <c r="T56" i="21"/>
  <c r="G6" i="26"/>
  <c r="F10" i="20"/>
  <c r="K7" i="26"/>
  <c r="O7" i="26"/>
  <c r="P7" i="26"/>
  <c r="O10" i="20"/>
  <c r="O6" i="26"/>
  <c r="N10" i="20"/>
  <c r="D57" i="15"/>
  <c r="D58" i="15"/>
  <c r="K76" i="21" l="1"/>
  <c r="I10" i="20"/>
  <c r="M76" i="21"/>
  <c r="I6" i="26"/>
  <c r="R57" i="21"/>
  <c r="H10" i="20"/>
  <c r="Q10" i="20"/>
  <c r="I75" i="21"/>
  <c r="I76" i="21" s="1"/>
  <c r="W56" i="22"/>
  <c r="X56" i="22" s="1"/>
  <c r="G74" i="21"/>
  <c r="G76" i="21" s="1"/>
  <c r="M10" i="20"/>
  <c r="Q6" i="26"/>
  <c r="Q10" i="26" s="1"/>
  <c r="N6" i="26"/>
  <c r="O74" i="21"/>
  <c r="O76" i="21" s="1"/>
  <c r="L75" i="21"/>
  <c r="L76" i="21" s="1"/>
  <c r="R6" i="20"/>
  <c r="V57" i="21" s="1"/>
  <c r="W57" i="21" s="1"/>
  <c r="X57" i="21" s="1"/>
  <c r="Y57" i="21" s="1"/>
  <c r="Z57" i="21" s="1"/>
  <c r="P6" i="26"/>
  <c r="T57" i="21"/>
  <c r="P76" i="21"/>
  <c r="N75" i="21"/>
  <c r="N76" i="21" s="1"/>
  <c r="H74" i="21"/>
  <c r="H76" i="21" s="1"/>
  <c r="E53" i="16"/>
  <c r="Q53" i="16" s="1"/>
  <c r="Q53" i="15"/>
  <c r="R53" i="15" s="1"/>
  <c r="F76" i="21"/>
  <c r="E52" i="16"/>
  <c r="Q52" i="16" s="1"/>
  <c r="Q52" i="15"/>
  <c r="R52" i="15" s="1"/>
  <c r="E51" i="16"/>
  <c r="Q51" i="16" s="1"/>
  <c r="Q51" i="15"/>
  <c r="R51" i="15" s="1"/>
  <c r="E76" i="21"/>
  <c r="J76" i="21"/>
  <c r="O10" i="26"/>
  <c r="P10" i="26"/>
  <c r="K10" i="26"/>
  <c r="M10" i="26"/>
  <c r="F58" i="15"/>
  <c r="J58" i="15"/>
  <c r="N58" i="15"/>
  <c r="L58" i="15"/>
  <c r="G58" i="15"/>
  <c r="M58" i="15"/>
  <c r="O58" i="15"/>
  <c r="K58" i="15"/>
  <c r="E58" i="15"/>
  <c r="H58" i="15"/>
  <c r="P58" i="15"/>
  <c r="I58" i="15"/>
  <c r="L57" i="15"/>
  <c r="M57" i="15"/>
  <c r="G57" i="15"/>
  <c r="I57" i="15"/>
  <c r="H57" i="15"/>
  <c r="O57" i="15"/>
  <c r="F57" i="15"/>
  <c r="E57" i="15"/>
  <c r="J57" i="15"/>
  <c r="P57" i="15"/>
  <c r="K57" i="15"/>
  <c r="N57" i="15"/>
  <c r="G10" i="26"/>
  <c r="R10" i="26"/>
  <c r="I10" i="26"/>
  <c r="J10" i="26"/>
  <c r="K53" i="16"/>
  <c r="R53" i="16" s="1"/>
  <c r="S53" i="15"/>
  <c r="K52" i="16"/>
  <c r="R52" i="16" s="1"/>
  <c r="S52" i="15"/>
  <c r="F76" i="1"/>
  <c r="R59" i="1"/>
  <c r="H10" i="26"/>
  <c r="K51" i="16"/>
  <c r="R51" i="16" s="1"/>
  <c r="S51" i="15"/>
  <c r="S7" i="26"/>
  <c r="L76" i="1"/>
  <c r="T59" i="1"/>
  <c r="U59" i="1" s="1"/>
  <c r="L10" i="26"/>
  <c r="R10" i="20" l="1"/>
  <c r="S6" i="26"/>
  <c r="N10" i="26"/>
  <c r="S10" i="26" s="1"/>
  <c r="V57" i="26" s="1"/>
  <c r="Y56" i="22"/>
  <c r="Z56" i="22" s="1"/>
  <c r="E58" i="16"/>
  <c r="Q58" i="15"/>
  <c r="Q57" i="15"/>
  <c r="S52" i="16"/>
  <c r="S53" i="16"/>
  <c r="N57" i="16"/>
  <c r="N61" i="15"/>
  <c r="O26" i="20" s="1"/>
  <c r="N59" i="16"/>
  <c r="I57" i="16"/>
  <c r="I61" i="15"/>
  <c r="J26" i="20" s="1"/>
  <c r="I59" i="16"/>
  <c r="K58" i="16"/>
  <c r="K60" i="16"/>
  <c r="K59" i="16"/>
  <c r="K61" i="15"/>
  <c r="K57" i="16"/>
  <c r="G59" i="16"/>
  <c r="G57" i="16"/>
  <c r="G61" i="15"/>
  <c r="H26" i="20" s="1"/>
  <c r="O58" i="16"/>
  <c r="O60" i="16"/>
  <c r="Q26" i="26" s="1"/>
  <c r="T51" i="15"/>
  <c r="U51" i="15"/>
  <c r="V51" i="15" s="1"/>
  <c r="U53" i="15"/>
  <c r="V53" i="15" s="1"/>
  <c r="T53" i="15"/>
  <c r="S51" i="16"/>
  <c r="P57" i="16"/>
  <c r="P59" i="16"/>
  <c r="P61" i="15"/>
  <c r="Q26" i="20" s="1"/>
  <c r="M57" i="16"/>
  <c r="M61" i="15"/>
  <c r="N26" i="20" s="1"/>
  <c r="M59" i="16"/>
  <c r="M60" i="16"/>
  <c r="O26" i="26" s="1"/>
  <c r="M58" i="16"/>
  <c r="J57" i="16"/>
  <c r="J59" i="16"/>
  <c r="J61" i="15"/>
  <c r="K26" i="20" s="1"/>
  <c r="L57" i="16"/>
  <c r="L59" i="16"/>
  <c r="L61" i="15"/>
  <c r="M26" i="20" s="1"/>
  <c r="G58" i="16"/>
  <c r="G60" i="16"/>
  <c r="V59" i="1"/>
  <c r="W59" i="1" s="1"/>
  <c r="S59" i="1"/>
  <c r="E61" i="15"/>
  <c r="E57" i="16"/>
  <c r="I58" i="16"/>
  <c r="I60" i="16"/>
  <c r="K26" i="26" s="1"/>
  <c r="L60" i="16"/>
  <c r="N26" i="26" s="1"/>
  <c r="L58" i="16"/>
  <c r="F57" i="16"/>
  <c r="F59" i="16"/>
  <c r="F61" i="15"/>
  <c r="G26" i="20" s="1"/>
  <c r="P58" i="16"/>
  <c r="P60" i="16"/>
  <c r="R26" i="26" s="1"/>
  <c r="N60" i="16"/>
  <c r="P26" i="26" s="1"/>
  <c r="N58" i="16"/>
  <c r="T52" i="15"/>
  <c r="U52" i="15"/>
  <c r="V52" i="15" s="1"/>
  <c r="O57" i="16"/>
  <c r="O59" i="16"/>
  <c r="O61" i="15"/>
  <c r="P26" i="20" s="1"/>
  <c r="H60" i="16"/>
  <c r="H58" i="16"/>
  <c r="J60" i="16"/>
  <c r="L26" i="26" s="1"/>
  <c r="J58" i="16"/>
  <c r="H57" i="16"/>
  <c r="H61" i="15"/>
  <c r="I26" i="20" s="1"/>
  <c r="H59" i="16"/>
  <c r="F60" i="16"/>
  <c r="F58" i="16"/>
  <c r="J61" i="16" l="1"/>
  <c r="J67" i="16" s="1"/>
  <c r="W52" i="15"/>
  <c r="X52" i="15" s="1"/>
  <c r="W53" i="15"/>
  <c r="X53" i="15" s="1"/>
  <c r="F61" i="16"/>
  <c r="F67" i="16" s="1"/>
  <c r="W51" i="15"/>
  <c r="X51" i="15" s="1"/>
  <c r="N61" i="16"/>
  <c r="N67" i="16" s="1"/>
  <c r="F26" i="20"/>
  <c r="Q61" i="15"/>
  <c r="R61" i="15" s="1"/>
  <c r="L61" i="16"/>
  <c r="L67" i="16" s="1"/>
  <c r="H61" i="16"/>
  <c r="H67" i="16" s="1"/>
  <c r="P61" i="16"/>
  <c r="P67" i="16" s="1"/>
  <c r="O61" i="16"/>
  <c r="O67" i="16" s="1"/>
  <c r="R60" i="16"/>
  <c r="M26" i="26"/>
  <c r="Y59" i="1"/>
  <c r="X59" i="1"/>
  <c r="R58" i="16"/>
  <c r="M61" i="16"/>
  <c r="M67" i="16" s="1"/>
  <c r="G61" i="16"/>
  <c r="G67" i="16" s="1"/>
  <c r="I61" i="16"/>
  <c r="I67" i="16" s="1"/>
  <c r="Q58" i="16"/>
  <c r="R57" i="16"/>
  <c r="K61" i="16"/>
  <c r="K67" i="16" s="1"/>
  <c r="Q57" i="16"/>
  <c r="E61" i="16"/>
  <c r="E67" i="16" s="1"/>
  <c r="L26" i="20"/>
  <c r="S61" i="15"/>
  <c r="R59" i="16"/>
  <c r="H26" i="26" l="1"/>
  <c r="Y51" i="15"/>
  <c r="Z51" i="15" s="1"/>
  <c r="Y53" i="15"/>
  <c r="Z53" i="15" s="1"/>
  <c r="Y52" i="15"/>
  <c r="Z52" i="15" s="1"/>
  <c r="R26" i="20"/>
  <c r="J26" i="26"/>
  <c r="S57" i="16"/>
  <c r="Z59" i="1"/>
  <c r="AA59" i="1" s="1"/>
  <c r="I26" i="26"/>
  <c r="Q61" i="16"/>
  <c r="G26" i="26"/>
  <c r="R67" i="16"/>
  <c r="R61" i="16"/>
  <c r="S58" i="16"/>
  <c r="T61" i="15"/>
  <c r="U61" i="15"/>
  <c r="V61" i="15" s="1"/>
  <c r="W61" i="15" l="1"/>
  <c r="X61" i="15" s="1"/>
  <c r="S26" i="26"/>
  <c r="S61" i="16"/>
  <c r="Q67" i="16"/>
  <c r="S67" i="16"/>
  <c r="Y61" i="15" l="1"/>
  <c r="Z61" i="15" s="1"/>
  <c r="F8" i="26"/>
  <c r="D27" i="15" l="1"/>
  <c r="D26" i="15"/>
  <c r="D24" i="15"/>
  <c r="I24" i="15" l="1"/>
  <c r="I24" i="16" s="1"/>
  <c r="G24" i="15"/>
  <c r="G24" i="16" s="1"/>
  <c r="K24" i="15"/>
  <c r="M24" i="15"/>
  <c r="M24" i="16" s="1"/>
  <c r="J24" i="15"/>
  <c r="J24" i="16" s="1"/>
  <c r="O24" i="15"/>
  <c r="O24" i="16" s="1"/>
  <c r="E24" i="15"/>
  <c r="H24" i="15"/>
  <c r="H24" i="16" s="1"/>
  <c r="P24" i="15"/>
  <c r="P24" i="16" s="1"/>
  <c r="F24" i="15"/>
  <c r="F24" i="16" s="1"/>
  <c r="N24" i="15"/>
  <c r="N24" i="16" s="1"/>
  <c r="L24" i="15"/>
  <c r="L24" i="16" s="1"/>
  <c r="N26" i="15"/>
  <c r="N26" i="16" s="1"/>
  <c r="O26" i="15"/>
  <c r="O26" i="16" s="1"/>
  <c r="H26" i="15"/>
  <c r="H26" i="16" s="1"/>
  <c r="M26" i="15"/>
  <c r="M26" i="16" s="1"/>
  <c r="G26" i="15"/>
  <c r="G26" i="16" s="1"/>
  <c r="J26" i="15"/>
  <c r="J26" i="16" s="1"/>
  <c r="F26" i="15"/>
  <c r="F26" i="16" s="1"/>
  <c r="K26" i="15"/>
  <c r="P26" i="15"/>
  <c r="P26" i="16" s="1"/>
  <c r="L26" i="15"/>
  <c r="L26" i="16" s="1"/>
  <c r="I26" i="15"/>
  <c r="I26" i="16" s="1"/>
  <c r="E26" i="15"/>
  <c r="H27" i="15"/>
  <c r="H27" i="16" s="1"/>
  <c r="N27" i="15"/>
  <c r="N27" i="16" s="1"/>
  <c r="E27" i="15"/>
  <c r="J27" i="15"/>
  <c r="J27" i="16" s="1"/>
  <c r="K27" i="15"/>
  <c r="F27" i="15"/>
  <c r="F27" i="16" s="1"/>
  <c r="P27" i="15"/>
  <c r="P27" i="16" s="1"/>
  <c r="G27" i="15"/>
  <c r="G27" i="16" s="1"/>
  <c r="I27" i="15"/>
  <c r="I27" i="16" s="1"/>
  <c r="O27" i="15"/>
  <c r="O27" i="16" s="1"/>
  <c r="L27" i="15"/>
  <c r="L27" i="16" s="1"/>
  <c r="M27" i="15"/>
  <c r="M27" i="16" s="1"/>
  <c r="E24" i="16" l="1"/>
  <c r="Q24" i="16" s="1"/>
  <c r="Q24" i="15"/>
  <c r="R24" i="15" s="1"/>
  <c r="E26" i="16"/>
  <c r="Q26" i="15"/>
  <c r="R26" i="15" s="1"/>
  <c r="E27" i="16"/>
  <c r="Q27" i="16" s="1"/>
  <c r="Q27" i="15"/>
  <c r="R27" i="15" s="1"/>
  <c r="Q26" i="16"/>
  <c r="K27" i="16"/>
  <c r="R27" i="16" s="1"/>
  <c r="S27" i="15"/>
  <c r="K26" i="16"/>
  <c r="R26" i="16" s="1"/>
  <c r="S26" i="15"/>
  <c r="K24" i="16"/>
  <c r="R24" i="16" s="1"/>
  <c r="S24" i="15"/>
  <c r="S26" i="16" l="1"/>
  <c r="S27" i="16"/>
  <c r="T26" i="15"/>
  <c r="U26" i="15"/>
  <c r="V26" i="15" s="1"/>
  <c r="S24" i="16"/>
  <c r="T27" i="15"/>
  <c r="U27" i="15"/>
  <c r="V27" i="15" s="1"/>
  <c r="T24" i="15"/>
  <c r="U24" i="15"/>
  <c r="V24" i="15" s="1"/>
  <c r="D18" i="21"/>
  <c r="W26" i="15" l="1"/>
  <c r="X26" i="15" s="1"/>
  <c r="W27" i="15"/>
  <c r="X27" i="15" s="1"/>
  <c r="W24" i="15"/>
  <c r="X24" i="15" s="1"/>
  <c r="P18" i="21"/>
  <c r="P17" i="23" s="1"/>
  <c r="I18" i="21"/>
  <c r="I17" i="23" s="1"/>
  <c r="J18" i="21"/>
  <c r="J17" i="23" s="1"/>
  <c r="F18" i="21"/>
  <c r="F17" i="23" s="1"/>
  <c r="O18" i="21"/>
  <c r="O17" i="23" s="1"/>
  <c r="H18" i="21"/>
  <c r="H17" i="23" s="1"/>
  <c r="L18" i="21"/>
  <c r="L17" i="23" s="1"/>
  <c r="G18" i="21"/>
  <c r="G17" i="23" s="1"/>
  <c r="M18" i="21"/>
  <c r="M17" i="23" s="1"/>
  <c r="N18" i="21"/>
  <c r="N17" i="23" s="1"/>
  <c r="K18" i="21"/>
  <c r="E18" i="21"/>
  <c r="Y24" i="15" l="1"/>
  <c r="Z24" i="15" s="1"/>
  <c r="Y27" i="15"/>
  <c r="Z27" i="15" s="1"/>
  <c r="Y26" i="15"/>
  <c r="Z26" i="15" s="1"/>
  <c r="E17" i="23"/>
  <c r="Q17" i="23" s="1"/>
  <c r="Q18" i="21"/>
  <c r="K17" i="23"/>
  <c r="R17" i="23" s="1"/>
  <c r="S18" i="21"/>
  <c r="T18" i="21" s="1"/>
  <c r="R18" i="21" l="1"/>
  <c r="U18" i="21"/>
  <c r="V18" i="21" s="1"/>
  <c r="W18" i="21" s="1"/>
  <c r="S17" i="23"/>
  <c r="D16" i="22"/>
  <c r="D17" i="22"/>
  <c r="P17" i="22" l="1"/>
  <c r="P17" i="24" s="1"/>
  <c r="E17" i="22"/>
  <c r="H17" i="22"/>
  <c r="H17" i="24" s="1"/>
  <c r="J17" i="22"/>
  <c r="J17" i="24" s="1"/>
  <c r="O17" i="22"/>
  <c r="O17" i="24" s="1"/>
  <c r="K17" i="22"/>
  <c r="M17" i="22"/>
  <c r="M17" i="24" s="1"/>
  <c r="N17" i="22"/>
  <c r="N17" i="24" s="1"/>
  <c r="L17" i="22"/>
  <c r="L17" i="24" s="1"/>
  <c r="I17" i="22"/>
  <c r="I17" i="24" s="1"/>
  <c r="G17" i="22"/>
  <c r="G17" i="24" s="1"/>
  <c r="F17" i="22"/>
  <c r="F17" i="24" s="1"/>
  <c r="X18" i="21"/>
  <c r="Y18" i="21" s="1"/>
  <c r="Z18" i="21" s="1"/>
  <c r="P16" i="22"/>
  <c r="P16" i="24" s="1"/>
  <c r="H16" i="22"/>
  <c r="H16" i="24" s="1"/>
  <c r="J16" i="22"/>
  <c r="J16" i="24" s="1"/>
  <c r="E16" i="22"/>
  <c r="O16" i="22"/>
  <c r="O16" i="24" s="1"/>
  <c r="K16" i="22"/>
  <c r="N16" i="22"/>
  <c r="N16" i="24" s="1"/>
  <c r="L16" i="22"/>
  <c r="L16" i="24" s="1"/>
  <c r="F16" i="22"/>
  <c r="F16" i="24" s="1"/>
  <c r="M16" i="22"/>
  <c r="M16" i="24" s="1"/>
  <c r="I16" i="22"/>
  <c r="I16" i="24" s="1"/>
  <c r="G16" i="22"/>
  <c r="G16" i="24" s="1"/>
  <c r="K17" i="24" l="1"/>
  <c r="R17" i="24" s="1"/>
  <c r="S17" i="22"/>
  <c r="T17" i="22" s="1"/>
  <c r="K16" i="24"/>
  <c r="R16" i="24" s="1"/>
  <c r="S16" i="22"/>
  <c r="T16" i="22" s="1"/>
  <c r="E16" i="24"/>
  <c r="Q16" i="24" s="1"/>
  <c r="Q16" i="22"/>
  <c r="E17" i="24"/>
  <c r="Q17" i="24" s="1"/>
  <c r="Q17" i="22"/>
  <c r="S16" i="24" l="1"/>
  <c r="R17" i="22"/>
  <c r="U17" i="22"/>
  <c r="V17" i="22" s="1"/>
  <c r="R16" i="22"/>
  <c r="U16" i="22"/>
  <c r="V16" i="22" s="1"/>
  <c r="S17" i="24"/>
  <c r="D51" i="21"/>
  <c r="W17" i="22" l="1"/>
  <c r="X17" i="22" s="1"/>
  <c r="W16" i="22"/>
  <c r="X16" i="22" s="1"/>
  <c r="L51" i="21"/>
  <c r="G51" i="21"/>
  <c r="P51" i="21"/>
  <c r="P71" i="21" s="1"/>
  <c r="I51" i="21"/>
  <c r="J51" i="21"/>
  <c r="F51" i="21"/>
  <c r="O51" i="21"/>
  <c r="O71" i="21" s="1"/>
  <c r="H51" i="21"/>
  <c r="M51" i="21"/>
  <c r="N51" i="21"/>
  <c r="N71" i="21" s="1"/>
  <c r="K51" i="21"/>
  <c r="E51" i="21"/>
  <c r="F51" i="26"/>
  <c r="F49" i="26"/>
  <c r="Y16" i="22" l="1"/>
  <c r="Z16" i="22" s="1"/>
  <c r="Y17" i="22"/>
  <c r="Z17" i="22" s="1"/>
  <c r="H50" i="23"/>
  <c r="H71" i="21"/>
  <c r="O50" i="23"/>
  <c r="F50" i="23"/>
  <c r="F71" i="21"/>
  <c r="J50" i="23"/>
  <c r="J71" i="21"/>
  <c r="I50" i="23"/>
  <c r="I71" i="21"/>
  <c r="E50" i="23"/>
  <c r="E71" i="21"/>
  <c r="Q51" i="21"/>
  <c r="K50" i="23"/>
  <c r="K71" i="21"/>
  <c r="S51" i="21"/>
  <c r="T51" i="21" s="1"/>
  <c r="P50" i="23"/>
  <c r="N50" i="23"/>
  <c r="G50" i="23"/>
  <c r="G71" i="21"/>
  <c r="M50" i="23"/>
  <c r="M71" i="21"/>
  <c r="L50" i="23"/>
  <c r="L71" i="21"/>
  <c r="Q50" i="23" l="1"/>
  <c r="R50" i="23"/>
  <c r="R51" i="21"/>
  <c r="U51" i="21"/>
  <c r="V51" i="21" s="1"/>
  <c r="W51" i="21" s="1"/>
  <c r="E7" i="9"/>
  <c r="E6" i="9"/>
  <c r="E8" i="9"/>
  <c r="S50" i="23" l="1"/>
  <c r="M6" i="9"/>
  <c r="I6" i="9"/>
  <c r="F6" i="9"/>
  <c r="Q6" i="9"/>
  <c r="L6" i="9"/>
  <c r="O6" i="9"/>
  <c r="N6" i="9"/>
  <c r="J6" i="9"/>
  <c r="K6" i="9"/>
  <c r="H6" i="9"/>
  <c r="G6" i="9"/>
  <c r="P6" i="9"/>
  <c r="H7" i="9"/>
  <c r="H7" i="28" s="1"/>
  <c r="N7" i="9"/>
  <c r="N7" i="28" s="1"/>
  <c r="L7" i="9"/>
  <c r="I7" i="9"/>
  <c r="I7" i="28" s="1"/>
  <c r="O7" i="9"/>
  <c r="O7" i="28" s="1"/>
  <c r="F7" i="9"/>
  <c r="P7" i="9"/>
  <c r="P7" i="28" s="1"/>
  <c r="M7" i="9"/>
  <c r="M7" i="28" s="1"/>
  <c r="K7" i="9"/>
  <c r="K7" i="28" s="1"/>
  <c r="J7" i="9"/>
  <c r="J7" i="28" s="1"/>
  <c r="Q7" i="9"/>
  <c r="Q7" i="28" s="1"/>
  <c r="G7" i="9"/>
  <c r="G7" i="28" s="1"/>
  <c r="G8" i="9"/>
  <c r="G8" i="28" s="1"/>
  <c r="J8" i="9"/>
  <c r="J8" i="28" s="1"/>
  <c r="Q8" i="9"/>
  <c r="Q8" i="28" s="1"/>
  <c r="O8" i="9"/>
  <c r="O8" i="28" s="1"/>
  <c r="F8" i="9"/>
  <c r="M8" i="9"/>
  <c r="M8" i="28" s="1"/>
  <c r="K8" i="9"/>
  <c r="K8" i="28" s="1"/>
  <c r="H8" i="9"/>
  <c r="H8" i="28" s="1"/>
  <c r="L8" i="9"/>
  <c r="N8" i="9"/>
  <c r="N8" i="28" s="1"/>
  <c r="P8" i="9"/>
  <c r="P8" i="28" s="1"/>
  <c r="I8" i="9"/>
  <c r="I8" i="28" s="1"/>
  <c r="X51" i="21"/>
  <c r="Y51" i="21" s="1"/>
  <c r="Z51" i="21" s="1"/>
  <c r="E10" i="9"/>
  <c r="E9" i="9"/>
  <c r="M9" i="9" l="1"/>
  <c r="M9" i="28" s="1"/>
  <c r="I9" i="9"/>
  <c r="I9" i="28" s="1"/>
  <c r="L36" i="9"/>
  <c r="L39" i="28" s="1"/>
  <c r="M36" i="9"/>
  <c r="M39" i="28" s="1"/>
  <c r="N36" i="9"/>
  <c r="N39" i="28" s="1"/>
  <c r="L9" i="9"/>
  <c r="L10" i="9" s="1"/>
  <c r="F9" i="9"/>
  <c r="F10" i="9" s="1"/>
  <c r="Q9" i="9"/>
  <c r="Q9" i="28" s="1"/>
  <c r="Q36" i="9"/>
  <c r="Q39" i="28" s="1"/>
  <c r="F36" i="9"/>
  <c r="F39" i="28" s="1"/>
  <c r="K36" i="9"/>
  <c r="K39" i="28" s="1"/>
  <c r="K9" i="9"/>
  <c r="K9" i="28" s="1"/>
  <c r="J9" i="9"/>
  <c r="J9" i="28" s="1"/>
  <c r="G36" i="9"/>
  <c r="G39" i="28" s="1"/>
  <c r="N9" i="9"/>
  <c r="N9" i="28" s="1"/>
  <c r="I36" i="9"/>
  <c r="I39" i="28" s="1"/>
  <c r="O9" i="9"/>
  <c r="O9" i="28" s="1"/>
  <c r="H9" i="9"/>
  <c r="H9" i="28" s="1"/>
  <c r="J36" i="9"/>
  <c r="J39" i="28" s="1"/>
  <c r="P9" i="9"/>
  <c r="P9" i="28" s="1"/>
  <c r="G9" i="9"/>
  <c r="G9" i="28" s="1"/>
  <c r="H36" i="9"/>
  <c r="H39" i="28" s="1"/>
  <c r="O36" i="9"/>
  <c r="O39" i="28" s="1"/>
  <c r="P36" i="9"/>
  <c r="P39" i="28" s="1"/>
  <c r="K6" i="28"/>
  <c r="J6" i="28"/>
  <c r="L8" i="28"/>
  <c r="S8" i="28" s="1"/>
  <c r="T8" i="9"/>
  <c r="U8" i="9" s="1"/>
  <c r="M6" i="28"/>
  <c r="L7" i="28"/>
  <c r="S7" i="28" s="1"/>
  <c r="T7" i="9"/>
  <c r="U7" i="9" s="1"/>
  <c r="N6" i="28"/>
  <c r="O6" i="28"/>
  <c r="F8" i="28"/>
  <c r="R8" i="28" s="1"/>
  <c r="R8" i="9"/>
  <c r="L6" i="28"/>
  <c r="T6" i="9"/>
  <c r="P6" i="28"/>
  <c r="Q6" i="28"/>
  <c r="G6" i="28"/>
  <c r="F6" i="28"/>
  <c r="R6" i="9"/>
  <c r="F7" i="28"/>
  <c r="R7" i="9"/>
  <c r="H6" i="28"/>
  <c r="H10" i="9"/>
  <c r="I6" i="28"/>
  <c r="I10" i="28" s="1"/>
  <c r="I10" i="9"/>
  <c r="M10" i="9" l="1"/>
  <c r="M10" i="28"/>
  <c r="O10" i="9"/>
  <c r="G10" i="28"/>
  <c r="P10" i="9"/>
  <c r="P10" i="28"/>
  <c r="K10" i="9"/>
  <c r="Q10" i="9"/>
  <c r="J10" i="9"/>
  <c r="J10" i="28"/>
  <c r="G10" i="9"/>
  <c r="N10" i="9"/>
  <c r="K10" i="28"/>
  <c r="R6" i="28"/>
  <c r="H10" i="28"/>
  <c r="R7" i="28"/>
  <c r="T7" i="28" s="1"/>
  <c r="S8" i="9"/>
  <c r="V8" i="9"/>
  <c r="W8" i="9" s="1"/>
  <c r="X8" i="9" s="1"/>
  <c r="Q10" i="28"/>
  <c r="T8" i="28"/>
  <c r="N10" i="28"/>
  <c r="F9" i="28"/>
  <c r="F10" i="28" s="1"/>
  <c r="R9" i="9"/>
  <c r="L9" i="28"/>
  <c r="S9" i="28" s="1"/>
  <c r="T9" i="9"/>
  <c r="U9" i="9" s="1"/>
  <c r="S6" i="9"/>
  <c r="V6" i="9"/>
  <c r="W6" i="9" s="1"/>
  <c r="X6" i="9" s="1"/>
  <c r="O10" i="28"/>
  <c r="U6" i="9"/>
  <c r="S7" i="9"/>
  <c r="V7" i="9"/>
  <c r="W7" i="9" s="1"/>
  <c r="X7" i="9" s="1"/>
  <c r="S6" i="28"/>
  <c r="L10" i="28" l="1"/>
  <c r="F61" i="28" s="1" a="1"/>
  <c r="R10" i="9"/>
  <c r="S10" i="9" s="1"/>
  <c r="T10" i="9"/>
  <c r="U10" i="9" s="1"/>
  <c r="R9" i="28"/>
  <c r="R10" i="28" s="1"/>
  <c r="S10" i="28"/>
  <c r="T6" i="28"/>
  <c r="V9" i="9"/>
  <c r="W9" i="9" s="1"/>
  <c r="X9" i="9" s="1"/>
  <c r="S9" i="9"/>
  <c r="T9" i="28" l="1"/>
  <c r="T10" i="28" s="1"/>
  <c r="V10" i="9"/>
  <c r="W10" i="9" s="1"/>
  <c r="X10" i="9" s="1"/>
  <c r="F61" i="28"/>
  <c r="S61" i="28"/>
  <c r="E6" i="1"/>
  <c r="F6" i="1" l="1"/>
  <c r="K6" i="1"/>
  <c r="L6" i="1"/>
  <c r="H6" i="1"/>
  <c r="I6" i="1"/>
  <c r="G6" i="1"/>
  <c r="Q6" i="1"/>
  <c r="O6" i="1"/>
  <c r="N6" i="1"/>
  <c r="P6" i="1"/>
  <c r="M6" i="1"/>
  <c r="J6" i="1"/>
  <c r="V61" i="28" a="1"/>
  <c r="V61" i="28" s="1"/>
  <c r="W61" i="28" s="1"/>
  <c r="U61" i="28"/>
  <c r="U62" i="28" s="1"/>
  <c r="U63" i="28" s="1"/>
  <c r="U64" i="28" s="1"/>
  <c r="R61" i="28"/>
  <c r="T61" i="28" s="1"/>
  <c r="D23" i="21"/>
  <c r="O6" i="2" l="1"/>
  <c r="Q6" i="2"/>
  <c r="H23" i="21"/>
  <c r="H22" i="23" s="1"/>
  <c r="L23" i="21"/>
  <c r="L22" i="23" s="1"/>
  <c r="G23" i="21"/>
  <c r="G22" i="23" s="1"/>
  <c r="P23" i="21"/>
  <c r="P22" i="23" s="1"/>
  <c r="I23" i="21"/>
  <c r="I22" i="23" s="1"/>
  <c r="J23" i="21"/>
  <c r="J22" i="23" s="1"/>
  <c r="F23" i="21"/>
  <c r="F22" i="23" s="1"/>
  <c r="O23" i="21"/>
  <c r="O22" i="23" s="1"/>
  <c r="M23" i="21"/>
  <c r="M22" i="23" s="1"/>
  <c r="N23" i="21"/>
  <c r="N22" i="23" s="1"/>
  <c r="K23" i="21"/>
  <c r="E23" i="21"/>
  <c r="G6" i="2"/>
  <c r="I6" i="2"/>
  <c r="J6" i="2"/>
  <c r="H6" i="2"/>
  <c r="M6" i="2"/>
  <c r="L6" i="2"/>
  <c r="T6" i="1"/>
  <c r="P6" i="2"/>
  <c r="K6" i="2"/>
  <c r="N6" i="2"/>
  <c r="F6" i="2"/>
  <c r="R6" i="1"/>
  <c r="D32" i="21"/>
  <c r="D40" i="21"/>
  <c r="D28" i="21"/>
  <c r="D41" i="21"/>
  <c r="D35" i="21"/>
  <c r="D34" i="21"/>
  <c r="D27" i="22"/>
  <c r="D31" i="21"/>
  <c r="D42" i="21"/>
  <c r="D33" i="21"/>
  <c r="D44" i="21"/>
  <c r="D30" i="21"/>
  <c r="D46" i="21"/>
  <c r="D39" i="22"/>
  <c r="D34" i="22"/>
  <c r="D22" i="22"/>
  <c r="D45" i="21"/>
  <c r="D39" i="21"/>
  <c r="D21" i="21"/>
  <c r="D28" i="22"/>
  <c r="D25" i="21"/>
  <c r="D32" i="22"/>
  <c r="D35" i="22"/>
  <c r="D21" i="22"/>
  <c r="D23" i="22"/>
  <c r="D24" i="22"/>
  <c r="D56" i="21"/>
  <c r="E56" i="21" s="1"/>
  <c r="Q56" i="21" s="1"/>
  <c r="D44" i="22"/>
  <c r="D47" i="22"/>
  <c r="D27" i="21"/>
  <c r="D26" i="22"/>
  <c r="D33" i="22"/>
  <c r="D22" i="21"/>
  <c r="D26" i="21"/>
  <c r="D41" i="22"/>
  <c r="D43" i="21"/>
  <c r="D38" i="22"/>
  <c r="D20" i="22"/>
  <c r="D43" i="22"/>
  <c r="D36" i="21"/>
  <c r="D30" i="22"/>
  <c r="D19" i="22"/>
  <c r="D48" i="21"/>
  <c r="D55" i="22"/>
  <c r="D29" i="21"/>
  <c r="D40" i="22"/>
  <c r="D24" i="21"/>
  <c r="D25" i="22"/>
  <c r="D42" i="22"/>
  <c r="D31" i="22"/>
  <c r="L36" i="21" l="1"/>
  <c r="L35" i="23" s="1"/>
  <c r="I36" i="21"/>
  <c r="I35" i="23" s="1"/>
  <c r="H36" i="21"/>
  <c r="H35" i="23" s="1"/>
  <c r="F36" i="21"/>
  <c r="F35" i="23" s="1"/>
  <c r="P36" i="21"/>
  <c r="P35" i="23" s="1"/>
  <c r="G36" i="21"/>
  <c r="G35" i="23" s="1"/>
  <c r="J36" i="21"/>
  <c r="J35" i="23" s="1"/>
  <c r="O36" i="21"/>
  <c r="O35" i="23" s="1"/>
  <c r="N36" i="21"/>
  <c r="N35" i="23" s="1"/>
  <c r="M36" i="21"/>
  <c r="M35" i="23" s="1"/>
  <c r="K36" i="21"/>
  <c r="E36" i="21"/>
  <c r="K41" i="22"/>
  <c r="J41" i="22"/>
  <c r="J41" i="24" s="1"/>
  <c r="E41" i="22"/>
  <c r="P41" i="22"/>
  <c r="P41" i="24" s="1"/>
  <c r="H41" i="22"/>
  <c r="H41" i="24" s="1"/>
  <c r="O41" i="22"/>
  <c r="O41" i="24" s="1"/>
  <c r="F41" i="22"/>
  <c r="F41" i="24" s="1"/>
  <c r="G41" i="22"/>
  <c r="G41" i="24" s="1"/>
  <c r="N41" i="22"/>
  <c r="N41" i="24" s="1"/>
  <c r="L41" i="22"/>
  <c r="L41" i="24" s="1"/>
  <c r="M41" i="22"/>
  <c r="M41" i="24" s="1"/>
  <c r="I41" i="22"/>
  <c r="I41" i="24" s="1"/>
  <c r="G26" i="22"/>
  <c r="G26" i="24" s="1"/>
  <c r="J26" i="22"/>
  <c r="J26" i="24" s="1"/>
  <c r="P26" i="22"/>
  <c r="P26" i="24" s="1"/>
  <c r="O26" i="22"/>
  <c r="O26" i="24" s="1"/>
  <c r="H26" i="22"/>
  <c r="H26" i="24" s="1"/>
  <c r="E26" i="22"/>
  <c r="L26" i="22"/>
  <c r="L26" i="24" s="1"/>
  <c r="N26" i="22"/>
  <c r="N26" i="24" s="1"/>
  <c r="F26" i="22"/>
  <c r="F26" i="24" s="1"/>
  <c r="I26" i="22"/>
  <c r="I26" i="24" s="1"/>
  <c r="K26" i="22"/>
  <c r="M26" i="22"/>
  <c r="M26" i="24" s="1"/>
  <c r="R56" i="21"/>
  <c r="U56" i="21"/>
  <c r="V56" i="21" s="1"/>
  <c r="W56" i="21" s="1"/>
  <c r="P22" i="22"/>
  <c r="P22" i="24" s="1"/>
  <c r="E22" i="22"/>
  <c r="G22" i="22"/>
  <c r="G22" i="24" s="1"/>
  <c r="O22" i="22"/>
  <c r="O22" i="24" s="1"/>
  <c r="J22" i="22"/>
  <c r="J22" i="24" s="1"/>
  <c r="H22" i="22"/>
  <c r="H22" i="24" s="1"/>
  <c r="M22" i="22"/>
  <c r="M22" i="24" s="1"/>
  <c r="N22" i="22"/>
  <c r="N22" i="24" s="1"/>
  <c r="K22" i="22"/>
  <c r="L22" i="22"/>
  <c r="L22" i="24" s="1"/>
  <c r="I22" i="22"/>
  <c r="I22" i="24" s="1"/>
  <c r="F22" i="22"/>
  <c r="F22" i="24" s="1"/>
  <c r="F31" i="21"/>
  <c r="F30" i="23" s="1"/>
  <c r="P31" i="21"/>
  <c r="P30" i="23" s="1"/>
  <c r="H31" i="21"/>
  <c r="H30" i="23" s="1"/>
  <c r="G31" i="21"/>
  <c r="G30" i="23" s="1"/>
  <c r="J31" i="21"/>
  <c r="J30" i="23" s="1"/>
  <c r="L31" i="21"/>
  <c r="L30" i="23" s="1"/>
  <c r="I31" i="21"/>
  <c r="I30" i="23" s="1"/>
  <c r="O31" i="21"/>
  <c r="O30" i="23" s="1"/>
  <c r="N31" i="21"/>
  <c r="N30" i="23" s="1"/>
  <c r="K31" i="21"/>
  <c r="E31" i="21"/>
  <c r="M31" i="21"/>
  <c r="M30" i="23" s="1"/>
  <c r="K22" i="23"/>
  <c r="R22" i="23" s="1"/>
  <c r="S23" i="21"/>
  <c r="T23" i="21" s="1"/>
  <c r="P40" i="22"/>
  <c r="P40" i="24" s="1"/>
  <c r="O40" i="22"/>
  <c r="O40" i="24" s="1"/>
  <c r="J40" i="22"/>
  <c r="J40" i="24" s="1"/>
  <c r="E40" i="22"/>
  <c r="H40" i="22"/>
  <c r="H40" i="24" s="1"/>
  <c r="I40" i="22"/>
  <c r="I40" i="24" s="1"/>
  <c r="L40" i="22"/>
  <c r="L40" i="24" s="1"/>
  <c r="K40" i="22"/>
  <c r="F40" i="22"/>
  <c r="F40" i="24" s="1"/>
  <c r="N40" i="22"/>
  <c r="N40" i="24" s="1"/>
  <c r="G40" i="22"/>
  <c r="G40" i="24" s="1"/>
  <c r="M40" i="22"/>
  <c r="M40" i="24" s="1"/>
  <c r="O35" i="22"/>
  <c r="O35" i="24" s="1"/>
  <c r="P35" i="22"/>
  <c r="P35" i="24" s="1"/>
  <c r="H35" i="22"/>
  <c r="H35" i="24" s="1"/>
  <c r="G35" i="22"/>
  <c r="G35" i="24" s="1"/>
  <c r="E35" i="22"/>
  <c r="J35" i="22"/>
  <c r="J35" i="24" s="1"/>
  <c r="K35" i="22"/>
  <c r="F35" i="22"/>
  <c r="F35" i="24" s="1"/>
  <c r="M35" i="22"/>
  <c r="M35" i="24" s="1"/>
  <c r="N35" i="22"/>
  <c r="N35" i="24" s="1"/>
  <c r="L35" i="22"/>
  <c r="L35" i="24" s="1"/>
  <c r="I35" i="22"/>
  <c r="I35" i="24" s="1"/>
  <c r="P21" i="21"/>
  <c r="P20" i="23" s="1"/>
  <c r="H21" i="21"/>
  <c r="H20" i="23" s="1"/>
  <c r="G21" i="21"/>
  <c r="G20" i="23" s="1"/>
  <c r="L21" i="21"/>
  <c r="L20" i="23" s="1"/>
  <c r="I21" i="21"/>
  <c r="I20" i="23" s="1"/>
  <c r="O21" i="21"/>
  <c r="O20" i="23" s="1"/>
  <c r="J21" i="21"/>
  <c r="J20" i="23" s="1"/>
  <c r="F21" i="21"/>
  <c r="F20" i="23" s="1"/>
  <c r="K21" i="21"/>
  <c r="M21" i="21"/>
  <c r="M20" i="23" s="1"/>
  <c r="E21" i="21"/>
  <c r="N21" i="21"/>
  <c r="N20" i="23" s="1"/>
  <c r="H34" i="22"/>
  <c r="H34" i="24" s="1"/>
  <c r="G34" i="22"/>
  <c r="G34" i="24" s="1"/>
  <c r="O34" i="22"/>
  <c r="O34" i="24" s="1"/>
  <c r="E34" i="22"/>
  <c r="J34" i="22"/>
  <c r="J34" i="24" s="1"/>
  <c r="P34" i="22"/>
  <c r="P34" i="24" s="1"/>
  <c r="F34" i="22"/>
  <c r="F34" i="24" s="1"/>
  <c r="L34" i="22"/>
  <c r="L34" i="24" s="1"/>
  <c r="M34" i="22"/>
  <c r="M34" i="24" s="1"/>
  <c r="K34" i="22"/>
  <c r="N34" i="22"/>
  <c r="N34" i="24" s="1"/>
  <c r="I34" i="22"/>
  <c r="I34" i="24" s="1"/>
  <c r="L44" i="21"/>
  <c r="L43" i="23" s="1"/>
  <c r="J44" i="21"/>
  <c r="J43" i="23" s="1"/>
  <c r="P44" i="21"/>
  <c r="P43" i="23" s="1"/>
  <c r="I44" i="21"/>
  <c r="I43" i="23" s="1"/>
  <c r="F44" i="21"/>
  <c r="F43" i="23" s="1"/>
  <c r="O44" i="21"/>
  <c r="O43" i="23" s="1"/>
  <c r="H44" i="21"/>
  <c r="H43" i="23" s="1"/>
  <c r="E44" i="21"/>
  <c r="M44" i="21"/>
  <c r="M43" i="23" s="1"/>
  <c r="N44" i="21"/>
  <c r="N43" i="23" s="1"/>
  <c r="G44" i="21"/>
  <c r="G43" i="23" s="1"/>
  <c r="K44" i="21"/>
  <c r="O41" i="21"/>
  <c r="O40" i="23" s="1"/>
  <c r="I41" i="21"/>
  <c r="I40" i="23" s="1"/>
  <c r="F41" i="21"/>
  <c r="F40" i="23" s="1"/>
  <c r="L41" i="21"/>
  <c r="L40" i="23" s="1"/>
  <c r="H41" i="21"/>
  <c r="H40" i="23" s="1"/>
  <c r="P41" i="21"/>
  <c r="P40" i="23" s="1"/>
  <c r="J41" i="21"/>
  <c r="J40" i="23" s="1"/>
  <c r="G41" i="21"/>
  <c r="G40" i="23" s="1"/>
  <c r="E41" i="21"/>
  <c r="N41" i="21"/>
  <c r="N40" i="23" s="1"/>
  <c r="M41" i="21"/>
  <c r="M40" i="23" s="1"/>
  <c r="K41" i="21"/>
  <c r="V6" i="1"/>
  <c r="W6" i="1" s="1"/>
  <c r="S6" i="1"/>
  <c r="H42" i="21"/>
  <c r="H41" i="23" s="1"/>
  <c r="I42" i="21"/>
  <c r="I41" i="23" s="1"/>
  <c r="J42" i="21"/>
  <c r="J41" i="23" s="1"/>
  <c r="G42" i="21"/>
  <c r="G41" i="23" s="1"/>
  <c r="L42" i="21"/>
  <c r="L41" i="23" s="1"/>
  <c r="O42" i="21"/>
  <c r="O41" i="23" s="1"/>
  <c r="P42" i="21"/>
  <c r="P41" i="23" s="1"/>
  <c r="F42" i="21"/>
  <c r="F41" i="23" s="1"/>
  <c r="N42" i="21"/>
  <c r="N41" i="23" s="1"/>
  <c r="M42" i="21"/>
  <c r="M41" i="23" s="1"/>
  <c r="K42" i="21"/>
  <c r="E42" i="21"/>
  <c r="E22" i="23"/>
  <c r="Q22" i="23" s="1"/>
  <c r="S22" i="23" s="1"/>
  <c r="Q23" i="21"/>
  <c r="O19" i="22"/>
  <c r="H19" i="22"/>
  <c r="G19" i="22"/>
  <c r="E19" i="22"/>
  <c r="P19" i="22"/>
  <c r="J19" i="22"/>
  <c r="N19" i="22"/>
  <c r="F19" i="22"/>
  <c r="I19" i="22"/>
  <c r="K19" i="22"/>
  <c r="M19" i="22"/>
  <c r="L19" i="22"/>
  <c r="F26" i="21"/>
  <c r="F25" i="23" s="1"/>
  <c r="P26" i="21"/>
  <c r="P25" i="23" s="1"/>
  <c r="L26" i="21"/>
  <c r="L25" i="23" s="1"/>
  <c r="I26" i="21"/>
  <c r="I25" i="23" s="1"/>
  <c r="H26" i="21"/>
  <c r="H25" i="23" s="1"/>
  <c r="O26" i="21"/>
  <c r="O25" i="23" s="1"/>
  <c r="J26" i="21"/>
  <c r="J25" i="23" s="1"/>
  <c r="G26" i="21"/>
  <c r="G25" i="23" s="1"/>
  <c r="K26" i="21"/>
  <c r="M26" i="21"/>
  <c r="M25" i="23" s="1"/>
  <c r="E26" i="21"/>
  <c r="N26" i="21"/>
  <c r="N25" i="23" s="1"/>
  <c r="J27" i="21"/>
  <c r="J26" i="23" s="1"/>
  <c r="I27" i="21"/>
  <c r="I26" i="23" s="1"/>
  <c r="O27" i="21"/>
  <c r="O26" i="23" s="1"/>
  <c r="G27" i="21"/>
  <c r="G26" i="23" s="1"/>
  <c r="H27" i="21"/>
  <c r="H26" i="23" s="1"/>
  <c r="L27" i="21"/>
  <c r="L26" i="23" s="1"/>
  <c r="P27" i="21"/>
  <c r="P26" i="23" s="1"/>
  <c r="F27" i="21"/>
  <c r="F26" i="23" s="1"/>
  <c r="N27" i="21"/>
  <c r="N26" i="23" s="1"/>
  <c r="M27" i="21"/>
  <c r="M26" i="23" s="1"/>
  <c r="K27" i="21"/>
  <c r="E27" i="21"/>
  <c r="J24" i="22"/>
  <c r="J24" i="24" s="1"/>
  <c r="O24" i="22"/>
  <c r="O24" i="24" s="1"/>
  <c r="E24" i="22"/>
  <c r="P24" i="22"/>
  <c r="P24" i="24" s="1"/>
  <c r="H24" i="22"/>
  <c r="H24" i="24" s="1"/>
  <c r="I24" i="22"/>
  <c r="I24" i="24" s="1"/>
  <c r="M24" i="22"/>
  <c r="M24" i="24" s="1"/>
  <c r="G24" i="22"/>
  <c r="G24" i="24" s="1"/>
  <c r="L24" i="22"/>
  <c r="L24" i="24" s="1"/>
  <c r="K24" i="22"/>
  <c r="N24" i="22"/>
  <c r="N24" i="24" s="1"/>
  <c r="F24" i="22"/>
  <c r="F24" i="24" s="1"/>
  <c r="P27" i="22"/>
  <c r="P27" i="24" s="1"/>
  <c r="J27" i="22"/>
  <c r="J27" i="24" s="1"/>
  <c r="E27" i="22"/>
  <c r="H27" i="22"/>
  <c r="H27" i="24" s="1"/>
  <c r="O27" i="22"/>
  <c r="O27" i="24" s="1"/>
  <c r="I27" i="22"/>
  <c r="I27" i="24" s="1"/>
  <c r="M27" i="22"/>
  <c r="M27" i="24" s="1"/>
  <c r="K27" i="22"/>
  <c r="L27" i="22"/>
  <c r="L27" i="24" s="1"/>
  <c r="G27" i="22"/>
  <c r="G27" i="24" s="1"/>
  <c r="F27" i="22"/>
  <c r="F27" i="24" s="1"/>
  <c r="N27" i="22"/>
  <c r="N27" i="24" s="1"/>
  <c r="U6" i="1"/>
  <c r="G35" i="21"/>
  <c r="G34" i="23" s="1"/>
  <c r="O35" i="21"/>
  <c r="O34" i="23" s="1"/>
  <c r="J35" i="21"/>
  <c r="J34" i="23" s="1"/>
  <c r="F35" i="21"/>
  <c r="F34" i="23" s="1"/>
  <c r="P35" i="21"/>
  <c r="P34" i="23" s="1"/>
  <c r="H35" i="21"/>
  <c r="H34" i="23" s="1"/>
  <c r="L35" i="21"/>
  <c r="L34" i="23" s="1"/>
  <c r="I35" i="21"/>
  <c r="I34" i="23" s="1"/>
  <c r="K35" i="21"/>
  <c r="M35" i="21"/>
  <c r="M34" i="23" s="1"/>
  <c r="E35" i="21"/>
  <c r="N35" i="21"/>
  <c r="N34" i="23" s="1"/>
  <c r="O43" i="22"/>
  <c r="O43" i="24" s="1"/>
  <c r="G43" i="22"/>
  <c r="G43" i="24" s="1"/>
  <c r="K43" i="22"/>
  <c r="E43" i="22"/>
  <c r="H43" i="22"/>
  <c r="H43" i="24" s="1"/>
  <c r="J43" i="22"/>
  <c r="J43" i="24" s="1"/>
  <c r="P43" i="22"/>
  <c r="P43" i="24" s="1"/>
  <c r="L43" i="22"/>
  <c r="L43" i="24" s="1"/>
  <c r="F43" i="22"/>
  <c r="F43" i="24" s="1"/>
  <c r="N43" i="22"/>
  <c r="N43" i="24" s="1"/>
  <c r="I43" i="22"/>
  <c r="I43" i="24" s="1"/>
  <c r="M43" i="22"/>
  <c r="M43" i="24" s="1"/>
  <c r="J42" i="22"/>
  <c r="J42" i="24" s="1"/>
  <c r="H42" i="22"/>
  <c r="H42" i="24" s="1"/>
  <c r="P42" i="22"/>
  <c r="P42" i="24" s="1"/>
  <c r="O42" i="22"/>
  <c r="O42" i="24" s="1"/>
  <c r="E42" i="22"/>
  <c r="G42" i="22"/>
  <c r="G42" i="24" s="1"/>
  <c r="I42" i="22"/>
  <c r="I42" i="24" s="1"/>
  <c r="N42" i="22"/>
  <c r="N42" i="24" s="1"/>
  <c r="K42" i="22"/>
  <c r="F42" i="22"/>
  <c r="F42" i="24" s="1"/>
  <c r="M42" i="22"/>
  <c r="M42" i="24" s="1"/>
  <c r="L42" i="22"/>
  <c r="L42" i="24" s="1"/>
  <c r="F29" i="21"/>
  <c r="F28" i="23" s="1"/>
  <c r="O29" i="21"/>
  <c r="O28" i="23" s="1"/>
  <c r="L29" i="21"/>
  <c r="L28" i="23" s="1"/>
  <c r="P29" i="21"/>
  <c r="P28" i="23" s="1"/>
  <c r="H29" i="21"/>
  <c r="H28" i="23" s="1"/>
  <c r="I29" i="21"/>
  <c r="I28" i="23" s="1"/>
  <c r="G29" i="21"/>
  <c r="G28" i="23" s="1"/>
  <c r="J29" i="21"/>
  <c r="J28" i="23" s="1"/>
  <c r="N29" i="21"/>
  <c r="N28" i="23" s="1"/>
  <c r="K29" i="21"/>
  <c r="E29" i="21"/>
  <c r="M29" i="21"/>
  <c r="M28" i="23" s="1"/>
  <c r="J20" i="22"/>
  <c r="J20" i="24" s="1"/>
  <c r="P20" i="22"/>
  <c r="P20" i="24" s="1"/>
  <c r="O20" i="22"/>
  <c r="O20" i="24" s="1"/>
  <c r="E20" i="22"/>
  <c r="H20" i="22"/>
  <c r="H20" i="24" s="1"/>
  <c r="M20" i="22"/>
  <c r="M20" i="24" s="1"/>
  <c r="G20" i="22"/>
  <c r="G20" i="24" s="1"/>
  <c r="F20" i="22"/>
  <c r="F20" i="24" s="1"/>
  <c r="I20" i="22"/>
  <c r="I20" i="24" s="1"/>
  <c r="L20" i="22"/>
  <c r="L20" i="24" s="1"/>
  <c r="K20" i="22"/>
  <c r="N20" i="22"/>
  <c r="N20" i="24" s="1"/>
  <c r="E32" i="22"/>
  <c r="J32" i="22"/>
  <c r="J32" i="24" s="1"/>
  <c r="P32" i="22"/>
  <c r="P32" i="24" s="1"/>
  <c r="H32" i="22"/>
  <c r="H32" i="24" s="1"/>
  <c r="G32" i="22"/>
  <c r="G32" i="24" s="1"/>
  <c r="O32" i="22"/>
  <c r="O32" i="24" s="1"/>
  <c r="K32" i="22"/>
  <c r="F32" i="22"/>
  <c r="F32" i="24" s="1"/>
  <c r="N32" i="22"/>
  <c r="N32" i="24" s="1"/>
  <c r="L32" i="22"/>
  <c r="L32" i="24" s="1"/>
  <c r="M32" i="22"/>
  <c r="M32" i="24" s="1"/>
  <c r="I32" i="22"/>
  <c r="I32" i="24" s="1"/>
  <c r="J39" i="21"/>
  <c r="J38" i="23" s="1"/>
  <c r="G39" i="21"/>
  <c r="G38" i="23" s="1"/>
  <c r="O39" i="21"/>
  <c r="O38" i="23" s="1"/>
  <c r="P39" i="21"/>
  <c r="P38" i="23" s="1"/>
  <c r="L39" i="21"/>
  <c r="L38" i="23" s="1"/>
  <c r="I39" i="21"/>
  <c r="I38" i="23" s="1"/>
  <c r="F39" i="21"/>
  <c r="F38" i="23" s="1"/>
  <c r="H39" i="21"/>
  <c r="H38" i="23" s="1"/>
  <c r="E39" i="21"/>
  <c r="N39" i="21"/>
  <c r="N38" i="23" s="1"/>
  <c r="M39" i="21"/>
  <c r="M38" i="23" s="1"/>
  <c r="K39" i="21"/>
  <c r="O39" i="22"/>
  <c r="O39" i="24" s="1"/>
  <c r="H39" i="22"/>
  <c r="P39" i="22"/>
  <c r="P39" i="24" s="1"/>
  <c r="J39" i="22"/>
  <c r="E39" i="22"/>
  <c r="L39" i="22"/>
  <c r="K39" i="22"/>
  <c r="F39" i="22"/>
  <c r="N39" i="22"/>
  <c r="N39" i="24" s="1"/>
  <c r="I39" i="22"/>
  <c r="G39" i="22"/>
  <c r="M39" i="22"/>
  <c r="F28" i="21"/>
  <c r="F27" i="23" s="1"/>
  <c r="L28" i="21"/>
  <c r="L27" i="23" s="1"/>
  <c r="H28" i="21"/>
  <c r="H27" i="23" s="1"/>
  <c r="G28" i="21"/>
  <c r="G27" i="23" s="1"/>
  <c r="P28" i="21"/>
  <c r="P27" i="23" s="1"/>
  <c r="O28" i="21"/>
  <c r="O27" i="23" s="1"/>
  <c r="J28" i="21"/>
  <c r="J27" i="23" s="1"/>
  <c r="I28" i="21"/>
  <c r="I27" i="23" s="1"/>
  <c r="N28" i="21"/>
  <c r="N27" i="23" s="1"/>
  <c r="K28" i="21"/>
  <c r="E28" i="21"/>
  <c r="M28" i="21"/>
  <c r="M27" i="23" s="1"/>
  <c r="R6" i="2"/>
  <c r="O48" i="21"/>
  <c r="O47" i="23" s="1"/>
  <c r="F48" i="21"/>
  <c r="F47" i="23" s="1"/>
  <c r="J48" i="21"/>
  <c r="J47" i="23" s="1"/>
  <c r="L48" i="21"/>
  <c r="L47" i="23" s="1"/>
  <c r="I48" i="21"/>
  <c r="I47" i="23" s="1"/>
  <c r="G48" i="21"/>
  <c r="G47" i="23" s="1"/>
  <c r="P48" i="21"/>
  <c r="P47" i="23" s="1"/>
  <c r="H48" i="21"/>
  <c r="H47" i="23" s="1"/>
  <c r="M48" i="21"/>
  <c r="M47" i="23" s="1"/>
  <c r="N48" i="21"/>
  <c r="N47" i="23" s="1"/>
  <c r="E48" i="21"/>
  <c r="K48" i="21"/>
  <c r="G31" i="22"/>
  <c r="G31" i="24" s="1"/>
  <c r="E31" i="22"/>
  <c r="J31" i="22"/>
  <c r="J31" i="24" s="1"/>
  <c r="P31" i="22"/>
  <c r="P31" i="24" s="1"/>
  <c r="O31" i="22"/>
  <c r="O31" i="24" s="1"/>
  <c r="H31" i="22"/>
  <c r="H31" i="24" s="1"/>
  <c r="L31" i="22"/>
  <c r="L31" i="24" s="1"/>
  <c r="N31" i="22"/>
  <c r="N31" i="24" s="1"/>
  <c r="I31" i="22"/>
  <c r="I31" i="24" s="1"/>
  <c r="F31" i="22"/>
  <c r="F31" i="24" s="1"/>
  <c r="M31" i="22"/>
  <c r="M31" i="24" s="1"/>
  <c r="K31" i="22"/>
  <c r="J30" i="22"/>
  <c r="J30" i="24" s="1"/>
  <c r="H30" i="22"/>
  <c r="H30" i="24" s="1"/>
  <c r="O30" i="22"/>
  <c r="O30" i="24" s="1"/>
  <c r="E30" i="22"/>
  <c r="P30" i="22"/>
  <c r="P30" i="24" s="1"/>
  <c r="N30" i="22"/>
  <c r="N30" i="24" s="1"/>
  <c r="G30" i="22"/>
  <c r="G30" i="24" s="1"/>
  <c r="F30" i="22"/>
  <c r="F30" i="24" s="1"/>
  <c r="M30" i="22"/>
  <c r="M30" i="24" s="1"/>
  <c r="L30" i="22"/>
  <c r="L30" i="24" s="1"/>
  <c r="K30" i="22"/>
  <c r="I30" i="22"/>
  <c r="I30" i="24" s="1"/>
  <c r="E38" i="22"/>
  <c r="P38" i="22"/>
  <c r="P38" i="24" s="1"/>
  <c r="G38" i="22"/>
  <c r="G38" i="24" s="1"/>
  <c r="J38" i="22"/>
  <c r="J38" i="24" s="1"/>
  <c r="O38" i="22"/>
  <c r="O38" i="24" s="1"/>
  <c r="H38" i="22"/>
  <c r="H38" i="24" s="1"/>
  <c r="K38" i="22"/>
  <c r="L38" i="22"/>
  <c r="L38" i="24" s="1"/>
  <c r="M38" i="22"/>
  <c r="M38" i="24" s="1"/>
  <c r="N38" i="22"/>
  <c r="N38" i="24" s="1"/>
  <c r="I38" i="22"/>
  <c r="I38" i="24" s="1"/>
  <c r="F38" i="22"/>
  <c r="F38" i="24" s="1"/>
  <c r="J47" i="22"/>
  <c r="J47" i="24" s="1"/>
  <c r="E47" i="22"/>
  <c r="P47" i="22"/>
  <c r="P47" i="24" s="1"/>
  <c r="H47" i="22"/>
  <c r="H47" i="24" s="1"/>
  <c r="O47" i="22"/>
  <c r="O47" i="24" s="1"/>
  <c r="G47" i="22"/>
  <c r="G47" i="24" s="1"/>
  <c r="L47" i="22"/>
  <c r="L47" i="24" s="1"/>
  <c r="F47" i="22"/>
  <c r="F47" i="24" s="1"/>
  <c r="I47" i="22"/>
  <c r="I47" i="24" s="1"/>
  <c r="M47" i="22"/>
  <c r="M47" i="24" s="1"/>
  <c r="K47" i="22"/>
  <c r="N47" i="22"/>
  <c r="N47" i="24" s="1"/>
  <c r="O23" i="22"/>
  <c r="O23" i="24" s="1"/>
  <c r="P23" i="22"/>
  <c r="P23" i="24" s="1"/>
  <c r="H23" i="22"/>
  <c r="H23" i="24" s="1"/>
  <c r="E23" i="22"/>
  <c r="J23" i="22"/>
  <c r="J23" i="24" s="1"/>
  <c r="I23" i="22"/>
  <c r="I23" i="24" s="1"/>
  <c r="M23" i="22"/>
  <c r="M23" i="24" s="1"/>
  <c r="F23" i="22"/>
  <c r="F23" i="24" s="1"/>
  <c r="G23" i="22"/>
  <c r="G23" i="24" s="1"/>
  <c r="L23" i="22"/>
  <c r="L23" i="24" s="1"/>
  <c r="K23" i="22"/>
  <c r="N23" i="22"/>
  <c r="N23" i="24" s="1"/>
  <c r="O25" i="21"/>
  <c r="O24" i="23" s="1"/>
  <c r="H25" i="21"/>
  <c r="H24" i="23" s="1"/>
  <c r="G25" i="21"/>
  <c r="G24" i="23" s="1"/>
  <c r="F25" i="21"/>
  <c r="F24" i="23" s="1"/>
  <c r="J25" i="21"/>
  <c r="J24" i="23" s="1"/>
  <c r="P25" i="21"/>
  <c r="P24" i="23" s="1"/>
  <c r="L25" i="21"/>
  <c r="L24" i="23" s="1"/>
  <c r="I25" i="21"/>
  <c r="I24" i="23" s="1"/>
  <c r="N25" i="21"/>
  <c r="N24" i="23" s="1"/>
  <c r="K25" i="21"/>
  <c r="E25" i="21"/>
  <c r="M25" i="21"/>
  <c r="M24" i="23" s="1"/>
  <c r="S6" i="2"/>
  <c r="P24" i="21"/>
  <c r="P23" i="23" s="1"/>
  <c r="I24" i="21"/>
  <c r="I23" i="23" s="1"/>
  <c r="F24" i="21"/>
  <c r="F23" i="23" s="1"/>
  <c r="G24" i="21"/>
  <c r="G23" i="23" s="1"/>
  <c r="O24" i="21"/>
  <c r="O23" i="23" s="1"/>
  <c r="J24" i="21"/>
  <c r="J23" i="23" s="1"/>
  <c r="L24" i="21"/>
  <c r="L23" i="23" s="1"/>
  <c r="H24" i="21"/>
  <c r="H23" i="23" s="1"/>
  <c r="E24" i="21"/>
  <c r="K24" i="21"/>
  <c r="M24" i="21"/>
  <c r="M23" i="23" s="1"/>
  <c r="N24" i="21"/>
  <c r="N23" i="23" s="1"/>
  <c r="J32" i="21"/>
  <c r="J31" i="23" s="1"/>
  <c r="H32" i="21"/>
  <c r="H31" i="23" s="1"/>
  <c r="I32" i="21"/>
  <c r="I31" i="23" s="1"/>
  <c r="P32" i="21"/>
  <c r="P31" i="23" s="1"/>
  <c r="O32" i="21"/>
  <c r="O31" i="23" s="1"/>
  <c r="F32" i="21"/>
  <c r="F31" i="23" s="1"/>
  <c r="L32" i="21"/>
  <c r="L31" i="23" s="1"/>
  <c r="G32" i="21"/>
  <c r="G31" i="23" s="1"/>
  <c r="E32" i="21"/>
  <c r="N32" i="21"/>
  <c r="N31" i="23" s="1"/>
  <c r="M32" i="21"/>
  <c r="M31" i="23" s="1"/>
  <c r="K32" i="21"/>
  <c r="L22" i="21"/>
  <c r="L21" i="23" s="1"/>
  <c r="I22" i="21"/>
  <c r="I21" i="23" s="1"/>
  <c r="F22" i="21"/>
  <c r="F21" i="23" s="1"/>
  <c r="H22" i="21"/>
  <c r="H21" i="23" s="1"/>
  <c r="G22" i="21"/>
  <c r="G21" i="23" s="1"/>
  <c r="J22" i="21"/>
  <c r="J21" i="23" s="1"/>
  <c r="P22" i="21"/>
  <c r="P21" i="23" s="1"/>
  <c r="O22" i="21"/>
  <c r="O21" i="23" s="1"/>
  <c r="M22" i="21"/>
  <c r="M21" i="23" s="1"/>
  <c r="N22" i="21"/>
  <c r="N21" i="23" s="1"/>
  <c r="E22" i="21"/>
  <c r="K22" i="21"/>
  <c r="H45" i="21"/>
  <c r="H44" i="23" s="1"/>
  <c r="P45" i="21"/>
  <c r="P44" i="23" s="1"/>
  <c r="J45" i="21"/>
  <c r="J44" i="23" s="1"/>
  <c r="I45" i="21"/>
  <c r="I44" i="23" s="1"/>
  <c r="F45" i="21"/>
  <c r="F44" i="23" s="1"/>
  <c r="O45" i="21"/>
  <c r="O44" i="23" s="1"/>
  <c r="L45" i="21"/>
  <c r="L44" i="23" s="1"/>
  <c r="G45" i="21"/>
  <c r="G44" i="23" s="1"/>
  <c r="M45" i="21"/>
  <c r="M44" i="23" s="1"/>
  <c r="K45" i="21"/>
  <c r="E45" i="21"/>
  <c r="N45" i="21"/>
  <c r="N44" i="23" s="1"/>
  <c r="J46" i="21"/>
  <c r="J45" i="23" s="1"/>
  <c r="L46" i="21"/>
  <c r="L45" i="23" s="1"/>
  <c r="P46" i="21"/>
  <c r="P45" i="23" s="1"/>
  <c r="F46" i="21"/>
  <c r="F45" i="23" s="1"/>
  <c r="O46" i="21"/>
  <c r="O45" i="23" s="1"/>
  <c r="I46" i="21"/>
  <c r="I45" i="23" s="1"/>
  <c r="H46" i="21"/>
  <c r="H45" i="23" s="1"/>
  <c r="G46" i="21"/>
  <c r="G45" i="23" s="1"/>
  <c r="E46" i="21"/>
  <c r="K46" i="21"/>
  <c r="M46" i="21"/>
  <c r="M45" i="23" s="1"/>
  <c r="N46" i="21"/>
  <c r="N45" i="23" s="1"/>
  <c r="G33" i="21"/>
  <c r="G32" i="23" s="1"/>
  <c r="H33" i="21"/>
  <c r="H32" i="23" s="1"/>
  <c r="P33" i="21"/>
  <c r="P32" i="23" s="1"/>
  <c r="J33" i="21"/>
  <c r="J32" i="23" s="1"/>
  <c r="O33" i="21"/>
  <c r="O32" i="23" s="1"/>
  <c r="L33" i="21"/>
  <c r="L32" i="23" s="1"/>
  <c r="F33" i="21"/>
  <c r="F32" i="23" s="1"/>
  <c r="I33" i="21"/>
  <c r="I32" i="23" s="1"/>
  <c r="K33" i="21"/>
  <c r="N33" i="21"/>
  <c r="N32" i="23" s="1"/>
  <c r="E33" i="21"/>
  <c r="M33" i="21"/>
  <c r="M32" i="23" s="1"/>
  <c r="P34" i="21"/>
  <c r="P33" i="23" s="1"/>
  <c r="J34" i="21"/>
  <c r="J33" i="23" s="1"/>
  <c r="G34" i="21"/>
  <c r="G33" i="23" s="1"/>
  <c r="H34" i="21"/>
  <c r="H33" i="23" s="1"/>
  <c r="F34" i="21"/>
  <c r="F33" i="23" s="1"/>
  <c r="I34" i="21"/>
  <c r="I33" i="23" s="1"/>
  <c r="L34" i="21"/>
  <c r="L33" i="23" s="1"/>
  <c r="O34" i="21"/>
  <c r="O33" i="23" s="1"/>
  <c r="E34" i="21"/>
  <c r="N34" i="21"/>
  <c r="N33" i="23" s="1"/>
  <c r="K34" i="21"/>
  <c r="M34" i="21"/>
  <c r="M33" i="23" s="1"/>
  <c r="O30" i="21"/>
  <c r="O29" i="23" s="1"/>
  <c r="J30" i="21"/>
  <c r="J29" i="23" s="1"/>
  <c r="P30" i="21"/>
  <c r="P29" i="23" s="1"/>
  <c r="F30" i="21"/>
  <c r="F29" i="23" s="1"/>
  <c r="G30" i="21"/>
  <c r="G29" i="23" s="1"/>
  <c r="H30" i="21"/>
  <c r="H29" i="23" s="1"/>
  <c r="L30" i="21"/>
  <c r="L29" i="23" s="1"/>
  <c r="I30" i="21"/>
  <c r="I29" i="23" s="1"/>
  <c r="M30" i="21"/>
  <c r="M29" i="23" s="1"/>
  <c r="K30" i="21"/>
  <c r="E30" i="21"/>
  <c r="N30" i="21"/>
  <c r="N29" i="23" s="1"/>
  <c r="E55" i="22"/>
  <c r="H55" i="22"/>
  <c r="G55" i="22"/>
  <c r="J55" i="22"/>
  <c r="K55" i="22"/>
  <c r="P55" i="22"/>
  <c r="O55" i="22"/>
  <c r="L55" i="22"/>
  <c r="M55" i="22"/>
  <c r="N55" i="22"/>
  <c r="F55" i="22"/>
  <c r="I55" i="22"/>
  <c r="O25" i="22"/>
  <c r="O25" i="24" s="1"/>
  <c r="G25" i="22"/>
  <c r="G25" i="24" s="1"/>
  <c r="E25" i="22"/>
  <c r="J25" i="22"/>
  <c r="J25" i="24" s="1"/>
  <c r="P25" i="22"/>
  <c r="P25" i="24" s="1"/>
  <c r="H25" i="22"/>
  <c r="H25" i="24" s="1"/>
  <c r="F25" i="22"/>
  <c r="F25" i="24" s="1"/>
  <c r="K25" i="22"/>
  <c r="N25" i="22"/>
  <c r="N25" i="24" s="1"/>
  <c r="M25" i="22"/>
  <c r="M25" i="24" s="1"/>
  <c r="L25" i="22"/>
  <c r="L25" i="24" s="1"/>
  <c r="I25" i="22"/>
  <c r="I25" i="24" s="1"/>
  <c r="J43" i="21"/>
  <c r="J42" i="23" s="1"/>
  <c r="G43" i="21"/>
  <c r="G42" i="23" s="1"/>
  <c r="F43" i="21"/>
  <c r="F42" i="23" s="1"/>
  <c r="L43" i="21"/>
  <c r="L42" i="23" s="1"/>
  <c r="I43" i="21"/>
  <c r="I42" i="23" s="1"/>
  <c r="O43" i="21"/>
  <c r="O42" i="23" s="1"/>
  <c r="P43" i="21"/>
  <c r="P42" i="23" s="1"/>
  <c r="H43" i="21"/>
  <c r="H42" i="23" s="1"/>
  <c r="K43" i="21"/>
  <c r="E43" i="21"/>
  <c r="M43" i="21"/>
  <c r="M42" i="23" s="1"/>
  <c r="N43" i="21"/>
  <c r="N42" i="23" s="1"/>
  <c r="E33" i="22"/>
  <c r="O33" i="22"/>
  <c r="O33" i="24" s="1"/>
  <c r="H33" i="22"/>
  <c r="H33" i="24" s="1"/>
  <c r="J33" i="22"/>
  <c r="J33" i="24" s="1"/>
  <c r="P33" i="22"/>
  <c r="P33" i="24" s="1"/>
  <c r="I33" i="22"/>
  <c r="I33" i="24" s="1"/>
  <c r="M33" i="22"/>
  <c r="M33" i="24" s="1"/>
  <c r="K33" i="22"/>
  <c r="N33" i="22"/>
  <c r="N33" i="24" s="1"/>
  <c r="G33" i="22"/>
  <c r="G33" i="24" s="1"/>
  <c r="F33" i="22"/>
  <c r="F33" i="24" s="1"/>
  <c r="L33" i="22"/>
  <c r="L33" i="24" s="1"/>
  <c r="J44" i="22"/>
  <c r="J44" i="24" s="1"/>
  <c r="E44" i="22"/>
  <c r="H44" i="22"/>
  <c r="H44" i="24" s="1"/>
  <c r="O44" i="22"/>
  <c r="O44" i="24" s="1"/>
  <c r="P44" i="22"/>
  <c r="P44" i="24" s="1"/>
  <c r="G44" i="22"/>
  <c r="G44" i="24" s="1"/>
  <c r="I44" i="22"/>
  <c r="I44" i="24" s="1"/>
  <c r="K44" i="22"/>
  <c r="N44" i="22"/>
  <c r="N44" i="24" s="1"/>
  <c r="F44" i="22"/>
  <c r="F44" i="24" s="1"/>
  <c r="L44" i="22"/>
  <c r="L44" i="24" s="1"/>
  <c r="M44" i="22"/>
  <c r="M44" i="24" s="1"/>
  <c r="O21" i="22"/>
  <c r="O21" i="24" s="1"/>
  <c r="G21" i="22"/>
  <c r="G21" i="24" s="1"/>
  <c r="E21" i="22"/>
  <c r="H21" i="22"/>
  <c r="H21" i="24" s="1"/>
  <c r="J21" i="22"/>
  <c r="J21" i="24" s="1"/>
  <c r="P21" i="22"/>
  <c r="P21" i="24" s="1"/>
  <c r="L21" i="22"/>
  <c r="L21" i="24" s="1"/>
  <c r="I21" i="22"/>
  <c r="I21" i="24" s="1"/>
  <c r="N21" i="22"/>
  <c r="N21" i="24" s="1"/>
  <c r="K21" i="22"/>
  <c r="F21" i="22"/>
  <c r="F21" i="24" s="1"/>
  <c r="M21" i="22"/>
  <c r="M21" i="24" s="1"/>
  <c r="K28" i="22"/>
  <c r="H28" i="22"/>
  <c r="H28" i="24" s="1"/>
  <c r="P28" i="22"/>
  <c r="P28" i="24" s="1"/>
  <c r="G28" i="22"/>
  <c r="G28" i="24" s="1"/>
  <c r="J28" i="22"/>
  <c r="J28" i="24" s="1"/>
  <c r="E28" i="22"/>
  <c r="O28" i="22"/>
  <c r="O28" i="24" s="1"/>
  <c r="M28" i="22"/>
  <c r="M28" i="24" s="1"/>
  <c r="L28" i="22"/>
  <c r="L28" i="24" s="1"/>
  <c r="N28" i="22"/>
  <c r="N28" i="24" s="1"/>
  <c r="I28" i="22"/>
  <c r="I28" i="24" s="1"/>
  <c r="F28" i="22"/>
  <c r="F28" i="24" s="1"/>
  <c r="O40" i="21"/>
  <c r="J40" i="21"/>
  <c r="H40" i="21"/>
  <c r="G40" i="21"/>
  <c r="L40" i="21"/>
  <c r="I40" i="21"/>
  <c r="P40" i="21"/>
  <c r="F40" i="21"/>
  <c r="K40" i="21"/>
  <c r="E40" i="21"/>
  <c r="N40" i="21"/>
  <c r="M40" i="21"/>
  <c r="D45" i="22"/>
  <c r="D29" i="22"/>
  <c r="O39" i="23" l="1"/>
  <c r="N39" i="23"/>
  <c r="P39" i="23"/>
  <c r="S55" i="22"/>
  <c r="T55" i="22" s="1"/>
  <c r="E39" i="23"/>
  <c r="Q40" i="21"/>
  <c r="J39" i="23"/>
  <c r="E28" i="24"/>
  <c r="Q28" i="24" s="1"/>
  <c r="Q28" i="22"/>
  <c r="K21" i="24"/>
  <c r="R21" i="24" s="1"/>
  <c r="S21" i="22"/>
  <c r="T21" i="22" s="1"/>
  <c r="K29" i="23"/>
  <c r="R29" i="23" s="1"/>
  <c r="S30" i="21"/>
  <c r="T30" i="21" s="1"/>
  <c r="E32" i="23"/>
  <c r="Q32" i="23" s="1"/>
  <c r="Q33" i="21"/>
  <c r="E44" i="23"/>
  <c r="Q44" i="23" s="1"/>
  <c r="Q45" i="21"/>
  <c r="K23" i="24"/>
  <c r="R23" i="24" s="1"/>
  <c r="S23" i="22"/>
  <c r="T23" i="22" s="1"/>
  <c r="T6" i="2"/>
  <c r="I39" i="24"/>
  <c r="H39" i="24"/>
  <c r="K28" i="23"/>
  <c r="R28" i="23" s="1"/>
  <c r="S29" i="21"/>
  <c r="T29" i="21" s="1"/>
  <c r="K25" i="23"/>
  <c r="R25" i="23" s="1"/>
  <c r="S26" i="21"/>
  <c r="T26" i="21" s="1"/>
  <c r="P19" i="24"/>
  <c r="K41" i="23"/>
  <c r="R41" i="23" s="1"/>
  <c r="S42" i="21"/>
  <c r="T42" i="21" s="1"/>
  <c r="E22" i="24"/>
  <c r="Q22" i="24" s="1"/>
  <c r="Q22" i="22"/>
  <c r="E31" i="24"/>
  <c r="Q31" i="24" s="1"/>
  <c r="Q31" i="22"/>
  <c r="E32" i="24"/>
  <c r="Q32" i="24" s="1"/>
  <c r="Q32" i="22"/>
  <c r="E42" i="24"/>
  <c r="Q42" i="24" s="1"/>
  <c r="Q42" i="22"/>
  <c r="E26" i="23"/>
  <c r="Q26" i="23" s="1"/>
  <c r="Q27" i="21"/>
  <c r="L19" i="24"/>
  <c r="E19" i="24"/>
  <c r="Q19" i="22"/>
  <c r="K34" i="24"/>
  <c r="R34" i="24" s="1"/>
  <c r="S34" i="22"/>
  <c r="T34" i="22" s="1"/>
  <c r="K22" i="24"/>
  <c r="R22" i="24" s="1"/>
  <c r="S22" i="22"/>
  <c r="T22" i="22" s="1"/>
  <c r="E41" i="24"/>
  <c r="Q41" i="24" s="1"/>
  <c r="Q41" i="22"/>
  <c r="K33" i="24"/>
  <c r="R33" i="24" s="1"/>
  <c r="S33" i="22"/>
  <c r="T33" i="22" s="1"/>
  <c r="K25" i="24"/>
  <c r="R25" i="24" s="1"/>
  <c r="S25" i="22"/>
  <c r="T25" i="22" s="1"/>
  <c r="K32" i="23"/>
  <c r="R32" i="23" s="1"/>
  <c r="S33" i="21"/>
  <c r="T33" i="21" s="1"/>
  <c r="E31" i="23"/>
  <c r="Q31" i="23" s="1"/>
  <c r="Q32" i="21"/>
  <c r="E38" i="24"/>
  <c r="Q38" i="24" s="1"/>
  <c r="Q38" i="22"/>
  <c r="F39" i="24"/>
  <c r="K38" i="23"/>
  <c r="R38" i="23" s="1"/>
  <c r="S39" i="21"/>
  <c r="T39" i="21" s="1"/>
  <c r="E20" i="24"/>
  <c r="Q20" i="24" s="1"/>
  <c r="Q20" i="22"/>
  <c r="E27" i="24"/>
  <c r="Q27" i="24" s="1"/>
  <c r="Q27" i="22"/>
  <c r="K26" i="23"/>
  <c r="R26" i="23" s="1"/>
  <c r="S27" i="21"/>
  <c r="T27" i="21" s="1"/>
  <c r="M19" i="24"/>
  <c r="G19" i="24"/>
  <c r="E40" i="23"/>
  <c r="Q40" i="23" s="1"/>
  <c r="Q41" i="21"/>
  <c r="X56" i="21"/>
  <c r="Y56" i="21" s="1"/>
  <c r="Z56" i="21" s="1"/>
  <c r="E26" i="24"/>
  <c r="Q26" i="24" s="1"/>
  <c r="Q26" i="22"/>
  <c r="K39" i="23"/>
  <c r="S40" i="21"/>
  <c r="T40" i="21" s="1"/>
  <c r="K21" i="23"/>
  <c r="R21" i="23" s="1"/>
  <c r="S22" i="21"/>
  <c r="T22" i="21" s="1"/>
  <c r="E30" i="24"/>
  <c r="Q30" i="24" s="1"/>
  <c r="Q30" i="22"/>
  <c r="E27" i="23"/>
  <c r="Q27" i="23" s="1"/>
  <c r="Q28" i="21"/>
  <c r="K39" i="24"/>
  <c r="S39" i="22"/>
  <c r="T39" i="22" s="1"/>
  <c r="K32" i="24"/>
  <c r="R32" i="24" s="1"/>
  <c r="S32" i="22"/>
  <c r="T32" i="22" s="1"/>
  <c r="K20" i="24"/>
  <c r="R20" i="24" s="1"/>
  <c r="S20" i="22"/>
  <c r="T20" i="22" s="1"/>
  <c r="E34" i="23"/>
  <c r="Q34" i="23" s="1"/>
  <c r="Q35" i="21"/>
  <c r="K19" i="24"/>
  <c r="S19" i="22"/>
  <c r="T19" i="22" s="1"/>
  <c r="H19" i="24"/>
  <c r="K43" i="23"/>
  <c r="R43" i="23" s="1"/>
  <c r="S44" i="21"/>
  <c r="T44" i="21" s="1"/>
  <c r="E40" i="24"/>
  <c r="Q40" i="24" s="1"/>
  <c r="Q40" i="22"/>
  <c r="E30" i="23"/>
  <c r="Q30" i="23" s="1"/>
  <c r="Q31" i="21"/>
  <c r="K41" i="24"/>
  <c r="R41" i="24" s="1"/>
  <c r="S41" i="22"/>
  <c r="T41" i="22" s="1"/>
  <c r="O45" i="22"/>
  <c r="O45" i="24" s="1"/>
  <c r="G45" i="22"/>
  <c r="G45" i="24" s="1"/>
  <c r="P45" i="22"/>
  <c r="P45" i="24" s="1"/>
  <c r="H45" i="22"/>
  <c r="H45" i="24" s="1"/>
  <c r="E45" i="22"/>
  <c r="J45" i="22"/>
  <c r="J45" i="24" s="1"/>
  <c r="F45" i="22"/>
  <c r="F45" i="24" s="1"/>
  <c r="I45" i="22"/>
  <c r="I45" i="24" s="1"/>
  <c r="N45" i="22"/>
  <c r="N45" i="24" s="1"/>
  <c r="L45" i="22"/>
  <c r="L45" i="24" s="1"/>
  <c r="M45" i="22"/>
  <c r="M45" i="24" s="1"/>
  <c r="K45" i="22"/>
  <c r="K67" i="22" s="1"/>
  <c r="I39" i="23"/>
  <c r="E44" i="24"/>
  <c r="Q44" i="24" s="1"/>
  <c r="Q44" i="22"/>
  <c r="E42" i="23"/>
  <c r="Q42" i="23" s="1"/>
  <c r="Q43" i="21"/>
  <c r="K33" i="23"/>
  <c r="R33" i="23" s="1"/>
  <c r="S34" i="21"/>
  <c r="T34" i="21" s="1"/>
  <c r="E21" i="23"/>
  <c r="Q21" i="23" s="1"/>
  <c r="Q22" i="21"/>
  <c r="E24" i="23"/>
  <c r="Q24" i="23" s="1"/>
  <c r="Q25" i="21"/>
  <c r="K47" i="24"/>
  <c r="R47" i="24" s="1"/>
  <c r="S47" i="22"/>
  <c r="T47" i="22" s="1"/>
  <c r="K38" i="24"/>
  <c r="R38" i="24" s="1"/>
  <c r="S38" i="22"/>
  <c r="T38" i="22" s="1"/>
  <c r="K30" i="24"/>
  <c r="R30" i="24" s="1"/>
  <c r="S30" i="22"/>
  <c r="T30" i="22" s="1"/>
  <c r="K47" i="23"/>
  <c r="R47" i="23" s="1"/>
  <c r="S48" i="21"/>
  <c r="T48" i="21" s="1"/>
  <c r="K27" i="23"/>
  <c r="R27" i="23" s="1"/>
  <c r="S28" i="21"/>
  <c r="T28" i="21" s="1"/>
  <c r="L39" i="24"/>
  <c r="I19" i="24"/>
  <c r="O19" i="24"/>
  <c r="E20" i="23"/>
  <c r="Q20" i="23" s="1"/>
  <c r="Q21" i="21"/>
  <c r="K35" i="24"/>
  <c r="R35" i="24" s="1"/>
  <c r="S35" i="22"/>
  <c r="T35" i="22" s="1"/>
  <c r="K30" i="23"/>
  <c r="R30" i="23" s="1"/>
  <c r="S31" i="21"/>
  <c r="T31" i="21" s="1"/>
  <c r="E35" i="23"/>
  <c r="Q35" i="23" s="1"/>
  <c r="Q36" i="21"/>
  <c r="L39" i="23"/>
  <c r="K28" i="24"/>
  <c r="R28" i="24" s="1"/>
  <c r="S28" i="22"/>
  <c r="T28" i="22" s="1"/>
  <c r="K42" i="23"/>
  <c r="R42" i="23" s="1"/>
  <c r="S43" i="21"/>
  <c r="T43" i="21" s="1"/>
  <c r="Q55" i="22"/>
  <c r="K45" i="23"/>
  <c r="R45" i="23" s="1"/>
  <c r="S46" i="21"/>
  <c r="T46" i="21" s="1"/>
  <c r="K23" i="23"/>
  <c r="R23" i="23" s="1"/>
  <c r="S24" i="21"/>
  <c r="T24" i="21" s="1"/>
  <c r="K24" i="23"/>
  <c r="R24" i="23" s="1"/>
  <c r="S25" i="21"/>
  <c r="T25" i="21" s="1"/>
  <c r="E47" i="24"/>
  <c r="Q47" i="24" s="1"/>
  <c r="Q47" i="22"/>
  <c r="E47" i="23"/>
  <c r="Q47" i="23" s="1"/>
  <c r="Q48" i="21"/>
  <c r="E39" i="24"/>
  <c r="E67" i="22"/>
  <c r="Q39" i="22"/>
  <c r="E38" i="23"/>
  <c r="Q38" i="23" s="1"/>
  <c r="Q39" i="21"/>
  <c r="K42" i="24"/>
  <c r="R42" i="24" s="1"/>
  <c r="S42" i="22"/>
  <c r="T42" i="22" s="1"/>
  <c r="K34" i="23"/>
  <c r="R34" i="23" s="1"/>
  <c r="S35" i="21"/>
  <c r="T35" i="21" s="1"/>
  <c r="K27" i="24"/>
  <c r="R27" i="24" s="1"/>
  <c r="S27" i="22"/>
  <c r="T27" i="22" s="1"/>
  <c r="F19" i="24"/>
  <c r="R23" i="21"/>
  <c r="U23" i="21"/>
  <c r="V23" i="21" s="1"/>
  <c r="W23" i="21" s="1"/>
  <c r="K26" i="24"/>
  <c r="R26" i="24" s="1"/>
  <c r="S26" i="22"/>
  <c r="T26" i="22" s="1"/>
  <c r="K35" i="23"/>
  <c r="R35" i="23" s="1"/>
  <c r="S36" i="21"/>
  <c r="T36" i="21" s="1"/>
  <c r="E33" i="24"/>
  <c r="Q33" i="24" s="1"/>
  <c r="Q33" i="22"/>
  <c r="F39" i="23"/>
  <c r="M39" i="23"/>
  <c r="K44" i="24"/>
  <c r="R44" i="24" s="1"/>
  <c r="S44" i="22"/>
  <c r="T44" i="22" s="1"/>
  <c r="E33" i="23"/>
  <c r="Q33" i="23" s="1"/>
  <c r="Q34" i="21"/>
  <c r="E45" i="23"/>
  <c r="Q45" i="23" s="1"/>
  <c r="Q46" i="21"/>
  <c r="E23" i="23"/>
  <c r="Q23" i="23" s="1"/>
  <c r="Q24" i="21"/>
  <c r="M39" i="24"/>
  <c r="J39" i="24"/>
  <c r="E43" i="24"/>
  <c r="Q43" i="24" s="1"/>
  <c r="Q43" i="22"/>
  <c r="E24" i="24"/>
  <c r="Q24" i="24" s="1"/>
  <c r="Q24" i="22"/>
  <c r="E25" i="23"/>
  <c r="Q25" i="23" s="1"/>
  <c r="Q26" i="21"/>
  <c r="N19" i="24"/>
  <c r="Y6" i="1"/>
  <c r="X6" i="1"/>
  <c r="K20" i="23"/>
  <c r="R20" i="23" s="1"/>
  <c r="S21" i="21"/>
  <c r="T21" i="21" s="1"/>
  <c r="E35" i="24"/>
  <c r="Q35" i="24" s="1"/>
  <c r="Q35" i="22"/>
  <c r="K44" i="23"/>
  <c r="R44" i="23" s="1"/>
  <c r="S45" i="21"/>
  <c r="T45" i="21" s="1"/>
  <c r="O29" i="22"/>
  <c r="O29" i="24" s="1"/>
  <c r="P29" i="22"/>
  <c r="P29" i="24" s="1"/>
  <c r="E29" i="22"/>
  <c r="E36" i="22" s="1"/>
  <c r="H29" i="22"/>
  <c r="H29" i="24" s="1"/>
  <c r="J29" i="22"/>
  <c r="J29" i="24" s="1"/>
  <c r="K29" i="22"/>
  <c r="K36" i="22" s="1"/>
  <c r="G29" i="22"/>
  <c r="G29" i="24" s="1"/>
  <c r="N29" i="22"/>
  <c r="N29" i="24" s="1"/>
  <c r="F29" i="22"/>
  <c r="F29" i="24" s="1"/>
  <c r="L29" i="22"/>
  <c r="L29" i="24" s="1"/>
  <c r="I29" i="22"/>
  <c r="I29" i="24" s="1"/>
  <c r="M29" i="22"/>
  <c r="M29" i="24" s="1"/>
  <c r="G39" i="23"/>
  <c r="H39" i="23"/>
  <c r="E21" i="24"/>
  <c r="Q21" i="24" s="1"/>
  <c r="Q21" i="22"/>
  <c r="E25" i="24"/>
  <c r="Q25" i="24" s="1"/>
  <c r="Q25" i="22"/>
  <c r="E29" i="23"/>
  <c r="Q29" i="23" s="1"/>
  <c r="Q30" i="21"/>
  <c r="K31" i="23"/>
  <c r="R31" i="23" s="1"/>
  <c r="S32" i="21"/>
  <c r="T32" i="21" s="1"/>
  <c r="E23" i="24"/>
  <c r="Q23" i="24" s="1"/>
  <c r="Q23" i="22"/>
  <c r="K31" i="24"/>
  <c r="R31" i="24" s="1"/>
  <c r="S31" i="22"/>
  <c r="T31" i="22" s="1"/>
  <c r="G39" i="24"/>
  <c r="E28" i="23"/>
  <c r="Q28" i="23" s="1"/>
  <c r="Q29" i="21"/>
  <c r="K43" i="24"/>
  <c r="R43" i="24" s="1"/>
  <c r="S43" i="22"/>
  <c r="T43" i="22" s="1"/>
  <c r="K24" i="24"/>
  <c r="R24" i="24" s="1"/>
  <c r="S24" i="22"/>
  <c r="T24" i="22" s="1"/>
  <c r="J19" i="24"/>
  <c r="E41" i="23"/>
  <c r="Q41" i="23" s="1"/>
  <c r="Q42" i="21"/>
  <c r="K40" i="23"/>
  <c r="R40" i="23" s="1"/>
  <c r="S41" i="21"/>
  <c r="T41" i="21" s="1"/>
  <c r="E43" i="23"/>
  <c r="Q43" i="23" s="1"/>
  <c r="Q44" i="21"/>
  <c r="E34" i="24"/>
  <c r="Q34" i="24" s="1"/>
  <c r="S34" i="24" s="1"/>
  <c r="Q34" i="22"/>
  <c r="K40" i="24"/>
  <c r="R40" i="24" s="1"/>
  <c r="S40" i="22"/>
  <c r="T40" i="22" s="1"/>
  <c r="D36" i="22"/>
  <c r="S38" i="23" l="1"/>
  <c r="S29" i="23"/>
  <c r="S41" i="23"/>
  <c r="S35" i="24"/>
  <c r="S28" i="23"/>
  <c r="I36" i="24"/>
  <c r="J66" i="22"/>
  <c r="J36" i="22"/>
  <c r="S47" i="24"/>
  <c r="S43" i="23"/>
  <c r="S21" i="24"/>
  <c r="S23" i="24"/>
  <c r="S45" i="23"/>
  <c r="J67" i="22"/>
  <c r="S25" i="24"/>
  <c r="S25" i="23"/>
  <c r="S33" i="24"/>
  <c r="J36" i="24"/>
  <c r="Z6" i="1"/>
  <c r="AA6" i="1" s="1"/>
  <c r="S27" i="23"/>
  <c r="S40" i="24"/>
  <c r="Q39" i="24"/>
  <c r="S20" i="23"/>
  <c r="N36" i="24"/>
  <c r="F67" i="22"/>
  <c r="R23" i="22"/>
  <c r="U23" i="22"/>
  <c r="V23" i="22" s="1"/>
  <c r="R46" i="21"/>
  <c r="U46" i="21"/>
  <c r="V46" i="21" s="1"/>
  <c r="W46" i="21" s="1"/>
  <c r="R48" i="21"/>
  <c r="U48" i="21"/>
  <c r="V48" i="21" s="1"/>
  <c r="W48" i="21" s="1"/>
  <c r="R34" i="22"/>
  <c r="U34" i="22"/>
  <c r="V34" i="22" s="1"/>
  <c r="S33" i="23"/>
  <c r="F36" i="22"/>
  <c r="R47" i="22"/>
  <c r="U47" i="22"/>
  <c r="V47" i="22" s="1"/>
  <c r="R55" i="22"/>
  <c r="U55" i="22"/>
  <c r="V55" i="22" s="1"/>
  <c r="S35" i="23"/>
  <c r="O36" i="24"/>
  <c r="R25" i="21"/>
  <c r="U25" i="21"/>
  <c r="V25" i="21" s="1"/>
  <c r="W25" i="21" s="1"/>
  <c r="R44" i="22"/>
  <c r="U44" i="22"/>
  <c r="V44" i="22" s="1"/>
  <c r="H66" i="22"/>
  <c r="S34" i="23"/>
  <c r="R28" i="21"/>
  <c r="U28" i="21"/>
  <c r="V28" i="21" s="1"/>
  <c r="W28" i="21" s="1"/>
  <c r="R39" i="23"/>
  <c r="G36" i="22"/>
  <c r="S27" i="24"/>
  <c r="S38" i="24"/>
  <c r="E66" i="22"/>
  <c r="E68" i="22" s="1"/>
  <c r="E69" i="22" s="1"/>
  <c r="U42" i="22"/>
  <c r="V42" i="22" s="1"/>
  <c r="R42" i="22"/>
  <c r="S22" i="24"/>
  <c r="G67" i="22"/>
  <c r="R30" i="21"/>
  <c r="U30" i="21"/>
  <c r="V30" i="21" s="1"/>
  <c r="W30" i="21" s="1"/>
  <c r="K29" i="24"/>
  <c r="R29" i="24" s="1"/>
  <c r="S29" i="22"/>
  <c r="T29" i="22" s="1"/>
  <c r="U35" i="22"/>
  <c r="V35" i="22" s="1"/>
  <c r="R35" i="22"/>
  <c r="U26" i="21"/>
  <c r="V26" i="21" s="1"/>
  <c r="W26" i="21" s="1"/>
  <c r="R26" i="21"/>
  <c r="M67" i="22"/>
  <c r="F36" i="24"/>
  <c r="R39" i="21"/>
  <c r="U39" i="21"/>
  <c r="V39" i="21" s="1"/>
  <c r="W39" i="21" s="1"/>
  <c r="I66" i="22"/>
  <c r="S24" i="23"/>
  <c r="S44" i="24"/>
  <c r="H36" i="22"/>
  <c r="R26" i="22"/>
  <c r="U26" i="22"/>
  <c r="V26" i="22" s="1"/>
  <c r="G36" i="24"/>
  <c r="R20" i="22"/>
  <c r="U20" i="22"/>
  <c r="V20" i="22" s="1"/>
  <c r="R32" i="21"/>
  <c r="U32" i="21"/>
  <c r="V32" i="21" s="1"/>
  <c r="W32" i="21" s="1"/>
  <c r="R41" i="22"/>
  <c r="U41" i="22"/>
  <c r="V41" i="22" s="1"/>
  <c r="S42" i="24"/>
  <c r="H67" i="22"/>
  <c r="R45" i="21"/>
  <c r="U45" i="21"/>
  <c r="V45" i="21" s="1"/>
  <c r="W45" i="21" s="1"/>
  <c r="R28" i="22"/>
  <c r="U28" i="22"/>
  <c r="V28" i="22" s="1"/>
  <c r="R21" i="22"/>
  <c r="U21" i="22"/>
  <c r="V21" i="22" s="1"/>
  <c r="R44" i="21"/>
  <c r="U44" i="21"/>
  <c r="V44" i="21" s="1"/>
  <c r="W44" i="21" s="1"/>
  <c r="I36" i="22"/>
  <c r="U22" i="21"/>
  <c r="V22" i="21" s="1"/>
  <c r="W22" i="21" s="1"/>
  <c r="R22" i="21"/>
  <c r="R31" i="21"/>
  <c r="U31" i="21"/>
  <c r="V31" i="21" s="1"/>
  <c r="W31" i="21" s="1"/>
  <c r="H36" i="24"/>
  <c r="R30" i="22"/>
  <c r="U30" i="22"/>
  <c r="V30" i="22" s="1"/>
  <c r="S26" i="24"/>
  <c r="M66" i="22"/>
  <c r="S20" i="24"/>
  <c r="S31" i="23"/>
  <c r="S41" i="24"/>
  <c r="Q19" i="24"/>
  <c r="R32" i="22"/>
  <c r="U32" i="22"/>
  <c r="V32" i="22" s="1"/>
  <c r="S44" i="23"/>
  <c r="S28" i="24"/>
  <c r="R43" i="22"/>
  <c r="U43" i="22"/>
  <c r="V43" i="22" s="1"/>
  <c r="U21" i="21"/>
  <c r="V21" i="21" s="1"/>
  <c r="W21" i="21" s="1"/>
  <c r="R21" i="21"/>
  <c r="S43" i="24"/>
  <c r="U25" i="22"/>
  <c r="V25" i="22" s="1"/>
  <c r="R25" i="22"/>
  <c r="U24" i="22"/>
  <c r="V24" i="22" s="1"/>
  <c r="R24" i="22"/>
  <c r="U24" i="21"/>
  <c r="V24" i="21" s="1"/>
  <c r="W24" i="21" s="1"/>
  <c r="R24" i="21"/>
  <c r="R39" i="22"/>
  <c r="U39" i="22"/>
  <c r="V39" i="22" s="1"/>
  <c r="S21" i="23"/>
  <c r="E45" i="24"/>
  <c r="Q45" i="24" s="1"/>
  <c r="Q45" i="22"/>
  <c r="S30" i="23"/>
  <c r="S30" i="24"/>
  <c r="M36" i="22"/>
  <c r="L66" i="22"/>
  <c r="S32" i="24"/>
  <c r="P36" i="24"/>
  <c r="I67" i="22"/>
  <c r="U33" i="21"/>
  <c r="V33" i="21" s="1"/>
  <c r="W33" i="21" s="1"/>
  <c r="R33" i="21"/>
  <c r="U42" i="21"/>
  <c r="V42" i="21" s="1"/>
  <c r="W42" i="21" s="1"/>
  <c r="R42" i="21"/>
  <c r="E29" i="24"/>
  <c r="Q29" i="24" s="1"/>
  <c r="Q29" i="22"/>
  <c r="S24" i="24"/>
  <c r="S23" i="23"/>
  <c r="L67" i="22"/>
  <c r="K45" i="24"/>
  <c r="R45" i="24" s="1"/>
  <c r="S45" i="22"/>
  <c r="T45" i="22" s="1"/>
  <c r="R40" i="22"/>
  <c r="U40" i="22"/>
  <c r="V40" i="22" s="1"/>
  <c r="K66" i="22"/>
  <c r="K68" i="22" s="1"/>
  <c r="K69" i="22" s="1"/>
  <c r="M36" i="24"/>
  <c r="L36" i="22"/>
  <c r="R31" i="22"/>
  <c r="U31" i="22"/>
  <c r="V31" i="22" s="1"/>
  <c r="P36" i="22"/>
  <c r="S32" i="23"/>
  <c r="X23" i="21"/>
  <c r="Y23" i="21" s="1"/>
  <c r="Z23" i="21" s="1"/>
  <c r="R41" i="21"/>
  <c r="U41" i="21"/>
  <c r="V41" i="21" s="1"/>
  <c r="W41" i="21" s="1"/>
  <c r="L36" i="24"/>
  <c r="S31" i="24"/>
  <c r="U40" i="21"/>
  <c r="V40" i="21" s="1"/>
  <c r="W40" i="21" s="1"/>
  <c r="R40" i="21"/>
  <c r="R43" i="21"/>
  <c r="U43" i="21"/>
  <c r="V43" i="21" s="1"/>
  <c r="W43" i="21" s="1"/>
  <c r="R19" i="24"/>
  <c r="S40" i="23"/>
  <c r="U27" i="21"/>
  <c r="V27" i="21" s="1"/>
  <c r="W27" i="21" s="1"/>
  <c r="R27" i="21"/>
  <c r="U29" i="21"/>
  <c r="V29" i="21" s="1"/>
  <c r="W29" i="21" s="1"/>
  <c r="R29" i="21"/>
  <c r="N36" i="22"/>
  <c r="U34" i="21"/>
  <c r="V34" i="21" s="1"/>
  <c r="W34" i="21" s="1"/>
  <c r="R34" i="21"/>
  <c r="R33" i="22"/>
  <c r="U33" i="22"/>
  <c r="V33" i="22" s="1"/>
  <c r="F66" i="22"/>
  <c r="S47" i="23"/>
  <c r="U36" i="21"/>
  <c r="V36" i="21" s="1"/>
  <c r="W36" i="21" s="1"/>
  <c r="R36" i="21"/>
  <c r="O36" i="22"/>
  <c r="S42" i="23"/>
  <c r="R35" i="21"/>
  <c r="U35" i="21"/>
  <c r="V35" i="21" s="1"/>
  <c r="W35" i="21" s="1"/>
  <c r="R39" i="24"/>
  <c r="G66" i="22"/>
  <c r="U27" i="22"/>
  <c r="V27" i="22" s="1"/>
  <c r="R27" i="22"/>
  <c r="U38" i="22"/>
  <c r="V38" i="22" s="1"/>
  <c r="R38" i="22"/>
  <c r="U19" i="22"/>
  <c r="V19" i="22" s="1"/>
  <c r="R19" i="22"/>
  <c r="S26" i="23"/>
  <c r="U22" i="22"/>
  <c r="V22" i="22" s="1"/>
  <c r="R22" i="22"/>
  <c r="Q39" i="23"/>
  <c r="S39" i="23" s="1"/>
  <c r="W40" i="22" l="1"/>
  <c r="X40" i="22" s="1"/>
  <c r="W21" i="22"/>
  <c r="X21" i="22" s="1"/>
  <c r="W41" i="22"/>
  <c r="X41" i="22" s="1"/>
  <c r="W28" i="22"/>
  <c r="X28" i="22" s="1"/>
  <c r="W34" i="22"/>
  <c r="X34" i="22" s="1"/>
  <c r="W38" i="22"/>
  <c r="X38" i="22" s="1"/>
  <c r="W43" i="22"/>
  <c r="X43" i="22" s="1"/>
  <c r="W22" i="22"/>
  <c r="X22" i="22" s="1"/>
  <c r="W31" i="22"/>
  <c r="X31" i="22" s="1"/>
  <c r="W27" i="22"/>
  <c r="X27" i="22" s="1"/>
  <c r="W24" i="22"/>
  <c r="X24" i="22" s="1"/>
  <c r="W20" i="22"/>
  <c r="X20" i="22" s="1"/>
  <c r="W35" i="22"/>
  <c r="X35" i="22" s="1"/>
  <c r="W42" i="22"/>
  <c r="X42" i="22" s="1"/>
  <c r="W55" i="22"/>
  <c r="X55" i="22" s="1"/>
  <c r="W33" i="22"/>
  <c r="X33" i="22" s="1"/>
  <c r="W23" i="22"/>
  <c r="X23" i="22" s="1"/>
  <c r="W19" i="22"/>
  <c r="X19" i="22" s="1"/>
  <c r="W25" i="22"/>
  <c r="X25" i="22" s="1"/>
  <c r="W32" i="22"/>
  <c r="X32" i="22" s="1"/>
  <c r="W30" i="22"/>
  <c r="X30" i="22" s="1"/>
  <c r="W44" i="22"/>
  <c r="X44" i="22" s="1"/>
  <c r="W47" i="22"/>
  <c r="X47" i="22" s="1"/>
  <c r="W39" i="22"/>
  <c r="X39" i="22" s="1"/>
  <c r="W26" i="22"/>
  <c r="X26" i="22" s="1"/>
  <c r="G68" i="22"/>
  <c r="G69" i="22" s="1"/>
  <c r="J68" i="22"/>
  <c r="J69" i="22" s="1"/>
  <c r="S39" i="24"/>
  <c r="F68" i="22"/>
  <c r="F69" i="22" s="1"/>
  <c r="K36" i="24"/>
  <c r="R36" i="24" s="1"/>
  <c r="S29" i="24"/>
  <c r="E36" i="24"/>
  <c r="Q36" i="24" s="1"/>
  <c r="L68" i="22"/>
  <c r="L69" i="22" s="1"/>
  <c r="Q36" i="22"/>
  <c r="R36" i="22" s="1"/>
  <c r="S36" i="22"/>
  <c r="T36" i="22" s="1"/>
  <c r="X36" i="21"/>
  <c r="Y36" i="21" s="1"/>
  <c r="Z36" i="21" s="1"/>
  <c r="S45" i="24"/>
  <c r="X22" i="21"/>
  <c r="Y22" i="21" s="1"/>
  <c r="Z22" i="21" s="1"/>
  <c r="U29" i="22"/>
  <c r="V29" i="22" s="1"/>
  <c r="R29" i="22"/>
  <c r="X45" i="21"/>
  <c r="Y45" i="21" s="1"/>
  <c r="Z45" i="21" s="1"/>
  <c r="I68" i="22"/>
  <c r="I69" i="22" s="1"/>
  <c r="X48" i="21"/>
  <c r="Y48" i="21" s="1"/>
  <c r="Z48" i="21" s="1"/>
  <c r="X29" i="21"/>
  <c r="Y29" i="21" s="1"/>
  <c r="Z29" i="21" s="1"/>
  <c r="X44" i="21"/>
  <c r="Y44" i="21" s="1"/>
  <c r="Z44" i="21" s="1"/>
  <c r="X39" i="21"/>
  <c r="Y39" i="21" s="1"/>
  <c r="Z39" i="21" s="1"/>
  <c r="H68" i="22"/>
  <c r="H69" i="22" s="1"/>
  <c r="X35" i="21"/>
  <c r="Y35" i="21" s="1"/>
  <c r="Z35" i="21" s="1"/>
  <c r="X27" i="21"/>
  <c r="Y27" i="21" s="1"/>
  <c r="Z27" i="21" s="1"/>
  <c r="X40" i="21"/>
  <c r="Y40" i="21" s="1"/>
  <c r="Z40" i="21" s="1"/>
  <c r="S19" i="24"/>
  <c r="X46" i="21"/>
  <c r="Y46" i="21" s="1"/>
  <c r="Z46" i="21" s="1"/>
  <c r="X42" i="21"/>
  <c r="Y42" i="21" s="1"/>
  <c r="Z42" i="21" s="1"/>
  <c r="X21" i="21"/>
  <c r="Y21" i="21" s="1"/>
  <c r="Z21" i="21" s="1"/>
  <c r="X30" i="21"/>
  <c r="Y30" i="21" s="1"/>
  <c r="Z30" i="21" s="1"/>
  <c r="X24" i="21"/>
  <c r="Y24" i="21" s="1"/>
  <c r="Z24" i="21" s="1"/>
  <c r="X31" i="21"/>
  <c r="Y31" i="21" s="1"/>
  <c r="Z31" i="21" s="1"/>
  <c r="M68" i="22"/>
  <c r="M69" i="22" s="1"/>
  <c r="X25" i="21"/>
  <c r="Y25" i="21" s="1"/>
  <c r="Z25" i="21" s="1"/>
  <c r="X34" i="21"/>
  <c r="Y34" i="21" s="1"/>
  <c r="Z34" i="21" s="1"/>
  <c r="X41" i="21"/>
  <c r="Y41" i="21" s="1"/>
  <c r="Z41" i="21" s="1"/>
  <c r="X43" i="21"/>
  <c r="Y43" i="21" s="1"/>
  <c r="Z43" i="21" s="1"/>
  <c r="X33" i="21"/>
  <c r="Y33" i="21" s="1"/>
  <c r="Z33" i="21" s="1"/>
  <c r="U45" i="22"/>
  <c r="V45" i="22" s="1"/>
  <c r="R45" i="22"/>
  <c r="X32" i="21"/>
  <c r="Y32" i="21" s="1"/>
  <c r="Z32" i="21" s="1"/>
  <c r="X26" i="21"/>
  <c r="Y26" i="21" s="1"/>
  <c r="Z26" i="21" s="1"/>
  <c r="X28" i="21"/>
  <c r="Y28" i="21" s="1"/>
  <c r="Z28" i="21" s="1"/>
  <c r="Y39" i="22" l="1"/>
  <c r="Z39" i="22" s="1"/>
  <c r="Y32" i="22"/>
  <c r="Z32" i="22" s="1"/>
  <c r="Y33" i="22"/>
  <c r="Z33" i="22" s="1"/>
  <c r="Y20" i="22"/>
  <c r="Z20" i="22" s="1"/>
  <c r="Y22" i="22"/>
  <c r="Z22" i="22" s="1"/>
  <c r="Y28" i="22"/>
  <c r="Z28" i="22" s="1"/>
  <c r="Y47" i="22"/>
  <c r="Z47" i="22" s="1"/>
  <c r="Y25" i="22"/>
  <c r="Z25" i="22" s="1"/>
  <c r="Y55" i="22"/>
  <c r="Z55" i="22" s="1"/>
  <c r="Y24" i="22"/>
  <c r="Z24" i="22" s="1"/>
  <c r="Y43" i="22"/>
  <c r="Z43" i="22" s="1"/>
  <c r="Y41" i="22"/>
  <c r="Z41" i="22" s="1"/>
  <c r="Y44" i="22"/>
  <c r="Z44" i="22" s="1"/>
  <c r="Y19" i="22"/>
  <c r="Z19" i="22" s="1"/>
  <c r="Y42" i="22"/>
  <c r="Z42" i="22" s="1"/>
  <c r="Y27" i="22"/>
  <c r="Z27" i="22" s="1"/>
  <c r="Y38" i="22"/>
  <c r="Z38" i="22" s="1"/>
  <c r="Y21" i="22"/>
  <c r="Z21" i="22" s="1"/>
  <c r="W29" i="22"/>
  <c r="X29" i="22" s="1"/>
  <c r="W45" i="22"/>
  <c r="X45" i="22" s="1"/>
  <c r="Y26" i="22"/>
  <c r="Z26" i="22" s="1"/>
  <c r="Y30" i="22"/>
  <c r="Z30" i="22" s="1"/>
  <c r="Y23" i="22"/>
  <c r="Z23" i="22" s="1"/>
  <c r="Y35" i="22"/>
  <c r="Z35" i="22" s="1"/>
  <c r="Y31" i="22"/>
  <c r="Z31" i="22" s="1"/>
  <c r="Y34" i="22"/>
  <c r="Z34" i="22" s="1"/>
  <c r="Y40" i="22"/>
  <c r="Z40" i="22" s="1"/>
  <c r="S36" i="24"/>
  <c r="U36" i="22"/>
  <c r="V36" i="22" s="1"/>
  <c r="E20" i="1"/>
  <c r="E23" i="1"/>
  <c r="E32" i="1"/>
  <c r="E16" i="1"/>
  <c r="E18" i="1"/>
  <c r="E34" i="1"/>
  <c r="E24" i="1"/>
  <c r="E31" i="1"/>
  <c r="E29" i="1"/>
  <c r="E17" i="1"/>
  <c r="E26" i="1"/>
  <c r="E21" i="1"/>
  <c r="E33" i="1"/>
  <c r="E27" i="1"/>
  <c r="E25" i="1"/>
  <c r="E28" i="1"/>
  <c r="E30" i="1"/>
  <c r="E19" i="1"/>
  <c r="E35" i="1"/>
  <c r="W36" i="22" l="1"/>
  <c r="X36" i="22" s="1"/>
  <c r="Y45" i="22"/>
  <c r="Z45" i="22" s="1"/>
  <c r="Y29" i="22"/>
  <c r="Z29" i="22" s="1"/>
  <c r="J33" i="1"/>
  <c r="J33" i="2" s="1"/>
  <c r="O33" i="1"/>
  <c r="O33" i="2" s="1"/>
  <c r="N33" i="1"/>
  <c r="N33" i="2" s="1"/>
  <c r="F33" i="1"/>
  <c r="H33" i="1"/>
  <c r="H33" i="2" s="1"/>
  <c r="G33" i="1"/>
  <c r="G33" i="2" s="1"/>
  <c r="K33" i="1"/>
  <c r="K33" i="2" s="1"/>
  <c r="P33" i="1"/>
  <c r="P33" i="2" s="1"/>
  <c r="Q33" i="1"/>
  <c r="Q33" i="2" s="1"/>
  <c r="L33" i="1"/>
  <c r="I33" i="1"/>
  <c r="I33" i="2" s="1"/>
  <c r="M33" i="1"/>
  <c r="M33" i="2" s="1"/>
  <c r="L18" i="1"/>
  <c r="Q18" i="1"/>
  <c r="Q18" i="2" s="1"/>
  <c r="H18" i="1"/>
  <c r="H18" i="2" s="1"/>
  <c r="M18" i="1"/>
  <c r="M18" i="2" s="1"/>
  <c r="J18" i="1"/>
  <c r="J18" i="2" s="1"/>
  <c r="N18" i="1"/>
  <c r="N18" i="2" s="1"/>
  <c r="F18" i="1"/>
  <c r="G18" i="1"/>
  <c r="G18" i="2" s="1"/>
  <c r="K18" i="1"/>
  <c r="K18" i="2" s="1"/>
  <c r="O18" i="1"/>
  <c r="O18" i="2" s="1"/>
  <c r="P18" i="1"/>
  <c r="P18" i="2" s="1"/>
  <c r="I18" i="1"/>
  <c r="I18" i="2" s="1"/>
  <c r="F21" i="1"/>
  <c r="P21" i="1"/>
  <c r="P21" i="2" s="1"/>
  <c r="M21" i="1"/>
  <c r="M21" i="2" s="1"/>
  <c r="N21" i="1"/>
  <c r="N21" i="2" s="1"/>
  <c r="G21" i="1"/>
  <c r="G21" i="2" s="1"/>
  <c r="I21" i="1"/>
  <c r="I21" i="2" s="1"/>
  <c r="Q21" i="1"/>
  <c r="Q21" i="2" s="1"/>
  <c r="O21" i="1"/>
  <c r="O21" i="2" s="1"/>
  <c r="L21" i="1"/>
  <c r="J21" i="1"/>
  <c r="J21" i="2" s="1"/>
  <c r="H21" i="1"/>
  <c r="H21" i="2" s="1"/>
  <c r="K21" i="1"/>
  <c r="K21" i="2" s="1"/>
  <c r="I19" i="1"/>
  <c r="I19" i="2" s="1"/>
  <c r="F19" i="1"/>
  <c r="Q19" i="1"/>
  <c r="Q19" i="2" s="1"/>
  <c r="H19" i="1"/>
  <c r="H19" i="2" s="1"/>
  <c r="J19" i="1"/>
  <c r="J19" i="2" s="1"/>
  <c r="G19" i="1"/>
  <c r="G19" i="2" s="1"/>
  <c r="P19" i="1"/>
  <c r="P19" i="2" s="1"/>
  <c r="K19" i="1"/>
  <c r="K19" i="2" s="1"/>
  <c r="O19" i="1"/>
  <c r="O19" i="2" s="1"/>
  <c r="L19" i="1"/>
  <c r="M19" i="1"/>
  <c r="M19" i="2" s="1"/>
  <c r="N19" i="1"/>
  <c r="N19" i="2" s="1"/>
  <c r="M16" i="1"/>
  <c r="J16" i="1"/>
  <c r="F16" i="1"/>
  <c r="H16" i="1"/>
  <c r="N16" i="1"/>
  <c r="P16" i="1"/>
  <c r="I16" i="1"/>
  <c r="Q16" i="1"/>
  <c r="G16" i="1"/>
  <c r="O16" i="1"/>
  <c r="K16" i="1"/>
  <c r="L16" i="1"/>
  <c r="O32" i="1"/>
  <c r="O32" i="2" s="1"/>
  <c r="Q32" i="1"/>
  <c r="Q32" i="2" s="1"/>
  <c r="F32" i="1"/>
  <c r="K32" i="1"/>
  <c r="K32" i="2" s="1"/>
  <c r="H32" i="1"/>
  <c r="H32" i="2" s="1"/>
  <c r="L32" i="1"/>
  <c r="P32" i="1"/>
  <c r="P32" i="2" s="1"/>
  <c r="N32" i="1"/>
  <c r="N32" i="2" s="1"/>
  <c r="I32" i="1"/>
  <c r="I32" i="2" s="1"/>
  <c r="M32" i="1"/>
  <c r="M32" i="2" s="1"/>
  <c r="G32" i="1"/>
  <c r="G32" i="2" s="1"/>
  <c r="J32" i="1"/>
  <c r="J32" i="2" s="1"/>
  <c r="I34" i="1"/>
  <c r="I34" i="2" s="1"/>
  <c r="Q34" i="1"/>
  <c r="Q34" i="2" s="1"/>
  <c r="O34" i="1"/>
  <c r="O34" i="2" s="1"/>
  <c r="M34" i="1"/>
  <c r="M34" i="2" s="1"/>
  <c r="J34" i="1"/>
  <c r="J34" i="2" s="1"/>
  <c r="L34" i="1"/>
  <c r="H34" i="1"/>
  <c r="H34" i="2" s="1"/>
  <c r="F34" i="1"/>
  <c r="N34" i="1"/>
  <c r="N34" i="2" s="1"/>
  <c r="P34" i="1"/>
  <c r="P34" i="2" s="1"/>
  <c r="G34" i="1"/>
  <c r="G34" i="2" s="1"/>
  <c r="K34" i="1"/>
  <c r="K34" i="2" s="1"/>
  <c r="G26" i="1"/>
  <c r="G26" i="2" s="1"/>
  <c r="N26" i="1"/>
  <c r="N26" i="2" s="1"/>
  <c r="I26" i="1"/>
  <c r="I26" i="2" s="1"/>
  <c r="K26" i="1"/>
  <c r="K26" i="2" s="1"/>
  <c r="O26" i="1"/>
  <c r="O26" i="2" s="1"/>
  <c r="L26" i="1"/>
  <c r="Q26" i="1"/>
  <c r="Q26" i="2" s="1"/>
  <c r="H26" i="1"/>
  <c r="H26" i="2" s="1"/>
  <c r="M26" i="1"/>
  <c r="M26" i="2" s="1"/>
  <c r="P26" i="1"/>
  <c r="P26" i="2" s="1"/>
  <c r="F26" i="1"/>
  <c r="J26" i="1"/>
  <c r="J26" i="2" s="1"/>
  <c r="G17" i="1"/>
  <c r="G17" i="2" s="1"/>
  <c r="K17" i="1"/>
  <c r="K17" i="2" s="1"/>
  <c r="O17" i="1"/>
  <c r="O17" i="2" s="1"/>
  <c r="L17" i="1"/>
  <c r="H17" i="1"/>
  <c r="H17" i="2" s="1"/>
  <c r="M17" i="1"/>
  <c r="M17" i="2" s="1"/>
  <c r="N17" i="1"/>
  <c r="N17" i="2" s="1"/>
  <c r="J17" i="1"/>
  <c r="J17" i="2" s="1"/>
  <c r="P17" i="1"/>
  <c r="P17" i="2" s="1"/>
  <c r="F17" i="1"/>
  <c r="I17" i="1"/>
  <c r="I17" i="2" s="1"/>
  <c r="Q17" i="1"/>
  <c r="Q17" i="2" s="1"/>
  <c r="J23" i="1"/>
  <c r="H23" i="1"/>
  <c r="P23" i="1"/>
  <c r="M23" i="1"/>
  <c r="F23" i="1"/>
  <c r="Q23" i="1"/>
  <c r="K23" i="1"/>
  <c r="O23" i="1"/>
  <c r="L23" i="1"/>
  <c r="G23" i="1"/>
  <c r="I23" i="1"/>
  <c r="N23" i="1"/>
  <c r="M24" i="1"/>
  <c r="I24" i="1"/>
  <c r="L24" i="1"/>
  <c r="P24" i="1"/>
  <c r="P24" i="2" s="1"/>
  <c r="N24" i="1"/>
  <c r="Q24" i="1"/>
  <c r="Q24" i="2" s="1"/>
  <c r="F24" i="1"/>
  <c r="J24" i="1"/>
  <c r="G24" i="1"/>
  <c r="K24" i="1"/>
  <c r="H24" i="1"/>
  <c r="O24" i="1"/>
  <c r="O24" i="2" s="1"/>
  <c r="P29" i="1"/>
  <c r="P29" i="2" s="1"/>
  <c r="N29" i="1"/>
  <c r="N29" i="2" s="1"/>
  <c r="G29" i="1"/>
  <c r="G29" i="2" s="1"/>
  <c r="K29" i="1"/>
  <c r="K29" i="2" s="1"/>
  <c r="H29" i="1"/>
  <c r="H29" i="2" s="1"/>
  <c r="I29" i="1"/>
  <c r="I29" i="2" s="1"/>
  <c r="Q29" i="1"/>
  <c r="Q29" i="2" s="1"/>
  <c r="F29" i="1"/>
  <c r="M29" i="1"/>
  <c r="M29" i="2" s="1"/>
  <c r="J29" i="1"/>
  <c r="J29" i="2" s="1"/>
  <c r="O29" i="1"/>
  <c r="O29" i="2" s="1"/>
  <c r="L29" i="1"/>
  <c r="N20" i="1"/>
  <c r="N20" i="2" s="1"/>
  <c r="J20" i="1"/>
  <c r="J20" i="2" s="1"/>
  <c r="G20" i="1"/>
  <c r="G20" i="2" s="1"/>
  <c r="F20" i="1"/>
  <c r="I20" i="1"/>
  <c r="I20" i="2" s="1"/>
  <c r="Q20" i="1"/>
  <c r="Q20" i="2" s="1"/>
  <c r="O20" i="1"/>
  <c r="O20" i="2" s="1"/>
  <c r="K20" i="1"/>
  <c r="K20" i="2" s="1"/>
  <c r="P20" i="1"/>
  <c r="P20" i="2" s="1"/>
  <c r="H20" i="1"/>
  <c r="H20" i="2" s="1"/>
  <c r="L20" i="1"/>
  <c r="M20" i="1"/>
  <c r="M20" i="2" s="1"/>
  <c r="O35" i="1"/>
  <c r="O35" i="2" s="1"/>
  <c r="I35" i="1"/>
  <c r="I35" i="2" s="1"/>
  <c r="M35" i="1"/>
  <c r="M35" i="2" s="1"/>
  <c r="J35" i="1"/>
  <c r="J35" i="2" s="1"/>
  <c r="F35" i="1"/>
  <c r="H35" i="1"/>
  <c r="H35" i="2" s="1"/>
  <c r="L35" i="1"/>
  <c r="P35" i="1"/>
  <c r="P35" i="2" s="1"/>
  <c r="K35" i="1"/>
  <c r="K35" i="2" s="1"/>
  <c r="Q35" i="1"/>
  <c r="Q35" i="2" s="1"/>
  <c r="N35" i="1"/>
  <c r="N35" i="2" s="1"/>
  <c r="G35" i="1"/>
  <c r="G35" i="2" s="1"/>
  <c r="K30" i="1"/>
  <c r="K30" i="2" s="1"/>
  <c r="P30" i="1"/>
  <c r="P30" i="2" s="1"/>
  <c r="L30" i="1"/>
  <c r="I30" i="1"/>
  <c r="I30" i="2" s="1"/>
  <c r="F30" i="1"/>
  <c r="G30" i="1"/>
  <c r="G30" i="2" s="1"/>
  <c r="M30" i="1"/>
  <c r="M30" i="2" s="1"/>
  <c r="Q30" i="1"/>
  <c r="Q30" i="2" s="1"/>
  <c r="N30" i="1"/>
  <c r="N30" i="2" s="1"/>
  <c r="J30" i="1"/>
  <c r="J30" i="2" s="1"/>
  <c r="H30" i="1"/>
  <c r="H30" i="2" s="1"/>
  <c r="O30" i="1"/>
  <c r="O30" i="2" s="1"/>
  <c r="H28" i="1"/>
  <c r="H28" i="2" s="1"/>
  <c r="Q28" i="1"/>
  <c r="Q28" i="2" s="1"/>
  <c r="G28" i="1"/>
  <c r="G28" i="2" s="1"/>
  <c r="K28" i="1"/>
  <c r="K28" i="2" s="1"/>
  <c r="L28" i="1"/>
  <c r="P28" i="1"/>
  <c r="P28" i="2" s="1"/>
  <c r="M28" i="1"/>
  <c r="M28" i="2" s="1"/>
  <c r="J28" i="1"/>
  <c r="J28" i="2" s="1"/>
  <c r="O28" i="1"/>
  <c r="O28" i="2" s="1"/>
  <c r="N28" i="1"/>
  <c r="N28" i="2" s="1"/>
  <c r="I28" i="1"/>
  <c r="I28" i="2" s="1"/>
  <c r="F28" i="1"/>
  <c r="J25" i="1"/>
  <c r="J25" i="2" s="1"/>
  <c r="Q25" i="1"/>
  <c r="Q25" i="2" s="1"/>
  <c r="M25" i="1"/>
  <c r="M25" i="2" s="1"/>
  <c r="F25" i="1"/>
  <c r="H25" i="1"/>
  <c r="H25" i="2" s="1"/>
  <c r="K25" i="1"/>
  <c r="K25" i="2" s="1"/>
  <c r="P25" i="1"/>
  <c r="P25" i="2" s="1"/>
  <c r="L25" i="1"/>
  <c r="I25" i="1"/>
  <c r="I25" i="2" s="1"/>
  <c r="N25" i="1"/>
  <c r="N25" i="2" s="1"/>
  <c r="G25" i="1"/>
  <c r="G25" i="2" s="1"/>
  <c r="O25" i="1"/>
  <c r="O25" i="2" s="1"/>
  <c r="O27" i="1"/>
  <c r="O27" i="2" s="1"/>
  <c r="J27" i="1"/>
  <c r="J27" i="2" s="1"/>
  <c r="N27" i="1"/>
  <c r="N27" i="2" s="1"/>
  <c r="K27" i="1"/>
  <c r="K27" i="2" s="1"/>
  <c r="H27" i="1"/>
  <c r="H27" i="2" s="1"/>
  <c r="L27" i="1"/>
  <c r="P27" i="1"/>
  <c r="P27" i="2" s="1"/>
  <c r="M27" i="1"/>
  <c r="M27" i="2" s="1"/>
  <c r="I27" i="1"/>
  <c r="I27" i="2" s="1"/>
  <c r="Q27" i="1"/>
  <c r="Q27" i="2" s="1"/>
  <c r="F27" i="1"/>
  <c r="G27" i="1"/>
  <c r="G27" i="2" s="1"/>
  <c r="H31" i="1"/>
  <c r="H31" i="2" s="1"/>
  <c r="L31" i="1"/>
  <c r="J31" i="1"/>
  <c r="J31" i="2" s="1"/>
  <c r="P31" i="1"/>
  <c r="P31" i="2" s="1"/>
  <c r="O31" i="1"/>
  <c r="O31" i="2" s="1"/>
  <c r="I31" i="1"/>
  <c r="I31" i="2" s="1"/>
  <c r="M31" i="1"/>
  <c r="M31" i="2" s="1"/>
  <c r="Q31" i="1"/>
  <c r="Q31" i="2" s="1"/>
  <c r="N31" i="1"/>
  <c r="N31" i="2" s="1"/>
  <c r="F31" i="1"/>
  <c r="K31" i="1"/>
  <c r="K31" i="2" s="1"/>
  <c r="G31" i="1"/>
  <c r="G31" i="2" s="1"/>
  <c r="E22" i="1"/>
  <c r="E36" i="1"/>
  <c r="Y36" i="22" l="1"/>
  <c r="Z36" i="22" s="1"/>
  <c r="F34" i="2"/>
  <c r="R34" i="2" s="1"/>
  <c r="R34" i="1"/>
  <c r="F27" i="2"/>
  <c r="R27" i="2" s="1"/>
  <c r="R27" i="1"/>
  <c r="F24" i="2"/>
  <c r="F71" i="1"/>
  <c r="R24" i="1"/>
  <c r="I23" i="2"/>
  <c r="I36" i="1"/>
  <c r="P23" i="2"/>
  <c r="P36" i="2" s="1"/>
  <c r="P36" i="1"/>
  <c r="F26" i="2"/>
  <c r="R26" i="2" s="1"/>
  <c r="R26" i="1"/>
  <c r="F32" i="2"/>
  <c r="R32" i="2" s="1"/>
  <c r="R32" i="1"/>
  <c r="I16" i="2"/>
  <c r="I22" i="2" s="1"/>
  <c r="I22" i="1"/>
  <c r="L25" i="2"/>
  <c r="S25" i="2" s="1"/>
  <c r="T25" i="1"/>
  <c r="U25" i="1" s="1"/>
  <c r="Q16" i="2"/>
  <c r="Q22" i="2" s="1"/>
  <c r="Q22" i="1"/>
  <c r="G23" i="2"/>
  <c r="G36" i="1"/>
  <c r="H23" i="2"/>
  <c r="H36" i="1"/>
  <c r="L34" i="2"/>
  <c r="S34" i="2" s="1"/>
  <c r="T34" i="1"/>
  <c r="U34" i="1" s="1"/>
  <c r="P16" i="2"/>
  <c r="P22" i="2" s="1"/>
  <c r="P22" i="1"/>
  <c r="L19" i="2"/>
  <c r="S19" i="2" s="1"/>
  <c r="T19" i="1"/>
  <c r="U19" i="1" s="1"/>
  <c r="F19" i="2"/>
  <c r="R19" i="2" s="1"/>
  <c r="R19" i="1"/>
  <c r="F28" i="2"/>
  <c r="R28" i="2" s="1"/>
  <c r="R28" i="1"/>
  <c r="L29" i="2"/>
  <c r="S29" i="2" s="1"/>
  <c r="T29" i="1"/>
  <c r="U29" i="1" s="1"/>
  <c r="F30" i="2"/>
  <c r="R30" i="2" s="1"/>
  <c r="R30" i="1"/>
  <c r="N24" i="2"/>
  <c r="N71" i="1"/>
  <c r="L23" i="2"/>
  <c r="L36" i="1"/>
  <c r="T23" i="1"/>
  <c r="J23" i="2"/>
  <c r="J36" i="1"/>
  <c r="N16" i="2"/>
  <c r="N22" i="2" s="1"/>
  <c r="N22" i="1"/>
  <c r="L18" i="2"/>
  <c r="S18" i="2" s="1"/>
  <c r="T18" i="1"/>
  <c r="U18" i="1" s="1"/>
  <c r="N23" i="2"/>
  <c r="N36" i="1"/>
  <c r="F25" i="2"/>
  <c r="R25" i="2" s="1"/>
  <c r="R25" i="1"/>
  <c r="F20" i="2"/>
  <c r="R20" i="2" s="1"/>
  <c r="R20" i="1"/>
  <c r="F29" i="2"/>
  <c r="R29" i="2" s="1"/>
  <c r="R29" i="1"/>
  <c r="O23" i="2"/>
  <c r="O36" i="2" s="1"/>
  <c r="O36" i="1"/>
  <c r="L17" i="2"/>
  <c r="S17" i="2" s="1"/>
  <c r="T17" i="1"/>
  <c r="U17" i="1" s="1"/>
  <c r="L16" i="2"/>
  <c r="L22" i="1"/>
  <c r="T16" i="1"/>
  <c r="H16" i="2"/>
  <c r="H22" i="2" s="1"/>
  <c r="H22" i="1"/>
  <c r="F33" i="2"/>
  <c r="R33" i="2" s="1"/>
  <c r="R33" i="1"/>
  <c r="J24" i="2"/>
  <c r="J71" i="1"/>
  <c r="L30" i="2"/>
  <c r="S30" i="2" s="1"/>
  <c r="T30" i="1"/>
  <c r="U30" i="1" s="1"/>
  <c r="L35" i="2"/>
  <c r="S35" i="2" s="1"/>
  <c r="T35" i="1"/>
  <c r="U35" i="1" s="1"/>
  <c r="L20" i="2"/>
  <c r="S20" i="2" s="1"/>
  <c r="T20" i="1"/>
  <c r="U20" i="1" s="1"/>
  <c r="H24" i="2"/>
  <c r="H71" i="1"/>
  <c r="L24" i="2"/>
  <c r="L71" i="1"/>
  <c r="T24" i="1"/>
  <c r="U24" i="1" s="1"/>
  <c r="K23" i="2"/>
  <c r="K36" i="1"/>
  <c r="K16" i="2"/>
  <c r="K22" i="2" s="1"/>
  <c r="K22" i="1"/>
  <c r="F16" i="2"/>
  <c r="F22" i="1"/>
  <c r="F18" i="2"/>
  <c r="R18" i="2" s="1"/>
  <c r="T18" i="2" s="1"/>
  <c r="R18" i="1"/>
  <c r="F31" i="2"/>
  <c r="R31" i="2" s="1"/>
  <c r="R31" i="1"/>
  <c r="L31" i="2"/>
  <c r="S31" i="2" s="1"/>
  <c r="T31" i="1"/>
  <c r="U31" i="1" s="1"/>
  <c r="L27" i="2"/>
  <c r="S27" i="2" s="1"/>
  <c r="T27" i="1"/>
  <c r="U27" i="1" s="1"/>
  <c r="K24" i="2"/>
  <c r="K71" i="1"/>
  <c r="I24" i="2"/>
  <c r="I71" i="1"/>
  <c r="Q23" i="2"/>
  <c r="Q36" i="2" s="1"/>
  <c r="Q36" i="1"/>
  <c r="F17" i="2"/>
  <c r="R17" i="2" s="1"/>
  <c r="T17" i="2" s="1"/>
  <c r="R17" i="1"/>
  <c r="L26" i="2"/>
  <c r="S26" i="2" s="1"/>
  <c r="T26" i="1"/>
  <c r="U26" i="1" s="1"/>
  <c r="L32" i="2"/>
  <c r="S32" i="2" s="1"/>
  <c r="T32" i="1"/>
  <c r="U32" i="1" s="1"/>
  <c r="O16" i="2"/>
  <c r="O22" i="2" s="1"/>
  <c r="O22" i="1"/>
  <c r="J16" i="2"/>
  <c r="J22" i="2" s="1"/>
  <c r="J22" i="1"/>
  <c r="L33" i="2"/>
  <c r="S33" i="2" s="1"/>
  <c r="T33" i="1"/>
  <c r="U33" i="1" s="1"/>
  <c r="M23" i="2"/>
  <c r="M36" i="1"/>
  <c r="L28" i="2"/>
  <c r="S28" i="2" s="1"/>
  <c r="T28" i="1"/>
  <c r="U28" i="1" s="1"/>
  <c r="F35" i="2"/>
  <c r="R35" i="2" s="1"/>
  <c r="R35" i="1"/>
  <c r="G24" i="2"/>
  <c r="G71" i="1"/>
  <c r="M24" i="2"/>
  <c r="M71" i="1"/>
  <c r="F23" i="2"/>
  <c r="F36" i="1"/>
  <c r="R23" i="1"/>
  <c r="G16" i="2"/>
  <c r="G22" i="2" s="1"/>
  <c r="G22" i="1"/>
  <c r="M16" i="2"/>
  <c r="M22" i="2" s="1"/>
  <c r="M22" i="1"/>
  <c r="L21" i="2"/>
  <c r="S21" i="2" s="1"/>
  <c r="T21" i="1"/>
  <c r="U21" i="1" s="1"/>
  <c r="F21" i="2"/>
  <c r="R21" i="2" s="1"/>
  <c r="R21" i="1"/>
  <c r="D44" i="15"/>
  <c r="D45" i="15"/>
  <c r="D60" i="15"/>
  <c r="D29" i="15"/>
  <c r="D7" i="15"/>
  <c r="D49" i="15"/>
  <c r="D40" i="15"/>
  <c r="D50" i="15"/>
  <c r="D42" i="15"/>
  <c r="D59" i="15"/>
  <c r="D38" i="15"/>
  <c r="D36" i="15"/>
  <c r="D16" i="15"/>
  <c r="D39" i="15"/>
  <c r="D48" i="15"/>
  <c r="D28" i="15"/>
  <c r="D10" i="15"/>
  <c r="D37" i="15"/>
  <c r="E56" i="1"/>
  <c r="D14" i="15"/>
  <c r="D41" i="15"/>
  <c r="D47" i="15"/>
  <c r="D30" i="15"/>
  <c r="D13" i="15"/>
  <c r="D21" i="15"/>
  <c r="D8" i="15"/>
  <c r="D31" i="15"/>
  <c r="D43" i="15"/>
  <c r="D11" i="15"/>
  <c r="D12" i="15"/>
  <c r="D25" i="15"/>
  <c r="D46" i="15"/>
  <c r="D19" i="15"/>
  <c r="D23" i="15"/>
  <c r="D18" i="15"/>
  <c r="D9" i="15"/>
  <c r="D17" i="15"/>
  <c r="D33" i="15"/>
  <c r="D22" i="15"/>
  <c r="T35" i="2" l="1"/>
  <c r="T25" i="2"/>
  <c r="T19" i="2"/>
  <c r="K36" i="2"/>
  <c r="S24" i="2"/>
  <c r="H36" i="2"/>
  <c r="I36" i="2"/>
  <c r="T21" i="2"/>
  <c r="H60" i="15"/>
  <c r="E60" i="15"/>
  <c r="P60" i="15"/>
  <c r="G60" i="15"/>
  <c r="I60" i="15"/>
  <c r="M60" i="15"/>
  <c r="J60" i="15"/>
  <c r="O60" i="15"/>
  <c r="K60" i="15"/>
  <c r="L60" i="15"/>
  <c r="N60" i="15"/>
  <c r="F60" i="15"/>
  <c r="V20" i="1"/>
  <c r="W20" i="1" s="1"/>
  <c r="S20" i="1"/>
  <c r="H19" i="15"/>
  <c r="H19" i="16" s="1"/>
  <c r="N19" i="15"/>
  <c r="N19" i="16" s="1"/>
  <c r="P19" i="15"/>
  <c r="P19" i="16" s="1"/>
  <c r="E19" i="15"/>
  <c r="I19" i="15"/>
  <c r="I19" i="16" s="1"/>
  <c r="G19" i="15"/>
  <c r="G19" i="16" s="1"/>
  <c r="F19" i="15"/>
  <c r="F19" i="16" s="1"/>
  <c r="J19" i="15"/>
  <c r="J19" i="16" s="1"/>
  <c r="O19" i="15"/>
  <c r="O19" i="16" s="1"/>
  <c r="K19" i="15"/>
  <c r="L19" i="15"/>
  <c r="L19" i="16" s="1"/>
  <c r="M19" i="15"/>
  <c r="M19" i="16" s="1"/>
  <c r="O39" i="15"/>
  <c r="O39" i="16" s="1"/>
  <c r="G39" i="15"/>
  <c r="G39" i="16" s="1"/>
  <c r="H39" i="15"/>
  <c r="H39" i="16" s="1"/>
  <c r="P39" i="15"/>
  <c r="P39" i="16" s="1"/>
  <c r="E39" i="15"/>
  <c r="M39" i="15"/>
  <c r="M39" i="16" s="1"/>
  <c r="I39" i="15"/>
  <c r="I39" i="16" s="1"/>
  <c r="L39" i="15"/>
  <c r="L39" i="16" s="1"/>
  <c r="F39" i="15"/>
  <c r="F39" i="16" s="1"/>
  <c r="K39" i="15"/>
  <c r="N39" i="15"/>
  <c r="N39" i="16" s="1"/>
  <c r="J39" i="15"/>
  <c r="J39" i="16" s="1"/>
  <c r="G49" i="15"/>
  <c r="G49" i="16" s="1"/>
  <c r="M49" i="15"/>
  <c r="M49" i="16" s="1"/>
  <c r="O49" i="15"/>
  <c r="O49" i="16" s="1"/>
  <c r="L49" i="15"/>
  <c r="L49" i="16" s="1"/>
  <c r="H49" i="15"/>
  <c r="H49" i="16" s="1"/>
  <c r="N49" i="15"/>
  <c r="N49" i="16" s="1"/>
  <c r="K49" i="15"/>
  <c r="P49" i="15"/>
  <c r="P49" i="16" s="1"/>
  <c r="F49" i="15"/>
  <c r="F49" i="16" s="1"/>
  <c r="E49" i="15"/>
  <c r="I49" i="15"/>
  <c r="I49" i="16" s="1"/>
  <c r="J49" i="15"/>
  <c r="J49" i="16" s="1"/>
  <c r="V21" i="1"/>
  <c r="W21" i="1" s="1"/>
  <c r="S21" i="1"/>
  <c r="R36" i="1"/>
  <c r="S36" i="1" s="1"/>
  <c r="V23" i="1"/>
  <c r="S23" i="1"/>
  <c r="F22" i="2"/>
  <c r="R22" i="2" s="1"/>
  <c r="R16" i="2"/>
  <c r="L22" i="2"/>
  <c r="S22" i="2" s="1"/>
  <c r="S16" i="2"/>
  <c r="T20" i="2"/>
  <c r="V30" i="1"/>
  <c r="W30" i="1" s="1"/>
  <c r="S30" i="1"/>
  <c r="V32" i="1"/>
  <c r="W32" i="1" s="1"/>
  <c r="S32" i="1"/>
  <c r="S24" i="1"/>
  <c r="V24" i="1"/>
  <c r="W24" i="1" s="1"/>
  <c r="O9" i="15"/>
  <c r="O9" i="16" s="1"/>
  <c r="H9" i="15"/>
  <c r="H9" i="16" s="1"/>
  <c r="G9" i="15"/>
  <c r="G9" i="16" s="1"/>
  <c r="P9" i="15"/>
  <c r="P9" i="16" s="1"/>
  <c r="I9" i="15"/>
  <c r="I9" i="16" s="1"/>
  <c r="M9" i="15"/>
  <c r="M9" i="16" s="1"/>
  <c r="J9" i="15"/>
  <c r="J9" i="16" s="1"/>
  <c r="F9" i="15"/>
  <c r="F9" i="16" s="1"/>
  <c r="K9" i="15"/>
  <c r="N9" i="15"/>
  <c r="N9" i="16" s="1"/>
  <c r="L9" i="15"/>
  <c r="L9" i="16" s="1"/>
  <c r="E9" i="15"/>
  <c r="I22" i="15"/>
  <c r="I22" i="16" s="1"/>
  <c r="J22" i="15"/>
  <c r="J22" i="16" s="1"/>
  <c r="E22" i="15"/>
  <c r="K22" i="15"/>
  <c r="P22" i="15"/>
  <c r="P22" i="16" s="1"/>
  <c r="G22" i="15"/>
  <c r="G22" i="16" s="1"/>
  <c r="L22" i="15"/>
  <c r="L22" i="16" s="1"/>
  <c r="O22" i="15"/>
  <c r="O22" i="16" s="1"/>
  <c r="M22" i="15"/>
  <c r="M22" i="16" s="1"/>
  <c r="N22" i="15"/>
  <c r="N22" i="16" s="1"/>
  <c r="H22" i="15"/>
  <c r="H22" i="16" s="1"/>
  <c r="F22" i="15"/>
  <c r="F22" i="16" s="1"/>
  <c r="E13" i="15"/>
  <c r="M13" i="15"/>
  <c r="M13" i="16" s="1"/>
  <c r="F13" i="15"/>
  <c r="F13" i="16" s="1"/>
  <c r="H13" i="15"/>
  <c r="H13" i="16" s="1"/>
  <c r="N13" i="15"/>
  <c r="N13" i="16" s="1"/>
  <c r="I13" i="15"/>
  <c r="I13" i="16" s="1"/>
  <c r="G13" i="15"/>
  <c r="G13" i="16" s="1"/>
  <c r="L13" i="15"/>
  <c r="L13" i="16" s="1"/>
  <c r="J13" i="15"/>
  <c r="J13" i="16" s="1"/>
  <c r="O13" i="15"/>
  <c r="O13" i="16" s="1"/>
  <c r="K13" i="15"/>
  <c r="P13" i="15"/>
  <c r="P13" i="16" s="1"/>
  <c r="H56" i="1"/>
  <c r="H56" i="2" s="1"/>
  <c r="M56" i="1"/>
  <c r="M56" i="2" s="1"/>
  <c r="O56" i="1"/>
  <c r="O56" i="2" s="1"/>
  <c r="P56" i="1"/>
  <c r="P56" i="2" s="1"/>
  <c r="N56" i="1"/>
  <c r="N56" i="2" s="1"/>
  <c r="I56" i="1"/>
  <c r="I56" i="2" s="1"/>
  <c r="G56" i="1"/>
  <c r="G56" i="2" s="1"/>
  <c r="L56" i="1"/>
  <c r="Q56" i="1"/>
  <c r="Q56" i="2" s="1"/>
  <c r="J56" i="1"/>
  <c r="J56" i="2" s="1"/>
  <c r="F56" i="1"/>
  <c r="K56" i="1"/>
  <c r="K56" i="2" s="1"/>
  <c r="N45" i="15"/>
  <c r="N45" i="16" s="1"/>
  <c r="G45" i="15"/>
  <c r="G45" i="16" s="1"/>
  <c r="F45" i="15"/>
  <c r="F45" i="16" s="1"/>
  <c r="O45" i="15"/>
  <c r="O45" i="16" s="1"/>
  <c r="I45" i="15"/>
  <c r="I45" i="16" s="1"/>
  <c r="K45" i="15"/>
  <c r="E45" i="15"/>
  <c r="L45" i="15"/>
  <c r="L45" i="16" s="1"/>
  <c r="H45" i="15"/>
  <c r="H45" i="16" s="1"/>
  <c r="M45" i="15"/>
  <c r="M45" i="16" s="1"/>
  <c r="J45" i="15"/>
  <c r="J45" i="16" s="1"/>
  <c r="P45" i="15"/>
  <c r="P45" i="16" s="1"/>
  <c r="S25" i="1"/>
  <c r="V25" i="1"/>
  <c r="W25" i="1" s="1"/>
  <c r="T30" i="2"/>
  <c r="G36" i="2"/>
  <c r="T32" i="2"/>
  <c r="J21" i="15"/>
  <c r="J21" i="16" s="1"/>
  <c r="O21" i="15"/>
  <c r="O21" i="16" s="1"/>
  <c r="K21" i="15"/>
  <c r="H21" i="15"/>
  <c r="H21" i="16" s="1"/>
  <c r="G21" i="15"/>
  <c r="G21" i="16" s="1"/>
  <c r="L21" i="15"/>
  <c r="L21" i="16" s="1"/>
  <c r="P21" i="15"/>
  <c r="P21" i="16" s="1"/>
  <c r="M21" i="15"/>
  <c r="M21" i="16" s="1"/>
  <c r="I21" i="15"/>
  <c r="I21" i="16" s="1"/>
  <c r="F21" i="15"/>
  <c r="F21" i="16" s="1"/>
  <c r="N21" i="15"/>
  <c r="N21" i="16" s="1"/>
  <c r="E21" i="15"/>
  <c r="S35" i="1"/>
  <c r="V35" i="1"/>
  <c r="W35" i="1" s="1"/>
  <c r="H46" i="15"/>
  <c r="H46" i="16" s="1"/>
  <c r="N46" i="15"/>
  <c r="N46" i="16" s="1"/>
  <c r="P46" i="15"/>
  <c r="P46" i="16" s="1"/>
  <c r="M46" i="15"/>
  <c r="M46" i="16" s="1"/>
  <c r="I46" i="15"/>
  <c r="I46" i="16" s="1"/>
  <c r="O46" i="15"/>
  <c r="O46" i="16" s="1"/>
  <c r="J46" i="15"/>
  <c r="J46" i="16" s="1"/>
  <c r="G46" i="15"/>
  <c r="G46" i="16" s="1"/>
  <c r="K46" i="15"/>
  <c r="L46" i="15"/>
  <c r="L46" i="16" s="1"/>
  <c r="E46" i="15"/>
  <c r="F46" i="15"/>
  <c r="F46" i="16" s="1"/>
  <c r="E31" i="15"/>
  <c r="G31" i="15"/>
  <c r="G31" i="16" s="1"/>
  <c r="O31" i="15"/>
  <c r="O31" i="16" s="1"/>
  <c r="H31" i="15"/>
  <c r="H31" i="16" s="1"/>
  <c r="L31" i="15"/>
  <c r="L31" i="16" s="1"/>
  <c r="P31" i="15"/>
  <c r="P31" i="16" s="1"/>
  <c r="K31" i="15"/>
  <c r="M31" i="15"/>
  <c r="M31" i="16" s="1"/>
  <c r="I31" i="15"/>
  <c r="I31" i="16" s="1"/>
  <c r="F31" i="15"/>
  <c r="F31" i="16" s="1"/>
  <c r="J31" i="15"/>
  <c r="J31" i="16" s="1"/>
  <c r="N31" i="15"/>
  <c r="N31" i="16" s="1"/>
  <c r="L16" i="15"/>
  <c r="M16" i="15"/>
  <c r="K16" i="15"/>
  <c r="F16" i="15"/>
  <c r="N16" i="15"/>
  <c r="I16" i="15"/>
  <c r="G16" i="15"/>
  <c r="J16" i="15"/>
  <c r="O16" i="15"/>
  <c r="P16" i="15"/>
  <c r="E16" i="15"/>
  <c r="H16" i="15"/>
  <c r="K59" i="15"/>
  <c r="I59" i="15"/>
  <c r="O59" i="15"/>
  <c r="E59" i="15"/>
  <c r="H59" i="15"/>
  <c r="L59" i="15"/>
  <c r="J59" i="15"/>
  <c r="M59" i="15"/>
  <c r="P59" i="15"/>
  <c r="F59" i="15"/>
  <c r="N59" i="15"/>
  <c r="G59" i="15"/>
  <c r="N50" i="15"/>
  <c r="N50" i="16" s="1"/>
  <c r="F50" i="15"/>
  <c r="F50" i="16" s="1"/>
  <c r="G50" i="15"/>
  <c r="G50" i="16" s="1"/>
  <c r="O50" i="15"/>
  <c r="O50" i="16" s="1"/>
  <c r="H50" i="15"/>
  <c r="H50" i="16" s="1"/>
  <c r="L50" i="15"/>
  <c r="L50" i="16" s="1"/>
  <c r="P50" i="15"/>
  <c r="P50" i="16" s="1"/>
  <c r="E50" i="15"/>
  <c r="J50" i="15"/>
  <c r="J50" i="16" s="1"/>
  <c r="K50" i="15"/>
  <c r="M50" i="15"/>
  <c r="M50" i="16" s="1"/>
  <c r="I50" i="15"/>
  <c r="I50" i="16" s="1"/>
  <c r="F36" i="2"/>
  <c r="R23" i="2"/>
  <c r="S33" i="1"/>
  <c r="V33" i="1"/>
  <c r="W33" i="1" s="1"/>
  <c r="J36" i="2"/>
  <c r="S26" i="1"/>
  <c r="V26" i="1"/>
  <c r="W26" i="1" s="1"/>
  <c r="R24" i="2"/>
  <c r="T24" i="2" s="1"/>
  <c r="O33" i="15"/>
  <c r="O33" i="16" s="1"/>
  <c r="G33" i="15"/>
  <c r="G33" i="16" s="1"/>
  <c r="H33" i="15"/>
  <c r="H33" i="16" s="1"/>
  <c r="P33" i="15"/>
  <c r="P33" i="16" s="1"/>
  <c r="I33" i="15"/>
  <c r="I33" i="16" s="1"/>
  <c r="F33" i="15"/>
  <c r="F33" i="16" s="1"/>
  <c r="J33" i="15"/>
  <c r="J33" i="16" s="1"/>
  <c r="M33" i="15"/>
  <c r="M33" i="16" s="1"/>
  <c r="N33" i="15"/>
  <c r="N33" i="16" s="1"/>
  <c r="K33" i="15"/>
  <c r="E33" i="15"/>
  <c r="L33" i="15"/>
  <c r="L33" i="16" s="1"/>
  <c r="I11" i="15"/>
  <c r="I11" i="16" s="1"/>
  <c r="J11" i="15"/>
  <c r="J11" i="16" s="1"/>
  <c r="K11" i="15"/>
  <c r="P11" i="15"/>
  <c r="P11" i="16" s="1"/>
  <c r="L11" i="15"/>
  <c r="L11" i="16" s="1"/>
  <c r="G11" i="15"/>
  <c r="G11" i="16" s="1"/>
  <c r="M11" i="15"/>
  <c r="M11" i="16" s="1"/>
  <c r="O11" i="15"/>
  <c r="O11" i="16" s="1"/>
  <c r="E11" i="15"/>
  <c r="N11" i="15"/>
  <c r="N11" i="16" s="1"/>
  <c r="H11" i="15"/>
  <c r="H11" i="16" s="1"/>
  <c r="F11" i="15"/>
  <c r="F11" i="16" s="1"/>
  <c r="O25" i="15"/>
  <c r="O25" i="16" s="1"/>
  <c r="G25" i="15"/>
  <c r="G25" i="16" s="1"/>
  <c r="H25" i="15"/>
  <c r="H25" i="16" s="1"/>
  <c r="P25" i="15"/>
  <c r="P25" i="16" s="1"/>
  <c r="I25" i="15"/>
  <c r="I25" i="16" s="1"/>
  <c r="M25" i="15"/>
  <c r="M25" i="16" s="1"/>
  <c r="F25" i="15"/>
  <c r="F25" i="16" s="1"/>
  <c r="J25" i="15"/>
  <c r="J25" i="16" s="1"/>
  <c r="N25" i="15"/>
  <c r="N25" i="16" s="1"/>
  <c r="K25" i="15"/>
  <c r="E25" i="15"/>
  <c r="L25" i="15"/>
  <c r="L25" i="16" s="1"/>
  <c r="M47" i="15"/>
  <c r="M47" i="16" s="1"/>
  <c r="I47" i="15"/>
  <c r="I47" i="16" s="1"/>
  <c r="F47" i="15"/>
  <c r="F47" i="16" s="1"/>
  <c r="K47" i="15"/>
  <c r="N47" i="15"/>
  <c r="N47" i="16" s="1"/>
  <c r="J47" i="15"/>
  <c r="J47" i="16" s="1"/>
  <c r="G47" i="15"/>
  <c r="G47" i="16" s="1"/>
  <c r="L47" i="15"/>
  <c r="L47" i="16" s="1"/>
  <c r="O47" i="15"/>
  <c r="O47" i="16" s="1"/>
  <c r="H47" i="15"/>
  <c r="H47" i="16" s="1"/>
  <c r="E47" i="15"/>
  <c r="P47" i="15"/>
  <c r="P47" i="16" s="1"/>
  <c r="K7" i="15"/>
  <c r="H7" i="15"/>
  <c r="H7" i="16" s="1"/>
  <c r="O7" i="15"/>
  <c r="O7" i="16" s="1"/>
  <c r="L7" i="15"/>
  <c r="L7" i="16" s="1"/>
  <c r="P7" i="15"/>
  <c r="P7" i="16" s="1"/>
  <c r="E7" i="15"/>
  <c r="I7" i="15"/>
  <c r="I7" i="16" s="1"/>
  <c r="M7" i="15"/>
  <c r="M7" i="16" s="1"/>
  <c r="J7" i="15"/>
  <c r="J7" i="16" s="1"/>
  <c r="F7" i="15"/>
  <c r="F7" i="16" s="1"/>
  <c r="N7" i="15"/>
  <c r="N7" i="16" s="1"/>
  <c r="G7" i="15"/>
  <c r="G7" i="16" s="1"/>
  <c r="V31" i="1"/>
  <c r="W31" i="1" s="1"/>
  <c r="S31" i="1"/>
  <c r="T33" i="2"/>
  <c r="U23" i="1"/>
  <c r="T36" i="1"/>
  <c r="U36" i="1" s="1"/>
  <c r="T26" i="2"/>
  <c r="S27" i="1"/>
  <c r="V27" i="1"/>
  <c r="W27" i="1" s="1"/>
  <c r="H14" i="15"/>
  <c r="H14" i="16" s="1"/>
  <c r="P14" i="15"/>
  <c r="P14" i="16" s="1"/>
  <c r="E14" i="15"/>
  <c r="O14" i="15"/>
  <c r="O14" i="16" s="1"/>
  <c r="I14" i="15"/>
  <c r="I14" i="16" s="1"/>
  <c r="F14" i="15"/>
  <c r="F14" i="16" s="1"/>
  <c r="J14" i="15"/>
  <c r="J14" i="16" s="1"/>
  <c r="N14" i="15"/>
  <c r="N14" i="16" s="1"/>
  <c r="K14" i="15"/>
  <c r="M14" i="15"/>
  <c r="M14" i="16" s="1"/>
  <c r="G14" i="15"/>
  <c r="G14" i="16" s="1"/>
  <c r="L14" i="15"/>
  <c r="L14" i="16" s="1"/>
  <c r="K18" i="15"/>
  <c r="P18" i="15"/>
  <c r="P18" i="16" s="1"/>
  <c r="H18" i="15"/>
  <c r="H18" i="16" s="1"/>
  <c r="L18" i="15"/>
  <c r="L18" i="16" s="1"/>
  <c r="I18" i="15"/>
  <c r="I18" i="16" s="1"/>
  <c r="M18" i="15"/>
  <c r="M18" i="16" s="1"/>
  <c r="E18" i="15"/>
  <c r="F18" i="15"/>
  <c r="F18" i="16" s="1"/>
  <c r="J18" i="15"/>
  <c r="J18" i="16" s="1"/>
  <c r="N18" i="15"/>
  <c r="N18" i="16" s="1"/>
  <c r="G18" i="15"/>
  <c r="G18" i="16" s="1"/>
  <c r="O18" i="15"/>
  <c r="O18" i="16" s="1"/>
  <c r="I43" i="15"/>
  <c r="I43" i="16" s="1"/>
  <c r="P43" i="15"/>
  <c r="P43" i="16" s="1"/>
  <c r="J43" i="15"/>
  <c r="J43" i="16" s="1"/>
  <c r="H43" i="15"/>
  <c r="H43" i="16" s="1"/>
  <c r="K43" i="15"/>
  <c r="E43" i="15"/>
  <c r="L43" i="15"/>
  <c r="L43" i="16" s="1"/>
  <c r="F43" i="15"/>
  <c r="F43" i="16" s="1"/>
  <c r="M43" i="15"/>
  <c r="M43" i="16" s="1"/>
  <c r="N43" i="15"/>
  <c r="N43" i="16" s="1"/>
  <c r="G43" i="15"/>
  <c r="G43" i="16" s="1"/>
  <c r="O43" i="15"/>
  <c r="O43" i="16" s="1"/>
  <c r="N37" i="15"/>
  <c r="N37" i="16" s="1"/>
  <c r="G37" i="15"/>
  <c r="G37" i="16" s="1"/>
  <c r="O37" i="15"/>
  <c r="O37" i="16" s="1"/>
  <c r="I37" i="15"/>
  <c r="I37" i="16" s="1"/>
  <c r="F37" i="15"/>
  <c r="F37" i="16" s="1"/>
  <c r="K37" i="15"/>
  <c r="J37" i="15"/>
  <c r="J37" i="16" s="1"/>
  <c r="L37" i="15"/>
  <c r="L37" i="16" s="1"/>
  <c r="H37" i="15"/>
  <c r="H37" i="16" s="1"/>
  <c r="E37" i="15"/>
  <c r="M37" i="15"/>
  <c r="M37" i="16" s="1"/>
  <c r="P37" i="15"/>
  <c r="P37" i="16" s="1"/>
  <c r="M28" i="15"/>
  <c r="M28" i="16" s="1"/>
  <c r="J28" i="15"/>
  <c r="J28" i="16" s="1"/>
  <c r="F28" i="15"/>
  <c r="F28" i="16" s="1"/>
  <c r="K28" i="15"/>
  <c r="N28" i="15"/>
  <c r="N28" i="16" s="1"/>
  <c r="E28" i="15"/>
  <c r="G28" i="15"/>
  <c r="G28" i="16" s="1"/>
  <c r="L28" i="15"/>
  <c r="L28" i="16" s="1"/>
  <c r="I28" i="15"/>
  <c r="I28" i="16" s="1"/>
  <c r="O28" i="15"/>
  <c r="O28" i="16" s="1"/>
  <c r="H28" i="15"/>
  <c r="H28" i="16" s="1"/>
  <c r="P28" i="15"/>
  <c r="P28" i="16" s="1"/>
  <c r="F36" i="15"/>
  <c r="F36" i="16" s="1"/>
  <c r="K36" i="15"/>
  <c r="J36" i="15"/>
  <c r="J36" i="16" s="1"/>
  <c r="N36" i="15"/>
  <c r="N36" i="16" s="1"/>
  <c r="L36" i="15"/>
  <c r="L36" i="16" s="1"/>
  <c r="G36" i="15"/>
  <c r="G36" i="16" s="1"/>
  <c r="E36" i="15"/>
  <c r="O36" i="15"/>
  <c r="O36" i="16" s="1"/>
  <c r="M36" i="15"/>
  <c r="M36" i="16" s="1"/>
  <c r="H36" i="15"/>
  <c r="H36" i="16" s="1"/>
  <c r="P36" i="15"/>
  <c r="P36" i="16" s="1"/>
  <c r="I36" i="15"/>
  <c r="I36" i="16" s="1"/>
  <c r="L42" i="15"/>
  <c r="L42" i="16" s="1"/>
  <c r="P42" i="15"/>
  <c r="P42" i="16" s="1"/>
  <c r="E42" i="15"/>
  <c r="J42" i="15"/>
  <c r="J42" i="16" s="1"/>
  <c r="H42" i="15"/>
  <c r="H42" i="16" s="1"/>
  <c r="M42" i="15"/>
  <c r="M42" i="16" s="1"/>
  <c r="I42" i="15"/>
  <c r="I42" i="16" s="1"/>
  <c r="F42" i="15"/>
  <c r="F42" i="16" s="1"/>
  <c r="K42" i="15"/>
  <c r="N42" i="15"/>
  <c r="N42" i="16" s="1"/>
  <c r="G42" i="15"/>
  <c r="G42" i="16" s="1"/>
  <c r="O42" i="15"/>
  <c r="O42" i="16" s="1"/>
  <c r="J40" i="15"/>
  <c r="P40" i="15"/>
  <c r="K40" i="15"/>
  <c r="O40" i="15"/>
  <c r="L40" i="15"/>
  <c r="I40" i="15"/>
  <c r="E40" i="15"/>
  <c r="G40" i="15"/>
  <c r="M40" i="15"/>
  <c r="F40" i="15"/>
  <c r="H40" i="15"/>
  <c r="N40" i="15"/>
  <c r="F29" i="15"/>
  <c r="F29" i="16" s="1"/>
  <c r="N29" i="15"/>
  <c r="N29" i="16" s="1"/>
  <c r="M29" i="15"/>
  <c r="M29" i="16" s="1"/>
  <c r="E29" i="15"/>
  <c r="G29" i="15"/>
  <c r="G29" i="16" s="1"/>
  <c r="J29" i="15"/>
  <c r="J29" i="16" s="1"/>
  <c r="H29" i="15"/>
  <c r="H29" i="16" s="1"/>
  <c r="K29" i="15"/>
  <c r="P29" i="15"/>
  <c r="P29" i="16" s="1"/>
  <c r="O29" i="15"/>
  <c r="O29" i="16" s="1"/>
  <c r="L29" i="15"/>
  <c r="L29" i="16" s="1"/>
  <c r="I29" i="15"/>
  <c r="I29" i="16" s="1"/>
  <c r="M36" i="2"/>
  <c r="T31" i="2"/>
  <c r="N36" i="2"/>
  <c r="S28" i="1"/>
  <c r="V28" i="1"/>
  <c r="W28" i="1" s="1"/>
  <c r="T27" i="2"/>
  <c r="H8" i="15"/>
  <c r="H8" i="16" s="1"/>
  <c r="F8" i="15"/>
  <c r="F8" i="16" s="1"/>
  <c r="P8" i="15"/>
  <c r="P8" i="16" s="1"/>
  <c r="N8" i="15"/>
  <c r="N8" i="16" s="1"/>
  <c r="E8" i="15"/>
  <c r="G8" i="15"/>
  <c r="G8" i="16" s="1"/>
  <c r="I8" i="15"/>
  <c r="I8" i="16" s="1"/>
  <c r="O8" i="15"/>
  <c r="O8" i="16" s="1"/>
  <c r="J8" i="15"/>
  <c r="J8" i="16" s="1"/>
  <c r="M8" i="15"/>
  <c r="M8" i="16" s="1"/>
  <c r="K8" i="15"/>
  <c r="L8" i="15"/>
  <c r="L8" i="16" s="1"/>
  <c r="G30" i="15"/>
  <c r="G30" i="16" s="1"/>
  <c r="K30" i="15"/>
  <c r="L30" i="15"/>
  <c r="L30" i="16" s="1"/>
  <c r="O30" i="15"/>
  <c r="O30" i="16" s="1"/>
  <c r="M30" i="15"/>
  <c r="M30" i="16" s="1"/>
  <c r="H30" i="15"/>
  <c r="H30" i="16" s="1"/>
  <c r="N30" i="15"/>
  <c r="N30" i="16" s="1"/>
  <c r="P30" i="15"/>
  <c r="P30" i="16" s="1"/>
  <c r="F30" i="15"/>
  <c r="F30" i="16" s="1"/>
  <c r="I30" i="15"/>
  <c r="I30" i="16" s="1"/>
  <c r="J30" i="15"/>
  <c r="J30" i="16" s="1"/>
  <c r="E30" i="15"/>
  <c r="F10" i="15"/>
  <c r="F10" i="16" s="1"/>
  <c r="M10" i="15"/>
  <c r="M10" i="16" s="1"/>
  <c r="N10" i="15"/>
  <c r="N10" i="16" s="1"/>
  <c r="G10" i="15"/>
  <c r="G10" i="16" s="1"/>
  <c r="O10" i="15"/>
  <c r="O10" i="16" s="1"/>
  <c r="J10" i="15"/>
  <c r="J10" i="16" s="1"/>
  <c r="H10" i="15"/>
  <c r="H10" i="16" s="1"/>
  <c r="K10" i="15"/>
  <c r="P10" i="15"/>
  <c r="P10" i="16" s="1"/>
  <c r="I10" i="15"/>
  <c r="I10" i="16" s="1"/>
  <c r="L10" i="15"/>
  <c r="L10" i="16" s="1"/>
  <c r="E10" i="15"/>
  <c r="V18" i="1"/>
  <c r="W18" i="1" s="1"/>
  <c r="S18" i="1"/>
  <c r="V29" i="1"/>
  <c r="W29" i="1" s="1"/>
  <c r="S29" i="1"/>
  <c r="L36" i="2"/>
  <c r="S23" i="2"/>
  <c r="T28" i="2"/>
  <c r="V34" i="1"/>
  <c r="W34" i="1" s="1"/>
  <c r="S34" i="1"/>
  <c r="S17" i="1"/>
  <c r="V17" i="1"/>
  <c r="W17" i="1" s="1"/>
  <c r="F17" i="15"/>
  <c r="F17" i="16" s="1"/>
  <c r="J17" i="15"/>
  <c r="J17" i="16" s="1"/>
  <c r="N17" i="15"/>
  <c r="N17" i="16" s="1"/>
  <c r="K17" i="15"/>
  <c r="E17" i="15"/>
  <c r="L17" i="15"/>
  <c r="L17" i="16" s="1"/>
  <c r="G17" i="15"/>
  <c r="G17" i="16" s="1"/>
  <c r="M17" i="15"/>
  <c r="M17" i="16" s="1"/>
  <c r="O17" i="15"/>
  <c r="O17" i="16" s="1"/>
  <c r="H17" i="15"/>
  <c r="H17" i="16" s="1"/>
  <c r="P17" i="15"/>
  <c r="P17" i="16" s="1"/>
  <c r="I17" i="15"/>
  <c r="I17" i="16" s="1"/>
  <c r="G12" i="15"/>
  <c r="G12" i="16" s="1"/>
  <c r="K12" i="15"/>
  <c r="O12" i="15"/>
  <c r="O12" i="16" s="1"/>
  <c r="H12" i="15"/>
  <c r="H12" i="16" s="1"/>
  <c r="P12" i="15"/>
  <c r="P12" i="16" s="1"/>
  <c r="L12" i="15"/>
  <c r="L12" i="16" s="1"/>
  <c r="E12" i="15"/>
  <c r="M12" i="15"/>
  <c r="M12" i="16" s="1"/>
  <c r="I12" i="15"/>
  <c r="I12" i="16" s="1"/>
  <c r="N12" i="15"/>
  <c r="N12" i="16" s="1"/>
  <c r="F12" i="15"/>
  <c r="F12" i="16" s="1"/>
  <c r="J12" i="15"/>
  <c r="J12" i="16" s="1"/>
  <c r="E23" i="15"/>
  <c r="G23" i="15"/>
  <c r="G23" i="16" s="1"/>
  <c r="O23" i="15"/>
  <c r="O23" i="16" s="1"/>
  <c r="K23" i="15"/>
  <c r="H23" i="15"/>
  <c r="H23" i="16" s="1"/>
  <c r="L23" i="15"/>
  <c r="L23" i="16" s="1"/>
  <c r="P23" i="15"/>
  <c r="P23" i="16" s="1"/>
  <c r="M23" i="15"/>
  <c r="M23" i="16" s="1"/>
  <c r="I23" i="15"/>
  <c r="I23" i="16" s="1"/>
  <c r="F23" i="15"/>
  <c r="F23" i="16" s="1"/>
  <c r="J23" i="15"/>
  <c r="J23" i="16" s="1"/>
  <c r="N23" i="15"/>
  <c r="N23" i="16" s="1"/>
  <c r="G41" i="15"/>
  <c r="G41" i="16" s="1"/>
  <c r="M41" i="15"/>
  <c r="M41" i="16" s="1"/>
  <c r="K41" i="15"/>
  <c r="O41" i="15"/>
  <c r="O41" i="16" s="1"/>
  <c r="F41" i="15"/>
  <c r="F41" i="16" s="1"/>
  <c r="H41" i="15"/>
  <c r="H41" i="16" s="1"/>
  <c r="L41" i="15"/>
  <c r="L41" i="16" s="1"/>
  <c r="P41" i="15"/>
  <c r="P41" i="16" s="1"/>
  <c r="N41" i="15"/>
  <c r="N41" i="16" s="1"/>
  <c r="E41" i="15"/>
  <c r="I41" i="15"/>
  <c r="I41" i="16" s="1"/>
  <c r="J41" i="15"/>
  <c r="J41" i="16" s="1"/>
  <c r="J48" i="15"/>
  <c r="J48" i="16" s="1"/>
  <c r="P48" i="15"/>
  <c r="P48" i="16" s="1"/>
  <c r="H48" i="15"/>
  <c r="H48" i="16" s="1"/>
  <c r="K48" i="15"/>
  <c r="G48" i="15"/>
  <c r="G48" i="16" s="1"/>
  <c r="L48" i="15"/>
  <c r="L48" i="16" s="1"/>
  <c r="I48" i="15"/>
  <c r="I48" i="16" s="1"/>
  <c r="E48" i="15"/>
  <c r="O48" i="15"/>
  <c r="O48" i="16" s="1"/>
  <c r="M48" i="15"/>
  <c r="M48" i="16" s="1"/>
  <c r="F48" i="15"/>
  <c r="F48" i="16" s="1"/>
  <c r="N48" i="15"/>
  <c r="N48" i="16" s="1"/>
  <c r="K38" i="15"/>
  <c r="M38" i="15"/>
  <c r="M38" i="16" s="1"/>
  <c r="L38" i="15"/>
  <c r="L38" i="16" s="1"/>
  <c r="E38" i="15"/>
  <c r="H38" i="15"/>
  <c r="H38" i="16" s="1"/>
  <c r="F38" i="15"/>
  <c r="F38" i="16" s="1"/>
  <c r="P38" i="15"/>
  <c r="P38" i="16" s="1"/>
  <c r="N38" i="15"/>
  <c r="N38" i="16" s="1"/>
  <c r="O38" i="15"/>
  <c r="O38" i="16" s="1"/>
  <c r="I38" i="15"/>
  <c r="I38" i="16" s="1"/>
  <c r="G38" i="15"/>
  <c r="G38" i="16" s="1"/>
  <c r="J38" i="15"/>
  <c r="J38" i="16" s="1"/>
  <c r="H44" i="15"/>
  <c r="H44" i="16" s="1"/>
  <c r="O44" i="15"/>
  <c r="O44" i="16" s="1"/>
  <c r="P44" i="15"/>
  <c r="P44" i="16" s="1"/>
  <c r="I44" i="15"/>
  <c r="I44" i="16" s="1"/>
  <c r="J44" i="15"/>
  <c r="J44" i="16" s="1"/>
  <c r="F44" i="15"/>
  <c r="F44" i="16" s="1"/>
  <c r="L44" i="15"/>
  <c r="L44" i="16" s="1"/>
  <c r="N44" i="15"/>
  <c r="N44" i="16" s="1"/>
  <c r="E44" i="15"/>
  <c r="M44" i="15"/>
  <c r="M44" i="16" s="1"/>
  <c r="G44" i="15"/>
  <c r="G44" i="16" s="1"/>
  <c r="K44" i="15"/>
  <c r="U16" i="1"/>
  <c r="T22" i="1"/>
  <c r="U22" i="1" s="1"/>
  <c r="T29" i="2"/>
  <c r="S19" i="1"/>
  <c r="V19" i="1"/>
  <c r="W19" i="1" s="1"/>
  <c r="T34" i="2"/>
  <c r="D55" i="15"/>
  <c r="D35" i="15"/>
  <c r="D6" i="15"/>
  <c r="D34" i="15"/>
  <c r="H25" i="26" l="1"/>
  <c r="J25" i="26"/>
  <c r="O72" i="15"/>
  <c r="E19" i="16"/>
  <c r="Q19" i="16" s="1"/>
  <c r="Q19" i="15"/>
  <c r="R19" i="15" s="1"/>
  <c r="E60" i="16"/>
  <c r="Q60" i="16" s="1"/>
  <c r="S60" i="16" s="1"/>
  <c r="Q60" i="15"/>
  <c r="R60" i="15" s="1"/>
  <c r="N40" i="16"/>
  <c r="N73" i="15"/>
  <c r="O40" i="16"/>
  <c r="O73" i="15"/>
  <c r="E50" i="16"/>
  <c r="Q50" i="15"/>
  <c r="R50" i="15" s="1"/>
  <c r="E59" i="16"/>
  <c r="Q59" i="16" s="1"/>
  <c r="S59" i="16" s="1"/>
  <c r="Q59" i="15"/>
  <c r="R59" i="15" s="1"/>
  <c r="E45" i="16"/>
  <c r="Q45" i="16" s="1"/>
  <c r="Q45" i="15"/>
  <c r="R45" i="15" s="1"/>
  <c r="E22" i="16"/>
  <c r="Q22" i="16" s="1"/>
  <c r="Q22" i="15"/>
  <c r="R22" i="15" s="1"/>
  <c r="E48" i="16"/>
  <c r="Q48" i="15"/>
  <c r="R48" i="15" s="1"/>
  <c r="E41" i="16"/>
  <c r="Q41" i="16" s="1"/>
  <c r="Q41" i="15"/>
  <c r="R41" i="15" s="1"/>
  <c r="E8" i="16"/>
  <c r="Q8" i="16" s="1"/>
  <c r="Q8" i="15"/>
  <c r="R8" i="15" s="1"/>
  <c r="E25" i="16"/>
  <c r="Q25" i="16" s="1"/>
  <c r="Q25" i="15"/>
  <c r="R25" i="15" s="1"/>
  <c r="E33" i="16"/>
  <c r="G25" i="26" s="1"/>
  <c r="Q33" i="15"/>
  <c r="R33" i="15" s="1"/>
  <c r="E49" i="16"/>
  <c r="Q49" i="16" s="1"/>
  <c r="Q49" i="15"/>
  <c r="R49" i="15" s="1"/>
  <c r="E17" i="16"/>
  <c r="Q17" i="16" s="1"/>
  <c r="Q17" i="15"/>
  <c r="R17" i="15" s="1"/>
  <c r="E10" i="16"/>
  <c r="Q10" i="16" s="1"/>
  <c r="Q10" i="15"/>
  <c r="R10" i="15" s="1"/>
  <c r="P40" i="16"/>
  <c r="P73" i="15"/>
  <c r="E28" i="16"/>
  <c r="Q28" i="16" s="1"/>
  <c r="Q28" i="15"/>
  <c r="R28" i="15" s="1"/>
  <c r="E37" i="16"/>
  <c r="Q37" i="16" s="1"/>
  <c r="Q37" i="15"/>
  <c r="R37" i="15" s="1"/>
  <c r="E43" i="16"/>
  <c r="Q43" i="16" s="1"/>
  <c r="Q43" i="15"/>
  <c r="R43" i="15" s="1"/>
  <c r="E21" i="16"/>
  <c r="Q21" i="15"/>
  <c r="R21" i="15" s="1"/>
  <c r="E39" i="16"/>
  <c r="Q39" i="16" s="1"/>
  <c r="Q39" i="15"/>
  <c r="R39" i="15" s="1"/>
  <c r="E11" i="16"/>
  <c r="Q11" i="16" s="1"/>
  <c r="Q11" i="15"/>
  <c r="R11" i="15" s="1"/>
  <c r="N72" i="15"/>
  <c r="E31" i="16"/>
  <c r="Q31" i="16" s="1"/>
  <c r="Q31" i="15"/>
  <c r="R31" i="15" s="1"/>
  <c r="E9" i="16"/>
  <c r="Q9" i="16" s="1"/>
  <c r="Q9" i="15"/>
  <c r="R9" i="15" s="1"/>
  <c r="E12" i="16"/>
  <c r="Q12" i="16" s="1"/>
  <c r="Q12" i="15"/>
  <c r="R12" i="15" s="1"/>
  <c r="E29" i="16"/>
  <c r="Q29" i="16" s="1"/>
  <c r="Q29" i="15"/>
  <c r="R29" i="15" s="1"/>
  <c r="E38" i="16"/>
  <c r="Q38" i="16" s="1"/>
  <c r="Q38" i="15"/>
  <c r="R38" i="15" s="1"/>
  <c r="Q40" i="15"/>
  <c r="R40" i="15" s="1"/>
  <c r="E42" i="16"/>
  <c r="Q42" i="16" s="1"/>
  <c r="Q42" i="15"/>
  <c r="R42" i="15" s="1"/>
  <c r="E36" i="16"/>
  <c r="Q36" i="16" s="1"/>
  <c r="Q36" i="15"/>
  <c r="R36" i="15" s="1"/>
  <c r="E18" i="16"/>
  <c r="Q18" i="16" s="1"/>
  <c r="Q18" i="15"/>
  <c r="R18" i="15" s="1"/>
  <c r="E14" i="16"/>
  <c r="Q14" i="15"/>
  <c r="R14" i="15" s="1"/>
  <c r="E47" i="16"/>
  <c r="Q47" i="16" s="1"/>
  <c r="Q47" i="15"/>
  <c r="R47" i="15" s="1"/>
  <c r="Q16" i="15"/>
  <c r="R16" i="15" s="1"/>
  <c r="E46" i="16"/>
  <c r="Q46" i="16" s="1"/>
  <c r="Q46" i="15"/>
  <c r="R46" i="15" s="1"/>
  <c r="E44" i="16"/>
  <c r="Q44" i="16" s="1"/>
  <c r="Q44" i="15"/>
  <c r="R44" i="15" s="1"/>
  <c r="E23" i="16"/>
  <c r="Q23" i="16" s="1"/>
  <c r="Q23" i="15"/>
  <c r="R23" i="15" s="1"/>
  <c r="E30" i="16"/>
  <c r="Q30" i="16" s="1"/>
  <c r="Q30" i="15"/>
  <c r="R30" i="15" s="1"/>
  <c r="E7" i="16"/>
  <c r="Q7" i="16" s="1"/>
  <c r="Q7" i="15"/>
  <c r="R7" i="15" s="1"/>
  <c r="P72" i="15"/>
  <c r="E13" i="16"/>
  <c r="Q13" i="16" s="1"/>
  <c r="Q13" i="15"/>
  <c r="R13" i="15" s="1"/>
  <c r="N25" i="26"/>
  <c r="O25" i="26"/>
  <c r="R25" i="26"/>
  <c r="I25" i="26"/>
  <c r="K12" i="16"/>
  <c r="R12" i="16" s="1"/>
  <c r="S12" i="15"/>
  <c r="X18" i="1"/>
  <c r="Y18" i="1"/>
  <c r="Y28" i="1"/>
  <c r="X28" i="1"/>
  <c r="L40" i="16"/>
  <c r="L73" i="15"/>
  <c r="K42" i="16"/>
  <c r="R42" i="16" s="1"/>
  <c r="S42" i="15"/>
  <c r="K14" i="16"/>
  <c r="R14" i="16" s="1"/>
  <c r="S14" i="15"/>
  <c r="Y31" i="1"/>
  <c r="X31" i="1"/>
  <c r="K11" i="16"/>
  <c r="R11" i="16" s="1"/>
  <c r="S11" i="15"/>
  <c r="L25" i="26"/>
  <c r="X26" i="1"/>
  <c r="Y26" i="1"/>
  <c r="E16" i="16"/>
  <c r="E34" i="15"/>
  <c r="E72" i="15"/>
  <c r="K16" i="16"/>
  <c r="K34" i="15"/>
  <c r="K72" i="15"/>
  <c r="S16" i="15"/>
  <c r="K31" i="16"/>
  <c r="R31" i="16" s="1"/>
  <c r="S31" i="15"/>
  <c r="K13" i="16"/>
  <c r="R13" i="16" s="1"/>
  <c r="S13" i="15"/>
  <c r="X30" i="1"/>
  <c r="Y30" i="1"/>
  <c r="K47" i="16"/>
  <c r="R47" i="16" s="1"/>
  <c r="S47" i="15"/>
  <c r="F16" i="16"/>
  <c r="F34" i="16" s="1"/>
  <c r="F34" i="15"/>
  <c r="F72" i="15"/>
  <c r="K19" i="16"/>
  <c r="R19" i="16" s="1"/>
  <c r="S19" i="15"/>
  <c r="K38" i="16"/>
  <c r="R38" i="16" s="1"/>
  <c r="S38" i="15"/>
  <c r="X34" i="1"/>
  <c r="Y34" i="1"/>
  <c r="K30" i="16"/>
  <c r="R30" i="16" s="1"/>
  <c r="S30" i="15"/>
  <c r="K29" i="16"/>
  <c r="R29" i="16" s="1"/>
  <c r="S29" i="15"/>
  <c r="X27" i="1"/>
  <c r="Y27" i="1"/>
  <c r="K50" i="16"/>
  <c r="R50" i="16" s="1"/>
  <c r="S50" i="15"/>
  <c r="P16" i="16"/>
  <c r="P34" i="16" s="1"/>
  <c r="P34" i="15"/>
  <c r="M34" i="15"/>
  <c r="M16" i="16"/>
  <c r="M34" i="16" s="1"/>
  <c r="M72" i="15"/>
  <c r="W23" i="1"/>
  <c r="V36" i="1"/>
  <c r="W36" i="1" s="1"/>
  <c r="H16" i="16"/>
  <c r="H34" i="16" s="1"/>
  <c r="H34" i="15"/>
  <c r="H72" i="15"/>
  <c r="K44" i="16"/>
  <c r="R44" i="16" s="1"/>
  <c r="S44" i="15"/>
  <c r="K48" i="16"/>
  <c r="R48" i="16" s="1"/>
  <c r="S48" i="15"/>
  <c r="K23" i="16"/>
  <c r="R23" i="16" s="1"/>
  <c r="S23" i="15"/>
  <c r="K17" i="16"/>
  <c r="R17" i="16" s="1"/>
  <c r="S17" i="15"/>
  <c r="H40" i="16"/>
  <c r="H73" i="15"/>
  <c r="K40" i="16"/>
  <c r="K73" i="15"/>
  <c r="S40" i="15"/>
  <c r="K25" i="26"/>
  <c r="O16" i="16"/>
  <c r="O34" i="16" s="1"/>
  <c r="O34" i="15"/>
  <c r="L16" i="16"/>
  <c r="L34" i="16" s="1"/>
  <c r="L34" i="15"/>
  <c r="L72" i="15"/>
  <c r="K46" i="16"/>
  <c r="R46" i="16" s="1"/>
  <c r="S46" i="15"/>
  <c r="K9" i="16"/>
  <c r="R9" i="16" s="1"/>
  <c r="S9" i="15"/>
  <c r="K49" i="16"/>
  <c r="R49" i="16" s="1"/>
  <c r="S49" i="15"/>
  <c r="Y20" i="1"/>
  <c r="X20" i="1"/>
  <c r="K41" i="16"/>
  <c r="R41" i="16" s="1"/>
  <c r="S41" i="15"/>
  <c r="L56" i="2"/>
  <c r="S56" i="2" s="1"/>
  <c r="T56" i="1"/>
  <c r="U56" i="1" s="1"/>
  <c r="F40" i="16"/>
  <c r="F73" i="15"/>
  <c r="K36" i="16"/>
  <c r="R36" i="16" s="1"/>
  <c r="S36" i="15"/>
  <c r="Y33" i="1"/>
  <c r="X33" i="1"/>
  <c r="Q50" i="16"/>
  <c r="J16" i="16"/>
  <c r="J34" i="16" s="1"/>
  <c r="J34" i="15"/>
  <c r="J72" i="15"/>
  <c r="Y35" i="1"/>
  <c r="X35" i="1"/>
  <c r="K22" i="16"/>
  <c r="S22" i="15"/>
  <c r="Y24" i="1"/>
  <c r="X24" i="1"/>
  <c r="T22" i="2"/>
  <c r="K39" i="16"/>
  <c r="R39" i="16" s="1"/>
  <c r="S39" i="15"/>
  <c r="K10" i="16"/>
  <c r="R10" i="16" s="1"/>
  <c r="S10" i="15"/>
  <c r="G6" i="15"/>
  <c r="L6" i="15"/>
  <c r="O6" i="15"/>
  <c r="M6" i="15"/>
  <c r="N6" i="15"/>
  <c r="H6" i="15"/>
  <c r="P6" i="15"/>
  <c r="K6" i="15"/>
  <c r="E6" i="15"/>
  <c r="I6" i="15"/>
  <c r="F6" i="15"/>
  <c r="J6" i="15"/>
  <c r="J35" i="15"/>
  <c r="H35" i="15"/>
  <c r="K35" i="15"/>
  <c r="P35" i="15"/>
  <c r="N35" i="15"/>
  <c r="L35" i="15"/>
  <c r="E35" i="15"/>
  <c r="M35" i="15"/>
  <c r="O35" i="15"/>
  <c r="F35" i="15"/>
  <c r="G35" i="15"/>
  <c r="I35" i="15"/>
  <c r="X19" i="1"/>
  <c r="Y19" i="1"/>
  <c r="S36" i="2"/>
  <c r="K8" i="16"/>
  <c r="R8" i="16" s="1"/>
  <c r="S8" i="15"/>
  <c r="M40" i="16"/>
  <c r="M73" i="15"/>
  <c r="J40" i="16"/>
  <c r="J73" i="15"/>
  <c r="K43" i="16"/>
  <c r="R43" i="16" s="1"/>
  <c r="S43" i="15"/>
  <c r="K18" i="16"/>
  <c r="R18" i="16" s="1"/>
  <c r="S18" i="15"/>
  <c r="Q33" i="16"/>
  <c r="G16" i="16"/>
  <c r="G34" i="16" s="1"/>
  <c r="G34" i="15"/>
  <c r="G72" i="15"/>
  <c r="F56" i="2"/>
  <c r="R56" i="2" s="1"/>
  <c r="R56" i="1"/>
  <c r="Y21" i="1"/>
  <c r="X21" i="1"/>
  <c r="K37" i="16"/>
  <c r="R37" i="16" s="1"/>
  <c r="S37" i="15"/>
  <c r="G40" i="16"/>
  <c r="G73" i="15"/>
  <c r="K28" i="16"/>
  <c r="R28" i="16" s="1"/>
  <c r="S28" i="15"/>
  <c r="K25" i="16"/>
  <c r="R25" i="16" s="1"/>
  <c r="S25" i="15"/>
  <c r="K33" i="16"/>
  <c r="S33" i="15"/>
  <c r="T23" i="2"/>
  <c r="I34" i="15"/>
  <c r="I16" i="16"/>
  <c r="I34" i="16" s="1"/>
  <c r="I72" i="15"/>
  <c r="Q21" i="16"/>
  <c r="Y25" i="1"/>
  <c r="X25" i="1"/>
  <c r="K45" i="16"/>
  <c r="R45" i="16" s="1"/>
  <c r="S45" i="15"/>
  <c r="I40" i="16"/>
  <c r="I73" i="15"/>
  <c r="O55" i="15"/>
  <c r="L55" i="15"/>
  <c r="G55" i="15"/>
  <c r="H55" i="15"/>
  <c r="F55" i="15"/>
  <c r="I55" i="15"/>
  <c r="E55" i="15"/>
  <c r="P55" i="15"/>
  <c r="N55" i="15"/>
  <c r="J55" i="15"/>
  <c r="M55" i="15"/>
  <c r="K55" i="15"/>
  <c r="Q48" i="16"/>
  <c r="S48" i="16" s="1"/>
  <c r="X17" i="1"/>
  <c r="Y17" i="1"/>
  <c r="X29" i="1"/>
  <c r="Y29" i="1"/>
  <c r="E40" i="16"/>
  <c r="E73" i="15"/>
  <c r="Q14" i="16"/>
  <c r="K7" i="16"/>
  <c r="R7" i="16" s="1"/>
  <c r="S7" i="15"/>
  <c r="P25" i="26"/>
  <c r="Q25" i="26"/>
  <c r="R36" i="2"/>
  <c r="S59" i="15"/>
  <c r="N16" i="16"/>
  <c r="N34" i="16" s="1"/>
  <c r="N34" i="15"/>
  <c r="K21" i="16"/>
  <c r="R21" i="16" s="1"/>
  <c r="S21" i="15"/>
  <c r="Y32" i="1"/>
  <c r="X32" i="1"/>
  <c r="T16" i="2"/>
  <c r="S60" i="15"/>
  <c r="E24" i="20"/>
  <c r="F25" i="26"/>
  <c r="D54" i="15"/>
  <c r="E25" i="20"/>
  <c r="D15" i="15"/>
  <c r="E26" i="20"/>
  <c r="D61" i="15"/>
  <c r="S36" i="16" l="1"/>
  <c r="P74" i="15"/>
  <c r="P75" i="15" s="1"/>
  <c r="Q6" i="15"/>
  <c r="R6" i="15" s="1"/>
  <c r="S12" i="16"/>
  <c r="O74" i="15"/>
  <c r="O75" i="15" s="1"/>
  <c r="S29" i="16"/>
  <c r="S31" i="16"/>
  <c r="S19" i="16"/>
  <c r="N74" i="15"/>
  <c r="N75" i="15" s="1"/>
  <c r="S42" i="16"/>
  <c r="S44" i="16"/>
  <c r="Q35" i="15"/>
  <c r="R35" i="15" s="1"/>
  <c r="N55" i="16"/>
  <c r="N76" i="15"/>
  <c r="O55" i="16"/>
  <c r="O76" i="15"/>
  <c r="S23" i="16"/>
  <c r="P55" i="16"/>
  <c r="P76" i="15"/>
  <c r="Q55" i="15"/>
  <c r="R55" i="15" s="1"/>
  <c r="Q34" i="15"/>
  <c r="R34" i="15" s="1"/>
  <c r="S14" i="16"/>
  <c r="S38" i="16"/>
  <c r="S49" i="16"/>
  <c r="Z24" i="1"/>
  <c r="AA24" i="1" s="1"/>
  <c r="S11" i="16"/>
  <c r="Z33" i="1"/>
  <c r="AA33" i="1" s="1"/>
  <c r="L74" i="15"/>
  <c r="L75" i="15" s="1"/>
  <c r="S9" i="16"/>
  <c r="Z25" i="1"/>
  <c r="AA25" i="1" s="1"/>
  <c r="S50" i="16"/>
  <c r="S30" i="16"/>
  <c r="Z26" i="1"/>
  <c r="AA26" i="1" s="1"/>
  <c r="Z18" i="1"/>
  <c r="AA18" i="1" s="1"/>
  <c r="S45" i="16"/>
  <c r="J74" i="15"/>
  <c r="J75" i="15" s="1"/>
  <c r="S10" i="16"/>
  <c r="Z29" i="1"/>
  <c r="AA29" i="1" s="1"/>
  <c r="Z21" i="1"/>
  <c r="AA21" i="1" s="1"/>
  <c r="S47" i="16"/>
  <c r="Z31" i="1"/>
  <c r="AA31" i="1" s="1"/>
  <c r="Z28" i="1"/>
  <c r="AA28" i="1" s="1"/>
  <c r="M74" i="15"/>
  <c r="M75" i="15" s="1"/>
  <c r="S17" i="16"/>
  <c r="S37" i="16"/>
  <c r="T25" i="15"/>
  <c r="U25" i="15"/>
  <c r="V25" i="15" s="1"/>
  <c r="T37" i="15"/>
  <c r="U37" i="15"/>
  <c r="V37" i="15" s="1"/>
  <c r="G74" i="15"/>
  <c r="G75" i="15" s="1"/>
  <c r="T43" i="15"/>
  <c r="U43" i="15"/>
  <c r="V43" i="15" s="1"/>
  <c r="T36" i="2"/>
  <c r="M35" i="16"/>
  <c r="M54" i="16" s="1"/>
  <c r="M65" i="16" s="1"/>
  <c r="M54" i="15"/>
  <c r="J6" i="16"/>
  <c r="J15" i="16" s="1"/>
  <c r="J63" i="16" s="1"/>
  <c r="J15" i="15"/>
  <c r="M6" i="16"/>
  <c r="M15" i="16" s="1"/>
  <c r="M63" i="16" s="1"/>
  <c r="M15" i="15"/>
  <c r="S28" i="16"/>
  <c r="S8" i="16"/>
  <c r="Z27" i="1"/>
  <c r="AA27" i="1" s="1"/>
  <c r="T47" i="15"/>
  <c r="U47" i="15"/>
  <c r="V47" i="15" s="1"/>
  <c r="S46" i="16"/>
  <c r="R33" i="16"/>
  <c r="S33" i="16" s="1"/>
  <c r="M25" i="26"/>
  <c r="S25" i="26" s="1"/>
  <c r="J35" i="16"/>
  <c r="J54" i="16" s="1"/>
  <c r="J65" i="16" s="1"/>
  <c r="J54" i="15"/>
  <c r="T44" i="15"/>
  <c r="U44" i="15"/>
  <c r="V44" i="15" s="1"/>
  <c r="E74" i="15"/>
  <c r="E75" i="15" s="1"/>
  <c r="T60" i="15"/>
  <c r="U60" i="15"/>
  <c r="V60" i="15" s="1"/>
  <c r="S18" i="16"/>
  <c r="Z17" i="1"/>
  <c r="AA17" i="1" s="1"/>
  <c r="E55" i="16"/>
  <c r="E76" i="15"/>
  <c r="S21" i="16"/>
  <c r="E35" i="16"/>
  <c r="E54" i="15"/>
  <c r="F15" i="15"/>
  <c r="F6" i="16"/>
  <c r="F15" i="16" s="1"/>
  <c r="F63" i="16" s="1"/>
  <c r="O6" i="16"/>
  <c r="O15" i="16" s="1"/>
  <c r="O63" i="16" s="1"/>
  <c r="O15" i="15"/>
  <c r="O68" i="15" s="1"/>
  <c r="T36" i="15"/>
  <c r="U36" i="15"/>
  <c r="V36" i="15" s="1"/>
  <c r="T41" i="15"/>
  <c r="U41" i="15"/>
  <c r="V41" i="15" s="1"/>
  <c r="S13" i="16"/>
  <c r="T17" i="15"/>
  <c r="U17" i="15"/>
  <c r="V17" i="15" s="1"/>
  <c r="H74" i="15"/>
  <c r="H75" i="15" s="1"/>
  <c r="T29" i="15"/>
  <c r="U29" i="15"/>
  <c r="V29" i="15" s="1"/>
  <c r="T38" i="15"/>
  <c r="U38" i="15"/>
  <c r="V38" i="15" s="1"/>
  <c r="T31" i="15"/>
  <c r="U31" i="15"/>
  <c r="V31" i="15" s="1"/>
  <c r="E34" i="16"/>
  <c r="Q34" i="16" s="1"/>
  <c r="Q16" i="16"/>
  <c r="T9" i="15"/>
  <c r="U9" i="15"/>
  <c r="V9" i="15" s="1"/>
  <c r="T59" i="15"/>
  <c r="U59" i="15"/>
  <c r="V59" i="15" s="1"/>
  <c r="I55" i="16"/>
  <c r="I76" i="15"/>
  <c r="I74" i="15"/>
  <c r="I75" i="15" s="1"/>
  <c r="T28" i="15"/>
  <c r="U28" i="15"/>
  <c r="V28" i="15" s="1"/>
  <c r="L54" i="15"/>
  <c r="L35" i="16"/>
  <c r="L54" i="16" s="1"/>
  <c r="L65" i="16" s="1"/>
  <c r="I6" i="16"/>
  <c r="I15" i="16" s="1"/>
  <c r="I63" i="16" s="1"/>
  <c r="I15" i="15"/>
  <c r="L6" i="16"/>
  <c r="L15" i="16" s="1"/>
  <c r="L63" i="16" s="1"/>
  <c r="L15" i="15"/>
  <c r="T46" i="15"/>
  <c r="U46" i="15"/>
  <c r="V46" i="15" s="1"/>
  <c r="T14" i="15"/>
  <c r="U14" i="15"/>
  <c r="V14" i="15" s="1"/>
  <c r="O35" i="16"/>
  <c r="O54" i="16" s="1"/>
  <c r="O65" i="16" s="1"/>
  <c r="O54" i="15"/>
  <c r="T39" i="15"/>
  <c r="U39" i="15"/>
  <c r="V39" i="15" s="1"/>
  <c r="Z32" i="1"/>
  <c r="AA32" i="1" s="1"/>
  <c r="F55" i="16"/>
  <c r="F76" i="15"/>
  <c r="Z19" i="1"/>
  <c r="AA19" i="1" s="1"/>
  <c r="N35" i="16"/>
  <c r="N54" i="16" s="1"/>
  <c r="N65" i="16" s="1"/>
  <c r="N54" i="15"/>
  <c r="E15" i="15"/>
  <c r="E6" i="16"/>
  <c r="G15" i="15"/>
  <c r="G6" i="16"/>
  <c r="G15" i="16" s="1"/>
  <c r="G63" i="16" s="1"/>
  <c r="Z20" i="1"/>
  <c r="AA20" i="1" s="1"/>
  <c r="T40" i="15"/>
  <c r="U40" i="15"/>
  <c r="V40" i="15" s="1"/>
  <c r="T23" i="15"/>
  <c r="U23" i="15"/>
  <c r="V23" i="15" s="1"/>
  <c r="T30" i="15"/>
  <c r="U30" i="15"/>
  <c r="V30" i="15" s="1"/>
  <c r="T19" i="15"/>
  <c r="U19" i="15"/>
  <c r="V19" i="15" s="1"/>
  <c r="S39" i="16"/>
  <c r="T16" i="15"/>
  <c r="U16" i="15"/>
  <c r="V16" i="15" s="1"/>
  <c r="P35" i="16"/>
  <c r="P54" i="16" s="1"/>
  <c r="P65" i="16" s="1"/>
  <c r="P54" i="15"/>
  <c r="K55" i="16"/>
  <c r="K76" i="15"/>
  <c r="S55" i="15"/>
  <c r="I35" i="16"/>
  <c r="I54" i="16" s="1"/>
  <c r="I65" i="16" s="1"/>
  <c r="I54" i="15"/>
  <c r="K15" i="15"/>
  <c r="K6" i="16"/>
  <c r="S6" i="15"/>
  <c r="T22" i="15"/>
  <c r="U22" i="15"/>
  <c r="V22" i="15" s="1"/>
  <c r="K74" i="15"/>
  <c r="K75" i="15" s="1"/>
  <c r="T12" i="15"/>
  <c r="U12" i="15"/>
  <c r="V12" i="15" s="1"/>
  <c r="T21" i="15"/>
  <c r="U21" i="15"/>
  <c r="V21" i="15" s="1"/>
  <c r="Q40" i="16"/>
  <c r="M55" i="16"/>
  <c r="M76" i="15"/>
  <c r="G55" i="16"/>
  <c r="G76" i="15"/>
  <c r="T45" i="15"/>
  <c r="U45" i="15"/>
  <c r="V45" i="15" s="1"/>
  <c r="S56" i="1"/>
  <c r="V56" i="1"/>
  <c r="W56" i="1" s="1"/>
  <c r="S25" i="16"/>
  <c r="G35" i="16"/>
  <c r="G54" i="16" s="1"/>
  <c r="G65" i="16" s="1"/>
  <c r="G54" i="15"/>
  <c r="K35" i="16"/>
  <c r="K54" i="15"/>
  <c r="S35" i="15"/>
  <c r="P6" i="16"/>
  <c r="P15" i="16" s="1"/>
  <c r="P63" i="16" s="1"/>
  <c r="P15" i="15"/>
  <c r="P68" i="15" s="1"/>
  <c r="T10" i="15"/>
  <c r="U10" i="15"/>
  <c r="V10" i="15" s="1"/>
  <c r="K34" i="16"/>
  <c r="R34" i="16" s="1"/>
  <c r="R22" i="16"/>
  <c r="S22" i="16" s="1"/>
  <c r="T49" i="15"/>
  <c r="U49" i="15"/>
  <c r="V49" i="15" s="1"/>
  <c r="R40" i="16"/>
  <c r="T48" i="15"/>
  <c r="U48" i="15"/>
  <c r="V48" i="15" s="1"/>
  <c r="Y36" i="1"/>
  <c r="X36" i="1"/>
  <c r="F74" i="15"/>
  <c r="F75" i="15" s="1"/>
  <c r="Z30" i="1"/>
  <c r="AA30" i="1" s="1"/>
  <c r="S34" i="15"/>
  <c r="T11" i="15"/>
  <c r="U11" i="15"/>
  <c r="V11" i="15" s="1"/>
  <c r="H55" i="16"/>
  <c r="H76" i="15"/>
  <c r="T50" i="15"/>
  <c r="U50" i="15"/>
  <c r="V50" i="15" s="1"/>
  <c r="T42" i="15"/>
  <c r="U42" i="15"/>
  <c r="V42" i="15" s="1"/>
  <c r="T7" i="15"/>
  <c r="U7" i="15"/>
  <c r="V7" i="15" s="1"/>
  <c r="J55" i="16"/>
  <c r="J76" i="15"/>
  <c r="L55" i="16"/>
  <c r="L76" i="15"/>
  <c r="T33" i="15"/>
  <c r="U33" i="15"/>
  <c r="V33" i="15" s="1"/>
  <c r="T56" i="2"/>
  <c r="T18" i="15"/>
  <c r="U18" i="15"/>
  <c r="V18" i="15" s="1"/>
  <c r="T8" i="15"/>
  <c r="U8" i="15"/>
  <c r="V8" i="15" s="1"/>
  <c r="F35" i="16"/>
  <c r="F54" i="16" s="1"/>
  <c r="F65" i="16" s="1"/>
  <c r="F54" i="15"/>
  <c r="H35" i="16"/>
  <c r="H54" i="16" s="1"/>
  <c r="H65" i="16" s="1"/>
  <c r="H54" i="15"/>
  <c r="H15" i="15"/>
  <c r="H6" i="16"/>
  <c r="H15" i="16" s="1"/>
  <c r="H63" i="16" s="1"/>
  <c r="Z35" i="1"/>
  <c r="AA35" i="1" s="1"/>
  <c r="S43" i="16"/>
  <c r="Y23" i="1"/>
  <c r="X23" i="1"/>
  <c r="S7" i="16"/>
  <c r="Z34" i="1"/>
  <c r="AA34" i="1" s="1"/>
  <c r="T13" i="15"/>
  <c r="U13" i="15"/>
  <c r="V13" i="15" s="1"/>
  <c r="R16" i="16"/>
  <c r="S41" i="16"/>
  <c r="N15" i="15"/>
  <c r="N68" i="15" s="1"/>
  <c r="N6" i="16"/>
  <c r="N15" i="16" s="1"/>
  <c r="N63" i="16" s="1"/>
  <c r="F24" i="26"/>
  <c r="F26" i="26"/>
  <c r="E42" i="20"/>
  <c r="W33" i="15" l="1"/>
  <c r="X33" i="15" s="1"/>
  <c r="W42" i="15"/>
  <c r="X42" i="15" s="1"/>
  <c r="W49" i="15"/>
  <c r="X49" i="15" s="1"/>
  <c r="W45" i="15"/>
  <c r="X45" i="15" s="1"/>
  <c r="W16" i="15"/>
  <c r="X16" i="15" s="1"/>
  <c r="W60" i="15"/>
  <c r="X60" i="15" s="1"/>
  <c r="W12" i="15"/>
  <c r="X12" i="15" s="1"/>
  <c r="W40" i="15"/>
  <c r="X40" i="15" s="1"/>
  <c r="W59" i="15"/>
  <c r="X59" i="15" s="1"/>
  <c r="W38" i="15"/>
  <c r="X38" i="15" s="1"/>
  <c r="W41" i="15"/>
  <c r="X41" i="15" s="1"/>
  <c r="W37" i="15"/>
  <c r="X37" i="15" s="1"/>
  <c r="W50" i="15"/>
  <c r="X50" i="15" s="1"/>
  <c r="W14" i="15"/>
  <c r="X14" i="15" s="1"/>
  <c r="W47" i="15"/>
  <c r="X47" i="15" s="1"/>
  <c r="W8" i="15"/>
  <c r="X8" i="15" s="1"/>
  <c r="W19" i="15"/>
  <c r="X19" i="15" s="1"/>
  <c r="W9" i="15"/>
  <c r="X9" i="15" s="1"/>
  <c r="W29" i="15"/>
  <c r="X29" i="15" s="1"/>
  <c r="W36" i="15"/>
  <c r="X36" i="15" s="1"/>
  <c r="W44" i="15"/>
  <c r="X44" i="15" s="1"/>
  <c r="W25" i="15"/>
  <c r="X25" i="15" s="1"/>
  <c r="W10" i="15"/>
  <c r="X10" i="15" s="1"/>
  <c r="W22" i="15"/>
  <c r="X22" i="15" s="1"/>
  <c r="W46" i="15"/>
  <c r="X46" i="15" s="1"/>
  <c r="W28" i="15"/>
  <c r="X28" i="15" s="1"/>
  <c r="W13" i="15"/>
  <c r="X13" i="15" s="1"/>
  <c r="W18" i="15"/>
  <c r="X18" i="15" s="1"/>
  <c r="W48" i="15"/>
  <c r="X48" i="15" s="1"/>
  <c r="W30" i="15"/>
  <c r="X30" i="15" s="1"/>
  <c r="W7" i="15"/>
  <c r="X7" i="15" s="1"/>
  <c r="W11" i="15"/>
  <c r="X11" i="15" s="1"/>
  <c r="W39" i="15"/>
  <c r="X39" i="15" s="1"/>
  <c r="W17" i="15"/>
  <c r="X17" i="15" s="1"/>
  <c r="W43" i="15"/>
  <c r="X43" i="15" s="1"/>
  <c r="W21" i="15"/>
  <c r="X21" i="15" s="1"/>
  <c r="W23" i="15"/>
  <c r="X23" i="15" s="1"/>
  <c r="W31" i="15"/>
  <c r="X31" i="15" s="1"/>
  <c r="Q15" i="15"/>
  <c r="R15" i="15" s="1"/>
  <c r="O25" i="20"/>
  <c r="N69" i="15"/>
  <c r="N70" i="15" s="1"/>
  <c r="N71" i="15" s="1"/>
  <c r="P25" i="20"/>
  <c r="O69" i="15"/>
  <c r="O70" i="15" s="1"/>
  <c r="O71" i="15" s="1"/>
  <c r="Q54" i="15"/>
  <c r="R54" i="15" s="1"/>
  <c r="Q25" i="20"/>
  <c r="P69" i="15"/>
  <c r="P70" i="15" s="1"/>
  <c r="P71" i="15" s="1"/>
  <c r="Z36" i="1"/>
  <c r="S40" i="16"/>
  <c r="R55" i="16"/>
  <c r="Y56" i="1"/>
  <c r="X56" i="1"/>
  <c r="T6" i="15"/>
  <c r="U6" i="15"/>
  <c r="V6" i="15" s="1"/>
  <c r="O54" i="26"/>
  <c r="J54" i="26"/>
  <c r="P62" i="16"/>
  <c r="R24" i="26"/>
  <c r="R47" i="26" s="1"/>
  <c r="K15" i="16"/>
  <c r="K63" i="16" s="1"/>
  <c r="R6" i="16"/>
  <c r="E15" i="16"/>
  <c r="E63" i="16" s="1"/>
  <c r="Q6" i="16"/>
  <c r="S16" i="16"/>
  <c r="O62" i="15"/>
  <c r="P24" i="20"/>
  <c r="P42" i="20" s="1"/>
  <c r="P48" i="20" s="1"/>
  <c r="Q55" i="16"/>
  <c r="S55" i="16" s="1"/>
  <c r="J69" i="15"/>
  <c r="K25" i="20"/>
  <c r="H69" i="15"/>
  <c r="I25" i="20"/>
  <c r="P62" i="15"/>
  <c r="Q24" i="20"/>
  <c r="N62" i="16"/>
  <c r="P24" i="26"/>
  <c r="P47" i="26" s="1"/>
  <c r="Z23" i="1"/>
  <c r="AA23" i="1" s="1"/>
  <c r="F69" i="15"/>
  <c r="G25" i="20"/>
  <c r="T34" i="15"/>
  <c r="U34" i="15"/>
  <c r="V34" i="15" s="1"/>
  <c r="T35" i="15"/>
  <c r="U35" i="15"/>
  <c r="V35" i="15" s="1"/>
  <c r="K62" i="15"/>
  <c r="K68" i="15"/>
  <c r="L24" i="20"/>
  <c r="S15" i="15"/>
  <c r="R54" i="26"/>
  <c r="E62" i="15"/>
  <c r="E68" i="15"/>
  <c r="F24" i="20"/>
  <c r="L68" i="15"/>
  <c r="M24" i="20"/>
  <c r="S34" i="16"/>
  <c r="O62" i="16"/>
  <c r="Q24" i="26"/>
  <c r="Q47" i="26" s="1"/>
  <c r="L54" i="26"/>
  <c r="G62" i="15"/>
  <c r="G68" i="15"/>
  <c r="H24" i="20"/>
  <c r="N62" i="15"/>
  <c r="O24" i="20"/>
  <c r="H54" i="26"/>
  <c r="K69" i="15"/>
  <c r="S54" i="15"/>
  <c r="L25" i="20"/>
  <c r="I69" i="15"/>
  <c r="J25" i="20"/>
  <c r="L62" i="16"/>
  <c r="N24" i="26"/>
  <c r="N47" i="26" s="1"/>
  <c r="F62" i="16"/>
  <c r="H24" i="26"/>
  <c r="H47" i="26" s="1"/>
  <c r="M62" i="15"/>
  <c r="M68" i="15"/>
  <c r="N24" i="20"/>
  <c r="K54" i="16"/>
  <c r="K65" i="16" s="1"/>
  <c r="R35" i="16"/>
  <c r="K54" i="26"/>
  <c r="P54" i="26"/>
  <c r="I62" i="15"/>
  <c r="I68" i="15"/>
  <c r="J24" i="20"/>
  <c r="F62" i="15"/>
  <c r="F68" i="15"/>
  <c r="G24" i="20"/>
  <c r="M62" i="16"/>
  <c r="O24" i="26"/>
  <c r="O47" i="26" s="1"/>
  <c r="Q54" i="26"/>
  <c r="E69" i="15"/>
  <c r="F25" i="20"/>
  <c r="J62" i="15"/>
  <c r="J68" i="15"/>
  <c r="K24" i="20"/>
  <c r="K42" i="20" s="1"/>
  <c r="K48" i="20" s="1"/>
  <c r="H62" i="16"/>
  <c r="J24" i="26"/>
  <c r="J47" i="26" s="1"/>
  <c r="I54" i="26"/>
  <c r="T55" i="15"/>
  <c r="U55" i="15"/>
  <c r="V55" i="15" s="1"/>
  <c r="N54" i="26"/>
  <c r="E54" i="16"/>
  <c r="E65" i="16" s="1"/>
  <c r="Q35" i="16"/>
  <c r="S35" i="16" s="1"/>
  <c r="J62" i="16"/>
  <c r="L24" i="26"/>
  <c r="L47" i="26" s="1"/>
  <c r="G69" i="15"/>
  <c r="H25" i="20"/>
  <c r="I62" i="16"/>
  <c r="K24" i="26"/>
  <c r="K47" i="26" s="1"/>
  <c r="H62" i="15"/>
  <c r="H68" i="15"/>
  <c r="I24" i="20"/>
  <c r="G62" i="16"/>
  <c r="I24" i="26"/>
  <c r="I47" i="26" s="1"/>
  <c r="L62" i="15"/>
  <c r="L69" i="15"/>
  <c r="M25" i="20"/>
  <c r="M69" i="15"/>
  <c r="N25" i="20"/>
  <c r="F47" i="26"/>
  <c r="F70" i="15" l="1"/>
  <c r="F71" i="15" s="1"/>
  <c r="O42" i="20"/>
  <c r="O48" i="20" s="1"/>
  <c r="W35" i="15"/>
  <c r="X35" i="15" s="1"/>
  <c r="Y21" i="15"/>
  <c r="Z21" i="15" s="1"/>
  <c r="Y11" i="15"/>
  <c r="Z11" i="15" s="1"/>
  <c r="Y18" i="15"/>
  <c r="Z18" i="15" s="1"/>
  <c r="Y22" i="15"/>
  <c r="Z22" i="15" s="1"/>
  <c r="Y36" i="15"/>
  <c r="Z36" i="15" s="1"/>
  <c r="Y8" i="15"/>
  <c r="Z8" i="15" s="1"/>
  <c r="Y37" i="15"/>
  <c r="Z37" i="15" s="1"/>
  <c r="Y40" i="15"/>
  <c r="Z40" i="15" s="1"/>
  <c r="Y45" i="15"/>
  <c r="Z45" i="15" s="1"/>
  <c r="W55" i="15"/>
  <c r="X55" i="15" s="1"/>
  <c r="W34" i="15"/>
  <c r="X34" i="15" s="1"/>
  <c r="Y43" i="15"/>
  <c r="Z43" i="15" s="1"/>
  <c r="Y7" i="15"/>
  <c r="Z7" i="15" s="1"/>
  <c r="Y13" i="15"/>
  <c r="Z13" i="15" s="1"/>
  <c r="Y10" i="15"/>
  <c r="Z10" i="15" s="1"/>
  <c r="Y29" i="15"/>
  <c r="Z29" i="15" s="1"/>
  <c r="Y47" i="15"/>
  <c r="Z47" i="15" s="1"/>
  <c r="Y41" i="15"/>
  <c r="Z41" i="15" s="1"/>
  <c r="Y12" i="15"/>
  <c r="Z12" i="15" s="1"/>
  <c r="Y49" i="15"/>
  <c r="Z49" i="15" s="1"/>
  <c r="W6" i="15"/>
  <c r="X6" i="15" s="1"/>
  <c r="Y31" i="15"/>
  <c r="Z31" i="15" s="1"/>
  <c r="Y17" i="15"/>
  <c r="Z17" i="15" s="1"/>
  <c r="Y30" i="15"/>
  <c r="Z30" i="15" s="1"/>
  <c r="Y28" i="15"/>
  <c r="Z28" i="15" s="1"/>
  <c r="Y25" i="15"/>
  <c r="Z25" i="15" s="1"/>
  <c r="Y9" i="15"/>
  <c r="Z9" i="15" s="1"/>
  <c r="Y14" i="15"/>
  <c r="Z14" i="15" s="1"/>
  <c r="Y38" i="15"/>
  <c r="Z38" i="15" s="1"/>
  <c r="Y60" i="15"/>
  <c r="Z60" i="15" s="1"/>
  <c r="Y42" i="15"/>
  <c r="Z42" i="15" s="1"/>
  <c r="Y23" i="15"/>
  <c r="Z23" i="15" s="1"/>
  <c r="Y39" i="15"/>
  <c r="Z39" i="15" s="1"/>
  <c r="Y48" i="15"/>
  <c r="Z48" i="15" s="1"/>
  <c r="Y46" i="15"/>
  <c r="Z46" i="15" s="1"/>
  <c r="Y44" i="15"/>
  <c r="Z44" i="15" s="1"/>
  <c r="Y19" i="15"/>
  <c r="Z19" i="15" s="1"/>
  <c r="Y50" i="15"/>
  <c r="Z50" i="15" s="1"/>
  <c r="Y59" i="15"/>
  <c r="Z59" i="15" s="1"/>
  <c r="Y16" i="15"/>
  <c r="Z16" i="15" s="1"/>
  <c r="Y33" i="15"/>
  <c r="Z33" i="15" s="1"/>
  <c r="I42" i="20"/>
  <c r="I48" i="20" s="1"/>
  <c r="Q42" i="20"/>
  <c r="Q48" i="20" s="1"/>
  <c r="J70" i="15"/>
  <c r="J71" i="15" s="1"/>
  <c r="Q62" i="15"/>
  <c r="R62" i="15" s="1"/>
  <c r="AA36" i="1"/>
  <c r="H70" i="15"/>
  <c r="H71" i="15" s="1"/>
  <c r="Z56" i="1"/>
  <c r="AA56" i="1" s="1"/>
  <c r="P69" i="16"/>
  <c r="M70" i="15"/>
  <c r="M71" i="15" s="1"/>
  <c r="H42" i="20"/>
  <c r="H48" i="20" s="1"/>
  <c r="S6" i="16"/>
  <c r="T15" i="15"/>
  <c r="U15" i="15"/>
  <c r="V15" i="15" s="1"/>
  <c r="Q54" i="16"/>
  <c r="G54" i="26"/>
  <c r="T54" i="15"/>
  <c r="U54" i="15"/>
  <c r="V54" i="15" s="1"/>
  <c r="G70" i="15"/>
  <c r="G71" i="15" s="1"/>
  <c r="M42" i="20"/>
  <c r="M48" i="20" s="1"/>
  <c r="L42" i="20"/>
  <c r="L48" i="20" s="1"/>
  <c r="E62" i="16"/>
  <c r="Q62" i="16" s="1"/>
  <c r="Q15" i="16"/>
  <c r="G24" i="26"/>
  <c r="R25" i="20"/>
  <c r="J42" i="20"/>
  <c r="J48" i="20" s="1"/>
  <c r="L70" i="15"/>
  <c r="L71" i="15" s="1"/>
  <c r="K70" i="15"/>
  <c r="K71" i="15" s="1"/>
  <c r="I70" i="15"/>
  <c r="I71" i="15" s="1"/>
  <c r="R65" i="16"/>
  <c r="R54" i="16"/>
  <c r="M54" i="26"/>
  <c r="R24" i="20"/>
  <c r="F42" i="20"/>
  <c r="S62" i="15"/>
  <c r="K62" i="16"/>
  <c r="R62" i="16" s="1"/>
  <c r="R15" i="16"/>
  <c r="M24" i="26"/>
  <c r="M47" i="26" s="1"/>
  <c r="U47" i="26" s="1"/>
  <c r="N42" i="20"/>
  <c r="N48" i="20" s="1"/>
  <c r="E70" i="15"/>
  <c r="E71" i="15" s="1"/>
  <c r="G42" i="20"/>
  <c r="G48" i="20" s="1"/>
  <c r="Y34" i="15" l="1"/>
  <c r="Z34" i="15" s="1"/>
  <c r="W54" i="15"/>
  <c r="X54" i="15" s="1"/>
  <c r="Y55" i="15"/>
  <c r="Z55" i="15" s="1"/>
  <c r="W15" i="15"/>
  <c r="X15" i="15" s="1"/>
  <c r="Y6" i="15"/>
  <c r="Z6" i="15" s="1"/>
  <c r="Y35" i="15"/>
  <c r="Z35" i="15" s="1"/>
  <c r="R69" i="16"/>
  <c r="R63" i="16"/>
  <c r="S24" i="26"/>
  <c r="G47" i="26"/>
  <c r="S63" i="16"/>
  <c r="E69" i="16"/>
  <c r="F101" i="16" s="1"/>
  <c r="Q63" i="16"/>
  <c r="T62" i="15"/>
  <c r="U62" i="15"/>
  <c r="V62" i="15" s="1"/>
  <c r="S15" i="16"/>
  <c r="S54" i="26"/>
  <c r="T56" i="26" s="1"/>
  <c r="F48" i="20"/>
  <c r="R42" i="20"/>
  <c r="S62" i="16"/>
  <c r="S54" i="16"/>
  <c r="S65" i="16"/>
  <c r="Q65" i="16"/>
  <c r="E28" i="9"/>
  <c r="E27" i="9"/>
  <c r="E23" i="9"/>
  <c r="E24" i="9"/>
  <c r="Y15" i="15" l="1"/>
  <c r="Z15" i="15" s="1"/>
  <c r="Y54" i="15"/>
  <c r="Z54" i="15" s="1"/>
  <c r="Q23" i="9"/>
  <c r="Q24" i="28" s="1"/>
  <c r="N23" i="9"/>
  <c r="N24" i="28" s="1"/>
  <c r="H23" i="9"/>
  <c r="H24" i="28" s="1"/>
  <c r="K23" i="9"/>
  <c r="K24" i="28" s="1"/>
  <c r="J23" i="9"/>
  <c r="J24" i="28" s="1"/>
  <c r="F23" i="9"/>
  <c r="L23" i="9"/>
  <c r="M23" i="9"/>
  <c r="M24" i="28" s="1"/>
  <c r="I23" i="9"/>
  <c r="I24" i="28" s="1"/>
  <c r="P23" i="9"/>
  <c r="P24" i="28" s="1"/>
  <c r="G23" i="9"/>
  <c r="G24" i="28" s="1"/>
  <c r="O23" i="9"/>
  <c r="O24" i="28" s="1"/>
  <c r="Q69" i="16"/>
  <c r="S69" i="16"/>
  <c r="I2" i="27" a="1"/>
  <c r="F100" i="16"/>
  <c r="F102" i="16"/>
  <c r="F103" i="16"/>
  <c r="R48" i="20"/>
  <c r="S42" i="20"/>
  <c r="I27" i="9"/>
  <c r="I29" i="28" s="1"/>
  <c r="G27" i="9"/>
  <c r="G29" i="28" s="1"/>
  <c r="O27" i="9"/>
  <c r="O29" i="28" s="1"/>
  <c r="N27" i="9"/>
  <c r="N29" i="28" s="1"/>
  <c r="L27" i="9"/>
  <c r="M27" i="9"/>
  <c r="M29" i="28" s="1"/>
  <c r="Q27" i="9"/>
  <c r="Q29" i="28" s="1"/>
  <c r="P27" i="9"/>
  <c r="P29" i="28" s="1"/>
  <c r="F27" i="9"/>
  <c r="J27" i="9"/>
  <c r="J29" i="28" s="1"/>
  <c r="K27" i="9"/>
  <c r="K29" i="28" s="1"/>
  <c r="H27" i="9"/>
  <c r="H29" i="28" s="1"/>
  <c r="V47" i="26"/>
  <c r="T47" i="26"/>
  <c r="S47" i="26"/>
  <c r="H28" i="9"/>
  <c r="H30" i="28" s="1"/>
  <c r="P28" i="9"/>
  <c r="P30" i="28" s="1"/>
  <c r="J28" i="9"/>
  <c r="J30" i="28" s="1"/>
  <c r="F28" i="9"/>
  <c r="G28" i="9"/>
  <c r="G30" i="28" s="1"/>
  <c r="I28" i="9"/>
  <c r="I30" i="28" s="1"/>
  <c r="N28" i="9"/>
  <c r="N30" i="28" s="1"/>
  <c r="L28" i="9"/>
  <c r="M28" i="9"/>
  <c r="M30" i="28" s="1"/>
  <c r="O28" i="9"/>
  <c r="O30" i="28" s="1"/>
  <c r="K28" i="9"/>
  <c r="K30" i="28" s="1"/>
  <c r="Q28" i="9"/>
  <c r="Q30" i="28" s="1"/>
  <c r="P24" i="9"/>
  <c r="P25" i="28" s="1"/>
  <c r="Q24" i="9"/>
  <c r="Q25" i="28" s="1"/>
  <c r="I24" i="9"/>
  <c r="I25" i="28" s="1"/>
  <c r="J24" i="9"/>
  <c r="J25" i="28" s="1"/>
  <c r="M24" i="9"/>
  <c r="M25" i="28" s="1"/>
  <c r="H24" i="9"/>
  <c r="H25" i="28" s="1"/>
  <c r="N24" i="9"/>
  <c r="N25" i="28" s="1"/>
  <c r="G24" i="9"/>
  <c r="G25" i="28" s="1"/>
  <c r="F24" i="9"/>
  <c r="K24" i="9"/>
  <c r="K25" i="28" s="1"/>
  <c r="O24" i="9"/>
  <c r="O25" i="28" s="1"/>
  <c r="L24" i="9"/>
  <c r="E29" i="9"/>
  <c r="M27" i="28" l="1"/>
  <c r="N49" i="26"/>
  <c r="I5" i="27"/>
  <c r="I2" i="27"/>
  <c r="I4" i="27"/>
  <c r="I12" i="27"/>
  <c r="I8" i="27"/>
  <c r="I7" i="27"/>
  <c r="I3" i="27"/>
  <c r="I11" i="27"/>
  <c r="I10" i="27"/>
  <c r="I6" i="27"/>
  <c r="I9" i="27"/>
  <c r="I13" i="27"/>
  <c r="L24" i="28"/>
  <c r="T23" i="9"/>
  <c r="F30" i="28"/>
  <c r="R28" i="9"/>
  <c r="S28" i="9" s="1"/>
  <c r="F29" i="28"/>
  <c r="R27" i="9"/>
  <c r="S27" i="9" s="1"/>
  <c r="F24" i="28"/>
  <c r="R23" i="9"/>
  <c r="S23" i="9" s="1"/>
  <c r="K29" i="9"/>
  <c r="K31" i="28" s="1"/>
  <c r="L29" i="9"/>
  <c r="P29" i="9"/>
  <c r="P31" i="28" s="1"/>
  <c r="P32" i="28" s="1"/>
  <c r="F29" i="9"/>
  <c r="Q29" i="9"/>
  <c r="Q31" i="28" s="1"/>
  <c r="Q32" i="28" s="1"/>
  <c r="M29" i="9"/>
  <c r="M31" i="28" s="1"/>
  <c r="J29" i="9"/>
  <c r="J31" i="28" s="1"/>
  <c r="N29" i="9"/>
  <c r="N31" i="28" s="1"/>
  <c r="N32" i="28" s="1"/>
  <c r="O29" i="9"/>
  <c r="O31" i="28" s="1"/>
  <c r="O32" i="28" s="1"/>
  <c r="I29" i="9"/>
  <c r="I31" i="28" s="1"/>
  <c r="G29" i="9"/>
  <c r="G31" i="28" s="1"/>
  <c r="H29" i="9"/>
  <c r="H31" i="28" s="1"/>
  <c r="J27" i="28"/>
  <c r="K49" i="26"/>
  <c r="L25" i="28"/>
  <c r="T24" i="9"/>
  <c r="L30" i="28"/>
  <c r="T28" i="9"/>
  <c r="O27" i="28"/>
  <c r="K27" i="28"/>
  <c r="L49" i="26"/>
  <c r="G27" i="28"/>
  <c r="H49" i="26"/>
  <c r="H27" i="28"/>
  <c r="I49" i="26"/>
  <c r="L29" i="28"/>
  <c r="T27" i="9"/>
  <c r="P27" i="28"/>
  <c r="N27" i="28"/>
  <c r="F25" i="28"/>
  <c r="R24" i="9"/>
  <c r="S24" i="9" s="1"/>
  <c r="I27" i="28"/>
  <c r="J49" i="26"/>
  <c r="Q27" i="28"/>
  <c r="F32" i="26"/>
  <c r="F31" i="26"/>
  <c r="F66" i="28" l="1" a="1"/>
  <c r="S66" i="28" s="1"/>
  <c r="F70" i="28" a="1"/>
  <c r="F70" i="28" s="1"/>
  <c r="V27" i="9"/>
  <c r="W27" i="9" s="1"/>
  <c r="X27" i="9" s="1"/>
  <c r="U27" i="9"/>
  <c r="P33" i="28"/>
  <c r="Q32" i="26"/>
  <c r="M28" i="28"/>
  <c r="N31" i="26"/>
  <c r="Q28" i="28"/>
  <c r="R31" i="26"/>
  <c r="V28" i="9"/>
  <c r="W28" i="9" s="1"/>
  <c r="X28" i="9" s="1"/>
  <c r="U28" i="9"/>
  <c r="I32" i="28"/>
  <c r="J51" i="26"/>
  <c r="L31" i="28"/>
  <c r="T29" i="9"/>
  <c r="V23" i="9"/>
  <c r="W23" i="9" s="1"/>
  <c r="X23" i="9" s="1"/>
  <c r="U23" i="9"/>
  <c r="O33" i="28"/>
  <c r="P32" i="26"/>
  <c r="K32" i="28"/>
  <c r="L51" i="26"/>
  <c r="L27" i="28"/>
  <c r="M49" i="26"/>
  <c r="G32" i="28"/>
  <c r="H51" i="26"/>
  <c r="H28" i="28"/>
  <c r="I31" i="26"/>
  <c r="V24" i="9"/>
  <c r="W24" i="9" s="1"/>
  <c r="X24" i="9" s="1"/>
  <c r="U24" i="9"/>
  <c r="N33" i="28"/>
  <c r="O32" i="26"/>
  <c r="O28" i="28"/>
  <c r="P31" i="26"/>
  <c r="I28" i="28"/>
  <c r="J31" i="26"/>
  <c r="J32" i="28"/>
  <c r="K51" i="26"/>
  <c r="F27" i="28"/>
  <c r="F65" i="28" a="1"/>
  <c r="G49" i="26"/>
  <c r="G28" i="28"/>
  <c r="H31" i="26"/>
  <c r="M32" i="28"/>
  <c r="N51" i="26"/>
  <c r="N28" i="28"/>
  <c r="O31" i="26"/>
  <c r="J28" i="28"/>
  <c r="K31" i="26"/>
  <c r="Q33" i="28"/>
  <c r="R32" i="26"/>
  <c r="F69" i="28" a="1"/>
  <c r="P28" i="28"/>
  <c r="Q31" i="26"/>
  <c r="K28" i="28"/>
  <c r="L31" i="26"/>
  <c r="H32" i="28"/>
  <c r="I51" i="26"/>
  <c r="F31" i="28"/>
  <c r="R29" i="9"/>
  <c r="S29" i="9" s="1"/>
  <c r="F66" i="28" l="1"/>
  <c r="V66" i="28" s="1" a="1"/>
  <c r="V66" i="28" s="1"/>
  <c r="S70" i="28"/>
  <c r="F65" i="28"/>
  <c r="S65" i="28"/>
  <c r="T49" i="26" a="1"/>
  <c r="T49" i="26" s="1"/>
  <c r="S49" i="26"/>
  <c r="F28" i="28"/>
  <c r="G31" i="26"/>
  <c r="F67" i="28" a="1"/>
  <c r="M2" i="27" a="1"/>
  <c r="L28" i="28"/>
  <c r="M31" i="26"/>
  <c r="H32" i="26"/>
  <c r="G33" i="28"/>
  <c r="V29" i="9"/>
  <c r="W29" i="9" s="1"/>
  <c r="X29" i="9" s="1"/>
  <c r="U29" i="9"/>
  <c r="F32" i="28"/>
  <c r="G51" i="26"/>
  <c r="F71" i="28" a="1"/>
  <c r="J33" i="28"/>
  <c r="K32" i="26"/>
  <c r="F69" i="28"/>
  <c r="S69" i="28"/>
  <c r="N32" i="26"/>
  <c r="M33" i="28"/>
  <c r="L32" i="28"/>
  <c r="M51" i="26"/>
  <c r="H33" i="28"/>
  <c r="I32" i="26"/>
  <c r="I33" i="28"/>
  <c r="J32" i="26"/>
  <c r="K33" i="28"/>
  <c r="L32" i="26"/>
  <c r="V70" i="28" a="1"/>
  <c r="V70" i="28" s="1"/>
  <c r="R70" i="28"/>
  <c r="R66" i="28" l="1"/>
  <c r="T66" i="28" s="1"/>
  <c r="S31" i="26"/>
  <c r="T70" i="28"/>
  <c r="T51" i="26"/>
  <c r="S51" i="26"/>
  <c r="G32" i="26"/>
  <c r="F33" i="28"/>
  <c r="F72" i="28" a="1"/>
  <c r="O2" i="27" a="1"/>
  <c r="F67" i="28"/>
  <c r="S67" i="28"/>
  <c r="M8" i="27"/>
  <c r="M10" i="27"/>
  <c r="M3" i="27"/>
  <c r="M6" i="27"/>
  <c r="M9" i="27"/>
  <c r="M2" i="27"/>
  <c r="M7" i="27"/>
  <c r="M13" i="27"/>
  <c r="M4" i="27"/>
  <c r="M12" i="27"/>
  <c r="M11" i="27"/>
  <c r="M5" i="27"/>
  <c r="F68" i="28" a="1"/>
  <c r="L2" i="27" a="1"/>
  <c r="V69" i="28" a="1"/>
  <c r="V69" i="28" s="1"/>
  <c r="W69" i="28" s="1"/>
  <c r="U69" i="28"/>
  <c r="U70" i="28" s="1"/>
  <c r="U71" i="28" s="1"/>
  <c r="U72" i="28" s="1"/>
  <c r="U73" i="28" s="1"/>
  <c r="R69" i="28"/>
  <c r="T69" i="28" s="1"/>
  <c r="L33" i="28"/>
  <c r="M32" i="26"/>
  <c r="F71" i="28"/>
  <c r="S71" i="28"/>
  <c r="V65" i="28" a="1"/>
  <c r="V65" i="28" s="1"/>
  <c r="W65" i="28" s="1"/>
  <c r="R65" i="28"/>
  <c r="T65" i="28" s="1"/>
  <c r="U65" i="28"/>
  <c r="U66" i="28" s="1"/>
  <c r="U67" i="28" s="1"/>
  <c r="U68" i="28" s="1"/>
  <c r="E16" i="20"/>
  <c r="F15" i="26"/>
  <c r="F16" i="26"/>
  <c r="W66" i="28" l="1"/>
  <c r="V67" i="28" a="1"/>
  <c r="V67" i="28" s="1"/>
  <c r="R67" i="28"/>
  <c r="T67" i="28" s="1"/>
  <c r="V71" i="28" a="1"/>
  <c r="V71" i="28" s="1"/>
  <c r="W71" i="28" s="1"/>
  <c r="R71" i="28"/>
  <c r="T71" i="28" s="1"/>
  <c r="L11" i="27"/>
  <c r="L2" i="27"/>
  <c r="L7" i="27"/>
  <c r="L13" i="27"/>
  <c r="L12" i="27"/>
  <c r="L4" i="27"/>
  <c r="L10" i="27"/>
  <c r="L8" i="27"/>
  <c r="L3" i="27"/>
  <c r="L6" i="27"/>
  <c r="L5" i="27"/>
  <c r="L9" i="27"/>
  <c r="O3" i="27"/>
  <c r="O6" i="27"/>
  <c r="O9" i="27"/>
  <c r="O13" i="27"/>
  <c r="O7" i="27"/>
  <c r="O11" i="27"/>
  <c r="O5" i="27"/>
  <c r="O2" i="27"/>
  <c r="O4" i="27"/>
  <c r="O12" i="27"/>
  <c r="O8" i="27"/>
  <c r="O10" i="27"/>
  <c r="F68" i="28"/>
  <c r="S68" i="28"/>
  <c r="F72" i="28"/>
  <c r="S72" i="28"/>
  <c r="F73" i="28" a="1"/>
  <c r="N2" i="27" a="1"/>
  <c r="W70" i="28"/>
  <c r="S32" i="26"/>
  <c r="E37" i="1"/>
  <c r="E38" i="1"/>
  <c r="E41" i="1"/>
  <c r="E13" i="1"/>
  <c r="E49" i="1"/>
  <c r="E10" i="1"/>
  <c r="E9" i="1"/>
  <c r="E55" i="1"/>
  <c r="E11" i="1"/>
  <c r="E46" i="1"/>
  <c r="E40" i="1"/>
  <c r="E47" i="1"/>
  <c r="E43" i="1"/>
  <c r="E53" i="1"/>
  <c r="E54" i="1"/>
  <c r="E8" i="1"/>
  <c r="E44" i="1"/>
  <c r="E51" i="1"/>
  <c r="E14" i="1"/>
  <c r="E48" i="1"/>
  <c r="E45" i="1"/>
  <c r="E42" i="1"/>
  <c r="E50" i="1"/>
  <c r="E39" i="1"/>
  <c r="E52" i="1"/>
  <c r="E12" i="1"/>
  <c r="E7" i="1"/>
  <c r="N49" i="1" l="1"/>
  <c r="N49" i="2" s="1"/>
  <c r="J49" i="1"/>
  <c r="J49" i="2" s="1"/>
  <c r="F49" i="1"/>
  <c r="K49" i="1"/>
  <c r="K49" i="2" s="1"/>
  <c r="Q49" i="1"/>
  <c r="Q49" i="2" s="1"/>
  <c r="G49" i="1"/>
  <c r="G49" i="2" s="1"/>
  <c r="L49" i="1"/>
  <c r="O49" i="1"/>
  <c r="O49" i="2" s="1"/>
  <c r="H49" i="1"/>
  <c r="H49" i="2" s="1"/>
  <c r="P49" i="1"/>
  <c r="P49" i="2" s="1"/>
  <c r="I49" i="1"/>
  <c r="I49" i="2" s="1"/>
  <c r="M49" i="1"/>
  <c r="M49" i="2" s="1"/>
  <c r="F48" i="1"/>
  <c r="K48" i="1"/>
  <c r="K48" i="2" s="1"/>
  <c r="L48" i="1"/>
  <c r="P48" i="1"/>
  <c r="P48" i="2" s="1"/>
  <c r="N48" i="1"/>
  <c r="N48" i="2" s="1"/>
  <c r="J48" i="1"/>
  <c r="J48" i="2" s="1"/>
  <c r="H48" i="1"/>
  <c r="H48" i="2" s="1"/>
  <c r="M48" i="1"/>
  <c r="M48" i="2" s="1"/>
  <c r="I48" i="1"/>
  <c r="I48" i="2" s="1"/>
  <c r="G48" i="1"/>
  <c r="G48" i="2" s="1"/>
  <c r="Q48" i="1"/>
  <c r="Q48" i="2" s="1"/>
  <c r="O48" i="1"/>
  <c r="O48" i="2" s="1"/>
  <c r="G47" i="1"/>
  <c r="G47" i="2" s="1"/>
  <c r="O47" i="1"/>
  <c r="O47" i="2" s="1"/>
  <c r="H47" i="1"/>
  <c r="H47" i="2" s="1"/>
  <c r="L47" i="1"/>
  <c r="I47" i="1"/>
  <c r="I47" i="2" s="1"/>
  <c r="K47" i="1"/>
  <c r="K47" i="2" s="1"/>
  <c r="P47" i="1"/>
  <c r="P47" i="2" s="1"/>
  <c r="M47" i="1"/>
  <c r="M47" i="2" s="1"/>
  <c r="Q47" i="1"/>
  <c r="Q47" i="2" s="1"/>
  <c r="N47" i="1"/>
  <c r="N47" i="2" s="1"/>
  <c r="J47" i="1"/>
  <c r="J47" i="2" s="1"/>
  <c r="F47" i="1"/>
  <c r="P13" i="1"/>
  <c r="P13" i="2" s="1"/>
  <c r="O13" i="1"/>
  <c r="O13" i="2" s="1"/>
  <c r="I13" i="1"/>
  <c r="I13" i="2" s="1"/>
  <c r="M13" i="1"/>
  <c r="M13" i="2" s="1"/>
  <c r="Q13" i="1"/>
  <c r="Q13" i="2" s="1"/>
  <c r="N13" i="1"/>
  <c r="N13" i="2" s="1"/>
  <c r="F13" i="1"/>
  <c r="F13" i="2" s="1"/>
  <c r="H13" i="1"/>
  <c r="H13" i="2" s="1"/>
  <c r="J13" i="1"/>
  <c r="J13" i="2" s="1"/>
  <c r="K13" i="1"/>
  <c r="K13" i="2" s="1"/>
  <c r="L13" i="1"/>
  <c r="G13" i="1"/>
  <c r="G13" i="2" s="1"/>
  <c r="Q45" i="1"/>
  <c r="Q45" i="2" s="1"/>
  <c r="O45" i="1"/>
  <c r="O45" i="2" s="1"/>
  <c r="I45" i="1"/>
  <c r="I45" i="2" s="1"/>
  <c r="J45" i="1"/>
  <c r="J45" i="2" s="1"/>
  <c r="H45" i="1"/>
  <c r="H45" i="2" s="1"/>
  <c r="K45" i="1"/>
  <c r="K45" i="2" s="1"/>
  <c r="P45" i="1"/>
  <c r="P45" i="2" s="1"/>
  <c r="M45" i="1"/>
  <c r="M45" i="2" s="1"/>
  <c r="G45" i="1"/>
  <c r="G45" i="2" s="1"/>
  <c r="L45" i="1"/>
  <c r="N45" i="1"/>
  <c r="N45" i="2" s="1"/>
  <c r="F45" i="1"/>
  <c r="N14" i="1"/>
  <c r="N14" i="2" s="1"/>
  <c r="L14" i="1"/>
  <c r="F14" i="1"/>
  <c r="F14" i="2" s="1"/>
  <c r="J14" i="1"/>
  <c r="J14" i="2" s="1"/>
  <c r="G14" i="1"/>
  <c r="G14" i="2" s="1"/>
  <c r="K14" i="1"/>
  <c r="K14" i="2" s="1"/>
  <c r="Q14" i="1"/>
  <c r="Q14" i="2" s="1"/>
  <c r="O14" i="1"/>
  <c r="O14" i="2" s="1"/>
  <c r="H14" i="1"/>
  <c r="H14" i="2" s="1"/>
  <c r="P14" i="1"/>
  <c r="P14" i="2" s="1"/>
  <c r="I14" i="1"/>
  <c r="I14" i="2" s="1"/>
  <c r="M14" i="1"/>
  <c r="M14" i="2" s="1"/>
  <c r="F40" i="1"/>
  <c r="P40" i="1"/>
  <c r="P40" i="2" s="1"/>
  <c r="K40" i="1"/>
  <c r="K40" i="2" s="1"/>
  <c r="L40" i="1"/>
  <c r="N40" i="1"/>
  <c r="N40" i="2" s="1"/>
  <c r="H40" i="1"/>
  <c r="H40" i="2" s="1"/>
  <c r="M40" i="1"/>
  <c r="M40" i="2" s="1"/>
  <c r="J40" i="1"/>
  <c r="J40" i="2" s="1"/>
  <c r="I40" i="1"/>
  <c r="I40" i="2" s="1"/>
  <c r="G40" i="1"/>
  <c r="G40" i="2" s="1"/>
  <c r="Q40" i="1"/>
  <c r="Q40" i="2" s="1"/>
  <c r="O40" i="1"/>
  <c r="O40" i="2" s="1"/>
  <c r="N41" i="1"/>
  <c r="N41" i="2" s="1"/>
  <c r="J41" i="1"/>
  <c r="J41" i="2" s="1"/>
  <c r="M41" i="1"/>
  <c r="M41" i="2" s="1"/>
  <c r="F41" i="1"/>
  <c r="K41" i="1"/>
  <c r="K41" i="2" s="1"/>
  <c r="G41" i="1"/>
  <c r="G41" i="2" s="1"/>
  <c r="L41" i="1"/>
  <c r="Q41" i="1"/>
  <c r="Q41" i="2" s="1"/>
  <c r="O41" i="1"/>
  <c r="O41" i="2" s="1"/>
  <c r="H41" i="1"/>
  <c r="H41" i="2" s="1"/>
  <c r="P41" i="1"/>
  <c r="P41" i="2" s="1"/>
  <c r="I41" i="1"/>
  <c r="I41" i="2" s="1"/>
  <c r="V68" i="28" a="1"/>
  <c r="V68" i="28" s="1"/>
  <c r="R68" i="28"/>
  <c r="T68" i="28" s="1"/>
  <c r="O51" i="1"/>
  <c r="O51" i="2" s="1"/>
  <c r="M51" i="1"/>
  <c r="M51" i="2" s="1"/>
  <c r="H51" i="1"/>
  <c r="H51" i="2" s="1"/>
  <c r="N51" i="1"/>
  <c r="N51" i="2" s="1"/>
  <c r="L51" i="1"/>
  <c r="P51" i="1"/>
  <c r="P51" i="2" s="1"/>
  <c r="F51" i="1"/>
  <c r="Q51" i="1"/>
  <c r="Q51" i="2" s="1"/>
  <c r="G51" i="1"/>
  <c r="G51" i="2" s="1"/>
  <c r="I51" i="1"/>
  <c r="I51" i="2" s="1"/>
  <c r="J51" i="1"/>
  <c r="J51" i="2" s="1"/>
  <c r="K51" i="1"/>
  <c r="K51" i="2" s="1"/>
  <c r="I46" i="1"/>
  <c r="I46" i="2" s="1"/>
  <c r="K46" i="1"/>
  <c r="K46" i="2" s="1"/>
  <c r="Q46" i="1"/>
  <c r="Q46" i="2" s="1"/>
  <c r="J46" i="1"/>
  <c r="J46" i="2" s="1"/>
  <c r="N46" i="1"/>
  <c r="N46" i="2" s="1"/>
  <c r="F46" i="1"/>
  <c r="G46" i="1"/>
  <c r="G46" i="2" s="1"/>
  <c r="P46" i="1"/>
  <c r="P46" i="2" s="1"/>
  <c r="O46" i="1"/>
  <c r="O46" i="2" s="1"/>
  <c r="L46" i="1"/>
  <c r="H46" i="1"/>
  <c r="H46" i="2" s="1"/>
  <c r="M46" i="1"/>
  <c r="M46" i="2" s="1"/>
  <c r="G38" i="1"/>
  <c r="G38" i="2" s="1"/>
  <c r="K38" i="1"/>
  <c r="K38" i="2" s="1"/>
  <c r="F38" i="1"/>
  <c r="O38" i="1"/>
  <c r="O38" i="2" s="1"/>
  <c r="L38" i="1"/>
  <c r="H38" i="1"/>
  <c r="H38" i="2" s="1"/>
  <c r="M38" i="1"/>
  <c r="M38" i="2" s="1"/>
  <c r="I38" i="1"/>
  <c r="I38" i="2" s="1"/>
  <c r="P38" i="1"/>
  <c r="P38" i="2" s="1"/>
  <c r="Q38" i="1"/>
  <c r="Q38" i="2" s="1"/>
  <c r="J38" i="1"/>
  <c r="J38" i="2" s="1"/>
  <c r="N38" i="1"/>
  <c r="N38" i="2" s="1"/>
  <c r="Q43" i="1"/>
  <c r="Q43" i="2" s="1"/>
  <c r="M43" i="1"/>
  <c r="M43" i="2" s="1"/>
  <c r="J43" i="1"/>
  <c r="J43" i="2" s="1"/>
  <c r="O43" i="1"/>
  <c r="O43" i="2" s="1"/>
  <c r="K43" i="1"/>
  <c r="K43" i="2" s="1"/>
  <c r="G43" i="1"/>
  <c r="G43" i="2" s="1"/>
  <c r="L43" i="1"/>
  <c r="I43" i="1"/>
  <c r="I43" i="2" s="1"/>
  <c r="H43" i="1"/>
  <c r="H43" i="2" s="1"/>
  <c r="F43" i="1"/>
  <c r="P43" i="1"/>
  <c r="P43" i="2" s="1"/>
  <c r="N43" i="1"/>
  <c r="N43" i="2" s="1"/>
  <c r="F7" i="1"/>
  <c r="I7" i="1"/>
  <c r="N7" i="1"/>
  <c r="K7" i="1"/>
  <c r="H7" i="1"/>
  <c r="L7" i="1"/>
  <c r="P7" i="1"/>
  <c r="M7" i="1"/>
  <c r="O7" i="1"/>
  <c r="Q7" i="1"/>
  <c r="G7" i="1"/>
  <c r="J7" i="1"/>
  <c r="H44" i="1"/>
  <c r="H44" i="2" s="1"/>
  <c r="J44" i="1"/>
  <c r="J44" i="2" s="1"/>
  <c r="P44" i="1"/>
  <c r="P44" i="2" s="1"/>
  <c r="I44" i="1"/>
  <c r="I44" i="2" s="1"/>
  <c r="O44" i="1"/>
  <c r="O44" i="2" s="1"/>
  <c r="L44" i="1"/>
  <c r="Q44" i="1"/>
  <c r="Q44" i="2" s="1"/>
  <c r="M44" i="1"/>
  <c r="M44" i="2" s="1"/>
  <c r="N44" i="1"/>
  <c r="N44" i="2" s="1"/>
  <c r="F44" i="1"/>
  <c r="G44" i="1"/>
  <c r="G44" i="2" s="1"/>
  <c r="K44" i="1"/>
  <c r="K44" i="2" s="1"/>
  <c r="L37" i="1"/>
  <c r="K37" i="1"/>
  <c r="M37" i="1"/>
  <c r="N37" i="1"/>
  <c r="H37" i="1"/>
  <c r="P37" i="1"/>
  <c r="I37" i="1"/>
  <c r="F37" i="1"/>
  <c r="Q37" i="1"/>
  <c r="J37" i="1"/>
  <c r="G37" i="1"/>
  <c r="O37" i="1"/>
  <c r="N50" i="1"/>
  <c r="N50" i="2" s="1"/>
  <c r="M50" i="1"/>
  <c r="M50" i="2" s="1"/>
  <c r="G50" i="1"/>
  <c r="G50" i="2" s="1"/>
  <c r="P50" i="1"/>
  <c r="P50" i="2" s="1"/>
  <c r="O50" i="1"/>
  <c r="O50" i="2" s="1"/>
  <c r="L50" i="1"/>
  <c r="J50" i="1"/>
  <c r="J50" i="2" s="1"/>
  <c r="H50" i="1"/>
  <c r="H50" i="2" s="1"/>
  <c r="F50" i="1"/>
  <c r="Q50" i="1"/>
  <c r="Q50" i="2" s="1"/>
  <c r="K50" i="1"/>
  <c r="K50" i="2" s="1"/>
  <c r="I50" i="1"/>
  <c r="I50" i="2" s="1"/>
  <c r="V72" i="28" a="1"/>
  <c r="V72" i="28" s="1"/>
  <c r="R72" i="28"/>
  <c r="T72" i="28" s="1"/>
  <c r="G12" i="1"/>
  <c r="G12" i="2" s="1"/>
  <c r="P12" i="1"/>
  <c r="P12" i="2" s="1"/>
  <c r="O12" i="1"/>
  <c r="O12" i="2" s="1"/>
  <c r="L12" i="1"/>
  <c r="J12" i="1"/>
  <c r="J12" i="2" s="1"/>
  <c r="K12" i="1"/>
  <c r="K12" i="2" s="1"/>
  <c r="H12" i="1"/>
  <c r="H12" i="2" s="1"/>
  <c r="M12" i="1"/>
  <c r="M12" i="2" s="1"/>
  <c r="I12" i="1"/>
  <c r="I12" i="2" s="1"/>
  <c r="N12" i="1"/>
  <c r="N12" i="2" s="1"/>
  <c r="Q12" i="1"/>
  <c r="Q12" i="2" s="1"/>
  <c r="F12" i="1"/>
  <c r="M52" i="1"/>
  <c r="M52" i="2" s="1"/>
  <c r="J52" i="1"/>
  <c r="J52" i="2" s="1"/>
  <c r="H52" i="1"/>
  <c r="H52" i="2" s="1"/>
  <c r="Q52" i="1"/>
  <c r="Q52" i="2" s="1"/>
  <c r="N52" i="1"/>
  <c r="N52" i="2" s="1"/>
  <c r="F52" i="1"/>
  <c r="G52" i="1"/>
  <c r="G52" i="2" s="1"/>
  <c r="K52" i="1"/>
  <c r="K52" i="2" s="1"/>
  <c r="O52" i="1"/>
  <c r="O52" i="2" s="1"/>
  <c r="I52" i="1"/>
  <c r="I52" i="2" s="1"/>
  <c r="P52" i="1"/>
  <c r="P52" i="2" s="1"/>
  <c r="L52" i="1"/>
  <c r="G11" i="1"/>
  <c r="G11" i="2" s="1"/>
  <c r="M11" i="1"/>
  <c r="M11" i="2" s="1"/>
  <c r="O11" i="1"/>
  <c r="O11" i="2" s="1"/>
  <c r="K11" i="1"/>
  <c r="K11" i="2" s="1"/>
  <c r="I11" i="1"/>
  <c r="I11" i="2" s="1"/>
  <c r="H11" i="1"/>
  <c r="H11" i="2" s="1"/>
  <c r="L11" i="1"/>
  <c r="P11" i="1"/>
  <c r="P11" i="2" s="1"/>
  <c r="F11" i="1"/>
  <c r="Q11" i="1"/>
  <c r="Q11" i="2" s="1"/>
  <c r="J11" i="1"/>
  <c r="J11" i="2" s="1"/>
  <c r="N11" i="1"/>
  <c r="N11" i="2" s="1"/>
  <c r="J39" i="1"/>
  <c r="G39" i="1"/>
  <c r="P39" i="1"/>
  <c r="P39" i="2" s="1"/>
  <c r="O39" i="1"/>
  <c r="O39" i="2" s="1"/>
  <c r="Q39" i="1"/>
  <c r="Q39" i="2" s="1"/>
  <c r="K39" i="1"/>
  <c r="H39" i="1"/>
  <c r="L39" i="1"/>
  <c r="N39" i="1"/>
  <c r="M39" i="1"/>
  <c r="I39" i="1"/>
  <c r="F39" i="1"/>
  <c r="Q8" i="1"/>
  <c r="Q8" i="2" s="1"/>
  <c r="L8" i="1"/>
  <c r="N8" i="1"/>
  <c r="N8" i="2" s="1"/>
  <c r="F8" i="1"/>
  <c r="I8" i="1"/>
  <c r="I8" i="2" s="1"/>
  <c r="J8" i="1"/>
  <c r="J8" i="2" s="1"/>
  <c r="P8" i="1"/>
  <c r="P8" i="2" s="1"/>
  <c r="G8" i="1"/>
  <c r="G8" i="2" s="1"/>
  <c r="K8" i="1"/>
  <c r="K8" i="2" s="1"/>
  <c r="O8" i="1"/>
  <c r="O8" i="2" s="1"/>
  <c r="H8" i="1"/>
  <c r="H8" i="2" s="1"/>
  <c r="M8" i="1"/>
  <c r="M8" i="2" s="1"/>
  <c r="K55" i="1"/>
  <c r="K55" i="2" s="1"/>
  <c r="L55" i="1"/>
  <c r="I55" i="1"/>
  <c r="I55" i="2" s="1"/>
  <c r="M55" i="1"/>
  <c r="M55" i="2" s="1"/>
  <c r="Q55" i="1"/>
  <c r="Q55" i="2" s="1"/>
  <c r="N55" i="1"/>
  <c r="N55" i="2" s="1"/>
  <c r="J55" i="1"/>
  <c r="J55" i="2" s="1"/>
  <c r="G55" i="1"/>
  <c r="G55" i="2" s="1"/>
  <c r="P55" i="1"/>
  <c r="P55" i="2" s="1"/>
  <c r="F55" i="1"/>
  <c r="O55" i="1"/>
  <c r="O55" i="2" s="1"/>
  <c r="H55" i="1"/>
  <c r="H55" i="2" s="1"/>
  <c r="N11" i="27"/>
  <c r="N3" i="27"/>
  <c r="N7" i="27"/>
  <c r="N13" i="27"/>
  <c r="N9" i="27"/>
  <c r="N10" i="27"/>
  <c r="N6" i="27"/>
  <c r="N5" i="27"/>
  <c r="N4" i="27"/>
  <c r="N8" i="27"/>
  <c r="N2" i="27"/>
  <c r="N12" i="27"/>
  <c r="G54" i="1"/>
  <c r="G54" i="2" s="1"/>
  <c r="K54" i="1"/>
  <c r="K54" i="2" s="1"/>
  <c r="I54" i="1"/>
  <c r="I54" i="2" s="1"/>
  <c r="F54" i="1"/>
  <c r="O54" i="1"/>
  <c r="O54" i="2" s="1"/>
  <c r="L54" i="1"/>
  <c r="H54" i="1"/>
  <c r="H54" i="2" s="1"/>
  <c r="M54" i="1"/>
  <c r="M54" i="2" s="1"/>
  <c r="P54" i="1"/>
  <c r="P54" i="2" s="1"/>
  <c r="N54" i="1"/>
  <c r="N54" i="2" s="1"/>
  <c r="Q54" i="1"/>
  <c r="Q54" i="2" s="1"/>
  <c r="J54" i="1"/>
  <c r="J54" i="2" s="1"/>
  <c r="K9" i="1"/>
  <c r="K9" i="2" s="1"/>
  <c r="G9" i="1"/>
  <c r="G9" i="2" s="1"/>
  <c r="H9" i="1"/>
  <c r="H9" i="2" s="1"/>
  <c r="F9" i="1"/>
  <c r="P9" i="1"/>
  <c r="P9" i="2" s="1"/>
  <c r="Q9" i="1"/>
  <c r="Q9" i="2" s="1"/>
  <c r="O9" i="1"/>
  <c r="O9" i="2" s="1"/>
  <c r="L9" i="1"/>
  <c r="I9" i="1"/>
  <c r="I9" i="2" s="1"/>
  <c r="M9" i="1"/>
  <c r="M9" i="2" s="1"/>
  <c r="N9" i="1"/>
  <c r="N9" i="2" s="1"/>
  <c r="J9" i="1"/>
  <c r="J9" i="2" s="1"/>
  <c r="F73" i="28"/>
  <c r="S73" i="28"/>
  <c r="F42" i="1"/>
  <c r="P42" i="1"/>
  <c r="P42" i="2" s="1"/>
  <c r="N42" i="1"/>
  <c r="N42" i="2" s="1"/>
  <c r="O42" i="1"/>
  <c r="O42" i="2" s="1"/>
  <c r="K42" i="1"/>
  <c r="K42" i="2" s="1"/>
  <c r="I42" i="1"/>
  <c r="I42" i="2" s="1"/>
  <c r="J42" i="1"/>
  <c r="J42" i="2" s="1"/>
  <c r="L42" i="1"/>
  <c r="Q42" i="1"/>
  <c r="Q42" i="2" s="1"/>
  <c r="H42" i="1"/>
  <c r="H42" i="2" s="1"/>
  <c r="M42" i="1"/>
  <c r="M42" i="2" s="1"/>
  <c r="G42" i="1"/>
  <c r="G42" i="2" s="1"/>
  <c r="M53" i="1"/>
  <c r="M53" i="2" s="1"/>
  <c r="N53" i="1"/>
  <c r="N53" i="2" s="1"/>
  <c r="P53" i="1"/>
  <c r="P53" i="2" s="1"/>
  <c r="F53" i="1"/>
  <c r="O53" i="1"/>
  <c r="O53" i="2" s="1"/>
  <c r="K53" i="1"/>
  <c r="K53" i="2" s="1"/>
  <c r="I53" i="1"/>
  <c r="I53" i="2" s="1"/>
  <c r="G53" i="1"/>
  <c r="G53" i="2" s="1"/>
  <c r="Q53" i="1"/>
  <c r="Q53" i="2" s="1"/>
  <c r="J53" i="1"/>
  <c r="J53" i="2" s="1"/>
  <c r="H53" i="1"/>
  <c r="H53" i="2" s="1"/>
  <c r="L53" i="1"/>
  <c r="Q10" i="1"/>
  <c r="Q10" i="2" s="1"/>
  <c r="O10" i="1"/>
  <c r="O10" i="2" s="1"/>
  <c r="M10" i="1"/>
  <c r="M10" i="2" s="1"/>
  <c r="G10" i="1"/>
  <c r="G10" i="2" s="1"/>
  <c r="J10" i="1"/>
  <c r="J10" i="2" s="1"/>
  <c r="H10" i="1"/>
  <c r="H10" i="2" s="1"/>
  <c r="K10" i="1"/>
  <c r="K10" i="2" s="1"/>
  <c r="P10" i="1"/>
  <c r="P10" i="2" s="1"/>
  <c r="L10" i="1"/>
  <c r="F10" i="1"/>
  <c r="I10" i="1"/>
  <c r="I10" i="2" s="1"/>
  <c r="N10" i="1"/>
  <c r="N10" i="2" s="1"/>
  <c r="E57" i="1"/>
  <c r="E15" i="1"/>
  <c r="F9" i="2" l="1"/>
  <c r="R9" i="2" s="1"/>
  <c r="R9" i="1"/>
  <c r="F8" i="2"/>
  <c r="R8" i="2" s="1"/>
  <c r="R8" i="1"/>
  <c r="L39" i="2"/>
  <c r="L72" i="1"/>
  <c r="L73" i="1" s="1"/>
  <c r="L74" i="1" s="1"/>
  <c r="T39" i="1"/>
  <c r="U39" i="1" s="1"/>
  <c r="F12" i="2"/>
  <c r="R12" i="2" s="1"/>
  <c r="R12" i="1"/>
  <c r="L12" i="2"/>
  <c r="S12" i="2" s="1"/>
  <c r="T12" i="1"/>
  <c r="U12" i="1" s="1"/>
  <c r="P37" i="2"/>
  <c r="P57" i="2" s="1"/>
  <c r="P57" i="1"/>
  <c r="P16" i="20" s="1"/>
  <c r="F44" i="2"/>
  <c r="R44" i="2" s="1"/>
  <c r="R44" i="1"/>
  <c r="L7" i="2"/>
  <c r="T7" i="1"/>
  <c r="L15" i="1"/>
  <c r="F43" i="2"/>
  <c r="R43" i="2" s="1"/>
  <c r="R43" i="1"/>
  <c r="L46" i="2"/>
  <c r="S46" i="2" s="1"/>
  <c r="T46" i="1"/>
  <c r="U46" i="1" s="1"/>
  <c r="F41" i="2"/>
  <c r="R41" i="2" s="1"/>
  <c r="R41" i="1"/>
  <c r="H39" i="2"/>
  <c r="H72" i="1"/>
  <c r="H73" i="1" s="1"/>
  <c r="H74" i="1" s="1"/>
  <c r="F50" i="2"/>
  <c r="R50" i="2" s="1"/>
  <c r="R50" i="1"/>
  <c r="H37" i="2"/>
  <c r="H57" i="1"/>
  <c r="H7" i="2"/>
  <c r="H15" i="2" s="1"/>
  <c r="H15" i="1"/>
  <c r="L38" i="2"/>
  <c r="S38" i="2" s="1"/>
  <c r="T38" i="1"/>
  <c r="U38" i="1" s="1"/>
  <c r="L51" i="2"/>
  <c r="S51" i="2" s="1"/>
  <c r="T51" i="1"/>
  <c r="U51" i="1" s="1"/>
  <c r="R14" i="2"/>
  <c r="L13" i="2"/>
  <c r="S13" i="2" s="1"/>
  <c r="T13" i="1"/>
  <c r="U13" i="1" s="1"/>
  <c r="L48" i="2"/>
  <c r="S48" i="2" s="1"/>
  <c r="T48" i="1"/>
  <c r="U48" i="1" s="1"/>
  <c r="L49" i="2"/>
  <c r="S49" i="2" s="1"/>
  <c r="T49" i="1"/>
  <c r="U49" i="1" s="1"/>
  <c r="L54" i="2"/>
  <c r="S54" i="2" s="1"/>
  <c r="T54" i="1"/>
  <c r="U54" i="1" s="1"/>
  <c r="L8" i="2"/>
  <c r="S8" i="2" s="1"/>
  <c r="T8" i="1"/>
  <c r="U8" i="1" s="1"/>
  <c r="K39" i="2"/>
  <c r="K72" i="1"/>
  <c r="K73" i="1" s="1"/>
  <c r="K74" i="1" s="1"/>
  <c r="F52" i="2"/>
  <c r="R52" i="2" s="1"/>
  <c r="R52" i="1"/>
  <c r="O37" i="2"/>
  <c r="O57" i="2" s="1"/>
  <c r="O57" i="1"/>
  <c r="O16" i="20" s="1"/>
  <c r="N37" i="2"/>
  <c r="N57" i="1"/>
  <c r="J7" i="2"/>
  <c r="J15" i="2" s="1"/>
  <c r="J15" i="1"/>
  <c r="K7" i="2"/>
  <c r="K15" i="2" s="1"/>
  <c r="K15" i="1"/>
  <c r="L14" i="2"/>
  <c r="S14" i="2" s="1"/>
  <c r="T14" i="1"/>
  <c r="U14" i="1" s="1"/>
  <c r="F11" i="2"/>
  <c r="R11" i="2" s="1"/>
  <c r="R11" i="1"/>
  <c r="G37" i="2"/>
  <c r="G57" i="1"/>
  <c r="M37" i="2"/>
  <c r="M57" i="1"/>
  <c r="G7" i="2"/>
  <c r="G15" i="2" s="1"/>
  <c r="G15" i="1"/>
  <c r="N7" i="2"/>
  <c r="N15" i="2" s="1"/>
  <c r="N15" i="1"/>
  <c r="L43" i="2"/>
  <c r="S43" i="2" s="1"/>
  <c r="T43" i="1"/>
  <c r="U43" i="1" s="1"/>
  <c r="F38" i="2"/>
  <c r="R38" i="2" s="1"/>
  <c r="R38" i="1"/>
  <c r="F48" i="2"/>
  <c r="R48" i="2" s="1"/>
  <c r="R48" i="1"/>
  <c r="F10" i="2"/>
  <c r="R10" i="2" s="1"/>
  <c r="R10" i="1"/>
  <c r="L9" i="2"/>
  <c r="S9" i="2" s="1"/>
  <c r="T9" i="1"/>
  <c r="U9" i="1" s="1"/>
  <c r="F54" i="2"/>
  <c r="R54" i="2" s="1"/>
  <c r="R54" i="1"/>
  <c r="F39" i="2"/>
  <c r="F72" i="1"/>
  <c r="F73" i="1" s="1"/>
  <c r="F74" i="1" s="1"/>
  <c r="R39" i="1"/>
  <c r="L52" i="2"/>
  <c r="S52" i="2" s="1"/>
  <c r="T52" i="1"/>
  <c r="U52" i="1" s="1"/>
  <c r="L50" i="2"/>
  <c r="S50" i="2" s="1"/>
  <c r="T50" i="1"/>
  <c r="U50" i="1" s="1"/>
  <c r="J37" i="2"/>
  <c r="J57" i="1"/>
  <c r="K37" i="2"/>
  <c r="K57" i="1"/>
  <c r="L44" i="2"/>
  <c r="S44" i="2" s="1"/>
  <c r="T44" i="1"/>
  <c r="U44" i="1" s="1"/>
  <c r="Q7" i="2"/>
  <c r="Q15" i="2" s="1"/>
  <c r="Q15" i="1"/>
  <c r="Q15" i="20" s="1"/>
  <c r="I7" i="2"/>
  <c r="I15" i="2" s="1"/>
  <c r="I15" i="1"/>
  <c r="F46" i="2"/>
  <c r="R46" i="2" s="1"/>
  <c r="T46" i="2" s="1"/>
  <c r="R46" i="1"/>
  <c r="L40" i="2"/>
  <c r="S40" i="2" s="1"/>
  <c r="T40" i="1"/>
  <c r="U40" i="1" s="1"/>
  <c r="F45" i="2"/>
  <c r="R45" i="2" s="1"/>
  <c r="R45" i="1"/>
  <c r="F47" i="2"/>
  <c r="R47" i="2" s="1"/>
  <c r="R47" i="1"/>
  <c r="L47" i="2"/>
  <c r="S47" i="2" s="1"/>
  <c r="T47" i="1"/>
  <c r="U47" i="1" s="1"/>
  <c r="I39" i="2"/>
  <c r="I72" i="1"/>
  <c r="I73" i="1" s="1"/>
  <c r="I74" i="1" s="1"/>
  <c r="L11" i="2"/>
  <c r="S11" i="2" s="1"/>
  <c r="T11" i="1"/>
  <c r="U11" i="1" s="1"/>
  <c r="Q37" i="2"/>
  <c r="Q57" i="2" s="1"/>
  <c r="Q57" i="1"/>
  <c r="Q16" i="20" s="1"/>
  <c r="L37" i="2"/>
  <c r="L57" i="1"/>
  <c r="T37" i="1"/>
  <c r="O7" i="2"/>
  <c r="O15" i="2" s="1"/>
  <c r="O15" i="1"/>
  <c r="O15" i="20" s="1"/>
  <c r="F7" i="2"/>
  <c r="R7" i="1"/>
  <c r="F15" i="1"/>
  <c r="L41" i="2"/>
  <c r="S41" i="2" s="1"/>
  <c r="T41" i="1"/>
  <c r="U41" i="1" s="1"/>
  <c r="R13" i="2"/>
  <c r="F49" i="2"/>
  <c r="R49" i="2" s="1"/>
  <c r="T49" i="2" s="1"/>
  <c r="R49" i="1"/>
  <c r="L10" i="2"/>
  <c r="S10" i="2" s="1"/>
  <c r="T10" i="1"/>
  <c r="U10" i="1" s="1"/>
  <c r="L53" i="2"/>
  <c r="S53" i="2" s="1"/>
  <c r="T53" i="1"/>
  <c r="U53" i="1" s="1"/>
  <c r="F53" i="2"/>
  <c r="R53" i="2" s="1"/>
  <c r="R53" i="1"/>
  <c r="L42" i="2"/>
  <c r="S42" i="2" s="1"/>
  <c r="T42" i="1"/>
  <c r="U42" i="1" s="1"/>
  <c r="F55" i="2"/>
  <c r="R55" i="2" s="1"/>
  <c r="R55" i="1"/>
  <c r="L55" i="2"/>
  <c r="S55" i="2" s="1"/>
  <c r="T55" i="1"/>
  <c r="U55" i="1" s="1"/>
  <c r="M39" i="2"/>
  <c r="M72" i="1"/>
  <c r="M73" i="1" s="1"/>
  <c r="M74" i="1" s="1"/>
  <c r="G39" i="2"/>
  <c r="G72" i="1"/>
  <c r="G73" i="1" s="1"/>
  <c r="G74" i="1" s="1"/>
  <c r="F37" i="2"/>
  <c r="F57" i="1"/>
  <c r="R37" i="1"/>
  <c r="M7" i="2"/>
  <c r="M15" i="2" s="1"/>
  <c r="M15" i="1"/>
  <c r="L45" i="2"/>
  <c r="S45" i="2" s="1"/>
  <c r="T45" i="1"/>
  <c r="U45" i="1" s="1"/>
  <c r="F42" i="2"/>
  <c r="R42" i="2" s="1"/>
  <c r="R42" i="1"/>
  <c r="V73" i="28" a="1"/>
  <c r="V73" i="28" s="1"/>
  <c r="R73" i="28"/>
  <c r="T73" i="28" s="1"/>
  <c r="N39" i="2"/>
  <c r="N72" i="1"/>
  <c r="N73" i="1" s="1"/>
  <c r="N74" i="1" s="1"/>
  <c r="J39" i="2"/>
  <c r="J72" i="1"/>
  <c r="J73" i="1" s="1"/>
  <c r="J74" i="1" s="1"/>
  <c r="I37" i="2"/>
  <c r="I57" i="1"/>
  <c r="P7" i="2"/>
  <c r="P15" i="2" s="1"/>
  <c r="P15" i="1"/>
  <c r="P15" i="20" s="1"/>
  <c r="F51" i="2"/>
  <c r="R51" i="2" s="1"/>
  <c r="T51" i="2" s="1"/>
  <c r="R51" i="1"/>
  <c r="F40" i="2"/>
  <c r="R40" i="2" s="1"/>
  <c r="T40" i="2" s="1"/>
  <c r="R40" i="1"/>
  <c r="H57" i="2" l="1"/>
  <c r="T54" i="2"/>
  <c r="T13" i="2"/>
  <c r="I57" i="2"/>
  <c r="T38" i="2"/>
  <c r="T12" i="2"/>
  <c r="S41" i="1"/>
  <c r="V41" i="1"/>
  <c r="W41" i="1" s="1"/>
  <c r="S7" i="2"/>
  <c r="L15" i="2"/>
  <c r="V53" i="1"/>
  <c r="W53" i="1" s="1"/>
  <c r="S53" i="1"/>
  <c r="U37" i="1"/>
  <c r="T57" i="1"/>
  <c r="U57" i="1" s="1"/>
  <c r="S10" i="1"/>
  <c r="V10" i="1"/>
  <c r="W10" i="1" s="1"/>
  <c r="N67" i="1"/>
  <c r="N15" i="20"/>
  <c r="S11" i="1"/>
  <c r="V11" i="1"/>
  <c r="W11" i="1" s="1"/>
  <c r="N68" i="1"/>
  <c r="N16" i="20"/>
  <c r="H63" i="2"/>
  <c r="I15" i="26"/>
  <c r="T41" i="2"/>
  <c r="V44" i="1"/>
  <c r="W44" i="1" s="1"/>
  <c r="S44" i="1"/>
  <c r="O63" i="2"/>
  <c r="P15" i="26"/>
  <c r="H67" i="1"/>
  <c r="H15" i="20"/>
  <c r="S51" i="1"/>
  <c r="V51" i="1"/>
  <c r="W51" i="1" s="1"/>
  <c r="M67" i="1"/>
  <c r="M15" i="20"/>
  <c r="T53" i="2"/>
  <c r="L68" i="1"/>
  <c r="L16" i="20"/>
  <c r="V46" i="1"/>
  <c r="W46" i="1" s="1"/>
  <c r="S46" i="1"/>
  <c r="K68" i="1"/>
  <c r="K16" i="20"/>
  <c r="S39" i="1"/>
  <c r="V39" i="1"/>
  <c r="W39" i="1" s="1"/>
  <c r="T10" i="2"/>
  <c r="N63" i="2"/>
  <c r="O15" i="26"/>
  <c r="T11" i="2"/>
  <c r="N57" i="2"/>
  <c r="H68" i="1"/>
  <c r="H16" i="20"/>
  <c r="T44" i="2"/>
  <c r="J63" i="2"/>
  <c r="K15" i="26"/>
  <c r="M63" i="2"/>
  <c r="N15" i="26"/>
  <c r="L57" i="2"/>
  <c r="S37" i="2"/>
  <c r="K57" i="2"/>
  <c r="V48" i="1"/>
  <c r="W48" i="1" s="1"/>
  <c r="S48" i="1"/>
  <c r="G67" i="1"/>
  <c r="G15" i="20"/>
  <c r="T14" i="2"/>
  <c r="H65" i="2"/>
  <c r="I16" i="26"/>
  <c r="S39" i="2"/>
  <c r="F67" i="1"/>
  <c r="F15" i="20"/>
  <c r="V47" i="1"/>
  <c r="W47" i="1" s="1"/>
  <c r="S47" i="1"/>
  <c r="I67" i="1"/>
  <c r="I15" i="20"/>
  <c r="J68" i="1"/>
  <c r="J16" i="20"/>
  <c r="R39" i="2"/>
  <c r="T48" i="2"/>
  <c r="G63" i="2"/>
  <c r="H15" i="26"/>
  <c r="O65" i="2"/>
  <c r="P16" i="26"/>
  <c r="V50" i="1"/>
  <c r="W50" i="1" s="1"/>
  <c r="S50" i="1"/>
  <c r="V43" i="1"/>
  <c r="W43" i="1" s="1"/>
  <c r="S43" i="1"/>
  <c r="P65" i="2"/>
  <c r="Q16" i="26"/>
  <c r="V8" i="1"/>
  <c r="W8" i="1" s="1"/>
  <c r="S8" i="1"/>
  <c r="V37" i="1"/>
  <c r="S37" i="1"/>
  <c r="R57" i="1"/>
  <c r="S57" i="1" s="1"/>
  <c r="P63" i="2"/>
  <c r="Q15" i="26"/>
  <c r="F68" i="1"/>
  <c r="F16" i="20"/>
  <c r="S55" i="1"/>
  <c r="V55" i="1"/>
  <c r="W55" i="1" s="1"/>
  <c r="S7" i="1"/>
  <c r="V7" i="1"/>
  <c r="W7" i="1" s="1"/>
  <c r="Q65" i="2"/>
  <c r="R16" i="26"/>
  <c r="T47" i="2"/>
  <c r="I63" i="2"/>
  <c r="J15" i="26"/>
  <c r="J57" i="2"/>
  <c r="V54" i="1"/>
  <c r="W54" i="1" s="1"/>
  <c r="S54" i="1"/>
  <c r="V38" i="1"/>
  <c r="W38" i="1" s="1"/>
  <c r="S38" i="1"/>
  <c r="M68" i="1"/>
  <c r="M16" i="20"/>
  <c r="K67" i="1"/>
  <c r="K69" i="1" s="1"/>
  <c r="K70" i="1" s="1"/>
  <c r="K15" i="20"/>
  <c r="V52" i="1"/>
  <c r="W52" i="1" s="1"/>
  <c r="S52" i="1"/>
  <c r="T50" i="2"/>
  <c r="T43" i="2"/>
  <c r="T8" i="2"/>
  <c r="V40" i="1"/>
  <c r="W40" i="1" s="1"/>
  <c r="S40" i="1"/>
  <c r="G57" i="2"/>
  <c r="I68" i="1"/>
  <c r="I16" i="20"/>
  <c r="V42" i="1"/>
  <c r="W42" i="1" s="1"/>
  <c r="S42" i="1"/>
  <c r="F57" i="2"/>
  <c r="R37" i="2"/>
  <c r="T55" i="2"/>
  <c r="R7" i="2"/>
  <c r="F15" i="2"/>
  <c r="S45" i="1"/>
  <c r="V45" i="1"/>
  <c r="W45" i="1" s="1"/>
  <c r="M57" i="2"/>
  <c r="K63" i="2"/>
  <c r="L15" i="26"/>
  <c r="T52" i="2"/>
  <c r="L67" i="1"/>
  <c r="L15" i="20"/>
  <c r="S9" i="1"/>
  <c r="V9" i="1"/>
  <c r="W9" i="1" s="1"/>
  <c r="I65" i="2"/>
  <c r="J16" i="26"/>
  <c r="T42" i="2"/>
  <c r="S49" i="1"/>
  <c r="V49" i="1"/>
  <c r="W49" i="1" s="1"/>
  <c r="T45" i="2"/>
  <c r="Q63" i="2"/>
  <c r="R15" i="26"/>
  <c r="G68" i="1"/>
  <c r="G16" i="20"/>
  <c r="J67" i="1"/>
  <c r="J15" i="20"/>
  <c r="U7" i="1"/>
  <c r="T15" i="1"/>
  <c r="U15" i="1" s="1"/>
  <c r="S12" i="1"/>
  <c r="V12" i="1"/>
  <c r="W12" i="1" s="1"/>
  <c r="T9" i="2"/>
  <c r="D20" i="21"/>
  <c r="J69" i="1" l="1"/>
  <c r="J70" i="1" s="1"/>
  <c r="T37" i="2"/>
  <c r="L69" i="1"/>
  <c r="L70" i="1" s="1"/>
  <c r="H69" i="1"/>
  <c r="H70" i="1" s="1"/>
  <c r="G69" i="1"/>
  <c r="G70" i="1" s="1"/>
  <c r="T39" i="2"/>
  <c r="I69" i="1"/>
  <c r="I70" i="1" s="1"/>
  <c r="Y9" i="1"/>
  <c r="X9" i="1"/>
  <c r="Y48" i="1"/>
  <c r="X48" i="1"/>
  <c r="Y39" i="1"/>
  <c r="X39" i="1"/>
  <c r="Y11" i="1"/>
  <c r="X11" i="1"/>
  <c r="Y42" i="1"/>
  <c r="X42" i="1"/>
  <c r="R16" i="1"/>
  <c r="R15" i="20"/>
  <c r="Y12" i="1"/>
  <c r="X12" i="1"/>
  <c r="F63" i="2"/>
  <c r="G15" i="26"/>
  <c r="R15" i="2"/>
  <c r="Y52" i="1"/>
  <c r="X52" i="1"/>
  <c r="Y54" i="1"/>
  <c r="X54" i="1"/>
  <c r="X7" i="1"/>
  <c r="Y7" i="1"/>
  <c r="X43" i="1"/>
  <c r="Y43" i="1"/>
  <c r="F69" i="1"/>
  <c r="F70" i="1" s="1"/>
  <c r="K65" i="2"/>
  <c r="L16" i="26"/>
  <c r="Y53" i="1"/>
  <c r="X53" i="1"/>
  <c r="M65" i="2"/>
  <c r="N16" i="26"/>
  <c r="Y38" i="1"/>
  <c r="X38" i="1"/>
  <c r="Y47" i="1"/>
  <c r="X47" i="1"/>
  <c r="T7" i="2"/>
  <c r="G65" i="2"/>
  <c r="H16" i="26"/>
  <c r="J65" i="2"/>
  <c r="K16" i="26"/>
  <c r="M69" i="1"/>
  <c r="M70" i="1" s="1"/>
  <c r="Y44" i="1"/>
  <c r="X44" i="1"/>
  <c r="L63" i="2"/>
  <c r="M15" i="26"/>
  <c r="S15" i="2"/>
  <c r="S63" i="2" s="1"/>
  <c r="X49" i="1"/>
  <c r="Y49" i="1"/>
  <c r="L65" i="2"/>
  <c r="M16" i="26"/>
  <c r="S57" i="2"/>
  <c r="S65" i="2" s="1"/>
  <c r="N65" i="2"/>
  <c r="O16" i="26"/>
  <c r="X51" i="1"/>
  <c r="Y51" i="1"/>
  <c r="N69" i="1"/>
  <c r="N70" i="1" s="1"/>
  <c r="X45" i="1"/>
  <c r="Y45" i="1"/>
  <c r="Y55" i="1"/>
  <c r="X55" i="1"/>
  <c r="V57" i="1"/>
  <c r="W57" i="1" s="1"/>
  <c r="W37" i="1"/>
  <c r="Y40" i="1"/>
  <c r="X40" i="1"/>
  <c r="Y10" i="1"/>
  <c r="X10" i="1"/>
  <c r="X41" i="1"/>
  <c r="Y41" i="1"/>
  <c r="X50" i="1"/>
  <c r="Y50" i="1"/>
  <c r="O20" i="21"/>
  <c r="O67" i="21" s="1"/>
  <c r="H20" i="21"/>
  <c r="L20" i="21"/>
  <c r="G20" i="21"/>
  <c r="P20" i="21"/>
  <c r="P67" i="21" s="1"/>
  <c r="I20" i="21"/>
  <c r="J20" i="21"/>
  <c r="F20" i="21"/>
  <c r="M20" i="21"/>
  <c r="N20" i="21"/>
  <c r="N67" i="21" s="1"/>
  <c r="K20" i="21"/>
  <c r="E20" i="21"/>
  <c r="F65" i="2"/>
  <c r="R57" i="2"/>
  <c r="G16" i="26"/>
  <c r="R16" i="20"/>
  <c r="Y8" i="1"/>
  <c r="X8" i="1"/>
  <c r="Y46" i="1"/>
  <c r="X46" i="1"/>
  <c r="D37" i="21"/>
  <c r="Z8" i="1" l="1"/>
  <c r="AA8" i="1" s="1"/>
  <c r="Z10" i="1"/>
  <c r="AA10" i="1" s="1"/>
  <c r="T65" i="2"/>
  <c r="Z47" i="1"/>
  <c r="AA47" i="1" s="1"/>
  <c r="Z48" i="1"/>
  <c r="AA48" i="1" s="1"/>
  <c r="Z55" i="1"/>
  <c r="AA55" i="1" s="1"/>
  <c r="Z45" i="1"/>
  <c r="AA45" i="1" s="1"/>
  <c r="Z38" i="1"/>
  <c r="AA38" i="1" s="1"/>
  <c r="Z42" i="1"/>
  <c r="AA42" i="1" s="1"/>
  <c r="Z43" i="1"/>
  <c r="AA43" i="1" s="1"/>
  <c r="Z51" i="1"/>
  <c r="AA51" i="1" s="1"/>
  <c r="S16" i="26"/>
  <c r="Z7" i="1"/>
  <c r="AA7" i="1" s="1"/>
  <c r="Z39" i="1"/>
  <c r="AA39" i="1" s="1"/>
  <c r="J19" i="23"/>
  <c r="J36" i="23" s="1"/>
  <c r="J37" i="21"/>
  <c r="J67" i="21"/>
  <c r="Z50" i="1"/>
  <c r="AA50" i="1" s="1"/>
  <c r="R63" i="2"/>
  <c r="T15" i="2"/>
  <c r="F37" i="21"/>
  <c r="F19" i="23"/>
  <c r="F36" i="23" s="1"/>
  <c r="F67" i="21"/>
  <c r="I37" i="21"/>
  <c r="I19" i="23"/>
  <c r="I36" i="23" s="1"/>
  <c r="I67" i="21"/>
  <c r="S15" i="26"/>
  <c r="P19" i="23"/>
  <c r="P36" i="23" s="1"/>
  <c r="P37" i="21"/>
  <c r="T63" i="2"/>
  <c r="Z12" i="1"/>
  <c r="AA12" i="1" s="1"/>
  <c r="R65" i="2"/>
  <c r="T57" i="2"/>
  <c r="K37" i="21"/>
  <c r="K19" i="23"/>
  <c r="K67" i="21"/>
  <c r="S20" i="21"/>
  <c r="T20" i="21" s="1"/>
  <c r="L37" i="21"/>
  <c r="L19" i="23"/>
  <c r="L36" i="23" s="1"/>
  <c r="L67" i="21"/>
  <c r="Z41" i="1"/>
  <c r="AA41" i="1" s="1"/>
  <c r="Z40" i="1"/>
  <c r="AA40" i="1" s="1"/>
  <c r="Z49" i="1"/>
  <c r="AA49" i="1" s="1"/>
  <c r="Z53" i="1"/>
  <c r="AA53" i="1" s="1"/>
  <c r="Z54" i="1"/>
  <c r="AA54" i="1" s="1"/>
  <c r="R22" i="1"/>
  <c r="S22" i="1" s="1"/>
  <c r="S16" i="1"/>
  <c r="V16" i="1"/>
  <c r="E19" i="23"/>
  <c r="E37" i="21"/>
  <c r="E67" i="21"/>
  <c r="Q20" i="21"/>
  <c r="N37" i="21"/>
  <c r="N19" i="23"/>
  <c r="N36" i="23" s="1"/>
  <c r="H19" i="23"/>
  <c r="H36" i="23" s="1"/>
  <c r="H37" i="21"/>
  <c r="H67" i="21"/>
  <c r="G37" i="21"/>
  <c r="G19" i="23"/>
  <c r="G36" i="23" s="1"/>
  <c r="G67" i="21"/>
  <c r="Z46" i="1"/>
  <c r="AA46" i="1" s="1"/>
  <c r="M37" i="21"/>
  <c r="M19" i="23"/>
  <c r="M36" i="23" s="1"/>
  <c r="M67" i="21"/>
  <c r="O37" i="21"/>
  <c r="O19" i="23"/>
  <c r="O36" i="23" s="1"/>
  <c r="X37" i="1"/>
  <c r="Y37" i="1"/>
  <c r="Z44" i="1"/>
  <c r="AA44" i="1" s="1"/>
  <c r="Z52" i="1"/>
  <c r="AA52" i="1" s="1"/>
  <c r="Z11" i="1"/>
  <c r="AA11" i="1" s="1"/>
  <c r="Z9" i="1"/>
  <c r="AA9" i="1" s="1"/>
  <c r="Y57" i="1"/>
  <c r="X57" i="1"/>
  <c r="E36" i="23" l="1"/>
  <c r="Q36" i="23" s="1"/>
  <c r="Q19" i="23"/>
  <c r="K36" i="23"/>
  <c r="R36" i="23" s="1"/>
  <c r="R19" i="23"/>
  <c r="W16" i="1"/>
  <c r="V22" i="1"/>
  <c r="W22" i="1" s="1"/>
  <c r="S37" i="21"/>
  <c r="T37" i="21" s="1"/>
  <c r="Z57" i="1"/>
  <c r="Z37" i="1"/>
  <c r="AA37" i="1" s="1"/>
  <c r="R20" i="21"/>
  <c r="U20" i="21"/>
  <c r="V20" i="21" s="1"/>
  <c r="W20" i="21" s="1"/>
  <c r="Q37" i="21"/>
  <c r="D15" i="21"/>
  <c r="D17" i="21"/>
  <c r="D13" i="21"/>
  <c r="D14" i="21"/>
  <c r="AA57" i="1" l="1"/>
  <c r="O14" i="21"/>
  <c r="O13" i="23" s="1"/>
  <c r="L14" i="21"/>
  <c r="L13" i="23" s="1"/>
  <c r="H14" i="21"/>
  <c r="H13" i="23" s="1"/>
  <c r="G14" i="21"/>
  <c r="G13" i="23" s="1"/>
  <c r="J14" i="21"/>
  <c r="J13" i="23" s="1"/>
  <c r="I14" i="21"/>
  <c r="I13" i="23" s="1"/>
  <c r="P14" i="21"/>
  <c r="P13" i="23" s="1"/>
  <c r="F14" i="21"/>
  <c r="F13" i="23" s="1"/>
  <c r="E14" i="21"/>
  <c r="M14" i="21"/>
  <c r="M13" i="23" s="1"/>
  <c r="K14" i="21"/>
  <c r="N14" i="21"/>
  <c r="N13" i="23" s="1"/>
  <c r="R37" i="21"/>
  <c r="U37" i="21"/>
  <c r="V37" i="21" s="1"/>
  <c r="W37" i="21" s="1"/>
  <c r="F13" i="21"/>
  <c r="F12" i="23" s="1"/>
  <c r="H13" i="21"/>
  <c r="H12" i="23" s="1"/>
  <c r="G13" i="21"/>
  <c r="G12" i="23" s="1"/>
  <c r="P13" i="21"/>
  <c r="P12" i="23" s="1"/>
  <c r="O13" i="21"/>
  <c r="O12" i="23" s="1"/>
  <c r="I13" i="21"/>
  <c r="I12" i="23" s="1"/>
  <c r="L13" i="21"/>
  <c r="L12" i="23" s="1"/>
  <c r="J13" i="21"/>
  <c r="J12" i="23" s="1"/>
  <c r="K13" i="21"/>
  <c r="E13" i="21"/>
  <c r="N13" i="21"/>
  <c r="N12" i="23" s="1"/>
  <c r="M13" i="21"/>
  <c r="M12" i="23" s="1"/>
  <c r="F17" i="21"/>
  <c r="F16" i="23" s="1"/>
  <c r="O17" i="21"/>
  <c r="O16" i="23" s="1"/>
  <c r="L17" i="21"/>
  <c r="L16" i="23" s="1"/>
  <c r="H17" i="21"/>
  <c r="H16" i="23" s="1"/>
  <c r="I17" i="21"/>
  <c r="I16" i="23" s="1"/>
  <c r="J17" i="21"/>
  <c r="J16" i="23" s="1"/>
  <c r="P17" i="21"/>
  <c r="P16" i="23" s="1"/>
  <c r="G17" i="21"/>
  <c r="G16" i="23" s="1"/>
  <c r="E17" i="21"/>
  <c r="M17" i="21"/>
  <c r="M16" i="23" s="1"/>
  <c r="N17" i="21"/>
  <c r="N16" i="23" s="1"/>
  <c r="K17" i="21"/>
  <c r="S19" i="23"/>
  <c r="S36" i="23"/>
  <c r="J15" i="21"/>
  <c r="J14" i="23" s="1"/>
  <c r="F15" i="21"/>
  <c r="F14" i="23" s="1"/>
  <c r="O15" i="21"/>
  <c r="O14" i="23" s="1"/>
  <c r="L15" i="21"/>
  <c r="L14" i="23" s="1"/>
  <c r="H15" i="21"/>
  <c r="H14" i="23" s="1"/>
  <c r="P15" i="21"/>
  <c r="P14" i="23" s="1"/>
  <c r="I15" i="21"/>
  <c r="I14" i="23" s="1"/>
  <c r="K15" i="21"/>
  <c r="M15" i="21"/>
  <c r="M14" i="23" s="1"/>
  <c r="G15" i="21"/>
  <c r="G14" i="23" s="1"/>
  <c r="E15" i="21"/>
  <c r="N15" i="21"/>
  <c r="N14" i="23" s="1"/>
  <c r="X20" i="21"/>
  <c r="Y20" i="21" s="1"/>
  <c r="Z20" i="21" s="1"/>
  <c r="X22" i="1"/>
  <c r="Y22" i="1"/>
  <c r="X16" i="1"/>
  <c r="Y16" i="1"/>
  <c r="D16" i="21"/>
  <c r="D7" i="21"/>
  <c r="Z37" i="21" l="1"/>
  <c r="Z16" i="1"/>
  <c r="AA16" i="1" s="1"/>
  <c r="E13" i="23"/>
  <c r="Q13" i="23" s="1"/>
  <c r="Q14" i="21"/>
  <c r="K14" i="23"/>
  <c r="R14" i="23" s="1"/>
  <c r="S15" i="21"/>
  <c r="T15" i="21" s="1"/>
  <c r="E12" i="23"/>
  <c r="Q12" i="23" s="1"/>
  <c r="Q13" i="21"/>
  <c r="Z22" i="1"/>
  <c r="K12" i="23"/>
  <c r="R12" i="23" s="1"/>
  <c r="S13" i="21"/>
  <c r="T13" i="21" s="1"/>
  <c r="K16" i="23"/>
  <c r="R16" i="23" s="1"/>
  <c r="S17" i="21"/>
  <c r="T17" i="21" s="1"/>
  <c r="X37" i="21"/>
  <c r="Y37" i="21" s="1"/>
  <c r="P7" i="21"/>
  <c r="L7" i="21"/>
  <c r="I7" i="21"/>
  <c r="G7" i="21"/>
  <c r="J7" i="21"/>
  <c r="F7" i="21"/>
  <c r="O7" i="21"/>
  <c r="H7" i="21"/>
  <c r="N7" i="21"/>
  <c r="M7" i="21"/>
  <c r="K7" i="21"/>
  <c r="E7" i="21"/>
  <c r="P16" i="21"/>
  <c r="P15" i="23" s="1"/>
  <c r="I16" i="21"/>
  <c r="I15" i="23" s="1"/>
  <c r="J16" i="21"/>
  <c r="J15" i="23" s="1"/>
  <c r="F16" i="21"/>
  <c r="F15" i="23" s="1"/>
  <c r="O16" i="21"/>
  <c r="O15" i="23" s="1"/>
  <c r="H16" i="21"/>
  <c r="H15" i="23" s="1"/>
  <c r="L16" i="21"/>
  <c r="L15" i="23" s="1"/>
  <c r="G16" i="21"/>
  <c r="G15" i="23" s="1"/>
  <c r="M16" i="21"/>
  <c r="M15" i="23" s="1"/>
  <c r="K16" i="21"/>
  <c r="N16" i="21"/>
  <c r="N15" i="23" s="1"/>
  <c r="E16" i="21"/>
  <c r="E14" i="23"/>
  <c r="Q14" i="23" s="1"/>
  <c r="S14" i="23" s="1"/>
  <c r="Q15" i="21"/>
  <c r="E16" i="23"/>
  <c r="Q16" i="23" s="1"/>
  <c r="Q17" i="21"/>
  <c r="K13" i="23"/>
  <c r="R13" i="23" s="1"/>
  <c r="S14" i="21"/>
  <c r="T14" i="21" s="1"/>
  <c r="AA22" i="1" l="1"/>
  <c r="S16" i="23"/>
  <c r="K6" i="23"/>
  <c r="S7" i="21"/>
  <c r="T7" i="21" s="1"/>
  <c r="I6" i="23"/>
  <c r="M6" i="23"/>
  <c r="L6" i="23"/>
  <c r="R15" i="21"/>
  <c r="U15" i="21"/>
  <c r="V15" i="21" s="1"/>
  <c r="W15" i="21" s="1"/>
  <c r="H6" i="23"/>
  <c r="S12" i="23"/>
  <c r="N6" i="23"/>
  <c r="O6" i="23"/>
  <c r="K15" i="23"/>
  <c r="R15" i="23" s="1"/>
  <c r="S16" i="21"/>
  <c r="T16" i="21" s="1"/>
  <c r="F6" i="23"/>
  <c r="U13" i="21"/>
  <c r="V13" i="21" s="1"/>
  <c r="W13" i="21" s="1"/>
  <c r="R13" i="21"/>
  <c r="J6" i="23"/>
  <c r="R14" i="21"/>
  <c r="U14" i="21"/>
  <c r="V14" i="21" s="1"/>
  <c r="W14" i="21" s="1"/>
  <c r="P6" i="23"/>
  <c r="E15" i="23"/>
  <c r="Q15" i="23" s="1"/>
  <c r="Q16" i="21"/>
  <c r="R17" i="21"/>
  <c r="U17" i="21"/>
  <c r="V17" i="21" s="1"/>
  <c r="W17" i="21" s="1"/>
  <c r="E6" i="23"/>
  <c r="Q7" i="21"/>
  <c r="G6" i="23"/>
  <c r="S13" i="23"/>
  <c r="D50" i="22"/>
  <c r="S15" i="23" l="1"/>
  <c r="X13" i="21"/>
  <c r="Y13" i="21" s="1"/>
  <c r="Z13" i="21" s="1"/>
  <c r="R16" i="21"/>
  <c r="U16" i="21"/>
  <c r="V16" i="21" s="1"/>
  <c r="W16" i="21" s="1"/>
  <c r="X14" i="21"/>
  <c r="Y14" i="21" s="1"/>
  <c r="Z14" i="21" s="1"/>
  <c r="Q6" i="23"/>
  <c r="X15" i="21"/>
  <c r="Y15" i="21" s="1"/>
  <c r="Z15" i="21" s="1"/>
  <c r="J50" i="22"/>
  <c r="O50" i="22"/>
  <c r="G50" i="22"/>
  <c r="P50" i="22"/>
  <c r="H50" i="22"/>
  <c r="E50" i="22"/>
  <c r="L50" i="22"/>
  <c r="M50" i="22"/>
  <c r="K50" i="22"/>
  <c r="F50" i="22"/>
  <c r="I50" i="22"/>
  <c r="N50" i="22"/>
  <c r="R7" i="21"/>
  <c r="U7" i="21"/>
  <c r="V7" i="21" s="1"/>
  <c r="W7" i="21" s="1"/>
  <c r="X17" i="21"/>
  <c r="Y17" i="21" s="1"/>
  <c r="Z17" i="21" s="1"/>
  <c r="R6" i="23"/>
  <c r="D52" i="21"/>
  <c r="D51" i="22"/>
  <c r="E51" i="22" l="1"/>
  <c r="E54" i="22" s="1"/>
  <c r="J51" i="22"/>
  <c r="O51" i="22"/>
  <c r="O51" i="24" s="1"/>
  <c r="P51" i="22"/>
  <c r="P51" i="24" s="1"/>
  <c r="H51" i="22"/>
  <c r="H54" i="22" s="1"/>
  <c r="I23" i="20" s="1"/>
  <c r="N51" i="22"/>
  <c r="N51" i="24" s="1"/>
  <c r="L51" i="22"/>
  <c r="L54" i="22" s="1"/>
  <c r="M23" i="20" s="1"/>
  <c r="M51" i="22"/>
  <c r="M54" i="22" s="1"/>
  <c r="N23" i="20" s="1"/>
  <c r="K51" i="22"/>
  <c r="K54" i="22" s="1"/>
  <c r="F51" i="22"/>
  <c r="I51" i="22"/>
  <c r="I54" i="22" s="1"/>
  <c r="J23" i="20" s="1"/>
  <c r="G51" i="22"/>
  <c r="N50" i="24"/>
  <c r="N54" i="22"/>
  <c r="O23" i="20" s="1"/>
  <c r="P50" i="24"/>
  <c r="H52" i="21"/>
  <c r="L52" i="21"/>
  <c r="G52" i="21"/>
  <c r="P52" i="21"/>
  <c r="P72" i="21" s="1"/>
  <c r="P73" i="21" s="1"/>
  <c r="I52" i="21"/>
  <c r="J52" i="21"/>
  <c r="F52" i="21"/>
  <c r="O52" i="21"/>
  <c r="O72" i="21" s="1"/>
  <c r="O73" i="21" s="1"/>
  <c r="M52" i="21"/>
  <c r="N52" i="21"/>
  <c r="N72" i="21" s="1"/>
  <c r="N73" i="21" s="1"/>
  <c r="K52" i="21"/>
  <c r="E52" i="21"/>
  <c r="I50" i="24"/>
  <c r="I70" i="22"/>
  <c r="G50" i="24"/>
  <c r="G70" i="22"/>
  <c r="F50" i="24"/>
  <c r="F54" i="22"/>
  <c r="G23" i="20" s="1"/>
  <c r="F70" i="22"/>
  <c r="O50" i="24"/>
  <c r="J54" i="22"/>
  <c r="K23" i="20" s="1"/>
  <c r="J50" i="24"/>
  <c r="J70" i="22"/>
  <c r="M50" i="24"/>
  <c r="M70" i="22"/>
  <c r="H50" i="24"/>
  <c r="H70" i="22"/>
  <c r="X16" i="21"/>
  <c r="Y16" i="21" s="1"/>
  <c r="Z16" i="21" s="1"/>
  <c r="L50" i="24"/>
  <c r="L70" i="22"/>
  <c r="K50" i="24"/>
  <c r="K70" i="22"/>
  <c r="S50" i="22"/>
  <c r="T50" i="22" s="1"/>
  <c r="X7" i="21"/>
  <c r="Y7" i="21" s="1"/>
  <c r="Z7" i="21" s="1"/>
  <c r="E50" i="24"/>
  <c r="E70" i="22"/>
  <c r="Q50" i="22"/>
  <c r="S6" i="23"/>
  <c r="D55" i="21"/>
  <c r="E23" i="20"/>
  <c r="D54" i="22"/>
  <c r="P54" i="22" l="1"/>
  <c r="Q23" i="20" s="1"/>
  <c r="O54" i="22"/>
  <c r="P23" i="20" s="1"/>
  <c r="R50" i="24"/>
  <c r="O51" i="23"/>
  <c r="O55" i="21"/>
  <c r="P20" i="20" s="1"/>
  <c r="M51" i="24"/>
  <c r="M71" i="22"/>
  <c r="M72" i="22" s="1"/>
  <c r="R50" i="22"/>
  <c r="U50" i="22"/>
  <c r="V50" i="22" s="1"/>
  <c r="L23" i="20"/>
  <c r="F51" i="23"/>
  <c r="F72" i="21"/>
  <c r="F73" i="21" s="1"/>
  <c r="F55" i="21"/>
  <c r="G20" i="20" s="1"/>
  <c r="L51" i="24"/>
  <c r="L71" i="22"/>
  <c r="L72" i="22" s="1"/>
  <c r="J51" i="23"/>
  <c r="J72" i="21"/>
  <c r="J73" i="21" s="1"/>
  <c r="J55" i="21"/>
  <c r="K20" i="20" s="1"/>
  <c r="F23" i="20"/>
  <c r="I51" i="23"/>
  <c r="I72" i="21"/>
  <c r="I73" i="21" s="1"/>
  <c r="I55" i="21"/>
  <c r="J20" i="20" s="1"/>
  <c r="H51" i="24"/>
  <c r="H71" i="22"/>
  <c r="H72" i="22" s="1"/>
  <c r="E51" i="23"/>
  <c r="E72" i="21"/>
  <c r="E73" i="21" s="1"/>
  <c r="Q52" i="21"/>
  <c r="E55" i="21"/>
  <c r="P51" i="23"/>
  <c r="P55" i="21"/>
  <c r="Q20" i="20" s="1"/>
  <c r="G51" i="24"/>
  <c r="G71" i="22"/>
  <c r="G72" i="22" s="1"/>
  <c r="Q50" i="24"/>
  <c r="S50" i="24" s="1"/>
  <c r="K51" i="23"/>
  <c r="K72" i="21"/>
  <c r="K73" i="21" s="1"/>
  <c r="S52" i="21"/>
  <c r="T52" i="21" s="1"/>
  <c r="K55" i="21"/>
  <c r="G51" i="23"/>
  <c r="G72" i="21"/>
  <c r="G73" i="21" s="1"/>
  <c r="G55" i="21"/>
  <c r="H20" i="20" s="1"/>
  <c r="I51" i="24"/>
  <c r="I71" i="22"/>
  <c r="I72" i="22" s="1"/>
  <c r="N51" i="23"/>
  <c r="N55" i="21"/>
  <c r="O20" i="20" s="1"/>
  <c r="L51" i="23"/>
  <c r="L72" i="21"/>
  <c r="L73" i="21" s="1"/>
  <c r="L55" i="21"/>
  <c r="M20" i="20" s="1"/>
  <c r="F51" i="24"/>
  <c r="F71" i="22"/>
  <c r="F72" i="22" s="1"/>
  <c r="J51" i="24"/>
  <c r="J71" i="22"/>
  <c r="J72" i="22" s="1"/>
  <c r="G54" i="22"/>
  <c r="H23" i="20" s="1"/>
  <c r="M51" i="23"/>
  <c r="M72" i="21"/>
  <c r="M73" i="21" s="1"/>
  <c r="M55" i="21"/>
  <c r="N20" i="20" s="1"/>
  <c r="H51" i="23"/>
  <c r="H72" i="21"/>
  <c r="H73" i="21" s="1"/>
  <c r="H55" i="21"/>
  <c r="I20" i="20" s="1"/>
  <c r="K51" i="24"/>
  <c r="K71" i="22"/>
  <c r="K72" i="22" s="1"/>
  <c r="S51" i="22"/>
  <c r="T51" i="22" s="1"/>
  <c r="E51" i="24"/>
  <c r="E71" i="22"/>
  <c r="E72" i="22" s="1"/>
  <c r="Q51" i="22"/>
  <c r="D53" i="21"/>
  <c r="D52" i="22"/>
  <c r="W50" i="22" l="1"/>
  <c r="X50" i="22" s="1"/>
  <c r="S54" i="22"/>
  <c r="T54" i="22" s="1"/>
  <c r="Q54" i="22"/>
  <c r="R51" i="23"/>
  <c r="R23" i="20"/>
  <c r="Q51" i="23"/>
  <c r="F20" i="20"/>
  <c r="Q55" i="21"/>
  <c r="H52" i="22"/>
  <c r="H52" i="24" s="1"/>
  <c r="E52" i="22"/>
  <c r="J52" i="22"/>
  <c r="J52" i="24" s="1"/>
  <c r="O52" i="22"/>
  <c r="O52" i="24" s="1"/>
  <c r="P52" i="22"/>
  <c r="P52" i="24" s="1"/>
  <c r="N52" i="22"/>
  <c r="N52" i="24" s="1"/>
  <c r="L52" i="22"/>
  <c r="L52" i="24" s="1"/>
  <c r="M52" i="22"/>
  <c r="M52" i="24" s="1"/>
  <c r="K52" i="22"/>
  <c r="F52" i="22"/>
  <c r="F52" i="24" s="1"/>
  <c r="I52" i="22"/>
  <c r="I52" i="24" s="1"/>
  <c r="G52" i="22"/>
  <c r="G52" i="24" s="1"/>
  <c r="U51" i="22"/>
  <c r="V51" i="22" s="1"/>
  <c r="R51" i="22"/>
  <c r="R52" i="21"/>
  <c r="U52" i="21"/>
  <c r="V52" i="21" s="1"/>
  <c r="W52" i="21" s="1"/>
  <c r="O53" i="21"/>
  <c r="O52" i="23" s="1"/>
  <c r="H53" i="21"/>
  <c r="H52" i="23" s="1"/>
  <c r="L53" i="21"/>
  <c r="L52" i="23" s="1"/>
  <c r="G53" i="21"/>
  <c r="G52" i="23" s="1"/>
  <c r="P53" i="21"/>
  <c r="P52" i="23" s="1"/>
  <c r="I53" i="21"/>
  <c r="I52" i="23" s="1"/>
  <c r="J53" i="21"/>
  <c r="J52" i="23" s="1"/>
  <c r="F53" i="21"/>
  <c r="F52" i="23" s="1"/>
  <c r="M53" i="21"/>
  <c r="M52" i="23" s="1"/>
  <c r="N53" i="21"/>
  <c r="N52" i="23" s="1"/>
  <c r="K53" i="21"/>
  <c r="E53" i="21"/>
  <c r="Q51" i="24"/>
  <c r="S51" i="23"/>
  <c r="U54" i="22"/>
  <c r="V54" i="22" s="1"/>
  <c r="R54" i="22"/>
  <c r="R51" i="24"/>
  <c r="L20" i="20"/>
  <c r="S55" i="21"/>
  <c r="T55" i="21" s="1"/>
  <c r="D9" i="21"/>
  <c r="D10" i="21"/>
  <c r="D11" i="21"/>
  <c r="D12" i="21"/>
  <c r="W51" i="22" l="1"/>
  <c r="X51" i="22" s="1"/>
  <c r="W54" i="22"/>
  <c r="X54" i="22" s="1"/>
  <c r="Y50" i="22"/>
  <c r="Z50" i="22" s="1"/>
  <c r="E52" i="23"/>
  <c r="Q52" i="23" s="1"/>
  <c r="Q53" i="21"/>
  <c r="J11" i="21"/>
  <c r="J10" i="23" s="1"/>
  <c r="F11" i="21"/>
  <c r="F10" i="23" s="1"/>
  <c r="O11" i="21"/>
  <c r="O10" i="23" s="1"/>
  <c r="H11" i="21"/>
  <c r="H10" i="23" s="1"/>
  <c r="G11" i="21"/>
  <c r="G10" i="23" s="1"/>
  <c r="L11" i="21"/>
  <c r="L10" i="23" s="1"/>
  <c r="P11" i="21"/>
  <c r="P10" i="23" s="1"/>
  <c r="I11" i="21"/>
  <c r="I10" i="23" s="1"/>
  <c r="E11" i="21"/>
  <c r="M11" i="21"/>
  <c r="M10" i="23" s="1"/>
  <c r="K11" i="21"/>
  <c r="N11" i="21"/>
  <c r="N10" i="23" s="1"/>
  <c r="K52" i="23"/>
  <c r="R52" i="23" s="1"/>
  <c r="S53" i="21"/>
  <c r="T53" i="21" s="1"/>
  <c r="E52" i="24"/>
  <c r="Q52" i="24" s="1"/>
  <c r="Q52" i="22"/>
  <c r="F10" i="21"/>
  <c r="F9" i="23" s="1"/>
  <c r="O10" i="21"/>
  <c r="O9" i="23" s="1"/>
  <c r="G10" i="21"/>
  <c r="G9" i="23" s="1"/>
  <c r="J10" i="21"/>
  <c r="J9" i="23" s="1"/>
  <c r="P10" i="21"/>
  <c r="P9" i="23" s="1"/>
  <c r="L10" i="21"/>
  <c r="L9" i="23" s="1"/>
  <c r="H10" i="21"/>
  <c r="H9" i="23" s="1"/>
  <c r="I10" i="21"/>
  <c r="I9" i="23" s="1"/>
  <c r="K10" i="21"/>
  <c r="N10" i="21"/>
  <c r="N9" i="23" s="1"/>
  <c r="E10" i="21"/>
  <c r="M10" i="21"/>
  <c r="M9" i="23" s="1"/>
  <c r="K52" i="24"/>
  <c r="R52" i="24" s="1"/>
  <c r="S52" i="22"/>
  <c r="T52" i="22" s="1"/>
  <c r="F12" i="21"/>
  <c r="F11" i="23" s="1"/>
  <c r="O12" i="21"/>
  <c r="O11" i="23" s="1"/>
  <c r="L12" i="21"/>
  <c r="L11" i="23" s="1"/>
  <c r="H12" i="21"/>
  <c r="H11" i="23" s="1"/>
  <c r="P12" i="21"/>
  <c r="P11" i="23" s="1"/>
  <c r="I12" i="21"/>
  <c r="I11" i="23" s="1"/>
  <c r="J12" i="21"/>
  <c r="J11" i="23" s="1"/>
  <c r="G12" i="21"/>
  <c r="G11" i="23" s="1"/>
  <c r="E12" i="21"/>
  <c r="N12" i="21"/>
  <c r="N11" i="23" s="1"/>
  <c r="K12" i="21"/>
  <c r="M12" i="21"/>
  <c r="M11" i="23" s="1"/>
  <c r="S51" i="24"/>
  <c r="X52" i="21"/>
  <c r="Y52" i="21" s="1"/>
  <c r="Z52" i="21" s="1"/>
  <c r="R55" i="21"/>
  <c r="U55" i="21"/>
  <c r="V55" i="21" s="1"/>
  <c r="W55" i="21" s="1"/>
  <c r="H9" i="21"/>
  <c r="H8" i="23" s="1"/>
  <c r="O9" i="21"/>
  <c r="O8" i="23" s="1"/>
  <c r="P9" i="21"/>
  <c r="P8" i="23" s="1"/>
  <c r="I9" i="21"/>
  <c r="I8" i="23" s="1"/>
  <c r="G9" i="21"/>
  <c r="G8" i="23" s="1"/>
  <c r="J9" i="21"/>
  <c r="J8" i="23" s="1"/>
  <c r="L9" i="21"/>
  <c r="L8" i="23" s="1"/>
  <c r="F9" i="21"/>
  <c r="F8" i="23" s="1"/>
  <c r="K9" i="21"/>
  <c r="M9" i="21"/>
  <c r="M8" i="23" s="1"/>
  <c r="N9" i="21"/>
  <c r="N8" i="23" s="1"/>
  <c r="E9" i="21"/>
  <c r="R20" i="20"/>
  <c r="D8" i="21"/>
  <c r="F18" i="26"/>
  <c r="Y54" i="22" l="1"/>
  <c r="Z54" i="22" s="1"/>
  <c r="Y51" i="22"/>
  <c r="Z51" i="22" s="1"/>
  <c r="Z55" i="21"/>
  <c r="S52" i="23"/>
  <c r="P8" i="21"/>
  <c r="I8" i="21"/>
  <c r="J8" i="21"/>
  <c r="F8" i="21"/>
  <c r="O8" i="21"/>
  <c r="H8" i="21"/>
  <c r="L8" i="21"/>
  <c r="M8" i="21"/>
  <c r="N8" i="21"/>
  <c r="G8" i="21"/>
  <c r="K8" i="21"/>
  <c r="E8" i="21"/>
  <c r="E9" i="23"/>
  <c r="Q9" i="23" s="1"/>
  <c r="Q10" i="21"/>
  <c r="E8" i="23"/>
  <c r="Q8" i="23" s="1"/>
  <c r="Q9" i="21"/>
  <c r="K10" i="23"/>
  <c r="R10" i="23" s="1"/>
  <c r="S11" i="21"/>
  <c r="T11" i="21" s="1"/>
  <c r="K8" i="23"/>
  <c r="R8" i="23" s="1"/>
  <c r="S9" i="21"/>
  <c r="T9" i="21" s="1"/>
  <c r="R52" i="22"/>
  <c r="U52" i="22"/>
  <c r="V52" i="22" s="1"/>
  <c r="E10" i="23"/>
  <c r="Q10" i="23" s="1"/>
  <c r="Q11" i="21"/>
  <c r="K11" i="23"/>
  <c r="R11" i="23" s="1"/>
  <c r="S12" i="21"/>
  <c r="T12" i="21" s="1"/>
  <c r="K9" i="23"/>
  <c r="R9" i="23" s="1"/>
  <c r="S10" i="21"/>
  <c r="T10" i="21" s="1"/>
  <c r="X55" i="21"/>
  <c r="Y55" i="21" s="1"/>
  <c r="E11" i="23"/>
  <c r="Q11" i="23" s="1"/>
  <c r="Q12" i="21"/>
  <c r="S52" i="24"/>
  <c r="U53" i="21"/>
  <c r="V53" i="21" s="1"/>
  <c r="W53" i="21" s="1"/>
  <c r="R53" i="21"/>
  <c r="D19" i="21"/>
  <c r="E18" i="20"/>
  <c r="W52" i="22" l="1"/>
  <c r="X52" i="22" s="1"/>
  <c r="S10" i="23"/>
  <c r="S11" i="23"/>
  <c r="S8" i="23"/>
  <c r="S9" i="23"/>
  <c r="M7" i="23"/>
  <c r="M18" i="23" s="1"/>
  <c r="M19" i="21"/>
  <c r="L7" i="23"/>
  <c r="L18" i="23" s="1"/>
  <c r="L19" i="21"/>
  <c r="U10" i="21"/>
  <c r="V10" i="21" s="1"/>
  <c r="W10" i="21" s="1"/>
  <c r="R10" i="21"/>
  <c r="H7" i="23"/>
  <c r="H18" i="23" s="1"/>
  <c r="H19" i="21"/>
  <c r="O7" i="23"/>
  <c r="O18" i="23" s="1"/>
  <c r="O19" i="21"/>
  <c r="E7" i="23"/>
  <c r="Q8" i="21"/>
  <c r="E19" i="21"/>
  <c r="F7" i="23"/>
  <c r="F18" i="23" s="1"/>
  <c r="F19" i="21"/>
  <c r="U12" i="21"/>
  <c r="V12" i="21" s="1"/>
  <c r="W12" i="21" s="1"/>
  <c r="R12" i="21"/>
  <c r="U9" i="21"/>
  <c r="V9" i="21" s="1"/>
  <c r="W9" i="21" s="1"/>
  <c r="R9" i="21"/>
  <c r="K7" i="23"/>
  <c r="S8" i="21"/>
  <c r="T8" i="21" s="1"/>
  <c r="K19" i="21"/>
  <c r="J7" i="23"/>
  <c r="J18" i="23" s="1"/>
  <c r="J19" i="21"/>
  <c r="G7" i="23"/>
  <c r="G18" i="23" s="1"/>
  <c r="G19" i="21"/>
  <c r="I7" i="23"/>
  <c r="I18" i="23" s="1"/>
  <c r="I19" i="21"/>
  <c r="R11" i="21"/>
  <c r="U11" i="21"/>
  <c r="V11" i="21" s="1"/>
  <c r="W11" i="21" s="1"/>
  <c r="X53" i="21"/>
  <c r="Y53" i="21" s="1"/>
  <c r="Z53" i="21" s="1"/>
  <c r="N7" i="23"/>
  <c r="N18" i="23" s="1"/>
  <c r="N19" i="21"/>
  <c r="P7" i="23"/>
  <c r="P18" i="23" s="1"/>
  <c r="P19" i="21"/>
  <c r="Y52" i="22" l="1"/>
  <c r="Z52" i="22" s="1"/>
  <c r="P18" i="20"/>
  <c r="O63" i="21"/>
  <c r="Q18" i="20"/>
  <c r="P63" i="21"/>
  <c r="O18" i="20"/>
  <c r="N63" i="21"/>
  <c r="J58" i="23"/>
  <c r="L18" i="26"/>
  <c r="F63" i="21"/>
  <c r="G18" i="20"/>
  <c r="H58" i="23"/>
  <c r="J18" i="26"/>
  <c r="K63" i="21"/>
  <c r="S19" i="21"/>
  <c r="T19" i="21" s="1"/>
  <c r="L18" i="20"/>
  <c r="F58" i="23"/>
  <c r="H18" i="26"/>
  <c r="E63" i="21"/>
  <c r="F18" i="20"/>
  <c r="Q19" i="21"/>
  <c r="X10" i="21"/>
  <c r="Y10" i="21" s="1"/>
  <c r="Z10" i="21" s="1"/>
  <c r="X12" i="21"/>
  <c r="Y12" i="21" s="1"/>
  <c r="Z12" i="21" s="1"/>
  <c r="I63" i="21"/>
  <c r="J18" i="20"/>
  <c r="K18" i="23"/>
  <c r="R7" i="23"/>
  <c r="R8" i="21"/>
  <c r="U8" i="21"/>
  <c r="V8" i="21" s="1"/>
  <c r="W8" i="21" s="1"/>
  <c r="L63" i="21"/>
  <c r="M18" i="20"/>
  <c r="H63" i="21"/>
  <c r="I18" i="20"/>
  <c r="P58" i="23"/>
  <c r="R18" i="26"/>
  <c r="I58" i="23"/>
  <c r="K18" i="26"/>
  <c r="E18" i="23"/>
  <c r="Q7" i="23"/>
  <c r="L58" i="23"/>
  <c r="N18" i="26"/>
  <c r="X11" i="21"/>
  <c r="Y11" i="21" s="1"/>
  <c r="Z11" i="21" s="1"/>
  <c r="X9" i="21"/>
  <c r="Y9" i="21" s="1"/>
  <c r="Z9" i="21" s="1"/>
  <c r="M63" i="21"/>
  <c r="N18" i="20"/>
  <c r="J63" i="21"/>
  <c r="K18" i="20"/>
  <c r="G63" i="21"/>
  <c r="H18" i="20"/>
  <c r="N58" i="23"/>
  <c r="P18" i="26"/>
  <c r="G58" i="23"/>
  <c r="I18" i="26"/>
  <c r="O58" i="23"/>
  <c r="Q18" i="26"/>
  <c r="M58" i="23"/>
  <c r="O18" i="26"/>
  <c r="D47" i="21"/>
  <c r="D46" i="22"/>
  <c r="K58" i="23" l="1"/>
  <c r="R18" i="23"/>
  <c r="M18" i="26"/>
  <c r="U19" i="21"/>
  <c r="V19" i="21" s="1"/>
  <c r="W19" i="21" s="1"/>
  <c r="R19" i="21"/>
  <c r="R18" i="20"/>
  <c r="P46" i="22"/>
  <c r="P46" i="24" s="1"/>
  <c r="H46" i="22"/>
  <c r="H46" i="24" s="1"/>
  <c r="E46" i="22"/>
  <c r="J46" i="22"/>
  <c r="J46" i="24" s="1"/>
  <c r="O46" i="22"/>
  <c r="O46" i="24" s="1"/>
  <c r="N46" i="22"/>
  <c r="N46" i="24" s="1"/>
  <c r="L46" i="22"/>
  <c r="L46" i="24" s="1"/>
  <c r="M46" i="22"/>
  <c r="M46" i="24" s="1"/>
  <c r="K46" i="22"/>
  <c r="F46" i="22"/>
  <c r="F46" i="24" s="1"/>
  <c r="I46" i="22"/>
  <c r="I46" i="24" s="1"/>
  <c r="G46" i="22"/>
  <c r="G46" i="24" s="1"/>
  <c r="S7" i="23"/>
  <c r="Q18" i="23"/>
  <c r="E58" i="23"/>
  <c r="G18" i="26"/>
  <c r="L47" i="21"/>
  <c r="G47" i="21"/>
  <c r="P47" i="21"/>
  <c r="I47" i="21"/>
  <c r="J47" i="21"/>
  <c r="F47" i="21"/>
  <c r="O47" i="21"/>
  <c r="H47" i="21"/>
  <c r="M47" i="21"/>
  <c r="N47" i="21"/>
  <c r="K47" i="21"/>
  <c r="E47" i="21"/>
  <c r="X8" i="21"/>
  <c r="Y8" i="21" s="1"/>
  <c r="Z8" i="21" s="1"/>
  <c r="D49" i="21"/>
  <c r="D48" i="22"/>
  <c r="D37" i="22"/>
  <c r="D38" i="21"/>
  <c r="P46" i="23" l="1"/>
  <c r="P68" i="21"/>
  <c r="P69" i="21" s="1"/>
  <c r="P70" i="21" s="1"/>
  <c r="O46" i="23"/>
  <c r="O68" i="21"/>
  <c r="O69" i="21" s="1"/>
  <c r="O70" i="21" s="1"/>
  <c r="N46" i="23"/>
  <c r="N68" i="21"/>
  <c r="N69" i="21" s="1"/>
  <c r="N70" i="21" s="1"/>
  <c r="Z19" i="21"/>
  <c r="P37" i="22"/>
  <c r="H37" i="22"/>
  <c r="E37" i="22"/>
  <c r="J37" i="22"/>
  <c r="O37" i="22"/>
  <c r="L37" i="22"/>
  <c r="N37" i="22"/>
  <c r="M37" i="22"/>
  <c r="K37" i="22"/>
  <c r="F37" i="22"/>
  <c r="I37" i="22"/>
  <c r="G37" i="22"/>
  <c r="J46" i="23"/>
  <c r="J68" i="21"/>
  <c r="J69" i="21" s="1"/>
  <c r="J70" i="21" s="1"/>
  <c r="S18" i="26"/>
  <c r="E46" i="23"/>
  <c r="Q47" i="21"/>
  <c r="E68" i="21"/>
  <c r="E69" i="21" s="1"/>
  <c r="E70" i="21" s="1"/>
  <c r="I46" i="23"/>
  <c r="I68" i="21"/>
  <c r="I69" i="21" s="1"/>
  <c r="I70" i="21" s="1"/>
  <c r="Q58" i="23"/>
  <c r="X19" i="21"/>
  <c r="Y19" i="21" s="1"/>
  <c r="F46" i="23"/>
  <c r="F68" i="21"/>
  <c r="F69" i="21" s="1"/>
  <c r="F70" i="21" s="1"/>
  <c r="H38" i="21"/>
  <c r="L38" i="21"/>
  <c r="G38" i="21"/>
  <c r="I38" i="21"/>
  <c r="J38" i="21"/>
  <c r="P38" i="21"/>
  <c r="F38" i="21"/>
  <c r="O38" i="21"/>
  <c r="N38" i="21"/>
  <c r="M38" i="21"/>
  <c r="K38" i="21"/>
  <c r="E38" i="21"/>
  <c r="K46" i="23"/>
  <c r="S47" i="21"/>
  <c r="T47" i="21" s="1"/>
  <c r="K68" i="21"/>
  <c r="K69" i="21" s="1"/>
  <c r="K70" i="21" s="1"/>
  <c r="S18" i="23"/>
  <c r="E46" i="24"/>
  <c r="Q46" i="24" s="1"/>
  <c r="Q46" i="22"/>
  <c r="O48" i="22"/>
  <c r="O48" i="24" s="1"/>
  <c r="G48" i="22"/>
  <c r="G48" i="24" s="1"/>
  <c r="P48" i="22"/>
  <c r="P48" i="24" s="1"/>
  <c r="H48" i="22"/>
  <c r="H48" i="24" s="1"/>
  <c r="E48" i="22"/>
  <c r="J48" i="22"/>
  <c r="J48" i="24" s="1"/>
  <c r="N48" i="22"/>
  <c r="N48" i="24" s="1"/>
  <c r="M48" i="22"/>
  <c r="M48" i="24" s="1"/>
  <c r="K48" i="22"/>
  <c r="F48" i="22"/>
  <c r="F48" i="24" s="1"/>
  <c r="L48" i="22"/>
  <c r="L48" i="24" s="1"/>
  <c r="I48" i="22"/>
  <c r="I48" i="24" s="1"/>
  <c r="G46" i="23"/>
  <c r="G68" i="21"/>
  <c r="G69" i="21" s="1"/>
  <c r="G70" i="21" s="1"/>
  <c r="O49" i="21"/>
  <c r="O48" i="23" s="1"/>
  <c r="H49" i="21"/>
  <c r="H48" i="23" s="1"/>
  <c r="P49" i="21"/>
  <c r="P48" i="23" s="1"/>
  <c r="L49" i="21"/>
  <c r="L48" i="23" s="1"/>
  <c r="G49" i="21"/>
  <c r="G48" i="23" s="1"/>
  <c r="I49" i="21"/>
  <c r="I48" i="23" s="1"/>
  <c r="J49" i="21"/>
  <c r="J48" i="23" s="1"/>
  <c r="F49" i="21"/>
  <c r="F48" i="23" s="1"/>
  <c r="M49" i="21"/>
  <c r="M48" i="23" s="1"/>
  <c r="N49" i="21"/>
  <c r="N48" i="23" s="1"/>
  <c r="K49" i="21"/>
  <c r="E49" i="21"/>
  <c r="M46" i="23"/>
  <c r="M68" i="21"/>
  <c r="M69" i="21" s="1"/>
  <c r="M70" i="21" s="1"/>
  <c r="L46" i="23"/>
  <c r="L68" i="21"/>
  <c r="L69" i="21" s="1"/>
  <c r="L70" i="21" s="1"/>
  <c r="K46" i="24"/>
  <c r="R46" i="24" s="1"/>
  <c r="S46" i="22"/>
  <c r="T46" i="22" s="1"/>
  <c r="R58" i="23"/>
  <c r="H46" i="23"/>
  <c r="H68" i="21"/>
  <c r="H69" i="21" s="1"/>
  <c r="H70" i="21" s="1"/>
  <c r="D50" i="21"/>
  <c r="E22" i="20"/>
  <c r="E19" i="20"/>
  <c r="F19" i="26"/>
  <c r="D49" i="22"/>
  <c r="F22" i="26"/>
  <c r="E48" i="23" l="1"/>
  <c r="Q48" i="23" s="1"/>
  <c r="Q49" i="21"/>
  <c r="R46" i="23"/>
  <c r="J37" i="23"/>
  <c r="J49" i="23" s="1"/>
  <c r="J50" i="21"/>
  <c r="M49" i="22"/>
  <c r="M37" i="24"/>
  <c r="M49" i="24" s="1"/>
  <c r="K48" i="23"/>
  <c r="R48" i="23" s="1"/>
  <c r="S49" i="21"/>
  <c r="T49" i="21" s="1"/>
  <c r="K48" i="24"/>
  <c r="R48" i="24" s="1"/>
  <c r="S48" i="22"/>
  <c r="T48" i="22" s="1"/>
  <c r="E37" i="23"/>
  <c r="E50" i="21"/>
  <c r="Q38" i="21"/>
  <c r="I50" i="21"/>
  <c r="I37" i="23"/>
  <c r="I49" i="23" s="1"/>
  <c r="S58" i="23"/>
  <c r="N37" i="24"/>
  <c r="N49" i="24" s="1"/>
  <c r="N49" i="22"/>
  <c r="O22" i="20" s="1"/>
  <c r="K37" i="23"/>
  <c r="K50" i="21"/>
  <c r="S38" i="21"/>
  <c r="T38" i="21" s="1"/>
  <c r="G50" i="21"/>
  <c r="G37" i="23"/>
  <c r="G49" i="23" s="1"/>
  <c r="L49" i="22"/>
  <c r="L37" i="24"/>
  <c r="L49" i="24" s="1"/>
  <c r="R46" i="22"/>
  <c r="U46" i="22"/>
  <c r="V46" i="22" s="1"/>
  <c r="M50" i="21"/>
  <c r="M37" i="23"/>
  <c r="M49" i="23" s="1"/>
  <c r="L50" i="21"/>
  <c r="L37" i="23"/>
  <c r="L49" i="23" s="1"/>
  <c r="O37" i="24"/>
  <c r="O49" i="24" s="1"/>
  <c r="O49" i="22"/>
  <c r="P22" i="20" s="1"/>
  <c r="S46" i="24"/>
  <c r="N37" i="23"/>
  <c r="N49" i="23" s="1"/>
  <c r="N50" i="21"/>
  <c r="H37" i="23"/>
  <c r="H49" i="23" s="1"/>
  <c r="H50" i="21"/>
  <c r="G49" i="22"/>
  <c r="G37" i="24"/>
  <c r="G49" i="24" s="1"/>
  <c r="J49" i="22"/>
  <c r="J37" i="24"/>
  <c r="J49" i="24" s="1"/>
  <c r="E48" i="24"/>
  <c r="Q48" i="24" s="1"/>
  <c r="S48" i="24" s="1"/>
  <c r="Q48" i="22"/>
  <c r="O37" i="23"/>
  <c r="O49" i="23" s="1"/>
  <c r="O50" i="21"/>
  <c r="I49" i="22"/>
  <c r="I37" i="24"/>
  <c r="I49" i="24" s="1"/>
  <c r="E37" i="24"/>
  <c r="E49" i="22"/>
  <c r="Q37" i="22"/>
  <c r="F50" i="21"/>
  <c r="F37" i="23"/>
  <c r="F49" i="23" s="1"/>
  <c r="U47" i="21"/>
  <c r="V47" i="21" s="1"/>
  <c r="W47" i="21" s="1"/>
  <c r="R47" i="21"/>
  <c r="F49" i="22"/>
  <c r="F37" i="24"/>
  <c r="F49" i="24" s="1"/>
  <c r="H49" i="22"/>
  <c r="H37" i="24"/>
  <c r="H49" i="24" s="1"/>
  <c r="P50" i="21"/>
  <c r="P37" i="23"/>
  <c r="P49" i="23" s="1"/>
  <c r="Q46" i="23"/>
  <c r="S46" i="23" s="1"/>
  <c r="K49" i="22"/>
  <c r="K37" i="24"/>
  <c r="S37" i="22"/>
  <c r="T37" i="22" s="1"/>
  <c r="P49" i="22"/>
  <c r="Q22" i="20" s="1"/>
  <c r="P37" i="24"/>
  <c r="P49" i="24" s="1"/>
  <c r="D6" i="22"/>
  <c r="W46" i="22" l="1"/>
  <c r="X46" i="22" s="1"/>
  <c r="P19" i="20"/>
  <c r="P40" i="20" s="1"/>
  <c r="P46" i="20" s="1"/>
  <c r="O64" i="21"/>
  <c r="O65" i="21" s="1"/>
  <c r="O66" i="21" s="1"/>
  <c r="O19" i="20"/>
  <c r="O40" i="20" s="1"/>
  <c r="O46" i="20" s="1"/>
  <c r="N64" i="21"/>
  <c r="N65" i="21" s="1"/>
  <c r="N66" i="21" s="1"/>
  <c r="Q19" i="20"/>
  <c r="Q40" i="20" s="1"/>
  <c r="Q46" i="20" s="1"/>
  <c r="P64" i="21"/>
  <c r="P65" i="21" s="1"/>
  <c r="P66" i="21" s="1"/>
  <c r="M60" i="24"/>
  <c r="O22" i="26"/>
  <c r="F64" i="21"/>
  <c r="F65" i="21" s="1"/>
  <c r="F66" i="21" s="1"/>
  <c r="G19" i="20"/>
  <c r="G40" i="20" s="1"/>
  <c r="G46" i="20" s="1"/>
  <c r="U48" i="22"/>
  <c r="V48" i="22" s="1"/>
  <c r="R48" i="22"/>
  <c r="M64" i="21"/>
  <c r="M65" i="21" s="1"/>
  <c r="M66" i="21" s="1"/>
  <c r="N19" i="20"/>
  <c r="N40" i="20" s="1"/>
  <c r="N46" i="20" s="1"/>
  <c r="K64" i="21"/>
  <c r="K65" i="21" s="1"/>
  <c r="K66" i="21" s="1"/>
  <c r="S50" i="21"/>
  <c r="T50" i="21" s="1"/>
  <c r="L19" i="20"/>
  <c r="L40" i="20" s="1"/>
  <c r="L46" i="20" s="1"/>
  <c r="U38" i="21"/>
  <c r="V38" i="21" s="1"/>
  <c r="W38" i="21" s="1"/>
  <c r="R38" i="21"/>
  <c r="M63" i="22"/>
  <c r="N22" i="20"/>
  <c r="H60" i="23"/>
  <c r="J19" i="26"/>
  <c r="P60" i="24"/>
  <c r="R22" i="26"/>
  <c r="H60" i="24"/>
  <c r="J22" i="26"/>
  <c r="R37" i="22"/>
  <c r="U37" i="22"/>
  <c r="V37" i="22" s="1"/>
  <c r="N60" i="23"/>
  <c r="P19" i="26"/>
  <c r="K49" i="23"/>
  <c r="R37" i="23"/>
  <c r="E64" i="21"/>
  <c r="E65" i="21" s="1"/>
  <c r="E66" i="21" s="1"/>
  <c r="Q50" i="21"/>
  <c r="F19" i="20"/>
  <c r="J64" i="21"/>
  <c r="J65" i="21" s="1"/>
  <c r="J66" i="21" s="1"/>
  <c r="K19" i="20"/>
  <c r="K40" i="20" s="1"/>
  <c r="K46" i="20" s="1"/>
  <c r="F60" i="23"/>
  <c r="H19" i="26"/>
  <c r="H63" i="22"/>
  <c r="I22" i="20"/>
  <c r="E63" i="22"/>
  <c r="F22" i="20"/>
  <c r="Q49" i="22"/>
  <c r="J60" i="24"/>
  <c r="L22" i="26"/>
  <c r="E49" i="23"/>
  <c r="Q37" i="23"/>
  <c r="S37" i="23" s="1"/>
  <c r="J60" i="23"/>
  <c r="L19" i="26"/>
  <c r="M60" i="23"/>
  <c r="O19" i="26"/>
  <c r="O6" i="22"/>
  <c r="P6" i="22"/>
  <c r="H6" i="22"/>
  <c r="E6" i="22"/>
  <c r="J6" i="22"/>
  <c r="G6" i="22"/>
  <c r="N6" i="22"/>
  <c r="L6" i="22"/>
  <c r="M6" i="22"/>
  <c r="K6" i="22"/>
  <c r="F6" i="22"/>
  <c r="I6" i="22"/>
  <c r="F60" i="24"/>
  <c r="H22" i="26"/>
  <c r="E49" i="24"/>
  <c r="Q37" i="24"/>
  <c r="J63" i="22"/>
  <c r="K22" i="20"/>
  <c r="L60" i="24"/>
  <c r="N22" i="26"/>
  <c r="N60" i="24"/>
  <c r="P22" i="26"/>
  <c r="I64" i="21"/>
  <c r="I65" i="21" s="1"/>
  <c r="I66" i="21" s="1"/>
  <c r="J19" i="20"/>
  <c r="J40" i="20" s="1"/>
  <c r="J46" i="20" s="1"/>
  <c r="K49" i="24"/>
  <c r="R37" i="24"/>
  <c r="F63" i="22"/>
  <c r="G22" i="20"/>
  <c r="I60" i="24"/>
  <c r="K22" i="26"/>
  <c r="G60" i="24"/>
  <c r="I22" i="26"/>
  <c r="O60" i="24"/>
  <c r="Q22" i="26"/>
  <c r="L63" i="22"/>
  <c r="M22" i="20"/>
  <c r="U49" i="21"/>
  <c r="V49" i="21" s="1"/>
  <c r="W49" i="21" s="1"/>
  <c r="R49" i="21"/>
  <c r="P60" i="23"/>
  <c r="R19" i="26"/>
  <c r="K63" i="22"/>
  <c r="S49" i="22"/>
  <c r="T49" i="22" s="1"/>
  <c r="L22" i="20"/>
  <c r="I63" i="22"/>
  <c r="J22" i="20"/>
  <c r="G63" i="22"/>
  <c r="H22" i="20"/>
  <c r="L60" i="23"/>
  <c r="N19" i="26"/>
  <c r="G60" i="23"/>
  <c r="I19" i="26"/>
  <c r="S48" i="23"/>
  <c r="O60" i="23"/>
  <c r="Q19" i="26"/>
  <c r="X47" i="21"/>
  <c r="Y47" i="21" s="1"/>
  <c r="Z47" i="21" s="1"/>
  <c r="H64" i="21"/>
  <c r="H65" i="21" s="1"/>
  <c r="H66" i="21" s="1"/>
  <c r="I19" i="20"/>
  <c r="I40" i="20" s="1"/>
  <c r="I46" i="20" s="1"/>
  <c r="L64" i="21"/>
  <c r="L65" i="21" s="1"/>
  <c r="L66" i="21" s="1"/>
  <c r="M19" i="20"/>
  <c r="M40" i="20" s="1"/>
  <c r="M46" i="20" s="1"/>
  <c r="G64" i="21"/>
  <c r="G65" i="21" s="1"/>
  <c r="G66" i="21" s="1"/>
  <c r="H19" i="20"/>
  <c r="H40" i="20" s="1"/>
  <c r="H46" i="20" s="1"/>
  <c r="I60" i="23"/>
  <c r="K19" i="26"/>
  <c r="D14" i="22"/>
  <c r="D54" i="21"/>
  <c r="D15" i="22"/>
  <c r="D13" i="22"/>
  <c r="D12" i="22"/>
  <c r="D53" i="22"/>
  <c r="W37" i="22" l="1"/>
  <c r="X37" i="22" s="1"/>
  <c r="W48" i="22"/>
  <c r="X48" i="22" s="1"/>
  <c r="Y46" i="22"/>
  <c r="Z46" i="22" s="1"/>
  <c r="S37" i="24"/>
  <c r="E13" i="22"/>
  <c r="J13" i="22"/>
  <c r="J13" i="24" s="1"/>
  <c r="O13" i="22"/>
  <c r="O13" i="24" s="1"/>
  <c r="P13" i="22"/>
  <c r="P13" i="24" s="1"/>
  <c r="H13" i="22"/>
  <c r="H13" i="24" s="1"/>
  <c r="I13" i="22"/>
  <c r="I13" i="24" s="1"/>
  <c r="F13" i="22"/>
  <c r="F13" i="24" s="1"/>
  <c r="L13" i="22"/>
  <c r="L13" i="24" s="1"/>
  <c r="M13" i="22"/>
  <c r="M13" i="24" s="1"/>
  <c r="G13" i="22"/>
  <c r="G13" i="24" s="1"/>
  <c r="K13" i="22"/>
  <c r="N13" i="22"/>
  <c r="N13" i="24" s="1"/>
  <c r="L6" i="24"/>
  <c r="U49" i="22"/>
  <c r="V49" i="22" s="1"/>
  <c r="R49" i="22"/>
  <c r="O6" i="24"/>
  <c r="Q49" i="24"/>
  <c r="E60" i="24"/>
  <c r="G22" i="26"/>
  <c r="N6" i="24"/>
  <c r="R22" i="20"/>
  <c r="R19" i="20"/>
  <c r="F40" i="20"/>
  <c r="O54" i="21"/>
  <c r="O53" i="23" s="1"/>
  <c r="O54" i="23" s="1"/>
  <c r="H54" i="21"/>
  <c r="H53" i="23" s="1"/>
  <c r="H54" i="23" s="1"/>
  <c r="L54" i="21"/>
  <c r="L53" i="23" s="1"/>
  <c r="L54" i="23" s="1"/>
  <c r="G54" i="21"/>
  <c r="G53" i="23" s="1"/>
  <c r="G54" i="23" s="1"/>
  <c r="P54" i="21"/>
  <c r="P53" i="23" s="1"/>
  <c r="P54" i="23" s="1"/>
  <c r="I54" i="21"/>
  <c r="I53" i="23" s="1"/>
  <c r="I54" i="23" s="1"/>
  <c r="J54" i="21"/>
  <c r="J53" i="23" s="1"/>
  <c r="J54" i="23" s="1"/>
  <c r="F54" i="21"/>
  <c r="F53" i="23" s="1"/>
  <c r="F54" i="23" s="1"/>
  <c r="M54" i="21"/>
  <c r="M53" i="23" s="1"/>
  <c r="M54" i="23" s="1"/>
  <c r="N54" i="21"/>
  <c r="N53" i="23" s="1"/>
  <c r="N54" i="23" s="1"/>
  <c r="K54" i="21"/>
  <c r="E54" i="21"/>
  <c r="G6" i="24"/>
  <c r="U50" i="21"/>
  <c r="V50" i="21" s="1"/>
  <c r="W50" i="21" s="1"/>
  <c r="R50" i="21"/>
  <c r="K60" i="24"/>
  <c r="R60" i="24" s="1"/>
  <c r="R49" i="24"/>
  <c r="M22" i="26"/>
  <c r="M6" i="24"/>
  <c r="X38" i="21"/>
  <c r="Y38" i="21" s="1"/>
  <c r="Z38" i="21" s="1"/>
  <c r="H12" i="22"/>
  <c r="H12" i="24" s="1"/>
  <c r="E12" i="22"/>
  <c r="G12" i="22"/>
  <c r="G12" i="24" s="1"/>
  <c r="O12" i="22"/>
  <c r="O12" i="24" s="1"/>
  <c r="P12" i="22"/>
  <c r="P12" i="24" s="1"/>
  <c r="J12" i="22"/>
  <c r="J12" i="24" s="1"/>
  <c r="K12" i="22"/>
  <c r="F12" i="22"/>
  <c r="F12" i="24" s="1"/>
  <c r="N12" i="22"/>
  <c r="N12" i="24" s="1"/>
  <c r="L12" i="22"/>
  <c r="L12" i="24" s="1"/>
  <c r="I12" i="22"/>
  <c r="I12" i="24" s="1"/>
  <c r="M12" i="22"/>
  <c r="M12" i="24" s="1"/>
  <c r="X49" i="21"/>
  <c r="Y49" i="21" s="1"/>
  <c r="Z49" i="21" s="1"/>
  <c r="J6" i="24"/>
  <c r="I6" i="24"/>
  <c r="E6" i="24"/>
  <c r="Q6" i="22"/>
  <c r="P15" i="22"/>
  <c r="P15" i="24" s="1"/>
  <c r="J15" i="22"/>
  <c r="J15" i="24" s="1"/>
  <c r="E15" i="22"/>
  <c r="H15" i="22"/>
  <c r="H15" i="24" s="1"/>
  <c r="O15" i="22"/>
  <c r="O15" i="24" s="1"/>
  <c r="G15" i="22"/>
  <c r="G15" i="24" s="1"/>
  <c r="K15" i="22"/>
  <c r="F15" i="22"/>
  <c r="F15" i="24" s="1"/>
  <c r="N15" i="22"/>
  <c r="N15" i="24" s="1"/>
  <c r="I15" i="22"/>
  <c r="I15" i="24" s="1"/>
  <c r="M15" i="22"/>
  <c r="M15" i="24" s="1"/>
  <c r="L15" i="22"/>
  <c r="L15" i="24" s="1"/>
  <c r="J14" i="22"/>
  <c r="J14" i="24" s="1"/>
  <c r="O14" i="22"/>
  <c r="O14" i="24" s="1"/>
  <c r="H14" i="22"/>
  <c r="H14" i="24" s="1"/>
  <c r="E14" i="22"/>
  <c r="P14" i="22"/>
  <c r="P14" i="24" s="1"/>
  <c r="M14" i="22"/>
  <c r="M14" i="24" s="1"/>
  <c r="N14" i="22"/>
  <c r="N14" i="24" s="1"/>
  <c r="K14" i="22"/>
  <c r="I14" i="22"/>
  <c r="I14" i="24" s="1"/>
  <c r="G14" i="22"/>
  <c r="G14" i="24" s="1"/>
  <c r="F14" i="22"/>
  <c r="F14" i="24" s="1"/>
  <c r="L14" i="22"/>
  <c r="L14" i="24" s="1"/>
  <c r="F6" i="24"/>
  <c r="H6" i="24"/>
  <c r="Q49" i="23"/>
  <c r="E60" i="23"/>
  <c r="G19" i="26"/>
  <c r="K60" i="23"/>
  <c r="R49" i="23"/>
  <c r="M19" i="26"/>
  <c r="J53" i="22"/>
  <c r="J53" i="24" s="1"/>
  <c r="J54" i="24" s="1"/>
  <c r="H53" i="22"/>
  <c r="H53" i="24" s="1"/>
  <c r="H54" i="24" s="1"/>
  <c r="G53" i="22"/>
  <c r="G53" i="24" s="1"/>
  <c r="G54" i="24" s="1"/>
  <c r="O53" i="22"/>
  <c r="O53" i="24" s="1"/>
  <c r="O54" i="24" s="1"/>
  <c r="P53" i="22"/>
  <c r="P53" i="24" s="1"/>
  <c r="P54" i="24" s="1"/>
  <c r="E53" i="22"/>
  <c r="L53" i="22"/>
  <c r="L53" i="24" s="1"/>
  <c r="L54" i="24" s="1"/>
  <c r="I53" i="22"/>
  <c r="I53" i="24" s="1"/>
  <c r="I54" i="24" s="1"/>
  <c r="M53" i="22"/>
  <c r="M53" i="24" s="1"/>
  <c r="M54" i="24" s="1"/>
  <c r="K53" i="22"/>
  <c r="F53" i="22"/>
  <c r="F53" i="24" s="1"/>
  <c r="F54" i="24" s="1"/>
  <c r="N53" i="22"/>
  <c r="N53" i="24" s="1"/>
  <c r="N54" i="24" s="1"/>
  <c r="K6" i="24"/>
  <c r="S6" i="22"/>
  <c r="T6" i="22" s="1"/>
  <c r="P6" i="24"/>
  <c r="D9" i="22"/>
  <c r="D8" i="22"/>
  <c r="D11" i="22"/>
  <c r="D10" i="22"/>
  <c r="D7" i="22"/>
  <c r="W49" i="22" l="1"/>
  <c r="X49" i="22" s="1"/>
  <c r="Y48" i="22"/>
  <c r="Z48" i="22" s="1"/>
  <c r="Y37" i="22"/>
  <c r="Z37" i="22" s="1"/>
  <c r="S22" i="26"/>
  <c r="R6" i="24"/>
  <c r="S49" i="24"/>
  <c r="I56" i="24"/>
  <c r="I62" i="24"/>
  <c r="K23" i="26"/>
  <c r="X50" i="21"/>
  <c r="Y50" i="21" s="1"/>
  <c r="O56" i="23"/>
  <c r="O62" i="23"/>
  <c r="O64" i="23" s="1"/>
  <c r="Q20" i="26"/>
  <c r="Q45" i="26" s="1"/>
  <c r="K15" i="24"/>
  <c r="R15" i="24" s="1"/>
  <c r="S15" i="22"/>
  <c r="T15" i="22" s="1"/>
  <c r="M56" i="23"/>
  <c r="M62" i="23"/>
  <c r="M64" i="23" s="1"/>
  <c r="O20" i="26"/>
  <c r="O45" i="26" s="1"/>
  <c r="O7" i="22"/>
  <c r="P7" i="22"/>
  <c r="E7" i="22"/>
  <c r="H7" i="22"/>
  <c r="J7" i="22"/>
  <c r="M7" i="22"/>
  <c r="N7" i="22"/>
  <c r="L7" i="22"/>
  <c r="G7" i="22"/>
  <c r="K7" i="22"/>
  <c r="F7" i="22"/>
  <c r="I7" i="22"/>
  <c r="L56" i="24"/>
  <c r="L62" i="24"/>
  <c r="N23" i="26"/>
  <c r="Q6" i="24"/>
  <c r="F56" i="23"/>
  <c r="F62" i="23"/>
  <c r="F64" i="23" s="1"/>
  <c r="H20" i="26"/>
  <c r="H45" i="26" s="1"/>
  <c r="S60" i="24"/>
  <c r="Q60" i="24"/>
  <c r="O8" i="22"/>
  <c r="O8" i="24" s="1"/>
  <c r="H8" i="22"/>
  <c r="H8" i="24" s="1"/>
  <c r="J8" i="22"/>
  <c r="J8" i="24" s="1"/>
  <c r="E8" i="22"/>
  <c r="P8" i="22"/>
  <c r="P8" i="24" s="1"/>
  <c r="F8" i="22"/>
  <c r="F8" i="24" s="1"/>
  <c r="I8" i="22"/>
  <c r="I8" i="24" s="1"/>
  <c r="G8" i="22"/>
  <c r="G8" i="24" s="1"/>
  <c r="M8" i="22"/>
  <c r="M8" i="24" s="1"/>
  <c r="N8" i="22"/>
  <c r="N8" i="24" s="1"/>
  <c r="L8" i="22"/>
  <c r="L8" i="24" s="1"/>
  <c r="K8" i="22"/>
  <c r="E53" i="24"/>
  <c r="Q53" i="22"/>
  <c r="E12" i="24"/>
  <c r="Q12" i="24" s="1"/>
  <c r="Q12" i="22"/>
  <c r="J56" i="23"/>
  <c r="J62" i="23"/>
  <c r="J64" i="23" s="1"/>
  <c r="L20" i="26"/>
  <c r="L45" i="26" s="1"/>
  <c r="R40" i="20"/>
  <c r="F46" i="20"/>
  <c r="P56" i="24"/>
  <c r="P62" i="24"/>
  <c r="R23" i="26"/>
  <c r="R60" i="23"/>
  <c r="K14" i="24"/>
  <c r="R14" i="24" s="1"/>
  <c r="S14" i="22"/>
  <c r="T14" i="22" s="1"/>
  <c r="I56" i="23"/>
  <c r="I62" i="23"/>
  <c r="I64" i="23" s="1"/>
  <c r="K20" i="26"/>
  <c r="K45" i="26" s="1"/>
  <c r="E15" i="24"/>
  <c r="Q15" i="24" s="1"/>
  <c r="Q15" i="22"/>
  <c r="P56" i="23"/>
  <c r="P62" i="23"/>
  <c r="P64" i="23" s="1"/>
  <c r="R20" i="26"/>
  <c r="R45" i="26" s="1"/>
  <c r="N56" i="24"/>
  <c r="N62" i="24"/>
  <c r="P23" i="26"/>
  <c r="P11" i="22"/>
  <c r="P11" i="24" s="1"/>
  <c r="O11" i="22"/>
  <c r="O11" i="24" s="1"/>
  <c r="H11" i="22"/>
  <c r="H11" i="24" s="1"/>
  <c r="J11" i="22"/>
  <c r="J11" i="24" s="1"/>
  <c r="E11" i="22"/>
  <c r="K11" i="22"/>
  <c r="I11" i="22"/>
  <c r="I11" i="24" s="1"/>
  <c r="M11" i="22"/>
  <c r="M11" i="24" s="1"/>
  <c r="G11" i="22"/>
  <c r="G11" i="24" s="1"/>
  <c r="L11" i="22"/>
  <c r="L11" i="24" s="1"/>
  <c r="F11" i="22"/>
  <c r="F11" i="24" s="1"/>
  <c r="N11" i="22"/>
  <c r="N11" i="24" s="1"/>
  <c r="F56" i="24"/>
  <c r="F62" i="24"/>
  <c r="H23" i="26"/>
  <c r="G56" i="24"/>
  <c r="G62" i="24"/>
  <c r="I23" i="26"/>
  <c r="S19" i="26"/>
  <c r="K12" i="24"/>
  <c r="R12" i="24" s="1"/>
  <c r="S12" i="22"/>
  <c r="T12" i="22" s="1"/>
  <c r="Z50" i="21"/>
  <c r="E53" i="23"/>
  <c r="Q54" i="21"/>
  <c r="G56" i="23"/>
  <c r="G62" i="23"/>
  <c r="G64" i="23" s="1"/>
  <c r="I20" i="26"/>
  <c r="I45" i="26" s="1"/>
  <c r="K13" i="24"/>
  <c r="R13" i="24" s="1"/>
  <c r="S13" i="22"/>
  <c r="T13" i="22" s="1"/>
  <c r="P10" i="22"/>
  <c r="P10" i="24" s="1"/>
  <c r="G10" i="22"/>
  <c r="G10" i="24" s="1"/>
  <c r="J10" i="22"/>
  <c r="J10" i="24" s="1"/>
  <c r="H10" i="22"/>
  <c r="H10" i="24" s="1"/>
  <c r="E10" i="22"/>
  <c r="O10" i="22"/>
  <c r="O10" i="24" s="1"/>
  <c r="K10" i="22"/>
  <c r="L10" i="22"/>
  <c r="L10" i="24" s="1"/>
  <c r="F10" i="22"/>
  <c r="F10" i="24" s="1"/>
  <c r="I10" i="22"/>
  <c r="I10" i="24" s="1"/>
  <c r="M10" i="22"/>
  <c r="M10" i="24" s="1"/>
  <c r="N10" i="22"/>
  <c r="N10" i="24" s="1"/>
  <c r="O56" i="24"/>
  <c r="O62" i="24"/>
  <c r="Q23" i="26"/>
  <c r="J9" i="22"/>
  <c r="J9" i="24" s="1"/>
  <c r="G9" i="22"/>
  <c r="G9" i="24" s="1"/>
  <c r="E9" i="22"/>
  <c r="O9" i="22"/>
  <c r="O9" i="24" s="1"/>
  <c r="P9" i="22"/>
  <c r="P9" i="24" s="1"/>
  <c r="H9" i="22"/>
  <c r="H9" i="24" s="1"/>
  <c r="F9" i="22"/>
  <c r="F9" i="24" s="1"/>
  <c r="I9" i="22"/>
  <c r="I9" i="24" s="1"/>
  <c r="N9" i="22"/>
  <c r="N9" i="24" s="1"/>
  <c r="K9" i="22"/>
  <c r="L9" i="22"/>
  <c r="L9" i="24" s="1"/>
  <c r="M9" i="22"/>
  <c r="M9" i="24" s="1"/>
  <c r="K53" i="24"/>
  <c r="S53" i="22"/>
  <c r="T53" i="22" s="1"/>
  <c r="H56" i="24"/>
  <c r="H62" i="24"/>
  <c r="J23" i="26"/>
  <c r="Q60" i="23"/>
  <c r="K53" i="23"/>
  <c r="S54" i="21"/>
  <c r="T54" i="21" s="1"/>
  <c r="L56" i="23"/>
  <c r="L62" i="23"/>
  <c r="L64" i="23" s="1"/>
  <c r="N20" i="26"/>
  <c r="N45" i="26" s="1"/>
  <c r="M56" i="24"/>
  <c r="M62" i="24"/>
  <c r="O23" i="26"/>
  <c r="J56" i="24"/>
  <c r="J62" i="24"/>
  <c r="L23" i="26"/>
  <c r="S49" i="23"/>
  <c r="E14" i="24"/>
  <c r="Q14" i="24" s="1"/>
  <c r="Q14" i="22"/>
  <c r="U6" i="22"/>
  <c r="V6" i="22" s="1"/>
  <c r="R6" i="22"/>
  <c r="N56" i="23"/>
  <c r="N62" i="23"/>
  <c r="N64" i="23" s="1"/>
  <c r="P20" i="26"/>
  <c r="P45" i="26" s="1"/>
  <c r="H56" i="23"/>
  <c r="H62" i="23"/>
  <c r="H64" i="23" s="1"/>
  <c r="J20" i="26"/>
  <c r="J45" i="26" s="1"/>
  <c r="E13" i="24"/>
  <c r="Q13" i="24" s="1"/>
  <c r="Q13" i="22"/>
  <c r="F23" i="26"/>
  <c r="F20" i="26"/>
  <c r="D18" i="22"/>
  <c r="E21" i="20"/>
  <c r="W6" i="22" l="1"/>
  <c r="X6" i="22" s="1"/>
  <c r="S6" i="24"/>
  <c r="Y49" i="22"/>
  <c r="Z49" i="22" s="1"/>
  <c r="S14" i="24"/>
  <c r="K10" i="24"/>
  <c r="R10" i="24" s="1"/>
  <c r="S10" i="22"/>
  <c r="T10" i="22" s="1"/>
  <c r="S40" i="20"/>
  <c r="R46" i="20"/>
  <c r="K8" i="24"/>
  <c r="R8" i="24" s="1"/>
  <c r="S8" i="22"/>
  <c r="T8" i="22" s="1"/>
  <c r="E8" i="24"/>
  <c r="Q8" i="24" s="1"/>
  <c r="Q8" i="22"/>
  <c r="K7" i="24"/>
  <c r="S7" i="22"/>
  <c r="T7" i="22" s="1"/>
  <c r="K18" i="22"/>
  <c r="P7" i="24"/>
  <c r="P18" i="24" s="1"/>
  <c r="P18" i="22"/>
  <c r="Q21" i="20" s="1"/>
  <c r="Q41" i="20" s="1"/>
  <c r="Q47" i="20" s="1"/>
  <c r="E11" i="24"/>
  <c r="Q11" i="24" s="1"/>
  <c r="Q11" i="22"/>
  <c r="E10" i="24"/>
  <c r="Q10" i="24" s="1"/>
  <c r="Q10" i="22"/>
  <c r="G7" i="24"/>
  <c r="G18" i="24" s="1"/>
  <c r="G18" i="22"/>
  <c r="O7" i="24"/>
  <c r="O18" i="24" s="1"/>
  <c r="O18" i="22"/>
  <c r="P21" i="20" s="1"/>
  <c r="P41" i="20" s="1"/>
  <c r="P47" i="20" s="1"/>
  <c r="K54" i="23"/>
  <c r="R53" i="23"/>
  <c r="R54" i="21"/>
  <c r="U54" i="21"/>
  <c r="V54" i="21" s="1"/>
  <c r="W54" i="21" s="1"/>
  <c r="R15" i="22"/>
  <c r="U15" i="22"/>
  <c r="V15" i="22" s="1"/>
  <c r="N7" i="24"/>
  <c r="N18" i="24" s="1"/>
  <c r="N18" i="22"/>
  <c r="O21" i="20" s="1"/>
  <c r="O41" i="20" s="1"/>
  <c r="O47" i="20" s="1"/>
  <c r="K54" i="24"/>
  <c r="R53" i="24"/>
  <c r="R13" i="22"/>
  <c r="U13" i="22"/>
  <c r="V13" i="22" s="1"/>
  <c r="E9" i="24"/>
  <c r="Q9" i="24" s="1"/>
  <c r="Q9" i="22"/>
  <c r="E54" i="23"/>
  <c r="Q53" i="23"/>
  <c r="S15" i="24"/>
  <c r="R12" i="22"/>
  <c r="U12" i="22"/>
  <c r="V12" i="22" s="1"/>
  <c r="M7" i="24"/>
  <c r="M18" i="24" s="1"/>
  <c r="M18" i="22"/>
  <c r="L7" i="24"/>
  <c r="L18" i="24" s="1"/>
  <c r="L18" i="22"/>
  <c r="S13" i="24"/>
  <c r="S60" i="23"/>
  <c r="K9" i="24"/>
  <c r="R9" i="24" s="1"/>
  <c r="S9" i="22"/>
  <c r="T9" i="22" s="1"/>
  <c r="S12" i="24"/>
  <c r="J7" i="24"/>
  <c r="J18" i="24" s="1"/>
  <c r="J18" i="22"/>
  <c r="K11" i="24"/>
  <c r="R11" i="24" s="1"/>
  <c r="S11" i="22"/>
  <c r="T11" i="22" s="1"/>
  <c r="R53" i="22"/>
  <c r="U53" i="22"/>
  <c r="V53" i="22" s="1"/>
  <c r="I7" i="24"/>
  <c r="I18" i="24" s="1"/>
  <c r="I18" i="22"/>
  <c r="H7" i="24"/>
  <c r="H18" i="24" s="1"/>
  <c r="H18" i="22"/>
  <c r="R14" i="22"/>
  <c r="U14" i="22"/>
  <c r="V14" i="22" s="1"/>
  <c r="E54" i="24"/>
  <c r="Q53" i="24"/>
  <c r="F7" i="24"/>
  <c r="F18" i="24" s="1"/>
  <c r="F18" i="22"/>
  <c r="E7" i="24"/>
  <c r="Q7" i="22"/>
  <c r="E18" i="22"/>
  <c r="F21" i="26"/>
  <c r="D56" i="22"/>
  <c r="F45" i="26"/>
  <c r="E41" i="20"/>
  <c r="W15" i="22" l="1"/>
  <c r="X15" i="22" s="1"/>
  <c r="W13" i="22"/>
  <c r="X13" i="22" s="1"/>
  <c r="W12" i="22"/>
  <c r="X12" i="22" s="1"/>
  <c r="W53" i="22"/>
  <c r="X53" i="22" s="1"/>
  <c r="W14" i="22"/>
  <c r="X14" i="22" s="1"/>
  <c r="Y6" i="22"/>
  <c r="Z6" i="22" s="1"/>
  <c r="S8" i="24"/>
  <c r="S53" i="23"/>
  <c r="S10" i="24"/>
  <c r="S9" i="24"/>
  <c r="E62" i="22"/>
  <c r="E64" i="22" s="1"/>
  <c r="E65" i="22" s="1"/>
  <c r="F21" i="20"/>
  <c r="Q18" i="22"/>
  <c r="K56" i="24"/>
  <c r="R56" i="24" s="1"/>
  <c r="K62" i="24"/>
  <c r="R62" i="24" s="1"/>
  <c r="R54" i="24"/>
  <c r="M23" i="26"/>
  <c r="U11" i="22"/>
  <c r="V11" i="22" s="1"/>
  <c r="R11" i="22"/>
  <c r="E56" i="24"/>
  <c r="Q56" i="24" s="1"/>
  <c r="Q54" i="24"/>
  <c r="E62" i="24"/>
  <c r="G23" i="26"/>
  <c r="U8" i="22"/>
  <c r="V8" i="22" s="1"/>
  <c r="R8" i="22"/>
  <c r="U7" i="22"/>
  <c r="V7" i="22" s="1"/>
  <c r="R7" i="22"/>
  <c r="K56" i="23"/>
  <c r="R56" i="23" s="1"/>
  <c r="K62" i="23"/>
  <c r="R54" i="23"/>
  <c r="M20" i="26"/>
  <c r="M45" i="26" s="1"/>
  <c r="U45" i="26" s="1"/>
  <c r="S11" i="24"/>
  <c r="H62" i="22"/>
  <c r="H64" i="22" s="1"/>
  <c r="H65" i="22" s="1"/>
  <c r="I21" i="20"/>
  <c r="I41" i="20" s="1"/>
  <c r="I47" i="20" s="1"/>
  <c r="J62" i="22"/>
  <c r="J64" i="22" s="1"/>
  <c r="J65" i="22" s="1"/>
  <c r="K21" i="20"/>
  <c r="K41" i="20" s="1"/>
  <c r="K47" i="20" s="1"/>
  <c r="L62" i="22"/>
  <c r="L64" i="22" s="1"/>
  <c r="L65" i="22" s="1"/>
  <c r="M21" i="20"/>
  <c r="M41" i="20" s="1"/>
  <c r="M47" i="20" s="1"/>
  <c r="E56" i="23"/>
  <c r="Q56" i="23" s="1"/>
  <c r="Q54" i="23"/>
  <c r="E62" i="23"/>
  <c r="G20" i="26"/>
  <c r="N58" i="24"/>
  <c r="N64" i="24" s="1"/>
  <c r="P21" i="26"/>
  <c r="P46" i="26" s="1"/>
  <c r="E18" i="24"/>
  <c r="Q7" i="24"/>
  <c r="L58" i="24"/>
  <c r="L64" i="24" s="1"/>
  <c r="N21" i="26"/>
  <c r="N46" i="26" s="1"/>
  <c r="O58" i="24"/>
  <c r="O64" i="24" s="1"/>
  <c r="Q21" i="26"/>
  <c r="Q46" i="26" s="1"/>
  <c r="P58" i="24"/>
  <c r="P64" i="24" s="1"/>
  <c r="R21" i="26"/>
  <c r="R46" i="26" s="1"/>
  <c r="F62" i="22"/>
  <c r="F64" i="22" s="1"/>
  <c r="F65" i="22" s="1"/>
  <c r="G21" i="20"/>
  <c r="G41" i="20" s="1"/>
  <c r="G47" i="20" s="1"/>
  <c r="F58" i="24"/>
  <c r="F64" i="24" s="1"/>
  <c r="H21" i="26"/>
  <c r="H46" i="26" s="1"/>
  <c r="I62" i="22"/>
  <c r="I64" i="22" s="1"/>
  <c r="I65" i="22" s="1"/>
  <c r="J21" i="20"/>
  <c r="J41" i="20" s="1"/>
  <c r="J47" i="20" s="1"/>
  <c r="M62" i="22"/>
  <c r="M64" i="22" s="1"/>
  <c r="M65" i="22" s="1"/>
  <c r="N21" i="20"/>
  <c r="N41" i="20" s="1"/>
  <c r="N47" i="20" s="1"/>
  <c r="G62" i="22"/>
  <c r="G64" i="22" s="1"/>
  <c r="G65" i="22" s="1"/>
  <c r="H21" i="20"/>
  <c r="H41" i="20" s="1"/>
  <c r="H47" i="20" s="1"/>
  <c r="K62" i="22"/>
  <c r="K64" i="22" s="1"/>
  <c r="K65" i="22" s="1"/>
  <c r="L21" i="20"/>
  <c r="L41" i="20" s="1"/>
  <c r="L47" i="20" s="1"/>
  <c r="S18" i="22"/>
  <c r="T18" i="22" s="1"/>
  <c r="J58" i="24"/>
  <c r="J64" i="24" s="1"/>
  <c r="L21" i="26"/>
  <c r="L46" i="26" s="1"/>
  <c r="R9" i="22"/>
  <c r="U9" i="22"/>
  <c r="V9" i="22" s="1"/>
  <c r="I58" i="24"/>
  <c r="I64" i="24" s="1"/>
  <c r="K21" i="26"/>
  <c r="K46" i="26" s="1"/>
  <c r="M58" i="24"/>
  <c r="M64" i="24" s="1"/>
  <c r="O21" i="26"/>
  <c r="O46" i="26" s="1"/>
  <c r="G58" i="24"/>
  <c r="G64" i="24" s="1"/>
  <c r="I21" i="26"/>
  <c r="I46" i="26" s="1"/>
  <c r="H58" i="24"/>
  <c r="H64" i="24" s="1"/>
  <c r="J21" i="26"/>
  <c r="J46" i="26" s="1"/>
  <c r="S53" i="24"/>
  <c r="X54" i="21"/>
  <c r="Y54" i="21" s="1"/>
  <c r="Z54" i="21" s="1"/>
  <c r="U10" i="22"/>
  <c r="V10" i="22" s="1"/>
  <c r="R10" i="22"/>
  <c r="K18" i="24"/>
  <c r="R7" i="24"/>
  <c r="F46" i="26"/>
  <c r="W7" i="22" l="1"/>
  <c r="X7" i="22" s="1"/>
  <c r="W11" i="22"/>
  <c r="X11" i="22" s="1"/>
  <c r="Y53" i="22"/>
  <c r="Z53" i="22" s="1"/>
  <c r="W10" i="22"/>
  <c r="X10" i="22" s="1"/>
  <c r="W8" i="22"/>
  <c r="X8" i="22" s="1"/>
  <c r="Y12" i="22"/>
  <c r="Z12" i="22" s="1"/>
  <c r="Y13" i="22"/>
  <c r="Z13" i="22" s="1"/>
  <c r="W9" i="22"/>
  <c r="X9" i="22" s="1"/>
  <c r="Y9" i="22" s="1"/>
  <c r="Z9" i="22" s="1"/>
  <c r="Y14" i="22"/>
  <c r="Z14" i="22" s="1"/>
  <c r="Y15" i="22"/>
  <c r="Z15" i="22" s="1"/>
  <c r="S23" i="26"/>
  <c r="Q62" i="23"/>
  <c r="E64" i="23"/>
  <c r="S20" i="26"/>
  <c r="G45" i="26"/>
  <c r="S54" i="23"/>
  <c r="S56" i="23"/>
  <c r="S7" i="24"/>
  <c r="Q62" i="24"/>
  <c r="S62" i="24"/>
  <c r="Q18" i="24"/>
  <c r="E58" i="24"/>
  <c r="G21" i="26"/>
  <c r="R62" i="23"/>
  <c r="R64" i="23" s="1"/>
  <c r="K64" i="23"/>
  <c r="S54" i="24"/>
  <c r="U18" i="22"/>
  <c r="V18" i="22" s="1"/>
  <c r="R18" i="22"/>
  <c r="S56" i="24"/>
  <c r="R21" i="20"/>
  <c r="F41" i="20"/>
  <c r="K58" i="24"/>
  <c r="R18" i="24"/>
  <c r="M21" i="26"/>
  <c r="M46" i="26" s="1"/>
  <c r="U46" i="26" s="1"/>
  <c r="Y8" i="22" l="1"/>
  <c r="Z8" i="22" s="1"/>
  <c r="Y10" i="22"/>
  <c r="Z10" i="22" s="1"/>
  <c r="Y11" i="22"/>
  <c r="Z11" i="22" s="1"/>
  <c r="W18" i="22"/>
  <c r="X18" i="22" s="1"/>
  <c r="Y7" i="22"/>
  <c r="Z7" i="22" s="1"/>
  <c r="K64" i="24"/>
  <c r="R58" i="24"/>
  <c r="R41" i="20"/>
  <c r="F47" i="20"/>
  <c r="G46" i="26"/>
  <c r="S21" i="26"/>
  <c r="E65" i="24" a="1"/>
  <c r="E65" i="24" s="1"/>
  <c r="Q58" i="24"/>
  <c r="E64" i="24" a="1"/>
  <c r="E64" i="24" s="1"/>
  <c r="S58" i="24"/>
  <c r="V45" i="26"/>
  <c r="T45" i="26"/>
  <c r="S45" i="26"/>
  <c r="S18" i="24"/>
  <c r="E2" i="27" a="1"/>
  <c r="S62" i="23"/>
  <c r="Q64" i="23"/>
  <c r="S64" i="23" s="1"/>
  <c r="E58" i="1"/>
  <c r="Y18" i="22" l="1"/>
  <c r="Z18" i="22" s="1"/>
  <c r="F93" i="23"/>
  <c r="E11" i="27"/>
  <c r="E10" i="27"/>
  <c r="E6" i="27"/>
  <c r="E8" i="27"/>
  <c r="E2" i="27"/>
  <c r="E3" i="27"/>
  <c r="E12" i="27"/>
  <c r="E9" i="27"/>
  <c r="E7" i="27"/>
  <c r="E4" i="27"/>
  <c r="E13" i="27"/>
  <c r="E5" i="27"/>
  <c r="F91" i="23"/>
  <c r="T46" i="26"/>
  <c r="V46" i="26"/>
  <c r="S46" i="26"/>
  <c r="W46" i="26" s="1"/>
  <c r="J58" i="1"/>
  <c r="H58" i="1"/>
  <c r="P58" i="1"/>
  <c r="M58" i="1"/>
  <c r="G58" i="1"/>
  <c r="K58" i="1"/>
  <c r="I58" i="1"/>
  <c r="Q58" i="1"/>
  <c r="N58" i="1"/>
  <c r="F58" i="1"/>
  <c r="O58" i="1"/>
  <c r="L58" i="1"/>
  <c r="F94" i="23"/>
  <c r="R47" i="20"/>
  <c r="S41" i="20"/>
  <c r="F2" i="27" a="1"/>
  <c r="S65" i="24"/>
  <c r="Q65" i="24"/>
  <c r="F92" i="23"/>
  <c r="S64" i="24"/>
  <c r="Q64" i="24"/>
  <c r="F92" i="24" s="1"/>
  <c r="G2" i="27" a="1"/>
  <c r="R64" i="24"/>
  <c r="E17" i="20"/>
  <c r="F17" i="26"/>
  <c r="F93" i="24" l="1"/>
  <c r="F91" i="24"/>
  <c r="G9" i="27"/>
  <c r="G10" i="27"/>
  <c r="G2" i="27"/>
  <c r="G11" i="27"/>
  <c r="G5" i="27"/>
  <c r="G3" i="27"/>
  <c r="G4" i="27"/>
  <c r="G8" i="27"/>
  <c r="G7" i="27"/>
  <c r="G6" i="27"/>
  <c r="G13" i="27"/>
  <c r="G12" i="27"/>
  <c r="K60" i="1"/>
  <c r="K58" i="2" s="1"/>
  <c r="K59" i="2" s="1"/>
  <c r="K75" i="1"/>
  <c r="K77" i="1"/>
  <c r="G60" i="1"/>
  <c r="G58" i="2" s="1"/>
  <c r="G59" i="2" s="1"/>
  <c r="G75" i="1"/>
  <c r="G77" i="1"/>
  <c r="L60" i="1"/>
  <c r="L58" i="2" s="1"/>
  <c r="L75" i="1"/>
  <c r="L77" i="1"/>
  <c r="T58" i="1"/>
  <c r="M60" i="1"/>
  <c r="M58" i="2" s="1"/>
  <c r="M59" i="2" s="1"/>
  <c r="M77" i="1"/>
  <c r="M75" i="1"/>
  <c r="O60" i="1"/>
  <c r="O58" i="2" s="1"/>
  <c r="O59" i="2" s="1"/>
  <c r="P60" i="1"/>
  <c r="P58" i="2" s="1"/>
  <c r="P59" i="2" s="1"/>
  <c r="I60" i="1"/>
  <c r="I58" i="2" s="1"/>
  <c r="I59" i="2" s="1"/>
  <c r="I75" i="1"/>
  <c r="I77" i="1"/>
  <c r="F60" i="1"/>
  <c r="F58" i="2" s="1"/>
  <c r="F75" i="1"/>
  <c r="F77" i="1"/>
  <c r="R58" i="1"/>
  <c r="H60" i="1"/>
  <c r="H58" i="2" s="1"/>
  <c r="H59" i="2" s="1"/>
  <c r="H75" i="1"/>
  <c r="H77" i="1"/>
  <c r="F94" i="24"/>
  <c r="N60" i="1"/>
  <c r="N58" i="2" s="1"/>
  <c r="N59" i="2" s="1"/>
  <c r="N77" i="1"/>
  <c r="N75" i="1"/>
  <c r="J60" i="1"/>
  <c r="J58" i="2" s="1"/>
  <c r="J59" i="2" s="1"/>
  <c r="J75" i="1"/>
  <c r="J77" i="1"/>
  <c r="F11" i="27"/>
  <c r="F2" i="27"/>
  <c r="F8" i="27"/>
  <c r="F9" i="27"/>
  <c r="F6" i="27"/>
  <c r="F12" i="27"/>
  <c r="F5" i="27"/>
  <c r="F4" i="27"/>
  <c r="F13" i="27"/>
  <c r="F3" i="27"/>
  <c r="F10" i="27"/>
  <c r="F7" i="27"/>
  <c r="Q60" i="1"/>
  <c r="Q58" i="2" s="1"/>
  <c r="Q59" i="2" s="1"/>
  <c r="E60" i="1"/>
  <c r="F13" i="26"/>
  <c r="F14" i="26"/>
  <c r="F12" i="26"/>
  <c r="F36" i="26"/>
  <c r="F44" i="26"/>
  <c r="F35" i="26"/>
  <c r="F34" i="26"/>
  <c r="F61" i="1" l="1"/>
  <c r="F17" i="20"/>
  <c r="O61" i="1"/>
  <c r="O17" i="20"/>
  <c r="L59" i="2"/>
  <c r="S58" i="2"/>
  <c r="K60" i="2"/>
  <c r="K67" i="2"/>
  <c r="K69" i="2" s="1"/>
  <c r="L17" i="26"/>
  <c r="Q60" i="2"/>
  <c r="Q67" i="2"/>
  <c r="Q69" i="2" s="1"/>
  <c r="R17" i="26"/>
  <c r="J61" i="1"/>
  <c r="J17" i="20"/>
  <c r="L61" i="1"/>
  <c r="L17" i="20"/>
  <c r="K61" i="1"/>
  <c r="K17" i="20"/>
  <c r="N60" i="2"/>
  <c r="N67" i="2"/>
  <c r="N69" i="2" s="1"/>
  <c r="O17" i="26"/>
  <c r="F59" i="2"/>
  <c r="R58" i="2"/>
  <c r="J60" i="2"/>
  <c r="J67" i="2"/>
  <c r="J69" i="2" s="1"/>
  <c r="K17" i="26"/>
  <c r="H61" i="1"/>
  <c r="H17" i="20"/>
  <c r="H60" i="2"/>
  <c r="H67" i="2"/>
  <c r="H69" i="2" s="1"/>
  <c r="I17" i="26"/>
  <c r="I60" i="2"/>
  <c r="I67" i="2"/>
  <c r="I69" i="2" s="1"/>
  <c r="J17" i="26"/>
  <c r="M61" i="1"/>
  <c r="M17" i="20"/>
  <c r="P60" i="2"/>
  <c r="P67" i="2"/>
  <c r="P69" i="2" s="1"/>
  <c r="Q17" i="26"/>
  <c r="O60" i="2"/>
  <c r="O67" i="2"/>
  <c r="O69" i="2" s="1"/>
  <c r="P17" i="26"/>
  <c r="S58" i="1"/>
  <c r="R60" i="1"/>
  <c r="S60" i="1" s="1"/>
  <c r="V58" i="1"/>
  <c r="I61" i="1"/>
  <c r="I17" i="20"/>
  <c r="M60" i="2"/>
  <c r="M67" i="2"/>
  <c r="M69" i="2" s="1"/>
  <c r="N17" i="26"/>
  <c r="G61" i="1"/>
  <c r="G17" i="20"/>
  <c r="Q61" i="1"/>
  <c r="Q17" i="20"/>
  <c r="N61" i="1"/>
  <c r="N17" i="20"/>
  <c r="P61" i="1"/>
  <c r="P17" i="20"/>
  <c r="U58" i="1"/>
  <c r="T60" i="1"/>
  <c r="G60" i="2"/>
  <c r="G67" i="2"/>
  <c r="G69" i="2" s="1"/>
  <c r="H17" i="26"/>
  <c r="F60" i="2" l="1"/>
  <c r="F67" i="2"/>
  <c r="G17" i="26"/>
  <c r="J13" i="20" a="1"/>
  <c r="J13" i="20" s="1"/>
  <c r="J30" i="20" a="1"/>
  <c r="J30" i="20" s="1"/>
  <c r="J39" i="20"/>
  <c r="J44" i="20" s="1"/>
  <c r="J31" i="20" a="1"/>
  <c r="J31" i="20" s="1"/>
  <c r="J12" i="20" a="1"/>
  <c r="J12" i="20" s="1"/>
  <c r="J32" i="20" a="1"/>
  <c r="J32" i="20" s="1"/>
  <c r="J14" i="20" a="1"/>
  <c r="J14" i="20" s="1"/>
  <c r="I14" i="20" a="1"/>
  <c r="I14" i="20" s="1"/>
  <c r="I13" i="20" a="1"/>
  <c r="I13" i="20" s="1"/>
  <c r="I32" i="20" a="1"/>
  <c r="I32" i="20" s="1"/>
  <c r="I31" i="20" a="1"/>
  <c r="I31" i="20" s="1"/>
  <c r="I12" i="20" a="1"/>
  <c r="I12" i="20" s="1"/>
  <c r="I39" i="20"/>
  <c r="I44" i="20" s="1"/>
  <c r="I30" i="20" a="1"/>
  <c r="I30" i="20" s="1"/>
  <c r="J13" i="26" a="1"/>
  <c r="J13" i="26" s="1"/>
  <c r="J36" i="26" a="1"/>
  <c r="J36" i="26" s="1"/>
  <c r="J34" i="26" a="1"/>
  <c r="J34" i="26" s="1"/>
  <c r="J14" i="26" a="1"/>
  <c r="J14" i="26" s="1"/>
  <c r="J12" i="26" a="1"/>
  <c r="J12" i="26" s="1"/>
  <c r="J35" i="26" a="1"/>
  <c r="J35" i="26" s="1"/>
  <c r="J44" i="26"/>
  <c r="H39" i="20"/>
  <c r="H44" i="20" s="1"/>
  <c r="H13" i="20" a="1"/>
  <c r="H13" i="20" s="1"/>
  <c r="H31" i="20" a="1"/>
  <c r="H31" i="20" s="1"/>
  <c r="H32" i="20" a="1"/>
  <c r="H32" i="20" s="1"/>
  <c r="H14" i="20" a="1"/>
  <c r="H14" i="20" s="1"/>
  <c r="H30" i="20" a="1"/>
  <c r="H30" i="20" s="1"/>
  <c r="H12" i="20" a="1"/>
  <c r="H12" i="20" s="1"/>
  <c r="O34" i="26" a="1"/>
  <c r="O34" i="26" s="1"/>
  <c r="O12" i="26" a="1"/>
  <c r="O12" i="26" s="1"/>
  <c r="O35" i="26" a="1"/>
  <c r="O35" i="26" s="1"/>
  <c r="O13" i="26" a="1"/>
  <c r="O13" i="26" s="1"/>
  <c r="O14" i="26" a="1"/>
  <c r="O14" i="26" s="1"/>
  <c r="O36" i="26" a="1"/>
  <c r="O36" i="26" s="1"/>
  <c r="O44" i="26"/>
  <c r="S59" i="2"/>
  <c r="S67" i="2" s="1"/>
  <c r="S69" i="2" s="1"/>
  <c r="P44" i="26"/>
  <c r="P14" i="26" a="1"/>
  <c r="P14" i="26" s="1"/>
  <c r="P35" i="26" a="1"/>
  <c r="P35" i="26" s="1"/>
  <c r="P36" i="26" a="1"/>
  <c r="P36" i="26" s="1"/>
  <c r="P13" i="26" a="1"/>
  <c r="P13" i="26" s="1"/>
  <c r="P34" i="26" a="1"/>
  <c r="P34" i="26" s="1"/>
  <c r="P12" i="26" a="1"/>
  <c r="P12" i="26" s="1"/>
  <c r="P14" i="20" a="1"/>
  <c r="P14" i="20" s="1"/>
  <c r="P30" i="20" a="1"/>
  <c r="P30" i="20" s="1"/>
  <c r="P32" i="20" a="1"/>
  <c r="P32" i="20" s="1"/>
  <c r="P12" i="20" a="1"/>
  <c r="P12" i="20" s="1"/>
  <c r="P39" i="20"/>
  <c r="P44" i="20" s="1"/>
  <c r="P13" i="20" a="1"/>
  <c r="P13" i="20" s="1"/>
  <c r="P31" i="20" a="1"/>
  <c r="P31" i="20" s="1"/>
  <c r="W58" i="1"/>
  <c r="V60" i="1"/>
  <c r="W60" i="1" s="1"/>
  <c r="Q44" i="26"/>
  <c r="Q12" i="26" a="1"/>
  <c r="Q12" i="26" s="1"/>
  <c r="Q14" i="26" a="1"/>
  <c r="Q14" i="26" s="1"/>
  <c r="Q36" i="26" a="1"/>
  <c r="Q36" i="26" s="1"/>
  <c r="Q35" i="26" a="1"/>
  <c r="Q35" i="26" s="1"/>
  <c r="Q34" i="26" a="1"/>
  <c r="Q34" i="26" s="1"/>
  <c r="Q13" i="26" a="1"/>
  <c r="Q13" i="26" s="1"/>
  <c r="K13" i="26" a="1"/>
  <c r="K13" i="26" s="1"/>
  <c r="K44" i="26"/>
  <c r="K14" i="26" a="1"/>
  <c r="K14" i="26" s="1"/>
  <c r="K36" i="26" a="1"/>
  <c r="K36" i="26" s="1"/>
  <c r="K35" i="26" a="1"/>
  <c r="K35" i="26" s="1"/>
  <c r="K34" i="26" a="1"/>
  <c r="K34" i="26" s="1"/>
  <c r="K12" i="26" a="1"/>
  <c r="K12" i="26" s="1"/>
  <c r="R13" i="26" a="1"/>
  <c r="R13" i="26" s="1"/>
  <c r="R12" i="26" a="1"/>
  <c r="R12" i="26" s="1"/>
  <c r="R34" i="26" a="1"/>
  <c r="R34" i="26" s="1"/>
  <c r="R44" i="26"/>
  <c r="R35" i="26" a="1"/>
  <c r="R35" i="26" s="1"/>
  <c r="R14" i="26" a="1"/>
  <c r="R14" i="26" s="1"/>
  <c r="R36" i="26" a="1"/>
  <c r="R36" i="26" s="1"/>
  <c r="O14" i="20" a="1"/>
  <c r="O14" i="20" s="1"/>
  <c r="O31" i="20" a="1"/>
  <c r="O31" i="20" s="1"/>
  <c r="O13" i="20" a="1"/>
  <c r="O13" i="20" s="1"/>
  <c r="O32" i="20" a="1"/>
  <c r="O32" i="20" s="1"/>
  <c r="O39" i="20"/>
  <c r="O44" i="20" s="1"/>
  <c r="O12" i="20" a="1"/>
  <c r="O12" i="20" s="1"/>
  <c r="O30" i="20" a="1"/>
  <c r="O30" i="20" s="1"/>
  <c r="T61" i="1"/>
  <c r="U61" i="1" s="1"/>
  <c r="U60" i="1"/>
  <c r="L60" i="2"/>
  <c r="L67" i="2"/>
  <c r="L69" i="2" s="1"/>
  <c r="M17" i="26"/>
  <c r="N39" i="20"/>
  <c r="N44" i="20" s="1"/>
  <c r="N31" i="20" a="1"/>
  <c r="N31" i="20" s="1"/>
  <c r="N32" i="20" a="1"/>
  <c r="N32" i="20" s="1"/>
  <c r="N12" i="20" a="1"/>
  <c r="N12" i="20" s="1"/>
  <c r="N14" i="20" a="1"/>
  <c r="N14" i="20" s="1"/>
  <c r="N13" i="20" a="1"/>
  <c r="N13" i="20" s="1"/>
  <c r="N30" i="20" a="1"/>
  <c r="N30" i="20" s="1"/>
  <c r="G31" i="20" a="1"/>
  <c r="G31" i="20" s="1"/>
  <c r="G39" i="20"/>
  <c r="G44" i="20" s="1"/>
  <c r="G30" i="20" a="1"/>
  <c r="G30" i="20" s="1"/>
  <c r="G14" i="20" a="1"/>
  <c r="G14" i="20" s="1"/>
  <c r="G12" i="20" a="1"/>
  <c r="G12" i="20" s="1"/>
  <c r="G13" i="20" a="1"/>
  <c r="G13" i="20" s="1"/>
  <c r="G32" i="20" a="1"/>
  <c r="G32" i="20" s="1"/>
  <c r="I34" i="26" a="1"/>
  <c r="I34" i="26" s="1"/>
  <c r="I44" i="26"/>
  <c r="I36" i="26" a="1"/>
  <c r="I36" i="26" s="1"/>
  <c r="I35" i="26" a="1"/>
  <c r="I35" i="26" s="1"/>
  <c r="I14" i="26" a="1"/>
  <c r="I14" i="26" s="1"/>
  <c r="I12" i="26" a="1"/>
  <c r="I12" i="26" s="1"/>
  <c r="I13" i="26" a="1"/>
  <c r="I13" i="26" s="1"/>
  <c r="K31" i="20" a="1"/>
  <c r="K31" i="20" s="1"/>
  <c r="K12" i="20" a="1"/>
  <c r="K12" i="20" s="1"/>
  <c r="K14" i="20" a="1"/>
  <c r="K14" i="20" s="1"/>
  <c r="K32" i="20" a="1"/>
  <c r="K32" i="20" s="1"/>
  <c r="K39" i="20"/>
  <c r="K44" i="20" s="1"/>
  <c r="K30" i="20" a="1"/>
  <c r="K30" i="20" s="1"/>
  <c r="K13" i="20" a="1"/>
  <c r="K13" i="20" s="1"/>
  <c r="R17" i="20"/>
  <c r="F30" i="20" a="1"/>
  <c r="F30" i="20" s="1"/>
  <c r="F14" i="20" a="1"/>
  <c r="F14" i="20" s="1"/>
  <c r="F13" i="20" a="1"/>
  <c r="F13" i="20" s="1"/>
  <c r="R14" i="1" s="1"/>
  <c r="F12" i="20" a="1"/>
  <c r="F12" i="20" s="1"/>
  <c r="R13" i="1" s="1"/>
  <c r="F32" i="20" a="1"/>
  <c r="F32" i="20" s="1"/>
  <c r="F31" i="20" a="1"/>
  <c r="F31" i="20" s="1"/>
  <c r="F39" i="20"/>
  <c r="F44" i="20" s="1"/>
  <c r="H13" i="26" a="1"/>
  <c r="H13" i="26" s="1"/>
  <c r="H36" i="26" a="1"/>
  <c r="H36" i="26" s="1"/>
  <c r="H14" i="26" a="1"/>
  <c r="H14" i="26" s="1"/>
  <c r="H12" i="26" a="1"/>
  <c r="H12" i="26" s="1"/>
  <c r="H35" i="26" a="1"/>
  <c r="H35" i="26" s="1"/>
  <c r="H44" i="26"/>
  <c r="H34" i="26" a="1"/>
  <c r="H34" i="26" s="1"/>
  <c r="N44" i="26"/>
  <c r="N14" i="26" a="1"/>
  <c r="N14" i="26" s="1"/>
  <c r="N36" i="26" a="1"/>
  <c r="N36" i="26" s="1"/>
  <c r="N12" i="26" a="1"/>
  <c r="N12" i="26" s="1"/>
  <c r="N13" i="26" a="1"/>
  <c r="N13" i="26" s="1"/>
  <c r="N35" i="26" a="1"/>
  <c r="N35" i="26" s="1"/>
  <c r="N34" i="26" a="1"/>
  <c r="N34" i="26" s="1"/>
  <c r="L30" i="20" a="1"/>
  <c r="L30" i="20" s="1"/>
  <c r="L14" i="20" a="1"/>
  <c r="L14" i="20" s="1"/>
  <c r="L13" i="20" a="1"/>
  <c r="L13" i="20" s="1"/>
  <c r="L39" i="20"/>
  <c r="L44" i="20" s="1"/>
  <c r="L31" i="20" a="1"/>
  <c r="L31" i="20" s="1"/>
  <c r="L12" i="20" a="1"/>
  <c r="L12" i="20" s="1"/>
  <c r="L32" i="20" a="1"/>
  <c r="L32" i="20" s="1"/>
  <c r="L12" i="26" a="1"/>
  <c r="L12" i="26" s="1"/>
  <c r="L35" i="26" a="1"/>
  <c r="L35" i="26" s="1"/>
  <c r="L36" i="26" a="1"/>
  <c r="L36" i="26" s="1"/>
  <c r="L44" i="26"/>
  <c r="L34" i="26" a="1"/>
  <c r="L34" i="26" s="1"/>
  <c r="L13" i="26" a="1"/>
  <c r="L13" i="26" s="1"/>
  <c r="L14" i="26" a="1"/>
  <c r="L14" i="26" s="1"/>
  <c r="Q39" i="20"/>
  <c r="Q44" i="20" s="1"/>
  <c r="Q13" i="20" a="1"/>
  <c r="Q13" i="20" s="1"/>
  <c r="Q12" i="20" a="1"/>
  <c r="Q12" i="20" s="1"/>
  <c r="Q31" i="20" a="1"/>
  <c r="Q31" i="20" s="1"/>
  <c r="Q32" i="20" a="1"/>
  <c r="Q32" i="20" s="1"/>
  <c r="Q14" i="20" a="1"/>
  <c r="Q14" i="20" s="1"/>
  <c r="Q30" i="20" a="1"/>
  <c r="Q30" i="20" s="1"/>
  <c r="M39" i="20"/>
  <c r="M44" i="20" s="1"/>
  <c r="M13" i="20" a="1"/>
  <c r="M13" i="20" s="1"/>
  <c r="M14" i="20" a="1"/>
  <c r="M14" i="20" s="1"/>
  <c r="M12" i="20" a="1"/>
  <c r="M12" i="20" s="1"/>
  <c r="M31" i="20" a="1"/>
  <c r="M31" i="20" s="1"/>
  <c r="M32" i="20" a="1"/>
  <c r="M32" i="20" s="1"/>
  <c r="M30" i="20" a="1"/>
  <c r="M30" i="20" s="1"/>
  <c r="T58" i="2"/>
  <c r="R59" i="2"/>
  <c r="R67" i="2" s="1"/>
  <c r="R69" i="2" s="1"/>
  <c r="E20" i="20"/>
  <c r="R44" i="20" l="1"/>
  <c r="S44" i="20" s="1"/>
  <c r="I33" i="20"/>
  <c r="I34" i="20" s="1"/>
  <c r="I36" i="20" s="1"/>
  <c r="R60" i="2" a="1"/>
  <c r="R60" i="2" s="1"/>
  <c r="Q33" i="20"/>
  <c r="Q34" i="20" s="1"/>
  <c r="Q36" i="20" s="1"/>
  <c r="N33" i="20"/>
  <c r="N34" i="20" s="1"/>
  <c r="N36" i="20" s="1"/>
  <c r="S60" i="2" a="1"/>
  <c r="S60" i="2" s="1"/>
  <c r="M33" i="20"/>
  <c r="M34" i="20" s="1"/>
  <c r="M36" i="20" s="1"/>
  <c r="H33" i="20"/>
  <c r="H34" i="20" s="1"/>
  <c r="H36" i="20" s="1"/>
  <c r="T59" i="2"/>
  <c r="T60" i="2" s="1" a="1"/>
  <c r="T60" i="2" s="1"/>
  <c r="R12" i="20" a="1"/>
  <c r="R12" i="20" s="1"/>
  <c r="R13" i="20" a="1"/>
  <c r="R13" i="20" s="1"/>
  <c r="R14" i="20" a="1"/>
  <c r="R14" i="20" s="1"/>
  <c r="J51" i="20"/>
  <c r="J45" i="20"/>
  <c r="R30" i="20"/>
  <c r="F33" i="20"/>
  <c r="F34" i="20" s="1"/>
  <c r="F36" i="20" s="1"/>
  <c r="F45" i="20"/>
  <c r="R39" i="20"/>
  <c r="K53" i="20"/>
  <c r="F51" i="20"/>
  <c r="J33" i="20"/>
  <c r="J34" i="20" s="1"/>
  <c r="J36" i="20" s="1"/>
  <c r="I45" i="20"/>
  <c r="I51" i="20"/>
  <c r="L51" i="20"/>
  <c r="Q53" i="20"/>
  <c r="L45" i="20"/>
  <c r="L33" i="20"/>
  <c r="L34" i="20" s="1"/>
  <c r="L36" i="20" s="1"/>
  <c r="R31" i="20"/>
  <c r="K33" i="20"/>
  <c r="K34" i="20" s="1"/>
  <c r="K36" i="20" s="1"/>
  <c r="O33" i="20"/>
  <c r="O34" i="20" s="1"/>
  <c r="O36" i="20" s="1"/>
  <c r="P45" i="20"/>
  <c r="P51" i="20"/>
  <c r="R32" i="20"/>
  <c r="K45" i="20"/>
  <c r="K51" i="20"/>
  <c r="G33" i="20"/>
  <c r="G34" i="20" s="1"/>
  <c r="G36" i="20" s="1"/>
  <c r="S17" i="26"/>
  <c r="G14" i="26" a="1"/>
  <c r="G14" i="26" s="1"/>
  <c r="G44" i="26"/>
  <c r="G35" i="26" a="1"/>
  <c r="G35" i="26" s="1"/>
  <c r="G34" i="26" a="1"/>
  <c r="G34" i="26" s="1"/>
  <c r="G12" i="26" a="1"/>
  <c r="G12" i="26" s="1"/>
  <c r="G36" i="26" a="1"/>
  <c r="G36" i="26" s="1"/>
  <c r="G13" i="26" a="1"/>
  <c r="G13" i="26" s="1"/>
  <c r="Q45" i="20"/>
  <c r="Q51" i="20"/>
  <c r="S13" i="1"/>
  <c r="V13" i="1"/>
  <c r="W13" i="1" s="1"/>
  <c r="R15" i="1"/>
  <c r="G51" i="20"/>
  <c r="G45" i="20"/>
  <c r="N45" i="20"/>
  <c r="N51" i="20"/>
  <c r="O45" i="20"/>
  <c r="O51" i="20"/>
  <c r="T67" i="2"/>
  <c r="T69" i="2" s="1"/>
  <c r="F69" i="2"/>
  <c r="C2" i="27" s="1" a="1"/>
  <c r="Y60" i="1"/>
  <c r="X60" i="1"/>
  <c r="X58" i="1"/>
  <c r="Y58" i="1"/>
  <c r="M45" i="20"/>
  <c r="M51" i="20"/>
  <c r="S14" i="1"/>
  <c r="V14" i="1"/>
  <c r="W14" i="1" s="1"/>
  <c r="M44" i="26"/>
  <c r="M36" i="26" a="1"/>
  <c r="M36" i="26" s="1"/>
  <c r="M35" i="26" a="1"/>
  <c r="M35" i="26" s="1"/>
  <c r="M13" i="26" a="1"/>
  <c r="M13" i="26" s="1"/>
  <c r="M12" i="26" a="1"/>
  <c r="M12" i="26" s="1"/>
  <c r="M34" i="26" a="1"/>
  <c r="M34" i="26" s="1"/>
  <c r="M14" i="26" a="1"/>
  <c r="M14" i="26" s="1"/>
  <c r="P33" i="20"/>
  <c r="P34" i="20" s="1"/>
  <c r="P36" i="20" s="1"/>
  <c r="H45" i="20"/>
  <c r="H51" i="20"/>
  <c r="E40" i="20"/>
  <c r="D57" i="21"/>
  <c r="Z58" i="1" l="1"/>
  <c r="AA58" i="1" s="1"/>
  <c r="S36" i="26"/>
  <c r="Z60" i="1"/>
  <c r="AA60" i="1" s="1"/>
  <c r="Y14" i="1"/>
  <c r="X14" i="1"/>
  <c r="U44" i="26"/>
  <c r="V15" i="1"/>
  <c r="R61" i="1"/>
  <c r="S61" i="1" s="1"/>
  <c r="S15" i="1"/>
  <c r="S34" i="26"/>
  <c r="R45" i="20"/>
  <c r="R51" i="20"/>
  <c r="R53" i="20"/>
  <c r="S39" i="20"/>
  <c r="C5" i="27"/>
  <c r="C12" i="27"/>
  <c r="C11" i="27"/>
  <c r="C10" i="27"/>
  <c r="C9" i="27"/>
  <c r="C4" i="27"/>
  <c r="C7" i="27"/>
  <c r="C13" i="27"/>
  <c r="C6" i="27"/>
  <c r="C3" i="27"/>
  <c r="C2" i="27"/>
  <c r="C8" i="27"/>
  <c r="Y13" i="1"/>
  <c r="X13" i="1"/>
  <c r="S35" i="26"/>
  <c r="V44" i="26"/>
  <c r="T44" i="26"/>
  <c r="S44" i="26"/>
  <c r="S12" i="26" a="1"/>
  <c r="S12" i="26" s="1"/>
  <c r="S13" i="26" a="1"/>
  <c r="S13" i="26" s="1"/>
  <c r="S14" i="26" a="1"/>
  <c r="S14" i="26" s="1"/>
  <c r="R33" i="20"/>
  <c r="R34" i="20" s="1"/>
  <c r="R36" i="20" s="1"/>
  <c r="V61" i="1" l="1"/>
  <c r="W61" i="1" s="1"/>
  <c r="W15" i="1"/>
  <c r="Z13" i="1"/>
  <c r="AA13" i="1" s="1"/>
  <c r="Z14" i="1"/>
  <c r="AA14" i="1" s="1"/>
  <c r="AA15" i="1" l="1"/>
  <c r="Y15" i="1"/>
  <c r="X15" i="1"/>
  <c r="Y61" i="1"/>
  <c r="X61" i="1"/>
  <c r="E15" i="20"/>
  <c r="Z61" i="1" l="1"/>
  <c r="AA61" i="1" s="1"/>
  <c r="Z15" i="1"/>
  <c r="E32" i="20"/>
  <c r="E13" i="20"/>
  <c r="E12" i="20"/>
  <c r="E14" i="20"/>
  <c r="E30" i="20"/>
  <c r="E31" i="20"/>
  <c r="E39" i="20"/>
  <c r="E61" i="1" l="1"/>
  <c r="E33" i="20"/>
  <c r="E17" i="9" l="1"/>
  <c r="E13" i="9"/>
  <c r="E15" i="9"/>
  <c r="E18" i="9"/>
  <c r="E14" i="9"/>
  <c r="E11" i="9"/>
  <c r="E12" i="9"/>
  <c r="E19" i="9"/>
  <c r="E20" i="9"/>
  <c r="I17" i="9" l="1"/>
  <c r="F17" i="9"/>
  <c r="Q17" i="9"/>
  <c r="J17" i="9"/>
  <c r="K17" i="9"/>
  <c r="P17" i="9"/>
  <c r="G17" i="9"/>
  <c r="L17" i="9"/>
  <c r="O17" i="9"/>
  <c r="M17" i="9"/>
  <c r="H17" i="9"/>
  <c r="N17" i="9"/>
  <c r="H15" i="9"/>
  <c r="H15" i="28" s="1"/>
  <c r="F15" i="9"/>
  <c r="O15" i="9"/>
  <c r="O15" i="28" s="1"/>
  <c r="Q15" i="9"/>
  <c r="Q15" i="28" s="1"/>
  <c r="I15" i="9"/>
  <c r="I15" i="28" s="1"/>
  <c r="N15" i="9"/>
  <c r="N15" i="28" s="1"/>
  <c r="J15" i="9"/>
  <c r="J15" i="28" s="1"/>
  <c r="K15" i="9"/>
  <c r="K15" i="28" s="1"/>
  <c r="P15" i="9"/>
  <c r="P15" i="28" s="1"/>
  <c r="G15" i="9"/>
  <c r="G15" i="28" s="1"/>
  <c r="M15" i="9"/>
  <c r="M15" i="28" s="1"/>
  <c r="L15" i="9"/>
  <c r="M13" i="9"/>
  <c r="M13" i="28" s="1"/>
  <c r="Q13" i="9"/>
  <c r="Q13" i="28" s="1"/>
  <c r="G13" i="9"/>
  <c r="G13" i="28" s="1"/>
  <c r="N13" i="9"/>
  <c r="N13" i="28" s="1"/>
  <c r="J13" i="9"/>
  <c r="J13" i="28" s="1"/>
  <c r="L13" i="9"/>
  <c r="O13" i="9"/>
  <c r="O13" i="28" s="1"/>
  <c r="H13" i="9"/>
  <c r="H13" i="28" s="1"/>
  <c r="I13" i="9"/>
  <c r="I13" i="28" s="1"/>
  <c r="K13" i="9"/>
  <c r="K13" i="28" s="1"/>
  <c r="F13" i="9"/>
  <c r="P13" i="9"/>
  <c r="P13" i="28" s="1"/>
  <c r="K12" i="9"/>
  <c r="K12" i="28" s="1"/>
  <c r="L12" i="9"/>
  <c r="P12" i="9"/>
  <c r="P12" i="28" s="1"/>
  <c r="G12" i="9"/>
  <c r="G12" i="28" s="1"/>
  <c r="F12" i="9"/>
  <c r="H12" i="9"/>
  <c r="H12" i="28" s="1"/>
  <c r="J12" i="9"/>
  <c r="J12" i="28" s="1"/>
  <c r="O12" i="9"/>
  <c r="O12" i="28" s="1"/>
  <c r="Q12" i="9"/>
  <c r="Q12" i="28" s="1"/>
  <c r="I12" i="9"/>
  <c r="I12" i="28" s="1"/>
  <c r="N12" i="9"/>
  <c r="N12" i="28" s="1"/>
  <c r="M12" i="9"/>
  <c r="M12" i="28" s="1"/>
  <c r="I20" i="9"/>
  <c r="I20" i="28" s="1"/>
  <c r="J20" i="9"/>
  <c r="J20" i="28" s="1"/>
  <c r="F20" i="9"/>
  <c r="H20" i="9"/>
  <c r="H20" i="28" s="1"/>
  <c r="M20" i="9"/>
  <c r="M20" i="28" s="1"/>
  <c r="N20" i="9"/>
  <c r="N20" i="28" s="1"/>
  <c r="P20" i="9"/>
  <c r="P20" i="28" s="1"/>
  <c r="O20" i="9"/>
  <c r="O20" i="28" s="1"/>
  <c r="K20" i="9"/>
  <c r="K20" i="28" s="1"/>
  <c r="Q20" i="9"/>
  <c r="Q20" i="28" s="1"/>
  <c r="G20" i="9"/>
  <c r="G20" i="28" s="1"/>
  <c r="L20" i="9"/>
  <c r="N18" i="9"/>
  <c r="N18" i="28" s="1"/>
  <c r="G18" i="9"/>
  <c r="G18" i="28" s="1"/>
  <c r="O18" i="9"/>
  <c r="O18" i="28" s="1"/>
  <c r="P18" i="9"/>
  <c r="P18" i="28" s="1"/>
  <c r="F18" i="9"/>
  <c r="L18" i="9"/>
  <c r="I18" i="9"/>
  <c r="I18" i="28" s="1"/>
  <c r="H18" i="9"/>
  <c r="H18" i="28" s="1"/>
  <c r="Q18" i="9"/>
  <c r="Q18" i="28" s="1"/>
  <c r="M18" i="9"/>
  <c r="M18" i="28" s="1"/>
  <c r="K18" i="9"/>
  <c r="K18" i="28" s="1"/>
  <c r="J18" i="9"/>
  <c r="J18" i="28" s="1"/>
  <c r="I19" i="9"/>
  <c r="I19" i="28" s="1"/>
  <c r="H19" i="9"/>
  <c r="H19" i="28" s="1"/>
  <c r="Q19" i="9"/>
  <c r="Q19" i="28" s="1"/>
  <c r="P19" i="9"/>
  <c r="P19" i="28" s="1"/>
  <c r="O19" i="9"/>
  <c r="O19" i="28" s="1"/>
  <c r="M19" i="9"/>
  <c r="M19" i="28" s="1"/>
  <c r="J19" i="9"/>
  <c r="J19" i="28" s="1"/>
  <c r="N19" i="9"/>
  <c r="N19" i="28" s="1"/>
  <c r="L19" i="9"/>
  <c r="F19" i="9"/>
  <c r="G19" i="9"/>
  <c r="G19" i="28" s="1"/>
  <c r="K19" i="9"/>
  <c r="K19" i="28" s="1"/>
  <c r="Q14" i="9"/>
  <c r="Q14" i="28" s="1"/>
  <c r="O14" i="9"/>
  <c r="O14" i="28" s="1"/>
  <c r="G14" i="9"/>
  <c r="G14" i="28" s="1"/>
  <c r="F14" i="9"/>
  <c r="P14" i="9"/>
  <c r="P14" i="28" s="1"/>
  <c r="M14" i="9"/>
  <c r="M14" i="28" s="1"/>
  <c r="I14" i="9"/>
  <c r="I14" i="28" s="1"/>
  <c r="J14" i="9"/>
  <c r="J14" i="28" s="1"/>
  <c r="L14" i="9"/>
  <c r="N14" i="9"/>
  <c r="N14" i="28" s="1"/>
  <c r="H14" i="9"/>
  <c r="H14" i="28" s="1"/>
  <c r="K14" i="9"/>
  <c r="K14" i="28" s="1"/>
  <c r="J11" i="9"/>
  <c r="Q11" i="9"/>
  <c r="M11" i="9"/>
  <c r="P11" i="9"/>
  <c r="G11" i="9"/>
  <c r="F11" i="9"/>
  <c r="N11" i="9"/>
  <c r="H11" i="9"/>
  <c r="I11" i="9"/>
  <c r="O11" i="9"/>
  <c r="L11" i="9"/>
  <c r="K11" i="9"/>
  <c r="E16" i="9"/>
  <c r="E21" i="9"/>
  <c r="H11" i="28" l="1"/>
  <c r="H16" i="28" s="1"/>
  <c r="H16" i="9"/>
  <c r="F14" i="28"/>
  <c r="R14" i="28" s="1"/>
  <c r="R14" i="9"/>
  <c r="L15" i="28"/>
  <c r="S15" i="28" s="1"/>
  <c r="T15" i="9"/>
  <c r="U15" i="9" s="1"/>
  <c r="L17" i="28"/>
  <c r="L21" i="9"/>
  <c r="T17" i="9"/>
  <c r="U17" i="9" s="1"/>
  <c r="N11" i="28"/>
  <c r="N16" i="28" s="1"/>
  <c r="N16" i="9"/>
  <c r="G21" i="9"/>
  <c r="G17" i="28"/>
  <c r="G21" i="28" s="1"/>
  <c r="F11" i="28"/>
  <c r="F16" i="9"/>
  <c r="R11" i="9"/>
  <c r="L12" i="28"/>
  <c r="S12" i="28" s="1"/>
  <c r="T12" i="9"/>
  <c r="U12" i="9" s="1"/>
  <c r="L13" i="28"/>
  <c r="S13" i="28" s="1"/>
  <c r="T13" i="9"/>
  <c r="U13" i="9" s="1"/>
  <c r="F15" i="28"/>
  <c r="R15" i="28" s="1"/>
  <c r="T15" i="28" s="1"/>
  <c r="R15" i="9"/>
  <c r="P17" i="28"/>
  <c r="P21" i="28" s="1"/>
  <c r="P21" i="9"/>
  <c r="G11" i="28"/>
  <c r="G16" i="28" s="1"/>
  <c r="G16" i="9"/>
  <c r="G22" i="9" s="1"/>
  <c r="L14" i="28"/>
  <c r="S14" i="28" s="1"/>
  <c r="T14" i="9"/>
  <c r="U14" i="9" s="1"/>
  <c r="K17" i="28"/>
  <c r="K21" i="28" s="1"/>
  <c r="K21" i="9"/>
  <c r="K11" i="28"/>
  <c r="K16" i="28" s="1"/>
  <c r="K22" i="28" s="1"/>
  <c r="K16" i="9"/>
  <c r="P16" i="9"/>
  <c r="P11" i="28"/>
  <c r="P16" i="28" s="1"/>
  <c r="L20" i="28"/>
  <c r="S20" i="28" s="1"/>
  <c r="T20" i="9"/>
  <c r="U20" i="9" s="1"/>
  <c r="N17" i="28"/>
  <c r="N21" i="28" s="1"/>
  <c r="N58" i="28" s="1"/>
  <c r="N21" i="9"/>
  <c r="J17" i="28"/>
  <c r="J21" i="28" s="1"/>
  <c r="J21" i="9"/>
  <c r="L11" i="28"/>
  <c r="L16" i="9"/>
  <c r="T11" i="9"/>
  <c r="M11" i="28"/>
  <c r="M16" i="28" s="1"/>
  <c r="M16" i="9"/>
  <c r="F20" i="28"/>
  <c r="R20" i="28" s="1"/>
  <c r="R20" i="9"/>
  <c r="F13" i="28"/>
  <c r="R13" i="28" s="1"/>
  <c r="R13" i="9"/>
  <c r="H17" i="28"/>
  <c r="H21" i="28" s="1"/>
  <c r="H21" i="9"/>
  <c r="Q17" i="28"/>
  <c r="Q21" i="28" s="1"/>
  <c r="Q21" i="9"/>
  <c r="O16" i="9"/>
  <c r="O11" i="28"/>
  <c r="Q16" i="9"/>
  <c r="Q11" i="28"/>
  <c r="Q16" i="28" s="1"/>
  <c r="F19" i="28"/>
  <c r="R19" i="28" s="1"/>
  <c r="R19" i="9"/>
  <c r="L18" i="28"/>
  <c r="S18" i="28" s="1"/>
  <c r="T18" i="9"/>
  <c r="U18" i="9" s="1"/>
  <c r="M17" i="28"/>
  <c r="M21" i="28" s="1"/>
  <c r="M58" i="28" s="1"/>
  <c r="M21" i="9"/>
  <c r="F21" i="9"/>
  <c r="F17" i="28"/>
  <c r="R17" i="9"/>
  <c r="I11" i="28"/>
  <c r="I16" i="28" s="1"/>
  <c r="I16" i="9"/>
  <c r="J16" i="9"/>
  <c r="J11" i="28"/>
  <c r="J16" i="28" s="1"/>
  <c r="L19" i="28"/>
  <c r="S19" i="28" s="1"/>
  <c r="T19" i="9"/>
  <c r="U19" i="9" s="1"/>
  <c r="F18" i="28"/>
  <c r="R18" i="28" s="1"/>
  <c r="R18" i="9"/>
  <c r="F12" i="28"/>
  <c r="R12" i="28" s="1"/>
  <c r="T12" i="28" s="1"/>
  <c r="R12" i="9"/>
  <c r="O17" i="28"/>
  <c r="O21" i="28" s="1"/>
  <c r="O21" i="9"/>
  <c r="I17" i="28"/>
  <c r="I21" i="28" s="1"/>
  <c r="I21" i="9"/>
  <c r="J22" i="28" l="1"/>
  <c r="J23" i="28" s="1"/>
  <c r="J22" i="9"/>
  <c r="T13" i="28"/>
  <c r="I58" i="28"/>
  <c r="P22" i="9"/>
  <c r="G22" i="28"/>
  <c r="G23" i="28" s="1"/>
  <c r="Q22" i="9"/>
  <c r="I22" i="9"/>
  <c r="M22" i="9"/>
  <c r="Q58" i="28"/>
  <c r="P22" i="28"/>
  <c r="P23" i="28" s="1"/>
  <c r="R21" i="9"/>
  <c r="S21" i="9" s="1"/>
  <c r="H22" i="28"/>
  <c r="H23" i="28" s="1"/>
  <c r="S18" i="9"/>
  <c r="V18" i="9"/>
  <c r="W18" i="9" s="1"/>
  <c r="X18" i="9" s="1"/>
  <c r="S19" i="9"/>
  <c r="V19" i="9"/>
  <c r="W19" i="9" s="1"/>
  <c r="X19" i="9" s="1"/>
  <c r="M22" i="28"/>
  <c r="K58" i="28"/>
  <c r="F22" i="9"/>
  <c r="L21" i="28"/>
  <c r="S17" i="28"/>
  <c r="S21" i="28" s="1"/>
  <c r="S15" i="9"/>
  <c r="V15" i="9"/>
  <c r="W15" i="9" s="1"/>
  <c r="X15" i="9" s="1"/>
  <c r="I22" i="28"/>
  <c r="T18" i="28"/>
  <c r="S17" i="9"/>
  <c r="V17" i="9"/>
  <c r="W17" i="9" s="1"/>
  <c r="X17" i="9" s="1"/>
  <c r="T19" i="28"/>
  <c r="U11" i="9"/>
  <c r="T16" i="9"/>
  <c r="T20" i="28"/>
  <c r="R11" i="28"/>
  <c r="F16" i="28"/>
  <c r="S12" i="9"/>
  <c r="V12" i="9"/>
  <c r="W12" i="9" s="1"/>
  <c r="X12" i="9" s="1"/>
  <c r="F21" i="28"/>
  <c r="R17" i="28"/>
  <c r="Q22" i="28"/>
  <c r="S13" i="9"/>
  <c r="V13" i="9"/>
  <c r="W13" i="9" s="1"/>
  <c r="X13" i="9" s="1"/>
  <c r="L22" i="9"/>
  <c r="H58" i="28"/>
  <c r="G58" i="28"/>
  <c r="P58" i="28"/>
  <c r="O16" i="28"/>
  <c r="O58" i="28" s="1"/>
  <c r="S20" i="9"/>
  <c r="V20" i="9"/>
  <c r="W20" i="9" s="1"/>
  <c r="X20" i="9" s="1"/>
  <c r="N22" i="9"/>
  <c r="S14" i="9"/>
  <c r="V14" i="9"/>
  <c r="W14" i="9" s="1"/>
  <c r="X14" i="9" s="1"/>
  <c r="O22" i="9"/>
  <c r="J58" i="28"/>
  <c r="K22" i="9"/>
  <c r="N22" i="28"/>
  <c r="T14" i="28"/>
  <c r="K23" i="28"/>
  <c r="L30" i="26"/>
  <c r="L37" i="26" s="1"/>
  <c r="L50" i="26"/>
  <c r="L57" i="26" s="1"/>
  <c r="H22" i="9"/>
  <c r="S11" i="28"/>
  <c r="L16" i="28"/>
  <c r="S11" i="9"/>
  <c r="V11" i="9"/>
  <c r="W11" i="9" s="1"/>
  <c r="X11" i="9" s="1"/>
  <c r="R16" i="9"/>
  <c r="S16" i="9" s="1"/>
  <c r="T21" i="9"/>
  <c r="F30" i="26"/>
  <c r="I50" i="26" l="1"/>
  <c r="I57" i="26" s="1"/>
  <c r="H50" i="26"/>
  <c r="H57" i="26" s="1"/>
  <c r="I30" i="26"/>
  <c r="I37" i="26" s="1"/>
  <c r="L38" i="26"/>
  <c r="L40" i="26" s="1"/>
  <c r="K50" i="26"/>
  <c r="K57" i="26" s="1"/>
  <c r="K30" i="26"/>
  <c r="K37" i="26" s="1"/>
  <c r="L22" i="28"/>
  <c r="M30" i="26" s="1"/>
  <c r="M37" i="26" s="1"/>
  <c r="H30" i="26"/>
  <c r="H37" i="26" s="1"/>
  <c r="Q30" i="26"/>
  <c r="Q37" i="26" s="1"/>
  <c r="F22" i="28"/>
  <c r="F23" i="28" s="1"/>
  <c r="O22" i="28"/>
  <c r="P30" i="26" s="1"/>
  <c r="P37" i="26" s="1"/>
  <c r="R22" i="9"/>
  <c r="U21" i="9"/>
  <c r="V21" i="9"/>
  <c r="W21" i="9" s="1"/>
  <c r="X21" i="9" s="1"/>
  <c r="T22" i="9"/>
  <c r="M23" i="28"/>
  <c r="N30" i="26"/>
  <c r="N37" i="26" s="1"/>
  <c r="N50" i="26"/>
  <c r="N57" i="26" s="1"/>
  <c r="T11" i="28"/>
  <c r="R16" i="28"/>
  <c r="I23" i="28"/>
  <c r="J30" i="26"/>
  <c r="J37" i="26" s="1"/>
  <c r="J50" i="26"/>
  <c r="J57" i="26" s="1"/>
  <c r="Q23" i="28"/>
  <c r="R30" i="26"/>
  <c r="R37" i="26" s="1"/>
  <c r="N23" i="28"/>
  <c r="O30" i="26"/>
  <c r="O37" i="26" s="1"/>
  <c r="R21" i="28"/>
  <c r="T17" i="28"/>
  <c r="T21" i="28" s="1"/>
  <c r="U16" i="9"/>
  <c r="V16" i="9"/>
  <c r="W16" i="9" s="1"/>
  <c r="X16" i="9" s="1"/>
  <c r="F58" i="28"/>
  <c r="S16" i="28"/>
  <c r="S22" i="28" s="1"/>
  <c r="L58" i="28"/>
  <c r="H38" i="26" l="1"/>
  <c r="H40" i="26" s="1"/>
  <c r="M38" i="26"/>
  <c r="M40" i="26" s="1"/>
  <c r="K38" i="26"/>
  <c r="K40" i="26" s="1"/>
  <c r="O38" i="26"/>
  <c r="O40" i="26" s="1"/>
  <c r="L23" i="28"/>
  <c r="P38" i="26"/>
  <c r="P40" i="26" s="1"/>
  <c r="Q38" i="26"/>
  <c r="Q40" i="26" s="1"/>
  <c r="J38" i="26"/>
  <c r="J40" i="26" s="1"/>
  <c r="R38" i="26"/>
  <c r="R40" i="26" s="1"/>
  <c r="N38" i="26"/>
  <c r="N40" i="26" s="1"/>
  <c r="I38" i="26"/>
  <c r="I40" i="26" s="1"/>
  <c r="M50" i="26"/>
  <c r="M57" i="26" s="1"/>
  <c r="U57" i="26" s="1"/>
  <c r="O23" i="28"/>
  <c r="J2" i="27" s="1" a="1"/>
  <c r="K2" i="27" a="1"/>
  <c r="K12" i="27" s="1"/>
  <c r="R12" i="27" s="1"/>
  <c r="F63" i="28" a="1"/>
  <c r="S63" i="28" s="1"/>
  <c r="G50" i="26"/>
  <c r="T50" i="26" s="1"/>
  <c r="G30" i="26"/>
  <c r="S30" i="26" s="1"/>
  <c r="S37" i="26" s="1"/>
  <c r="S38" i="26" s="1"/>
  <c r="S40" i="26" s="1"/>
  <c r="V22" i="9"/>
  <c r="F62" i="28" a="1"/>
  <c r="S62" i="28" s="1"/>
  <c r="T16" i="28"/>
  <c r="T22" i="28" s="1"/>
  <c r="F64" i="28" a="1"/>
  <c r="R22" i="28"/>
  <c r="F54" i="26"/>
  <c r="K7" i="27" l="1"/>
  <c r="R7" i="27" s="1"/>
  <c r="G57" i="26"/>
  <c r="T57" i="26" s="1"/>
  <c r="S50" i="26"/>
  <c r="G37" i="26"/>
  <c r="K6" i="27"/>
  <c r="R6" i="27" s="1"/>
  <c r="K13" i="27"/>
  <c r="R13" i="27" s="1"/>
  <c r="K11" i="27"/>
  <c r="R11" i="27" s="1"/>
  <c r="K2" i="27"/>
  <c r="R2" i="27" s="1"/>
  <c r="K9" i="27"/>
  <c r="R9" i="27" s="1"/>
  <c r="F63" i="28"/>
  <c r="V63" i="28" s="1" a="1"/>
  <c r="V63" i="28" s="1"/>
  <c r="K4" i="27"/>
  <c r="R4" i="27" s="1"/>
  <c r="K10" i="27"/>
  <c r="R10" i="27" s="1"/>
  <c r="K8" i="27"/>
  <c r="R8" i="27" s="1"/>
  <c r="K3" i="27"/>
  <c r="R3" i="27" s="1"/>
  <c r="K5" i="27"/>
  <c r="R5" i="27" s="1"/>
  <c r="F62" i="28"/>
  <c r="V62" i="28" s="1" a="1"/>
  <c r="V62" i="28" s="1"/>
  <c r="W62" i="28" s="1"/>
  <c r="J9" i="27"/>
  <c r="Q9" i="27" s="1"/>
  <c r="J11" i="27"/>
  <c r="Q11" i="27" s="1"/>
  <c r="J6" i="27"/>
  <c r="Q6" i="27" s="1"/>
  <c r="J3" i="27"/>
  <c r="Q3" i="27" s="1"/>
  <c r="J2" i="27"/>
  <c r="Q2" i="27" s="1"/>
  <c r="J7" i="27"/>
  <c r="Q7" i="27" s="1"/>
  <c r="J13" i="27"/>
  <c r="Q13" i="27" s="1"/>
  <c r="J12" i="27"/>
  <c r="Q12" i="27" s="1"/>
  <c r="J10" i="27"/>
  <c r="Q10" i="27" s="1"/>
  <c r="J5" i="27"/>
  <c r="Q5" i="27" s="1"/>
  <c r="J4" i="27"/>
  <c r="Q4" i="27" s="1"/>
  <c r="J8" i="27"/>
  <c r="Q8" i="27" s="1"/>
  <c r="F64" i="28"/>
  <c r="S64" i="28"/>
  <c r="G38" i="26" l="1"/>
  <c r="G40" i="26" s="1"/>
  <c r="R63" i="28"/>
  <c r="T63" i="28" s="1"/>
  <c r="R62" i="28"/>
  <c r="T62" i="28" s="1"/>
  <c r="V64" i="28" a="1"/>
  <c r="V64" i="28" s="1"/>
  <c r="R64" i="28"/>
  <c r="T64" i="28" s="1"/>
  <c r="D56" i="15" l="1"/>
  <c r="G56" i="15" l="1"/>
  <c r="I56" i="15"/>
  <c r="K56" i="15"/>
  <c r="O56" i="15"/>
  <c r="H56" i="15"/>
  <c r="M56" i="15"/>
  <c r="E56" i="15"/>
  <c r="P56" i="15"/>
  <c r="N56" i="15"/>
  <c r="L56" i="15"/>
  <c r="F56" i="15"/>
  <c r="J56" i="15"/>
  <c r="Q56" i="15" l="1"/>
  <c r="R56" i="15" s="1"/>
  <c r="O56" i="16"/>
  <c r="O77" i="15"/>
  <c r="O78" i="15" s="1"/>
  <c r="P56" i="16"/>
  <c r="P77" i="15"/>
  <c r="P78" i="15" s="1"/>
  <c r="N56" i="16"/>
  <c r="N77" i="15"/>
  <c r="N78" i="15" s="1"/>
  <c r="J56" i="16"/>
  <c r="J77" i="15"/>
  <c r="J78" i="15" s="1"/>
  <c r="F56" i="16"/>
  <c r="F77" i="15"/>
  <c r="F78" i="15" s="1"/>
  <c r="K56" i="16"/>
  <c r="K77" i="15"/>
  <c r="K78" i="15" s="1"/>
  <c r="S56" i="15"/>
  <c r="E56" i="16"/>
  <c r="E77" i="15"/>
  <c r="E78" i="15" s="1"/>
  <c r="H56" i="16"/>
  <c r="H77" i="15"/>
  <c r="H78" i="15" s="1"/>
  <c r="L56" i="16"/>
  <c r="L77" i="15"/>
  <c r="L78" i="15" s="1"/>
  <c r="I56" i="16"/>
  <c r="I77" i="15"/>
  <c r="I78" i="15" s="1"/>
  <c r="M56" i="16"/>
  <c r="M77" i="15"/>
  <c r="M78" i="15" s="1"/>
  <c r="G56" i="16"/>
  <c r="G77" i="15"/>
  <c r="G78" i="15" s="1"/>
  <c r="E9" i="20"/>
  <c r="Q56" i="16" l="1"/>
  <c r="T56" i="15"/>
  <c r="U56" i="15"/>
  <c r="V56" i="15" s="1"/>
  <c r="R56" i="16"/>
  <c r="E10" i="20"/>
  <c r="W56" i="15" l="1"/>
  <c r="X56" i="15" s="1"/>
  <c r="S56" i="16"/>
  <c r="E34" i="20"/>
  <c r="Y56" i="15" l="1"/>
  <c r="Z56" i="15" s="1"/>
  <c r="E36" i="20"/>
  <c r="F10" i="26"/>
  <c r="F9" i="26"/>
  <c r="F53" i="26" l="1"/>
  <c r="F55" i="26" l="1"/>
  <c r="F52" i="26" l="1"/>
  <c r="F56" i="26"/>
  <c r="F33" i="26" l="1"/>
  <c r="F37" i="26" l="1"/>
  <c r="F38" i="26" l="1"/>
  <c r="F40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Panasonic do Brasil Limitada</author>
  </authors>
  <commentList>
    <comment ref="Y23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Panasonic do Brasil Limitada:</t>
        </r>
        <r>
          <rPr>
            <sz val="8"/>
            <color indexed="81"/>
            <rFont val="Tahoma"/>
            <family val="2"/>
          </rPr>
          <t xml:space="preserve">
Consumo/1000 pilhas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<sst xmlns="http://schemas.openxmlformats.org/spreadsheetml/2006/main" count="1327" uniqueCount="325">
  <si>
    <t>T O T A L (pçs)</t>
  </si>
  <si>
    <t>Total</t>
  </si>
  <si>
    <t xml:space="preserve"> Voltagem</t>
  </si>
  <si>
    <t>GPER-360</t>
  </si>
  <si>
    <t>Shrink 2 pcs</t>
  </si>
  <si>
    <t>Bandeja</t>
  </si>
  <si>
    <t xml:space="preserve"> Outros acab.</t>
  </si>
  <si>
    <t>Embaladeira</t>
  </si>
  <si>
    <t>Empurrador</t>
  </si>
  <si>
    <t>Estrela</t>
  </si>
  <si>
    <t>Transf. De Correia</t>
  </si>
  <si>
    <t xml:space="preserve"> Shrink</t>
  </si>
  <si>
    <t>S/ Bottom Plate</t>
  </si>
  <si>
    <t>S/ Arruela</t>
  </si>
  <si>
    <t>Ch. Manchada</t>
  </si>
  <si>
    <t>Ch. Riscada</t>
  </si>
  <si>
    <t>S/ Cap</t>
  </si>
  <si>
    <t>S/ Anel vermelho</t>
  </si>
  <si>
    <t xml:space="preserve"> Encaixotadeira acab.</t>
  </si>
  <si>
    <t xml:space="preserve"> Testador</t>
  </si>
  <si>
    <t>NÃO RECUPERÁVEL</t>
  </si>
  <si>
    <t>ACABAMENTO</t>
  </si>
  <si>
    <t xml:space="preserve"> Encaixotadeira</t>
  </si>
  <si>
    <t xml:space="preserve"> S/ Bottom Plate</t>
  </si>
  <si>
    <t xml:space="preserve"> S/ Arruela</t>
  </si>
  <si>
    <t>Chapa manchada</t>
  </si>
  <si>
    <t>Chapa riscada</t>
  </si>
  <si>
    <t xml:space="preserve"> S/ CAP</t>
  </si>
  <si>
    <t xml:space="preserve"> S/ Anel Vermelho</t>
  </si>
  <si>
    <t xml:space="preserve"> LEAK</t>
  </si>
  <si>
    <t>RECUPERADO APÓS SHIMA</t>
  </si>
  <si>
    <t>CAP / Term. Inferior</t>
  </si>
  <si>
    <t>Anel Vermelho</t>
  </si>
  <si>
    <t>Arruela</t>
  </si>
  <si>
    <t xml:space="preserve">Tubo de Chapa </t>
  </si>
  <si>
    <t xml:space="preserve"> Não recuperado pvc</t>
  </si>
  <si>
    <t xml:space="preserve"> Recuperado pvc</t>
  </si>
  <si>
    <t>RECUPERÁVEL</t>
  </si>
  <si>
    <t xml:space="preserve"> Outros ñ recup.</t>
  </si>
  <si>
    <t xml:space="preserve"> CAP~SHIMA</t>
  </si>
  <si>
    <t xml:space="preserve"> Encolhimento</t>
  </si>
  <si>
    <t xml:space="preserve"> PVC</t>
  </si>
  <si>
    <t xml:space="preserve"> PY</t>
  </si>
  <si>
    <t xml:space="preserve"> Evertack</t>
  </si>
  <si>
    <t xml:space="preserve"> Carvão~Bobina Baixa</t>
  </si>
  <si>
    <t xml:space="preserve"> Isol. Superior</t>
  </si>
  <si>
    <t xml:space="preserve"> Tampão</t>
  </si>
  <si>
    <t>MONTAGEM</t>
  </si>
  <si>
    <t>ppm</t>
  </si>
  <si>
    <t>Qty</t>
  </si>
  <si>
    <t>Descrição</t>
  </si>
  <si>
    <t>Cód.</t>
  </si>
  <si>
    <t>Target</t>
  </si>
  <si>
    <t>Annual</t>
  </si>
  <si>
    <t>2nd Half</t>
  </si>
  <si>
    <t>1st Half</t>
  </si>
  <si>
    <t>Qtde de falhas</t>
  </si>
  <si>
    <t>Operações</t>
  </si>
  <si>
    <t>Resumo de falhas da Linha UM-1</t>
  </si>
  <si>
    <t>T O T A L</t>
  </si>
  <si>
    <t xml:space="preserve"> Amperagem</t>
  </si>
  <si>
    <t>Encaixotamento</t>
  </si>
  <si>
    <t>Encolhimento</t>
  </si>
  <si>
    <t>ACB</t>
  </si>
  <si>
    <t>MTG</t>
  </si>
  <si>
    <t>BLD</t>
  </si>
  <si>
    <t>PVC Shrink</t>
  </si>
  <si>
    <t>Cartucho</t>
  </si>
  <si>
    <t>Defeito de Blindagem</t>
  </si>
  <si>
    <t>S/ CAP</t>
  </si>
  <si>
    <t>S/ anel vermelho</t>
  </si>
  <si>
    <t>Term.Inferior/arruela</t>
  </si>
  <si>
    <t>Tubo de Chapa</t>
  </si>
  <si>
    <t>Recuperado do PVC</t>
  </si>
  <si>
    <t xml:space="preserve"> CAP</t>
  </si>
  <si>
    <t>PY</t>
  </si>
  <si>
    <t>Evertack</t>
  </si>
  <si>
    <t>Tb. c/ Boca Amass.</t>
  </si>
  <si>
    <t xml:space="preserve"> Carvão</t>
  </si>
  <si>
    <t>Isol. Sup.</t>
  </si>
  <si>
    <t>Resumo de falhas da Linha UM-3</t>
  </si>
  <si>
    <t>R$</t>
  </si>
  <si>
    <t>Falhas</t>
  </si>
  <si>
    <t>Sub-Total</t>
  </si>
  <si>
    <t>PVC Blister  477 x 0,30</t>
  </si>
  <si>
    <t>PVC Blister  477 x 0,25</t>
  </si>
  <si>
    <t>PVC Blister  477 x 0,18</t>
  </si>
  <si>
    <t>Pilhas</t>
  </si>
  <si>
    <t>Cartela</t>
  </si>
  <si>
    <t>PVC</t>
  </si>
  <si>
    <t>OUTROS</t>
  </si>
  <si>
    <t>Alk</t>
  </si>
  <si>
    <t>SubTotal</t>
  </si>
  <si>
    <t>LR-6</t>
  </si>
  <si>
    <t>LR-14</t>
  </si>
  <si>
    <t>LR-20</t>
  </si>
  <si>
    <t>UM-3</t>
  </si>
  <si>
    <t>UM-2</t>
  </si>
  <si>
    <t>UM-1</t>
  </si>
  <si>
    <t>SUPERMERCADO</t>
  </si>
  <si>
    <t>PRENSA</t>
  </si>
  <si>
    <t>BLINDAGEM</t>
  </si>
  <si>
    <t>Cód</t>
  </si>
  <si>
    <t>Resumo de falhas de Blindagem e PVC</t>
  </si>
  <si>
    <t>VA</t>
  </si>
  <si>
    <t>%</t>
  </si>
  <si>
    <t>LR6</t>
  </si>
  <si>
    <t>Modelo</t>
  </si>
  <si>
    <t>Chapa Riscada</t>
  </si>
  <si>
    <t>Chapa Manchada</t>
  </si>
  <si>
    <t>Chapa Invertida</t>
  </si>
  <si>
    <t>Chapa Aberta</t>
  </si>
  <si>
    <t>Falha de Impressão</t>
  </si>
  <si>
    <t>Sem Arruela</t>
  </si>
  <si>
    <t>Fundo Amassado</t>
  </si>
  <si>
    <t>Sem Cap</t>
  </si>
  <si>
    <t>Outros</t>
  </si>
  <si>
    <t>Shrink 2 peças</t>
  </si>
  <si>
    <t>BLISTER 3</t>
  </si>
  <si>
    <t>UM-4</t>
  </si>
  <si>
    <t>Total recup.</t>
  </si>
  <si>
    <t>Amassado Superior</t>
  </si>
  <si>
    <t>Amassado Inferior</t>
  </si>
  <si>
    <t>Pank (MTG)</t>
  </si>
  <si>
    <t>Recuperadas</t>
  </si>
  <si>
    <t>Pank (ACB)</t>
  </si>
  <si>
    <t>Cap Amassado / Afundado</t>
  </si>
  <si>
    <t>Cap Rachado</t>
  </si>
  <si>
    <t>Sem Anel Vermelho</t>
  </si>
  <si>
    <t>Dois Anéis Vermelhos</t>
  </si>
  <si>
    <t>Sem Bottom Plate</t>
  </si>
  <si>
    <t>Bottom Plate Amassado</t>
  </si>
  <si>
    <t>Sem Arruela / Sem Bottom Plate</t>
  </si>
  <si>
    <t>Fundo Sujo</t>
  </si>
  <si>
    <t>Máq. 1</t>
  </si>
  <si>
    <t>Máq. 2</t>
  </si>
  <si>
    <t>Máq. 3</t>
  </si>
  <si>
    <t>UM-3 
BODY MAKER</t>
  </si>
  <si>
    <t>Máq. 4</t>
  </si>
  <si>
    <t>Máq. 5</t>
  </si>
  <si>
    <t>UM-3 
OTTO PRESS</t>
  </si>
  <si>
    <t>Resumo de falhas da Linha UM-4</t>
  </si>
  <si>
    <t>MONTAGEM - NÃO RECUPERÁVEL</t>
  </si>
  <si>
    <t>TAMPÃO</t>
  </si>
  <si>
    <t>ISOL. SUPERIOR</t>
  </si>
  <si>
    <t>CARVÃO</t>
  </si>
  <si>
    <t>EVERTACK</t>
  </si>
  <si>
    <t>CAP/PY</t>
  </si>
  <si>
    <t>FECHAMENTO</t>
  </si>
  <si>
    <t>BOTTOM PLATE</t>
  </si>
  <si>
    <t>TESTADOR VA</t>
  </si>
  <si>
    <t>ENCAXOTADEIRA</t>
  </si>
  <si>
    <t>Pilha deformada</t>
  </si>
  <si>
    <t>PVC Mal impresso</t>
  </si>
  <si>
    <t>PVC rasgado</t>
  </si>
  <si>
    <t>PVC deformado</t>
  </si>
  <si>
    <t>PVC IMPRESSO ATÈ TESTADOR -NÃO RECUPERÁVEL</t>
  </si>
  <si>
    <t>PY Deslocado</t>
  </si>
  <si>
    <t>Sem PY</t>
  </si>
  <si>
    <t>Fundo sujo</t>
  </si>
  <si>
    <t>Tubo de Zinco Trincado</t>
  </si>
  <si>
    <t>Pilha amassada</t>
  </si>
  <si>
    <t>ACABAMENTO - SHRINK - NÃO RECUPERÁVEL</t>
  </si>
  <si>
    <t>First Half</t>
  </si>
  <si>
    <t>Second Half</t>
  </si>
  <si>
    <t>SM</t>
  </si>
  <si>
    <t>Fisrt Half</t>
  </si>
  <si>
    <t>vs Last Month</t>
  </si>
  <si>
    <t>Montagem</t>
  </si>
  <si>
    <t>Acabamento</t>
  </si>
  <si>
    <t>UM-3-1</t>
  </si>
  <si>
    <t>UM-3-2</t>
  </si>
  <si>
    <t>ACABAMENTO - NÃO RECUPERÁVEL</t>
  </si>
  <si>
    <t>Assembly</t>
  </si>
  <si>
    <t>Finishing</t>
  </si>
  <si>
    <t>Real</t>
  </si>
  <si>
    <t>BP</t>
  </si>
  <si>
    <t>Prensa</t>
  </si>
  <si>
    <t>Defect ratio</t>
  </si>
  <si>
    <t>Un.</t>
  </si>
  <si>
    <t>pçs</t>
  </si>
  <si>
    <t>vs BP</t>
  </si>
  <si>
    <t>Total Manganês</t>
  </si>
  <si>
    <t>Total Panabras</t>
  </si>
  <si>
    <t>UM-3 - L1</t>
  </si>
  <si>
    <t>UM-3 - L2</t>
  </si>
  <si>
    <t>pcs</t>
  </si>
  <si>
    <t>Gestão de Produção e Quantidade de Falhas (pçs)</t>
  </si>
  <si>
    <t>Gestão de Custo de Produção e Falhas (R$)</t>
  </si>
  <si>
    <t>Anual</t>
  </si>
  <si>
    <t>Produção</t>
  </si>
  <si>
    <t>Forecast</t>
  </si>
  <si>
    <t>Objetivo</t>
  </si>
  <si>
    <t>Alloyd 1</t>
  </si>
  <si>
    <t>Blister</t>
  </si>
  <si>
    <t>Blister + Cartela</t>
  </si>
  <si>
    <t>Pilhas Amassadas</t>
  </si>
  <si>
    <t>Alloyd 2</t>
  </si>
  <si>
    <t>Taxa</t>
  </si>
  <si>
    <t>PRE</t>
  </si>
  <si>
    <t>COMPONENTES</t>
  </si>
  <si>
    <t>Objetivo (ppm)</t>
  </si>
  <si>
    <t>Custo por milheiro (R$)</t>
  </si>
  <si>
    <t>total</t>
  </si>
  <si>
    <t>Sulliter</t>
  </si>
  <si>
    <t>Pilha caida no prato</t>
  </si>
  <si>
    <t>Pilha Queimada</t>
  </si>
  <si>
    <t>Comp.</t>
  </si>
  <si>
    <t>Embalagem</t>
  </si>
  <si>
    <t>IMP</t>
  </si>
  <si>
    <t>Taxa defeituosoa</t>
  </si>
  <si>
    <t>ALC</t>
  </si>
  <si>
    <t>Mn</t>
  </si>
  <si>
    <t>Semestral</t>
  </si>
  <si>
    <t>Alc</t>
  </si>
  <si>
    <t>Alloyd 3</t>
  </si>
  <si>
    <t>Outros - recup. Acb</t>
  </si>
  <si>
    <t>Outros - acabamento</t>
  </si>
  <si>
    <t xml:space="preserve"> Voltagem - montagem</t>
  </si>
  <si>
    <t xml:space="preserve"> Voltagem - acabamento</t>
  </si>
  <si>
    <t>TOTAL</t>
  </si>
  <si>
    <t>conta</t>
  </si>
  <si>
    <t>LinUM31_X</t>
  </si>
  <si>
    <t>LinUM31_Y</t>
  </si>
  <si>
    <t>LinUM31_BP</t>
  </si>
  <si>
    <t>LinUM32_X</t>
  </si>
  <si>
    <t>LinUM32_Y</t>
  </si>
  <si>
    <t>LinUM32_BP</t>
  </si>
  <si>
    <t>LinUM4_X</t>
  </si>
  <si>
    <t>LinUM4_Y</t>
  </si>
  <si>
    <t>LinUM4_BP</t>
  </si>
  <si>
    <t>Período</t>
  </si>
  <si>
    <t>UM-1 - Qloss</t>
  </si>
  <si>
    <t>UM-1 - BP</t>
  </si>
  <si>
    <t>UM-3-1 - Qloss</t>
  </si>
  <si>
    <t>UM-3-1 BP</t>
  </si>
  <si>
    <t>UM-3-2 - Qloss</t>
  </si>
  <si>
    <t>UM-3 - BP</t>
  </si>
  <si>
    <t>UM-4 - Qloss</t>
  </si>
  <si>
    <t>UM-4 - BP</t>
  </si>
  <si>
    <t>BLD - Qloss</t>
  </si>
  <si>
    <t>BLD-BP</t>
  </si>
  <si>
    <t>PVC - Qloss</t>
  </si>
  <si>
    <t>PVC - BP</t>
  </si>
  <si>
    <t>PRENSA - Qloss</t>
  </si>
  <si>
    <t>PRENSA BP</t>
  </si>
  <si>
    <t>Qloss</t>
  </si>
  <si>
    <t>Bat. Espec.</t>
  </si>
  <si>
    <t>Amassada na saída da encaixotadeira</t>
  </si>
  <si>
    <t>Amassada na faca</t>
  </si>
  <si>
    <t>FY2020</t>
  </si>
  <si>
    <t>Total Qty</t>
  </si>
  <si>
    <t>Total Custo</t>
  </si>
  <si>
    <t>FY-2021</t>
  </si>
  <si>
    <t>Fração Defeituosa Total</t>
  </si>
  <si>
    <t>Blindagem</t>
  </si>
  <si>
    <t>Total (Qt)</t>
  </si>
  <si>
    <t>Total (ppm)</t>
  </si>
  <si>
    <t>Fração Defeituosa de Aparência</t>
  </si>
  <si>
    <t>Fração Defeituosa de VA</t>
  </si>
  <si>
    <t>Voltagem (ppm)</t>
  </si>
  <si>
    <t>Amperagem (ppm)</t>
  </si>
  <si>
    <t>Dados Para Japão</t>
  </si>
  <si>
    <t>Amperagem</t>
  </si>
  <si>
    <t>V (ppm)</t>
  </si>
  <si>
    <t>A (ppm)</t>
  </si>
  <si>
    <t>MTG - Voltagem</t>
  </si>
  <si>
    <t>MTG - Amperagem</t>
  </si>
  <si>
    <t>ACB - Voltagem</t>
  </si>
  <si>
    <t>ACB - Amperagem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</si>
  <si>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</si>
  <si>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</si>
  <si>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</si>
  <si>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</si>
  <si>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</si>
  <si>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</si>
  <si>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</si>
  <si>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</si>
  <si>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</si>
  <si>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</si>
  <si>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</si>
  <si>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</si>
  <si>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 xml:space="preserve">Fração Defeituosa Interna de VA </t>
  </si>
  <si>
    <t>Defeitos de V Internos</t>
  </si>
  <si>
    <t>Defeitos de A Internos</t>
  </si>
  <si>
    <t>Fração Defeituosa Interna de VA</t>
  </si>
  <si>
    <t>Qtd Defeitos Internos V</t>
  </si>
  <si>
    <t>Qtd Defeitos Internos A</t>
  </si>
  <si>
    <t>Produção VA</t>
  </si>
  <si>
    <t>Qtd Produção VA</t>
  </si>
  <si>
    <t>Ago</t>
  </si>
  <si>
    <t>Set</t>
  </si>
  <si>
    <t>Custo da Produção</t>
  </si>
  <si>
    <t>bld_um1_y</t>
  </si>
  <si>
    <t>eixo_x</t>
  </si>
  <si>
    <t>bld_um3_y</t>
  </si>
  <si>
    <t>pvc_um1_y</t>
  </si>
  <si>
    <t>pvc_um3_y</t>
  </si>
  <si>
    <t>x</t>
  </si>
  <si>
    <t>y</t>
  </si>
  <si>
    <t>pre_um1_y</t>
  </si>
  <si>
    <t>bld_Total_y</t>
  </si>
  <si>
    <t>total BLD UM3</t>
  </si>
  <si>
    <t>pvc_Total_y</t>
  </si>
  <si>
    <t>bld_BP_y</t>
  </si>
  <si>
    <t>pvc_BP_y</t>
  </si>
  <si>
    <t>pre_UM3_y</t>
  </si>
  <si>
    <t>pre_UM4_y</t>
  </si>
  <si>
    <t>Variáveis dos gráficos</t>
  </si>
  <si>
    <t>Setor</t>
  </si>
  <si>
    <t>pre_Total_y</t>
  </si>
  <si>
    <t>pre_BP_y</t>
  </si>
  <si>
    <t>Último</t>
  </si>
  <si>
    <t>FY2021</t>
  </si>
  <si>
    <t>Configurações</t>
  </si>
  <si>
    <t>Contantes</t>
  </si>
  <si>
    <t>Redutor de Falhas</t>
  </si>
  <si>
    <t xml:space="preserve">Peso Unitário do tubo PVC </t>
  </si>
  <si>
    <t>Velocidade das Máquinas da Blindagem</t>
  </si>
  <si>
    <t>Body Makers</t>
  </si>
  <si>
    <t>Otto Press</t>
  </si>
  <si>
    <t>g</t>
  </si>
  <si>
    <t>pçs/m</t>
  </si>
  <si>
    <t>Custos</t>
  </si>
  <si>
    <t>R$/kPçs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</si>
</sst>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  <numFmt numFmtId="165" formatCode="0.000"/>
    <numFmt numFmtId="166" formatCode="0.000%"/>
    <numFmt numFmtId="167" formatCode="0.0%"/>
    <numFmt numFmtId="168" formatCode="#,##0.00_ ;\-#,##0.00\ "/>
    <numFmt numFmtId="169" formatCode="0.0000%"/>
    <numFmt numFmtId="170" formatCode="#,##0.00,"/>
    <numFmt numFmtId="171" formatCode="_-* #,##0.000_-;\-* #,##0.000_-;_-* &quot;-&quot;??_-;_-@_-"/>
    <numFmt numFmtId="172" formatCode="#,##0.000,"/>
    <numFmt numFmtId="173" formatCode="#,##0.000"/>
    <numFmt numFmtId="174" formatCode="#,##0_ ;\-#,##0\ "/>
  </numFmts>
  <fonts count="32">
    <font>
      <sz val="10"/>
      <name val="Arial"/>
    </font>
    <font>
      <sz val="10"/>
      <name val="Arial"/>
      <family val="2"/>
    </font>
    <font>
      <sz val="10"/>
      <name val="New Century Schoolbook"/>
      <family val="1"/>
    </font>
    <font>
      <sz val="10"/>
      <name val="Century Schoolbook"/>
      <family val="1"/>
    </font>
    <font>
      <b/>
      <i/>
      <sz val="12"/>
      <name val="Century Schoolbook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Calibri"/>
      <family val="2"/>
      <scheme val="minor"/>
    </font>
    <font>
      <sz val="10"/>
      <color rgb="FF2C0DE3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2"/>
      <name val="Calibri"/>
      <family val="2"/>
      <scheme val="minor"/>
    </font>
    <font>
      <sz val="10"/>
      <name val="Arial"/>
      <family val="2"/>
    </font>
    <font>
      <sz val="10"/>
      <color rgb="FF0000FF"/>
      <name val="Calibri"/>
      <family val="2"/>
      <scheme val="minor"/>
    </font>
    <font>
      <i/>
      <sz val="10"/>
      <color rgb="FF0070C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sz val="10"/>
      <color rgb="FF0000FF"/>
      <name val="Arial"/>
      <family val="2"/>
    </font>
    <font>
      <sz val="12"/>
      <name val="Calibri"/>
      <family val="2"/>
      <scheme val="minor"/>
    </font>
    <font>
      <b/>
      <sz val="10"/>
      <name val="Arial"/>
      <family val="2"/>
    </font>
    <font>
      <sz val="1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59999389629810485"/>
        <bgColor indexed="64"/>
      </patternFill>
    </fill>
  </fills>
  <borders count="226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9" fontId="12" fillId="0" borderId="0" applyFont="0" applyFill="0" applyBorder="0" applyAlignment="0" applyProtection="0"/>
    <xf numFmtId="44" fontId="19" fillId="0" borderId="0" applyFont="0" applyFill="0" applyBorder="0" applyAlignment="0" applyProtection="0"/>
    <xf numFmtId="43" fontId="21" fillId="0" borderId="0" applyFont="0" applyFill="0" applyBorder="0" applyAlignment="0" applyProtection="0"/>
    <xf numFmtId="170" fontId="1" fillId="0" borderId="65" applyFill="0" applyBorder="0">
      <alignment horizontal="right"/>
    </xf>
  </cellStyleXfs>
  <cellXfs count="1103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5" xfId="0" applyFont="1" applyFill="1" applyBorder="1"/>
    <xf numFmtId="0" fontId="2" fillId="2" borderId="6" xfId="0" applyFont="1" applyFill="1" applyBorder="1"/>
    <xf numFmtId="17" fontId="2" fillId="2" borderId="36" xfId="0" applyNumberFormat="1" applyFont="1" applyFill="1" applyBorder="1" applyAlignment="1">
      <alignment horizontal="left"/>
    </xf>
    <xf numFmtId="17" fontId="2" fillId="2" borderId="9" xfId="0" applyNumberFormat="1" applyFont="1" applyFill="1" applyBorder="1" applyAlignment="1">
      <alignment horizontal="left"/>
    </xf>
    <xf numFmtId="17" fontId="2" fillId="2" borderId="33" xfId="0" applyNumberFormat="1" applyFont="1" applyFill="1" applyBorder="1" applyAlignment="1">
      <alignment horizontal="left"/>
    </xf>
    <xf numFmtId="0" fontId="2" fillId="2" borderId="40" xfId="0" applyFont="1" applyFill="1" applyBorder="1"/>
    <xf numFmtId="0" fontId="2" fillId="2" borderId="24" xfId="0" applyFont="1" applyFill="1" applyBorder="1"/>
    <xf numFmtId="0" fontId="2" fillId="2" borderId="10" xfId="0" applyFont="1" applyFill="1" applyBorder="1"/>
    <xf numFmtId="0" fontId="2" fillId="2" borderId="41" xfId="0" applyFont="1" applyFill="1" applyBorder="1" applyAlignment="1">
      <alignment horizontal="centerContinuous"/>
    </xf>
    <xf numFmtId="0" fontId="2" fillId="2" borderId="42" xfId="0" applyFont="1" applyFill="1" applyBorder="1" applyAlignment="1">
      <alignment horizontal="centerContinuous"/>
    </xf>
    <xf numFmtId="0" fontId="2" fillId="2" borderId="43" xfId="0" applyFont="1" applyFill="1" applyBorder="1" applyAlignment="1">
      <alignment horizontal="centerContinuous"/>
    </xf>
    <xf numFmtId="0" fontId="2" fillId="2" borderId="44" xfId="0" applyFont="1" applyFill="1" applyBorder="1" applyAlignment="1">
      <alignment horizontal="centerContinuous"/>
    </xf>
    <xf numFmtId="0" fontId="2" fillId="2" borderId="46" xfId="0" applyFont="1" applyFill="1" applyBorder="1"/>
    <xf numFmtId="0" fontId="2" fillId="2" borderId="47" xfId="0" applyFont="1" applyFill="1" applyBorder="1"/>
    <xf numFmtId="0" fontId="3" fillId="0" borderId="0" xfId="0" applyFont="1"/>
    <xf numFmtId="17" fontId="2" fillId="2" borderId="24" xfId="0" applyNumberFormat="1" applyFont="1" applyFill="1" applyBorder="1" applyAlignment="1">
      <alignment horizontal="left"/>
    </xf>
    <xf numFmtId="0" fontId="2" fillId="2" borderId="52" xfId="0" applyFont="1" applyFill="1" applyBorder="1" applyAlignment="1">
      <alignment horizontal="centerContinuous"/>
    </xf>
    <xf numFmtId="0" fontId="3" fillId="2" borderId="39" xfId="0" applyFont="1" applyFill="1" applyBorder="1" applyAlignment="1">
      <alignment horizontal="center"/>
    </xf>
    <xf numFmtId="0" fontId="3" fillId="2" borderId="10" xfId="0" applyFont="1" applyFill="1" applyBorder="1"/>
    <xf numFmtId="0" fontId="3" fillId="2" borderId="47" xfId="0" applyFont="1" applyFill="1" applyBorder="1"/>
    <xf numFmtId="0" fontId="3" fillId="2" borderId="80" xfId="0" applyFont="1" applyFill="1" applyBorder="1" applyAlignment="1">
      <alignment horizontal="center"/>
    </xf>
    <xf numFmtId="0" fontId="2" fillId="2" borderId="86" xfId="0" applyFont="1" applyFill="1" applyBorder="1"/>
    <xf numFmtId="0" fontId="2" fillId="2" borderId="97" xfId="0" applyFont="1" applyFill="1" applyBorder="1" applyAlignment="1">
      <alignment horizontal="center"/>
    </xf>
    <xf numFmtId="17" fontId="3" fillId="2" borderId="39" xfId="0" applyNumberFormat="1" applyFont="1" applyFill="1" applyBorder="1" applyAlignment="1">
      <alignment horizontal="center"/>
    </xf>
    <xf numFmtId="0" fontId="8" fillId="2" borderId="26" xfId="0" applyFont="1" applyFill="1" applyBorder="1"/>
    <xf numFmtId="0" fontId="8" fillId="0" borderId="26" xfId="0" applyFont="1" applyBorder="1"/>
    <xf numFmtId="0" fontId="8" fillId="2" borderId="7" xfId="0" applyFont="1" applyFill="1" applyBorder="1"/>
    <xf numFmtId="0" fontId="8" fillId="3" borderId="7" xfId="0" applyFont="1" applyFill="1" applyBorder="1"/>
    <xf numFmtId="0" fontId="8" fillId="2" borderId="28" xfId="0" applyFont="1" applyFill="1" applyBorder="1"/>
    <xf numFmtId="0" fontId="8" fillId="0" borderId="28" xfId="0" applyFont="1" applyBorder="1"/>
    <xf numFmtId="0" fontId="8" fillId="2" borderId="34" xfId="0" applyFont="1" applyFill="1" applyBorder="1"/>
    <xf numFmtId="0" fontId="8" fillId="3" borderId="34" xfId="0" quotePrefix="1" applyFont="1" applyFill="1" applyBorder="1" applyAlignment="1">
      <alignment horizontal="left"/>
    </xf>
    <xf numFmtId="0" fontId="8" fillId="0" borderId="28" xfId="0" quotePrefix="1" applyFont="1" applyBorder="1" applyAlignment="1">
      <alignment horizontal="left"/>
    </xf>
    <xf numFmtId="0" fontId="8" fillId="2" borderId="59" xfId="0" applyFont="1" applyFill="1" applyBorder="1"/>
    <xf numFmtId="0" fontId="8" fillId="0" borderId="59" xfId="0" applyFont="1" applyBorder="1"/>
    <xf numFmtId="0" fontId="8" fillId="2" borderId="101" xfId="0" applyFont="1" applyFill="1" applyBorder="1"/>
    <xf numFmtId="0" fontId="8" fillId="0" borderId="101" xfId="0" applyFont="1" applyBorder="1"/>
    <xf numFmtId="0" fontId="8" fillId="2" borderId="8" xfId="0" applyFont="1" applyFill="1" applyBorder="1"/>
    <xf numFmtId="0" fontId="8" fillId="3" borderId="8" xfId="0" applyFont="1" applyFill="1" applyBorder="1"/>
    <xf numFmtId="0" fontId="8" fillId="2" borderId="18" xfId="0" applyFont="1" applyFill="1" applyBorder="1"/>
    <xf numFmtId="0" fontId="8" fillId="0" borderId="18" xfId="0" applyFont="1" applyBorder="1"/>
    <xf numFmtId="0" fontId="8" fillId="0" borderId="18" xfId="0" quotePrefix="1" applyFont="1" applyBorder="1" applyAlignment="1">
      <alignment horizontal="left"/>
    </xf>
    <xf numFmtId="0" fontId="8" fillId="0" borderId="17" xfId="0" applyFont="1" applyBorder="1"/>
    <xf numFmtId="0" fontId="8" fillId="2" borderId="13" xfId="0" applyFont="1" applyFill="1" applyBorder="1"/>
    <xf numFmtId="0" fontId="8" fillId="2" borderId="0" xfId="0" applyFont="1" applyFill="1"/>
    <xf numFmtId="3" fontId="8" fillId="0" borderId="28" xfId="0" applyNumberFormat="1" applyFont="1" applyBorder="1"/>
    <xf numFmtId="3" fontId="8" fillId="3" borderId="8" xfId="0" applyNumberFormat="1" applyFont="1" applyFill="1" applyBorder="1"/>
    <xf numFmtId="3" fontId="8" fillId="3" borderId="34" xfId="0" applyNumberFormat="1" applyFont="1" applyFill="1" applyBorder="1"/>
    <xf numFmtId="3" fontId="8" fillId="0" borderId="59" xfId="0" applyNumberFormat="1" applyFont="1" applyBorder="1"/>
    <xf numFmtId="3" fontId="8" fillId="0" borderId="101" xfId="0" applyNumberFormat="1" applyFont="1" applyBorder="1"/>
    <xf numFmtId="2" fontId="8" fillId="0" borderId="26" xfId="0" applyNumberFormat="1" applyFont="1" applyBorder="1"/>
    <xf numFmtId="2" fontId="8" fillId="3" borderId="7" xfId="0" applyNumberFormat="1" applyFont="1" applyFill="1" applyBorder="1"/>
    <xf numFmtId="2" fontId="8" fillId="0" borderId="28" xfId="0" applyNumberFormat="1" applyFont="1" applyBorder="1"/>
    <xf numFmtId="2" fontId="8" fillId="0" borderId="59" xfId="0" applyNumberFormat="1" applyFont="1" applyBorder="1"/>
    <xf numFmtId="2" fontId="8" fillId="0" borderId="101" xfId="0" applyNumberFormat="1" applyFont="1" applyBorder="1"/>
    <xf numFmtId="2" fontId="8" fillId="3" borderId="8" xfId="0" applyNumberFormat="1" applyFont="1" applyFill="1" applyBorder="1"/>
    <xf numFmtId="1" fontId="8" fillId="0" borderId="26" xfId="0" applyNumberFormat="1" applyFont="1" applyBorder="1"/>
    <xf numFmtId="0" fontId="8" fillId="0" borderId="11" xfId="0" applyFont="1" applyBorder="1"/>
    <xf numFmtId="0" fontId="2" fillId="2" borderId="102" xfId="0" applyFont="1" applyFill="1" applyBorder="1" applyAlignment="1">
      <alignment horizontal="centerContinuous"/>
    </xf>
    <xf numFmtId="17" fontId="2" fillId="2" borderId="103" xfId="0" applyNumberFormat="1" applyFont="1" applyFill="1" applyBorder="1" applyAlignment="1">
      <alignment horizontal="left"/>
    </xf>
    <xf numFmtId="0" fontId="8" fillId="0" borderId="93" xfId="0" applyFont="1" applyBorder="1"/>
    <xf numFmtId="1" fontId="8" fillId="0" borderId="51" xfId="0" applyNumberFormat="1" applyFont="1" applyBorder="1"/>
    <xf numFmtId="0" fontId="8" fillId="2" borderId="0" xfId="0" applyFont="1" applyFill="1" applyAlignment="1">
      <alignment horizontal="center"/>
    </xf>
    <xf numFmtId="0" fontId="8" fillId="0" borderId="87" xfId="0" applyFont="1" applyBorder="1"/>
    <xf numFmtId="0" fontId="10" fillId="6" borderId="26" xfId="0" quotePrefix="1" applyFont="1" applyFill="1" applyBorder="1" applyAlignment="1">
      <alignment horizontal="left"/>
    </xf>
    <xf numFmtId="0" fontId="10" fillId="6" borderId="59" xfId="0" quotePrefix="1" applyFont="1" applyFill="1" applyBorder="1" applyAlignment="1">
      <alignment horizontal="left"/>
    </xf>
    <xf numFmtId="0" fontId="10" fillId="6" borderId="59" xfId="0" applyFont="1" applyFill="1" applyBorder="1"/>
    <xf numFmtId="0" fontId="8" fillId="2" borderId="9" xfId="0" applyFont="1" applyFill="1" applyBorder="1" applyAlignment="1">
      <alignment horizontal="center"/>
    </xf>
    <xf numFmtId="0" fontId="8" fillId="3" borderId="98" xfId="0" applyFont="1" applyFill="1" applyBorder="1"/>
    <xf numFmtId="0" fontId="8" fillId="3" borderId="119" xfId="0" applyFont="1" applyFill="1" applyBorder="1"/>
    <xf numFmtId="0" fontId="8" fillId="0" borderId="88" xfId="0" applyFont="1" applyBorder="1"/>
    <xf numFmtId="0" fontId="8" fillId="2" borderId="69" xfId="0" applyFont="1" applyFill="1" applyBorder="1" applyAlignment="1">
      <alignment horizontal="center"/>
    </xf>
    <xf numFmtId="0" fontId="8" fillId="0" borderId="0" xfId="1" applyFont="1"/>
    <xf numFmtId="0" fontId="8" fillId="2" borderId="47" xfId="1" applyFont="1" applyFill="1" applyBorder="1"/>
    <xf numFmtId="0" fontId="8" fillId="2" borderId="42" xfId="1" applyFont="1" applyFill="1" applyBorder="1" applyAlignment="1">
      <alignment horizontal="centerContinuous"/>
    </xf>
    <xf numFmtId="0" fontId="8" fillId="2" borderId="76" xfId="1" applyFont="1" applyFill="1" applyBorder="1"/>
    <xf numFmtId="0" fontId="8" fillId="0" borderId="70" xfId="1" applyFont="1" applyBorder="1"/>
    <xf numFmtId="3" fontId="9" fillId="0" borderId="57" xfId="1" applyNumberFormat="1" applyFont="1" applyBorder="1"/>
    <xf numFmtId="0" fontId="8" fillId="2" borderId="67" xfId="1" applyFont="1" applyFill="1" applyBorder="1"/>
    <xf numFmtId="0" fontId="8" fillId="0" borderId="28" xfId="1" applyFont="1" applyBorder="1"/>
    <xf numFmtId="3" fontId="9" fillId="0" borderId="27" xfId="1" applyNumberFormat="1" applyFont="1" applyBorder="1"/>
    <xf numFmtId="0" fontId="8" fillId="3" borderId="81" xfId="1" applyFont="1" applyFill="1" applyBorder="1"/>
    <xf numFmtId="0" fontId="8" fillId="3" borderId="37" xfId="1" applyFont="1" applyFill="1" applyBorder="1"/>
    <xf numFmtId="3" fontId="9" fillId="3" borderId="81" xfId="1" applyNumberFormat="1" applyFont="1" applyFill="1" applyBorder="1"/>
    <xf numFmtId="3" fontId="8" fillId="3" borderId="24" xfId="1" applyNumberFormat="1" applyFont="1" applyFill="1" applyBorder="1"/>
    <xf numFmtId="3" fontId="8" fillId="3" borderId="40" xfId="1" applyNumberFormat="1" applyFont="1" applyFill="1" applyBorder="1"/>
    <xf numFmtId="0" fontId="8" fillId="0" borderId="59" xfId="1" applyFont="1" applyBorder="1"/>
    <xf numFmtId="0" fontId="8" fillId="0" borderId="72" xfId="1" applyFont="1" applyBorder="1"/>
    <xf numFmtId="3" fontId="9" fillId="0" borderId="16" xfId="1" applyNumberFormat="1" applyFont="1" applyBorder="1"/>
    <xf numFmtId="0" fontId="8" fillId="0" borderId="101" xfId="1" applyFont="1" applyBorder="1"/>
    <xf numFmtId="3" fontId="9" fillId="0" borderId="74" xfId="1" applyNumberFormat="1" applyFont="1" applyBorder="1"/>
    <xf numFmtId="3" fontId="9" fillId="0" borderId="20" xfId="1" applyNumberFormat="1" applyFont="1" applyBorder="1"/>
    <xf numFmtId="0" fontId="8" fillId="2" borderId="25" xfId="1" applyFont="1" applyFill="1" applyBorder="1" applyAlignment="1">
      <alignment vertical="center" textRotation="90"/>
    </xf>
    <xf numFmtId="0" fontId="8" fillId="2" borderId="71" xfId="1" applyFont="1" applyFill="1" applyBorder="1"/>
    <xf numFmtId="0" fontId="8" fillId="3" borderId="54" xfId="1" applyFont="1" applyFill="1" applyBorder="1"/>
    <xf numFmtId="3" fontId="9" fillId="3" borderId="73" xfId="1" applyNumberFormat="1" applyFont="1" applyFill="1" applyBorder="1"/>
    <xf numFmtId="0" fontId="8" fillId="0" borderId="54" xfId="1" applyFont="1" applyBorder="1"/>
    <xf numFmtId="0" fontId="8" fillId="2" borderId="57" xfId="1" applyFont="1" applyFill="1" applyBorder="1"/>
    <xf numFmtId="0" fontId="8" fillId="2" borderId="16" xfId="1" applyFont="1" applyFill="1" applyBorder="1"/>
    <xf numFmtId="0" fontId="8" fillId="2" borderId="69" xfId="1" applyFont="1" applyFill="1" applyBorder="1"/>
    <xf numFmtId="0" fontId="8" fillId="3" borderId="34" xfId="1" applyFont="1" applyFill="1" applyBorder="1"/>
    <xf numFmtId="0" fontId="8" fillId="2" borderId="68" xfId="1" applyFont="1" applyFill="1" applyBorder="1"/>
    <xf numFmtId="0" fontId="8" fillId="2" borderId="6" xfId="1" applyFont="1" applyFill="1" applyBorder="1"/>
    <xf numFmtId="0" fontId="8" fillId="2" borderId="66" xfId="1" applyFont="1" applyFill="1" applyBorder="1"/>
    <xf numFmtId="0" fontId="8" fillId="0" borderId="3" xfId="1" applyFont="1" applyBorder="1" applyAlignment="1">
      <alignment horizontal="centerContinuous"/>
    </xf>
    <xf numFmtId="3" fontId="8" fillId="0" borderId="66" xfId="1" applyNumberFormat="1" applyFont="1" applyBorder="1"/>
    <xf numFmtId="0" fontId="10" fillId="0" borderId="0" xfId="1" applyFont="1"/>
    <xf numFmtId="0" fontId="8" fillId="7" borderId="65" xfId="1" applyFont="1" applyFill="1" applyBorder="1" applyAlignment="1">
      <alignment horizontal="center"/>
    </xf>
    <xf numFmtId="0" fontId="8" fillId="7" borderId="14" xfId="1" applyFont="1" applyFill="1" applyBorder="1"/>
    <xf numFmtId="0" fontId="8" fillId="7" borderId="74" xfId="1" applyFont="1" applyFill="1" applyBorder="1"/>
    <xf numFmtId="0" fontId="8" fillId="7" borderId="101" xfId="1" applyFont="1" applyFill="1" applyBorder="1"/>
    <xf numFmtId="17" fontId="8" fillId="7" borderId="74" xfId="1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1" fillId="0" borderId="11" xfId="0" applyFont="1" applyBorder="1"/>
    <xf numFmtId="0" fontId="1" fillId="0" borderId="26" xfId="0" applyFont="1" applyBorder="1"/>
    <xf numFmtId="0" fontId="2" fillId="2" borderId="120" xfId="0" applyFont="1" applyFill="1" applyBorder="1" applyAlignment="1">
      <alignment horizontal="centerContinuous"/>
    </xf>
    <xf numFmtId="17" fontId="2" fillId="2" borderId="50" xfId="0" applyNumberFormat="1" applyFont="1" applyFill="1" applyBorder="1" applyAlignment="1">
      <alignment horizontal="left"/>
    </xf>
    <xf numFmtId="0" fontId="8" fillId="2" borderId="66" xfId="0" applyFont="1" applyFill="1" applyBorder="1" applyAlignment="1">
      <alignment horizontal="center"/>
    </xf>
    <xf numFmtId="0" fontId="8" fillId="3" borderId="94" xfId="0" applyFont="1" applyFill="1" applyBorder="1"/>
    <xf numFmtId="0" fontId="8" fillId="3" borderId="1" xfId="0" applyFont="1" applyFill="1" applyBorder="1"/>
    <xf numFmtId="2" fontId="8" fillId="0" borderId="26" xfId="0" applyNumberFormat="1" applyFont="1" applyBorder="1" applyAlignment="1">
      <alignment horizontal="right"/>
    </xf>
    <xf numFmtId="2" fontId="8" fillId="0" borderId="59" xfId="0" applyNumberFormat="1" applyFont="1" applyBorder="1" applyAlignment="1">
      <alignment horizontal="right"/>
    </xf>
    <xf numFmtId="0" fontId="8" fillId="2" borderId="10" xfId="1" applyFont="1" applyFill="1" applyBorder="1"/>
    <xf numFmtId="0" fontId="8" fillId="2" borderId="39" xfId="1" applyFont="1" applyFill="1" applyBorder="1" applyAlignment="1">
      <alignment horizontal="center"/>
    </xf>
    <xf numFmtId="0" fontId="8" fillId="0" borderId="85" xfId="1" applyFont="1" applyBorder="1"/>
    <xf numFmtId="3" fontId="9" fillId="0" borderId="22" xfId="1" applyNumberFormat="1" applyFont="1" applyBorder="1"/>
    <xf numFmtId="0" fontId="8" fillId="0" borderId="55" xfId="1" applyFont="1" applyBorder="1"/>
    <xf numFmtId="0" fontId="8" fillId="4" borderId="55" xfId="1" applyFont="1" applyFill="1" applyBorder="1"/>
    <xf numFmtId="3" fontId="9" fillId="4" borderId="20" xfId="1" applyNumberFormat="1" applyFont="1" applyFill="1" applyBorder="1"/>
    <xf numFmtId="0" fontId="8" fillId="4" borderId="40" xfId="1" applyFont="1" applyFill="1" applyBorder="1"/>
    <xf numFmtId="3" fontId="9" fillId="4" borderId="9" xfId="1" applyNumberFormat="1" applyFont="1" applyFill="1" applyBorder="1"/>
    <xf numFmtId="0" fontId="9" fillId="0" borderId="85" xfId="1" applyFont="1" applyBorder="1"/>
    <xf numFmtId="0" fontId="9" fillId="0" borderId="83" xfId="1" applyFont="1" applyBorder="1"/>
    <xf numFmtId="0" fontId="8" fillId="4" borderId="83" xfId="1" applyFont="1" applyFill="1" applyBorder="1"/>
    <xf numFmtId="0" fontId="8" fillId="0" borderId="83" xfId="1" applyFont="1" applyBorder="1"/>
    <xf numFmtId="0" fontId="8" fillId="4" borderId="84" xfId="1" applyFont="1" applyFill="1" applyBorder="1"/>
    <xf numFmtId="0" fontId="8" fillId="4" borderId="80" xfId="1" applyFont="1" applyFill="1" applyBorder="1"/>
    <xf numFmtId="3" fontId="9" fillId="4" borderId="39" xfId="1" applyNumberFormat="1" applyFont="1" applyFill="1" applyBorder="1"/>
    <xf numFmtId="0" fontId="8" fillId="2" borderId="124" xfId="1" applyFont="1" applyFill="1" applyBorder="1" applyAlignment="1">
      <alignment horizontal="center" vertical="center"/>
    </xf>
    <xf numFmtId="0" fontId="8" fillId="5" borderId="85" xfId="1" applyFont="1" applyFill="1" applyBorder="1"/>
    <xf numFmtId="3" fontId="8" fillId="0" borderId="27" xfId="1" applyNumberFormat="1" applyFont="1" applyBorder="1"/>
    <xf numFmtId="3" fontId="9" fillId="4" borderId="67" xfId="1" applyNumberFormat="1" applyFont="1" applyFill="1" applyBorder="1"/>
    <xf numFmtId="0" fontId="8" fillId="3" borderId="80" xfId="1" applyFont="1" applyFill="1" applyBorder="1"/>
    <xf numFmtId="0" fontId="8" fillId="3" borderId="40" xfId="1" applyFont="1" applyFill="1" applyBorder="1"/>
    <xf numFmtId="3" fontId="9" fillId="3" borderId="39" xfId="1" applyNumberFormat="1" applyFont="1" applyFill="1" applyBorder="1"/>
    <xf numFmtId="0" fontId="8" fillId="0" borderId="6" xfId="1" applyFont="1" applyBorder="1"/>
    <xf numFmtId="0" fontId="8" fillId="0" borderId="4" xfId="1" applyFont="1" applyBorder="1"/>
    <xf numFmtId="0" fontId="8" fillId="0" borderId="4" xfId="1" applyFont="1" applyBorder="1" applyAlignment="1">
      <alignment horizontal="centerContinuous"/>
    </xf>
    <xf numFmtId="3" fontId="9" fillId="0" borderId="2" xfId="1" applyNumberFormat="1" applyFont="1" applyBorder="1"/>
    <xf numFmtId="17" fontId="8" fillId="2" borderId="39" xfId="1" applyNumberFormat="1" applyFont="1" applyFill="1" applyBorder="1" applyAlignment="1">
      <alignment horizontal="center"/>
    </xf>
    <xf numFmtId="4" fontId="9" fillId="0" borderId="22" xfId="1" applyNumberFormat="1" applyFont="1" applyBorder="1"/>
    <xf numFmtId="4" fontId="9" fillId="0" borderId="20" xfId="1" applyNumberFormat="1" applyFont="1" applyBorder="1"/>
    <xf numFmtId="4" fontId="9" fillId="4" borderId="20" xfId="1" applyNumberFormat="1" applyFont="1" applyFill="1" applyBorder="1"/>
    <xf numFmtId="4" fontId="9" fillId="0" borderId="27" xfId="1" applyNumberFormat="1" applyFont="1" applyBorder="1"/>
    <xf numFmtId="4" fontId="9" fillId="4" borderId="9" xfId="1" applyNumberFormat="1" applyFont="1" applyFill="1" applyBorder="1"/>
    <xf numFmtId="4" fontId="9" fillId="4" borderId="39" xfId="1" applyNumberFormat="1" applyFont="1" applyFill="1" applyBorder="1"/>
    <xf numFmtId="4" fontId="9" fillId="5" borderId="22" xfId="1" applyNumberFormat="1" applyFont="1" applyFill="1" applyBorder="1"/>
    <xf numFmtId="4" fontId="8" fillId="0" borderId="27" xfId="1" applyNumberFormat="1" applyFont="1" applyBorder="1"/>
    <xf numFmtId="4" fontId="9" fillId="4" borderId="67" xfId="1" applyNumberFormat="1" applyFont="1" applyFill="1" applyBorder="1"/>
    <xf numFmtId="4" fontId="9" fillId="3" borderId="39" xfId="1" applyNumberFormat="1" applyFont="1" applyFill="1" applyBorder="1"/>
    <xf numFmtId="4" fontId="9" fillId="0" borderId="2" xfId="1" applyNumberFormat="1" applyFont="1" applyBorder="1"/>
    <xf numFmtId="2" fontId="8" fillId="0" borderId="28" xfId="0" applyNumberFormat="1" applyFont="1" applyBorder="1" applyAlignment="1">
      <alignment horizontal="right"/>
    </xf>
    <xf numFmtId="2" fontId="8" fillId="0" borderId="101" xfId="0" applyNumberFormat="1" applyFont="1" applyBorder="1" applyAlignment="1">
      <alignment horizontal="right"/>
    </xf>
    <xf numFmtId="1" fontId="8" fillId="3" borderId="105" xfId="0" applyNumberFormat="1" applyFont="1" applyFill="1" applyBorder="1" applyAlignment="1">
      <alignment horizontal="right"/>
    </xf>
    <xf numFmtId="1" fontId="8" fillId="3" borderId="8" xfId="0" applyNumberFormat="1" applyFont="1" applyFill="1" applyBorder="1" applyAlignment="1">
      <alignment horizontal="right"/>
    </xf>
    <xf numFmtId="1" fontId="8" fillId="3" borderId="112" xfId="0" applyNumberFormat="1" applyFont="1" applyFill="1" applyBorder="1" applyAlignment="1">
      <alignment horizontal="right"/>
    </xf>
    <xf numFmtId="1" fontId="8" fillId="0" borderId="89" xfId="0" applyNumberFormat="1" applyFont="1" applyBorder="1" applyAlignment="1">
      <alignment horizontal="right"/>
    </xf>
    <xf numFmtId="1" fontId="8" fillId="0" borderId="3" xfId="0" applyNumberFormat="1" applyFont="1" applyBorder="1" applyAlignment="1">
      <alignment horizontal="right"/>
    </xf>
    <xf numFmtId="1" fontId="8" fillId="0" borderId="114" xfId="0" applyNumberFormat="1" applyFont="1" applyBorder="1" applyAlignment="1">
      <alignment horizontal="right"/>
    </xf>
    <xf numFmtId="0" fontId="8" fillId="0" borderId="65" xfId="0" applyFont="1" applyBorder="1" applyAlignment="1">
      <alignment horizontal="centerContinuous"/>
    </xf>
    <xf numFmtId="2" fontId="8" fillId="3" borderId="7" xfId="0" applyNumberFormat="1" applyFont="1" applyFill="1" applyBorder="1" applyAlignment="1">
      <alignment horizontal="right"/>
    </xf>
    <xf numFmtId="2" fontId="8" fillId="0" borderId="28" xfId="0" quotePrefix="1" applyNumberFormat="1" applyFont="1" applyBorder="1" applyAlignment="1">
      <alignment horizontal="right"/>
    </xf>
    <xf numFmtId="2" fontId="8" fillId="0" borderId="18" xfId="0" applyNumberFormat="1" applyFont="1" applyBorder="1" applyAlignment="1">
      <alignment horizontal="right"/>
    </xf>
    <xf numFmtId="2" fontId="8" fillId="0" borderId="18" xfId="0" quotePrefix="1" applyNumberFormat="1" applyFont="1" applyBorder="1" applyAlignment="1">
      <alignment horizontal="right"/>
    </xf>
    <xf numFmtId="2" fontId="8" fillId="0" borderId="17" xfId="0" applyNumberFormat="1" applyFont="1" applyBorder="1" applyAlignment="1">
      <alignment horizontal="right"/>
    </xf>
    <xf numFmtId="164" fontId="1" fillId="0" borderId="0" xfId="0" applyNumberFormat="1" applyFont="1"/>
    <xf numFmtId="164" fontId="8" fillId="0" borderId="0" xfId="1" applyNumberFormat="1" applyFont="1"/>
    <xf numFmtId="0" fontId="0" fillId="0" borderId="126" xfId="0" applyBorder="1"/>
    <xf numFmtId="0" fontId="1" fillId="0" borderId="127" xfId="0" applyFont="1" applyBorder="1"/>
    <xf numFmtId="0" fontId="0" fillId="0" borderId="11" xfId="0" applyBorder="1"/>
    <xf numFmtId="0" fontId="1" fillId="0" borderId="19" xfId="0" applyFont="1" applyBorder="1"/>
    <xf numFmtId="3" fontId="0" fillId="0" borderId="19" xfId="0" applyNumberFormat="1" applyBorder="1"/>
    <xf numFmtId="0" fontId="0" fillId="0" borderId="92" xfId="0" applyBorder="1"/>
    <xf numFmtId="0" fontId="1" fillId="0" borderId="15" xfId="0" applyFont="1" applyBorder="1"/>
    <xf numFmtId="0" fontId="1" fillId="0" borderId="128" xfId="0" applyFont="1" applyBorder="1"/>
    <xf numFmtId="0" fontId="8" fillId="2" borderId="14" xfId="1" applyFont="1" applyFill="1" applyBorder="1"/>
    <xf numFmtId="0" fontId="8" fillId="2" borderId="74" xfId="1" applyFont="1" applyFill="1" applyBorder="1"/>
    <xf numFmtId="0" fontId="8" fillId="2" borderId="101" xfId="1" applyFont="1" applyFill="1" applyBorder="1"/>
    <xf numFmtId="0" fontId="8" fillId="2" borderId="74" xfId="1" applyFont="1" applyFill="1" applyBorder="1" applyAlignment="1">
      <alignment horizontal="center"/>
    </xf>
    <xf numFmtId="0" fontId="8" fillId="2" borderId="73" xfId="1" applyFont="1" applyFill="1" applyBorder="1"/>
    <xf numFmtId="0" fontId="8" fillId="2" borderId="78" xfId="1" applyFont="1" applyFill="1" applyBorder="1"/>
    <xf numFmtId="0" fontId="8" fillId="2" borderId="84" xfId="1" applyFont="1" applyFill="1" applyBorder="1"/>
    <xf numFmtId="3" fontId="9" fillId="0" borderId="129" xfId="1" applyNumberFormat="1" applyFont="1" applyBorder="1"/>
    <xf numFmtId="3" fontId="9" fillId="3" borderId="9" xfId="1" applyNumberFormat="1" applyFont="1" applyFill="1" applyBorder="1"/>
    <xf numFmtId="0" fontId="8" fillId="0" borderId="65" xfId="1" applyFont="1" applyBorder="1"/>
    <xf numFmtId="0" fontId="8" fillId="2" borderId="99" xfId="1" applyFont="1" applyFill="1" applyBorder="1" applyAlignment="1">
      <alignment horizontal="center"/>
    </xf>
    <xf numFmtId="17" fontId="8" fillId="2" borderId="42" xfId="1" applyNumberFormat="1" applyFont="1" applyFill="1" applyBorder="1" applyAlignment="1">
      <alignment horizontal="centerContinuous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4" fontId="13" fillId="0" borderId="0" xfId="1" applyNumberFormat="1" applyFont="1"/>
    <xf numFmtId="2" fontId="8" fillId="0" borderId="0" xfId="0" applyNumberFormat="1" applyFont="1" applyAlignment="1">
      <alignment horizontal="right"/>
    </xf>
    <xf numFmtId="2" fontId="8" fillId="3" borderId="125" xfId="0" applyNumberFormat="1" applyFont="1" applyFill="1" applyBorder="1" applyAlignment="1">
      <alignment horizontal="right"/>
    </xf>
    <xf numFmtId="2" fontId="8" fillId="0" borderId="65" xfId="0" applyNumberFormat="1" applyFont="1" applyBorder="1" applyAlignment="1">
      <alignment horizontal="right"/>
    </xf>
    <xf numFmtId="2" fontId="8" fillId="0" borderId="65" xfId="0" applyNumberFormat="1" applyFont="1" applyBorder="1" applyAlignment="1">
      <alignment horizontal="centerContinuous"/>
    </xf>
    <xf numFmtId="0" fontId="8" fillId="0" borderId="125" xfId="0" applyFont="1" applyBorder="1"/>
    <xf numFmtId="0" fontId="8" fillId="0" borderId="0" xfId="0" applyFont="1"/>
    <xf numFmtId="0" fontId="1" fillId="0" borderId="65" xfId="0" applyFont="1" applyBorder="1"/>
    <xf numFmtId="2" fontId="1" fillId="0" borderId="65" xfId="0" applyNumberFormat="1" applyFont="1" applyBorder="1"/>
    <xf numFmtId="0" fontId="3" fillId="0" borderId="0" xfId="0" applyFont="1" applyAlignment="1">
      <alignment horizontal="right"/>
    </xf>
    <xf numFmtId="17" fontId="2" fillId="2" borderId="95" xfId="0" applyNumberFormat="1" applyFont="1" applyFill="1" applyBorder="1" applyAlignment="1">
      <alignment horizontal="right"/>
    </xf>
    <xf numFmtId="1" fontId="8" fillId="0" borderId="26" xfId="0" applyNumberFormat="1" applyFont="1" applyBorder="1" applyAlignment="1">
      <alignment horizontal="right"/>
    </xf>
    <xf numFmtId="1" fontId="8" fillId="3" borderId="7" xfId="0" applyNumberFormat="1" applyFont="1" applyFill="1" applyBorder="1" applyAlignment="1">
      <alignment horizontal="right"/>
    </xf>
    <xf numFmtId="1" fontId="8" fillId="0" borderId="28" xfId="0" applyNumberFormat="1" applyFont="1" applyBorder="1" applyAlignment="1">
      <alignment horizontal="right"/>
    </xf>
    <xf numFmtId="1" fontId="8" fillId="3" borderId="34" xfId="0" quotePrefix="1" applyNumberFormat="1" applyFont="1" applyFill="1" applyBorder="1" applyAlignment="1">
      <alignment horizontal="right"/>
    </xf>
    <xf numFmtId="1" fontId="8" fillId="0" borderId="28" xfId="0" quotePrefix="1" applyNumberFormat="1" applyFont="1" applyBorder="1" applyAlignment="1">
      <alignment horizontal="right"/>
    </xf>
    <xf numFmtId="1" fontId="8" fillId="0" borderId="59" xfId="0" applyNumberFormat="1" applyFont="1" applyBorder="1" applyAlignment="1">
      <alignment horizontal="right"/>
    </xf>
    <xf numFmtId="1" fontId="8" fillId="0" borderId="101" xfId="0" applyNumberFormat="1" applyFont="1" applyBorder="1" applyAlignment="1">
      <alignment horizontal="right"/>
    </xf>
    <xf numFmtId="1" fontId="8" fillId="0" borderId="18" xfId="0" applyNumberFormat="1" applyFont="1" applyBorder="1" applyAlignment="1">
      <alignment horizontal="right"/>
    </xf>
    <xf numFmtId="1" fontId="8" fillId="0" borderId="18" xfId="0" quotePrefix="1" applyNumberFormat="1" applyFont="1" applyBorder="1" applyAlignment="1">
      <alignment horizontal="right"/>
    </xf>
    <xf numFmtId="1" fontId="8" fillId="0" borderId="17" xfId="0" applyNumberFormat="1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65" xfId="0" applyFont="1" applyBorder="1" applyAlignment="1">
      <alignment horizontal="center"/>
    </xf>
    <xf numFmtId="0" fontId="1" fillId="0" borderId="65" xfId="0" applyFont="1" applyBorder="1" applyAlignment="1">
      <alignment horizontal="right"/>
    </xf>
    <xf numFmtId="1" fontId="8" fillId="3" borderId="107" xfId="0" quotePrefix="1" applyNumberFormat="1" applyFont="1" applyFill="1" applyBorder="1" applyAlignment="1">
      <alignment horizontal="right"/>
    </xf>
    <xf numFmtId="0" fontId="8" fillId="2" borderId="79" xfId="1" applyFont="1" applyFill="1" applyBorder="1"/>
    <xf numFmtId="0" fontId="8" fillId="0" borderId="0" xfId="1" applyFont="1" applyAlignment="1">
      <alignment horizontal="centerContinuous"/>
    </xf>
    <xf numFmtId="3" fontId="9" fillId="0" borderId="0" xfId="1" applyNumberFormat="1" applyFont="1"/>
    <xf numFmtId="0" fontId="8" fillId="0" borderId="65" xfId="0" applyFont="1" applyBorder="1"/>
    <xf numFmtId="3" fontId="8" fillId="0" borderId="0" xfId="1" applyNumberFormat="1" applyFont="1"/>
    <xf numFmtId="0" fontId="1" fillId="0" borderId="65" xfId="0" applyFont="1" applyBorder="1" applyAlignment="1">
      <alignment horizontal="centerContinuous"/>
    </xf>
    <xf numFmtId="17" fontId="1" fillId="0" borderId="65" xfId="0" applyNumberFormat="1" applyFont="1" applyBorder="1" applyAlignment="1">
      <alignment horizontal="right"/>
    </xf>
    <xf numFmtId="0" fontId="1" fillId="0" borderId="12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28" xfId="0" applyFont="1" applyBorder="1" applyAlignment="1">
      <alignment horizontal="center"/>
    </xf>
    <xf numFmtId="0" fontId="0" fillId="0" borderId="0" xfId="0" applyAlignment="1">
      <alignment horizontal="centerContinuous"/>
    </xf>
    <xf numFmtId="0" fontId="7" fillId="0" borderId="0" xfId="0" applyFont="1" applyAlignment="1">
      <alignment horizontal="centerContinuous"/>
    </xf>
    <xf numFmtId="0" fontId="1" fillId="0" borderId="47" xfId="0" applyFont="1" applyBorder="1"/>
    <xf numFmtId="0" fontId="0" fillId="0" borderId="75" xfId="0" applyBorder="1"/>
    <xf numFmtId="0" fontId="1" fillId="0" borderId="132" xfId="0" applyFont="1" applyBorder="1"/>
    <xf numFmtId="0" fontId="1" fillId="0" borderId="132" xfId="0" applyFont="1" applyBorder="1" applyAlignment="1">
      <alignment horizontal="center"/>
    </xf>
    <xf numFmtId="3" fontId="0" fillId="0" borderId="132" xfId="0" applyNumberFormat="1" applyBorder="1"/>
    <xf numFmtId="0" fontId="0" fillId="0" borderId="14" xfId="0" applyBorder="1"/>
    <xf numFmtId="0" fontId="0" fillId="0" borderId="134" xfId="0" applyBorder="1"/>
    <xf numFmtId="0" fontId="1" fillId="0" borderId="135" xfId="0" applyFont="1" applyBorder="1"/>
    <xf numFmtId="0" fontId="0" fillId="0" borderId="6" xfId="0" applyBorder="1"/>
    <xf numFmtId="0" fontId="0" fillId="0" borderId="1" xfId="0" applyBorder="1"/>
    <xf numFmtId="0" fontId="1" fillId="0" borderId="138" xfId="0" applyFont="1" applyBorder="1"/>
    <xf numFmtId="0" fontId="1" fillId="0" borderId="138" xfId="0" applyFont="1" applyBorder="1" applyAlignment="1">
      <alignment horizontal="center"/>
    </xf>
    <xf numFmtId="3" fontId="0" fillId="0" borderId="138" xfId="0" applyNumberFormat="1" applyBorder="1"/>
    <xf numFmtId="0" fontId="0" fillId="0" borderId="138" xfId="0" applyBorder="1" applyAlignment="1">
      <alignment horizontal="center"/>
    </xf>
    <xf numFmtId="4" fontId="1" fillId="0" borderId="133" xfId="0" applyNumberFormat="1" applyFont="1" applyBorder="1"/>
    <xf numFmtId="4" fontId="1" fillId="0" borderId="136" xfId="0" applyNumberFormat="1" applyFont="1" applyBorder="1"/>
    <xf numFmtId="4" fontId="1" fillId="0" borderId="137" xfId="0" applyNumberFormat="1" applyFont="1" applyBorder="1"/>
    <xf numFmtId="4" fontId="1" fillId="0" borderId="139" xfId="0" applyNumberFormat="1" applyFont="1" applyBorder="1"/>
    <xf numFmtId="4" fontId="1" fillId="0" borderId="65" xfId="0" applyNumberFormat="1" applyFont="1" applyBorder="1"/>
    <xf numFmtId="4" fontId="1" fillId="0" borderId="56" xfId="0" applyNumberFormat="1" applyFont="1" applyBorder="1"/>
    <xf numFmtId="1" fontId="10" fillId="0" borderId="0" xfId="1" applyNumberFormat="1" applyFont="1"/>
    <xf numFmtId="0" fontId="0" fillId="0" borderId="141" xfId="0" applyBorder="1"/>
    <xf numFmtId="0" fontId="0" fillId="0" borderId="132" xfId="0" applyBorder="1"/>
    <xf numFmtId="4" fontId="1" fillId="0" borderId="52" xfId="0" applyNumberFormat="1" applyFont="1" applyBorder="1"/>
    <xf numFmtId="0" fontId="0" fillId="0" borderId="108" xfId="0" applyBorder="1"/>
    <xf numFmtId="0" fontId="0" fillId="0" borderId="19" xfId="0" applyBorder="1"/>
    <xf numFmtId="0" fontId="0" fillId="0" borderId="19" xfId="0" applyBorder="1" applyAlignment="1">
      <alignment horizontal="center"/>
    </xf>
    <xf numFmtId="0" fontId="0" fillId="0" borderId="142" xfId="0" applyBorder="1"/>
    <xf numFmtId="0" fontId="0" fillId="0" borderId="138" xfId="0" applyBorder="1"/>
    <xf numFmtId="1" fontId="0" fillId="0" borderId="0" xfId="0" applyNumberFormat="1"/>
    <xf numFmtId="9" fontId="0" fillId="0" borderId="0" xfId="2" applyFont="1"/>
    <xf numFmtId="1" fontId="8" fillId="0" borderId="87" xfId="0" applyNumberFormat="1" applyFont="1" applyBorder="1"/>
    <xf numFmtId="3" fontId="8" fillId="0" borderId="87" xfId="0" applyNumberFormat="1" applyFont="1" applyBorder="1"/>
    <xf numFmtId="1" fontId="8" fillId="0" borderId="122" xfId="0" applyNumberFormat="1" applyFont="1" applyBorder="1"/>
    <xf numFmtId="4" fontId="1" fillId="0" borderId="0" xfId="0" applyNumberFormat="1" applyFont="1"/>
    <xf numFmtId="1" fontId="8" fillId="0" borderId="104" xfId="0" applyNumberFormat="1" applyFont="1" applyBorder="1" applyAlignment="1">
      <alignment horizontal="right"/>
    </xf>
    <xf numFmtId="1" fontId="8" fillId="0" borderId="51" xfId="0" applyNumberFormat="1" applyFont="1" applyBorder="1" applyAlignment="1">
      <alignment horizontal="right"/>
    </xf>
    <xf numFmtId="1" fontId="8" fillId="3" borderId="49" xfId="0" applyNumberFormat="1" applyFont="1" applyFill="1" applyBorder="1" applyAlignment="1">
      <alignment horizontal="right"/>
    </xf>
    <xf numFmtId="1" fontId="8" fillId="0" borderId="106" xfId="0" applyNumberFormat="1" applyFont="1" applyBorder="1" applyAlignment="1">
      <alignment horizontal="right"/>
    </xf>
    <xf numFmtId="1" fontId="8" fillId="3" borderId="25" xfId="0" quotePrefix="1" applyNumberFormat="1" applyFont="1" applyFill="1" applyBorder="1" applyAlignment="1">
      <alignment horizontal="right"/>
    </xf>
    <xf numFmtId="1" fontId="8" fillId="0" borderId="104" xfId="0" quotePrefix="1" applyNumberFormat="1" applyFont="1" applyBorder="1" applyAlignment="1">
      <alignment horizontal="right"/>
    </xf>
    <xf numFmtId="1" fontId="8" fillId="0" borderId="106" xfId="0" quotePrefix="1" applyNumberFormat="1" applyFont="1" applyBorder="1" applyAlignment="1">
      <alignment horizontal="right"/>
    </xf>
    <xf numFmtId="1" fontId="8" fillId="0" borderId="108" xfId="0" applyNumberFormat="1" applyFont="1" applyBorder="1" applyAlignment="1">
      <alignment horizontal="right"/>
    </xf>
    <xf numFmtId="1" fontId="8" fillId="0" borderId="109" xfId="0" applyNumberFormat="1" applyFont="1" applyBorder="1" applyAlignment="1">
      <alignment horizontal="right"/>
    </xf>
    <xf numFmtId="1" fontId="8" fillId="0" borderId="110" xfId="0" applyNumberFormat="1" applyFont="1" applyBorder="1" applyAlignment="1">
      <alignment horizontal="right"/>
    </xf>
    <xf numFmtId="1" fontId="8" fillId="0" borderId="111" xfId="0" applyNumberFormat="1" applyFont="1" applyBorder="1" applyAlignment="1">
      <alignment horizontal="right"/>
    </xf>
    <xf numFmtId="1" fontId="8" fillId="0" borderId="68" xfId="0" applyNumberFormat="1" applyFont="1" applyBorder="1" applyAlignment="1">
      <alignment horizontal="right"/>
    </xf>
    <xf numFmtId="1" fontId="8" fillId="0" borderId="68" xfId="0" quotePrefix="1" applyNumberFormat="1" applyFont="1" applyBorder="1" applyAlignment="1">
      <alignment horizontal="right"/>
    </xf>
    <xf numFmtId="1" fontId="8" fillId="0" borderId="113" xfId="0" applyNumberFormat="1" applyFont="1" applyBorder="1" applyAlignment="1">
      <alignment horizontal="right"/>
    </xf>
    <xf numFmtId="0" fontId="8" fillId="0" borderId="104" xfId="0" applyFont="1" applyBorder="1" applyAlignment="1">
      <alignment horizontal="right"/>
    </xf>
    <xf numFmtId="0" fontId="8" fillId="0" borderId="51" xfId="0" applyFont="1" applyBorder="1" applyAlignment="1">
      <alignment horizontal="right"/>
    </xf>
    <xf numFmtId="0" fontId="8" fillId="3" borderId="105" xfId="0" applyFont="1" applyFill="1" applyBorder="1" applyAlignment="1">
      <alignment horizontal="right"/>
    </xf>
    <xf numFmtId="0" fontId="8" fillId="3" borderId="49" xfId="0" applyFont="1" applyFill="1" applyBorder="1" applyAlignment="1">
      <alignment horizontal="right"/>
    </xf>
    <xf numFmtId="0" fontId="8" fillId="0" borderId="106" xfId="0" applyFont="1" applyBorder="1" applyAlignment="1">
      <alignment horizontal="right"/>
    </xf>
    <xf numFmtId="0" fontId="8" fillId="3" borderId="25" xfId="0" quotePrefix="1" applyFont="1" applyFill="1" applyBorder="1" applyAlignment="1">
      <alignment horizontal="right"/>
    </xf>
    <xf numFmtId="0" fontId="8" fillId="3" borderId="107" xfId="0" quotePrefix="1" applyFont="1" applyFill="1" applyBorder="1" applyAlignment="1">
      <alignment horizontal="right"/>
    </xf>
    <xf numFmtId="0" fontId="8" fillId="0" borderId="104" xfId="0" quotePrefix="1" applyFont="1" applyBorder="1" applyAlignment="1">
      <alignment horizontal="right"/>
    </xf>
    <xf numFmtId="0" fontId="8" fillId="0" borderId="106" xfId="0" quotePrefix="1" applyFont="1" applyBorder="1" applyAlignment="1">
      <alignment horizontal="right"/>
    </xf>
    <xf numFmtId="0" fontId="8" fillId="0" borderId="108" xfId="0" applyFont="1" applyBorder="1" applyAlignment="1">
      <alignment horizontal="right"/>
    </xf>
    <xf numFmtId="0" fontId="8" fillId="0" borderId="109" xfId="0" applyFont="1" applyBorder="1" applyAlignment="1">
      <alignment horizontal="right"/>
    </xf>
    <xf numFmtId="0" fontId="8" fillId="0" borderId="110" xfId="0" applyFont="1" applyBorder="1" applyAlignment="1">
      <alignment horizontal="right"/>
    </xf>
    <xf numFmtId="0" fontId="8" fillId="0" borderId="111" xfId="0" applyFont="1" applyBorder="1" applyAlignment="1">
      <alignment horizontal="right"/>
    </xf>
    <xf numFmtId="0" fontId="8" fillId="3" borderId="112" xfId="0" applyFont="1" applyFill="1" applyBorder="1" applyAlignment="1">
      <alignment horizontal="right"/>
    </xf>
    <xf numFmtId="0" fontId="8" fillId="0" borderId="68" xfId="0" applyFont="1" applyBorder="1" applyAlignment="1">
      <alignment horizontal="right"/>
    </xf>
    <xf numFmtId="0" fontId="8" fillId="0" borderId="68" xfId="0" quotePrefix="1" applyFont="1" applyBorder="1" applyAlignment="1">
      <alignment horizontal="right"/>
    </xf>
    <xf numFmtId="0" fontId="8" fillId="2" borderId="44" xfId="1" applyFont="1" applyFill="1" applyBorder="1" applyAlignment="1">
      <alignment horizontal="center"/>
    </xf>
    <xf numFmtId="0" fontId="8" fillId="2" borderId="144" xfId="1" applyFont="1" applyFill="1" applyBorder="1" applyAlignment="1">
      <alignment horizontal="center"/>
    </xf>
    <xf numFmtId="0" fontId="8" fillId="0" borderId="145" xfId="1" applyFont="1" applyBorder="1"/>
    <xf numFmtId="0" fontId="8" fillId="0" borderId="144" xfId="1" applyFont="1" applyBorder="1"/>
    <xf numFmtId="0" fontId="8" fillId="0" borderId="146" xfId="1" applyFont="1" applyBorder="1"/>
    <xf numFmtId="0" fontId="8" fillId="3" borderId="143" xfId="1" applyFont="1" applyFill="1" applyBorder="1"/>
    <xf numFmtId="0" fontId="8" fillId="0" borderId="143" xfId="1" applyFont="1" applyBorder="1"/>
    <xf numFmtId="2" fontId="8" fillId="0" borderId="145" xfId="1" applyNumberFormat="1" applyFont="1" applyBorder="1"/>
    <xf numFmtId="2" fontId="8" fillId="0" borderId="55" xfId="1" applyNumberFormat="1" applyFont="1" applyBorder="1"/>
    <xf numFmtId="2" fontId="8" fillId="0" borderId="83" xfId="1" applyNumberFormat="1" applyFont="1" applyBorder="1"/>
    <xf numFmtId="2" fontId="8" fillId="0" borderId="144" xfId="1" applyNumberFormat="1" applyFont="1" applyBorder="1"/>
    <xf numFmtId="2" fontId="8" fillId="3" borderId="80" xfId="1" applyNumberFormat="1" applyFont="1" applyFill="1" applyBorder="1"/>
    <xf numFmtId="2" fontId="8" fillId="0" borderId="146" xfId="1" applyNumberFormat="1" applyFont="1" applyBorder="1"/>
    <xf numFmtId="2" fontId="8" fillId="3" borderId="40" xfId="1" applyNumberFormat="1" applyFont="1" applyFill="1" applyBorder="1"/>
    <xf numFmtId="2" fontId="8" fillId="3" borderId="143" xfId="1" applyNumberFormat="1" applyFont="1" applyFill="1" applyBorder="1"/>
    <xf numFmtId="2" fontId="8" fillId="0" borderId="143" xfId="1" applyNumberFormat="1" applyFont="1" applyBorder="1"/>
    <xf numFmtId="1" fontId="8" fillId="0" borderId="145" xfId="1" applyNumberFormat="1" applyFont="1" applyBorder="1"/>
    <xf numFmtId="1" fontId="8" fillId="0" borderId="55" xfId="1" applyNumberFormat="1" applyFont="1" applyBorder="1"/>
    <xf numFmtId="1" fontId="8" fillId="0" borderId="83" xfId="1" applyNumberFormat="1" applyFont="1" applyBorder="1"/>
    <xf numFmtId="1" fontId="8" fillId="0" borderId="144" xfId="1" applyNumberFormat="1" applyFont="1" applyBorder="1"/>
    <xf numFmtId="1" fontId="8" fillId="3" borderId="80" xfId="1" applyNumberFormat="1" applyFont="1" applyFill="1" applyBorder="1"/>
    <xf numFmtId="1" fontId="8" fillId="0" borderId="146" xfId="1" applyNumberFormat="1" applyFont="1" applyBorder="1"/>
    <xf numFmtId="1" fontId="8" fillId="3" borderId="40" xfId="1" applyNumberFormat="1" applyFont="1" applyFill="1" applyBorder="1"/>
    <xf numFmtId="1" fontId="8" fillId="3" borderId="143" xfId="1" applyNumberFormat="1" applyFont="1" applyFill="1" applyBorder="1"/>
    <xf numFmtId="1" fontId="8" fillId="0" borderId="143" xfId="1" applyNumberFormat="1" applyFont="1" applyBorder="1"/>
    <xf numFmtId="1" fontId="8" fillId="0" borderId="4" xfId="1" applyNumberFormat="1" applyFont="1" applyBorder="1" applyAlignment="1">
      <alignment horizontal="centerContinuous"/>
    </xf>
    <xf numFmtId="3" fontId="15" fillId="0" borderId="57" xfId="1" applyNumberFormat="1" applyFont="1" applyBorder="1"/>
    <xf numFmtId="3" fontId="15" fillId="0" borderId="27" xfId="1" applyNumberFormat="1" applyFont="1" applyBorder="1"/>
    <xf numFmtId="3" fontId="15" fillId="0" borderId="20" xfId="1" applyNumberFormat="1" applyFont="1" applyBorder="1"/>
    <xf numFmtId="3" fontId="15" fillId="0" borderId="74" xfId="1" applyNumberFormat="1" applyFont="1" applyBorder="1"/>
    <xf numFmtId="3" fontId="15" fillId="3" borderId="81" xfId="1" applyNumberFormat="1" applyFont="1" applyFill="1" applyBorder="1"/>
    <xf numFmtId="3" fontId="15" fillId="0" borderId="16" xfId="1" applyNumberFormat="1" applyFont="1" applyBorder="1"/>
    <xf numFmtId="3" fontId="15" fillId="3" borderId="73" xfId="1" applyNumberFormat="1" applyFont="1" applyFill="1" applyBorder="1"/>
    <xf numFmtId="3" fontId="15" fillId="0" borderId="129" xfId="1" applyNumberFormat="1" applyFont="1" applyBorder="1"/>
    <xf numFmtId="3" fontId="15" fillId="3" borderId="9" xfId="1" applyNumberFormat="1" applyFont="1" applyFill="1" applyBorder="1"/>
    <xf numFmtId="3" fontId="15" fillId="0" borderId="2" xfId="1" applyNumberFormat="1" applyFont="1" applyBorder="1"/>
    <xf numFmtId="4" fontId="15" fillId="0" borderId="57" xfId="1" applyNumberFormat="1" applyFont="1" applyBorder="1"/>
    <xf numFmtId="4" fontId="15" fillId="0" borderId="27" xfId="1" applyNumberFormat="1" applyFont="1" applyBorder="1"/>
    <xf numFmtId="4" fontId="15" fillId="0" borderId="20" xfId="1" applyNumberFormat="1" applyFont="1" applyBorder="1"/>
    <xf numFmtId="4" fontId="15" fillId="0" borderId="74" xfId="1" applyNumberFormat="1" applyFont="1" applyBorder="1"/>
    <xf numFmtId="4" fontId="15" fillId="3" borderId="81" xfId="1" applyNumberFormat="1" applyFont="1" applyFill="1" applyBorder="1"/>
    <xf numFmtId="4" fontId="15" fillId="0" borderId="16" xfId="1" applyNumberFormat="1" applyFont="1" applyBorder="1"/>
    <xf numFmtId="4" fontId="15" fillId="3" borderId="73" xfId="1" applyNumberFormat="1" applyFont="1" applyFill="1" applyBorder="1"/>
    <xf numFmtId="4" fontId="15" fillId="0" borderId="129" xfId="1" applyNumberFormat="1" applyFont="1" applyBorder="1"/>
    <xf numFmtId="4" fontId="15" fillId="3" borderId="9" xfId="1" applyNumberFormat="1" applyFont="1" applyFill="1" applyBorder="1"/>
    <xf numFmtId="3" fontId="8" fillId="0" borderId="145" xfId="1" applyNumberFormat="1" applyFont="1" applyBorder="1"/>
    <xf numFmtId="3" fontId="8" fillId="0" borderId="55" xfId="1" applyNumberFormat="1" applyFont="1" applyBorder="1"/>
    <xf numFmtId="3" fontId="8" fillId="0" borderId="83" xfId="1" applyNumberFormat="1" applyFont="1" applyBorder="1"/>
    <xf numFmtId="3" fontId="8" fillId="0" borderId="144" xfId="1" applyNumberFormat="1" applyFont="1" applyBorder="1"/>
    <xf numFmtId="3" fontId="8" fillId="3" borderId="80" xfId="1" applyNumberFormat="1" applyFont="1" applyFill="1" applyBorder="1"/>
    <xf numFmtId="3" fontId="8" fillId="0" borderId="146" xfId="1" applyNumberFormat="1" applyFont="1" applyBorder="1"/>
    <xf numFmtId="3" fontId="8" fillId="3" borderId="143" xfId="1" applyNumberFormat="1" applyFont="1" applyFill="1" applyBorder="1"/>
    <xf numFmtId="3" fontId="8" fillId="0" borderId="143" xfId="1" applyNumberFormat="1" applyFont="1" applyBorder="1"/>
    <xf numFmtId="3" fontId="8" fillId="0" borderId="4" xfId="1" applyNumberFormat="1" applyFont="1" applyBorder="1" applyAlignment="1">
      <alignment horizontal="centerContinuous"/>
    </xf>
    <xf numFmtId="4" fontId="15" fillId="0" borderId="2" xfId="1" applyNumberFormat="1" applyFont="1" applyBorder="1"/>
    <xf numFmtId="4" fontId="15" fillId="0" borderId="127" xfId="1" applyNumberFormat="1" applyFont="1" applyBorder="1"/>
    <xf numFmtId="4" fontId="15" fillId="0" borderId="147" xfId="1" applyNumberFormat="1" applyFont="1" applyBorder="1"/>
    <xf numFmtId="4" fontId="15" fillId="0" borderId="19" xfId="1" applyNumberFormat="1" applyFont="1" applyBorder="1"/>
    <xf numFmtId="4" fontId="15" fillId="0" borderId="128" xfId="1" applyNumberFormat="1" applyFont="1" applyBorder="1"/>
    <xf numFmtId="4" fontId="15" fillId="3" borderId="82" xfId="1" applyNumberFormat="1" applyFont="1" applyFill="1" applyBorder="1"/>
    <xf numFmtId="4" fontId="15" fillId="0" borderId="15" xfId="1" applyNumberFormat="1" applyFont="1" applyBorder="1"/>
    <xf numFmtId="4" fontId="15" fillId="0" borderId="61" xfId="1" applyNumberFormat="1" applyFont="1" applyBorder="1"/>
    <xf numFmtId="3" fontId="15" fillId="0" borderId="67" xfId="1" applyNumberFormat="1" applyFont="1" applyBorder="1"/>
    <xf numFmtId="3" fontId="15" fillId="0" borderId="71" xfId="1" applyNumberFormat="1" applyFont="1" applyBorder="1"/>
    <xf numFmtId="3" fontId="15" fillId="0" borderId="76" xfId="1" applyNumberFormat="1" applyFont="1" applyBorder="1"/>
    <xf numFmtId="3" fontId="15" fillId="0" borderId="73" xfId="1" applyNumberFormat="1" applyFont="1" applyBorder="1"/>
    <xf numFmtId="3" fontId="15" fillId="3" borderId="69" xfId="1" applyNumberFormat="1" applyFont="1" applyFill="1" applyBorder="1"/>
    <xf numFmtId="3" fontId="15" fillId="0" borderId="66" xfId="1" applyNumberFormat="1" applyFont="1" applyBorder="1"/>
    <xf numFmtId="0" fontId="8" fillId="7" borderId="0" xfId="1" applyFont="1" applyFill="1" applyAlignment="1">
      <alignment horizontal="center" wrapText="1"/>
    </xf>
    <xf numFmtId="4" fontId="15" fillId="0" borderId="71" xfId="1" applyNumberFormat="1" applyFont="1" applyBorder="1"/>
    <xf numFmtId="4" fontId="15" fillId="0" borderId="76" xfId="1" applyNumberFormat="1" applyFont="1" applyBorder="1"/>
    <xf numFmtId="4" fontId="15" fillId="0" borderId="73" xfId="1" applyNumberFormat="1" applyFont="1" applyBorder="1"/>
    <xf numFmtId="4" fontId="15" fillId="3" borderId="69" xfId="1" applyNumberFormat="1" applyFont="1" applyFill="1" applyBorder="1"/>
    <xf numFmtId="1" fontId="15" fillId="0" borderId="87" xfId="0" applyNumberFormat="1" applyFont="1" applyBorder="1"/>
    <xf numFmtId="1" fontId="15" fillId="0" borderId="26" xfId="0" applyNumberFormat="1" applyFont="1" applyBorder="1"/>
    <xf numFmtId="1" fontId="16" fillId="6" borderId="26" xfId="0" quotePrefix="1" applyNumberFormat="1" applyFont="1" applyFill="1" applyBorder="1" applyAlignment="1">
      <alignment horizontal="right"/>
    </xf>
    <xf numFmtId="1" fontId="15" fillId="0" borderId="59" xfId="0" applyNumberFormat="1" applyFont="1" applyBorder="1"/>
    <xf numFmtId="1" fontId="16" fillId="6" borderId="59" xfId="0" quotePrefix="1" applyNumberFormat="1" applyFont="1" applyFill="1" applyBorder="1" applyAlignment="1">
      <alignment horizontal="right"/>
    </xf>
    <xf numFmtId="1" fontId="16" fillId="6" borderId="59" xfId="0" applyNumberFormat="1" applyFont="1" applyFill="1" applyBorder="1"/>
    <xf numFmtId="1" fontId="15" fillId="3" borderId="119" xfId="0" applyNumberFormat="1" applyFont="1" applyFill="1" applyBorder="1"/>
    <xf numFmtId="3" fontId="15" fillId="0" borderId="87" xfId="0" applyNumberFormat="1" applyFont="1" applyBorder="1"/>
    <xf numFmtId="3" fontId="15" fillId="0" borderId="26" xfId="0" applyNumberFormat="1" applyFont="1" applyBorder="1"/>
    <xf numFmtId="3" fontId="16" fillId="6" borderId="26" xfId="0" quotePrefix="1" applyNumberFormat="1" applyFont="1" applyFill="1" applyBorder="1" applyAlignment="1">
      <alignment horizontal="right"/>
    </xf>
    <xf numFmtId="3" fontId="15" fillId="0" borderId="59" xfId="0" applyNumberFormat="1" applyFont="1" applyBorder="1"/>
    <xf numFmtId="3" fontId="16" fillId="6" borderId="59" xfId="0" quotePrefix="1" applyNumberFormat="1" applyFont="1" applyFill="1" applyBorder="1" applyAlignment="1">
      <alignment horizontal="right"/>
    </xf>
    <xf numFmtId="3" fontId="16" fillId="6" borderId="59" xfId="0" applyNumberFormat="1" applyFont="1" applyFill="1" applyBorder="1"/>
    <xf numFmtId="3" fontId="15" fillId="3" borderId="119" xfId="0" applyNumberFormat="1" applyFont="1" applyFill="1" applyBorder="1"/>
    <xf numFmtId="0" fontId="15" fillId="3" borderId="1" xfId="0" applyFont="1" applyFill="1" applyBorder="1"/>
    <xf numFmtId="3" fontId="15" fillId="3" borderId="1" xfId="0" applyNumberFormat="1" applyFont="1" applyFill="1" applyBorder="1"/>
    <xf numFmtId="1" fontId="16" fillId="6" borderId="51" xfId="0" quotePrefix="1" applyNumberFormat="1" applyFont="1" applyFill="1" applyBorder="1" applyAlignment="1">
      <alignment horizontal="right"/>
    </xf>
    <xf numFmtId="1" fontId="15" fillId="0" borderId="109" xfId="0" applyNumberFormat="1" applyFont="1" applyBorder="1"/>
    <xf numFmtId="1" fontId="16" fillId="6" borderId="109" xfId="0" quotePrefix="1" applyNumberFormat="1" applyFont="1" applyFill="1" applyBorder="1" applyAlignment="1">
      <alignment horizontal="right"/>
    </xf>
    <xf numFmtId="1" fontId="16" fillId="6" borderId="109" xfId="0" applyNumberFormat="1" applyFont="1" applyFill="1" applyBorder="1"/>
    <xf numFmtId="0" fontId="15" fillId="3" borderId="119" xfId="0" applyFont="1" applyFill="1" applyBorder="1"/>
    <xf numFmtId="0" fontId="15" fillId="3" borderId="123" xfId="0" applyFont="1" applyFill="1" applyBorder="1"/>
    <xf numFmtId="0" fontId="15" fillId="0" borderId="122" xfId="0" applyFont="1" applyBorder="1"/>
    <xf numFmtId="0" fontId="15" fillId="0" borderId="51" xfId="0" applyFont="1" applyBorder="1"/>
    <xf numFmtId="0" fontId="15" fillId="0" borderId="11" xfId="0" applyFont="1" applyBorder="1"/>
    <xf numFmtId="0" fontId="15" fillId="0" borderId="50" xfId="0" applyFont="1" applyBorder="1"/>
    <xf numFmtId="167" fontId="15" fillId="0" borderId="87" xfId="2" applyNumberFormat="1" applyFont="1" applyBorder="1"/>
    <xf numFmtId="167" fontId="15" fillId="0" borderId="122" xfId="2" applyNumberFormat="1" applyFont="1" applyBorder="1"/>
    <xf numFmtId="167" fontId="15" fillId="0" borderId="26" xfId="2" applyNumberFormat="1" applyFont="1" applyBorder="1"/>
    <xf numFmtId="167" fontId="15" fillId="0" borderId="51" xfId="2" applyNumberFormat="1" applyFont="1" applyBorder="1"/>
    <xf numFmtId="1" fontId="15" fillId="3" borderId="1" xfId="0" applyNumberFormat="1" applyFont="1" applyFill="1" applyBorder="1"/>
    <xf numFmtId="0" fontId="15" fillId="3" borderId="48" xfId="0" applyFont="1" applyFill="1" applyBorder="1"/>
    <xf numFmtId="1" fontId="15" fillId="0" borderId="11" xfId="0" applyNumberFormat="1" applyFont="1" applyBorder="1"/>
    <xf numFmtId="4" fontId="1" fillId="0" borderId="140" xfId="0" applyNumberFormat="1" applyFont="1" applyBorder="1"/>
    <xf numFmtId="2" fontId="8" fillId="0" borderId="0" xfId="1" applyNumberFormat="1" applyFont="1"/>
    <xf numFmtId="4" fontId="8" fillId="0" borderId="0" xfId="1" applyNumberFormat="1" applyFont="1"/>
    <xf numFmtId="0" fontId="8" fillId="2" borderId="78" xfId="1" applyFont="1" applyFill="1" applyBorder="1" applyAlignment="1">
      <alignment horizontal="center"/>
    </xf>
    <xf numFmtId="3" fontId="14" fillId="0" borderId="65" xfId="0" applyNumberFormat="1" applyFont="1" applyBorder="1" applyAlignment="1">
      <alignment horizontal="right"/>
    </xf>
    <xf numFmtId="1" fontId="2" fillId="2" borderId="36" xfId="0" applyNumberFormat="1" applyFont="1" applyFill="1" applyBorder="1" applyAlignment="1">
      <alignment horizontal="center"/>
    </xf>
    <xf numFmtId="1" fontId="8" fillId="0" borderId="87" xfId="0" applyNumberFormat="1" applyFont="1" applyBorder="1" applyAlignment="1">
      <alignment horizontal="right"/>
    </xf>
    <xf numFmtId="1" fontId="10" fillId="6" borderId="26" xfId="0" quotePrefix="1" applyNumberFormat="1" applyFont="1" applyFill="1" applyBorder="1" applyAlignment="1">
      <alignment horizontal="right"/>
    </xf>
    <xf numFmtId="1" fontId="10" fillId="6" borderId="59" xfId="0" quotePrefix="1" applyNumberFormat="1" applyFont="1" applyFill="1" applyBorder="1" applyAlignment="1">
      <alignment horizontal="right"/>
    </xf>
    <xf numFmtId="1" fontId="10" fillId="6" borderId="59" xfId="0" applyNumberFormat="1" applyFont="1" applyFill="1" applyBorder="1" applyAlignment="1">
      <alignment horizontal="right"/>
    </xf>
    <xf numFmtId="1" fontId="8" fillId="3" borderId="119" xfId="0" applyNumberFormat="1" applyFont="1" applyFill="1" applyBorder="1" applyAlignment="1">
      <alignment horizontal="right"/>
    </xf>
    <xf numFmtId="1" fontId="8" fillId="0" borderId="11" xfId="0" applyNumberFormat="1" applyFont="1" applyBorder="1" applyAlignment="1">
      <alignment horizontal="right"/>
    </xf>
    <xf numFmtId="1" fontId="8" fillId="3" borderId="1" xfId="0" applyNumberFormat="1" applyFont="1" applyFill="1" applyBorder="1" applyAlignment="1">
      <alignment horizontal="right"/>
    </xf>
    <xf numFmtId="167" fontId="8" fillId="0" borderId="87" xfId="2" applyNumberFormat="1" applyFont="1" applyBorder="1" applyAlignment="1">
      <alignment horizontal="right"/>
    </xf>
    <xf numFmtId="167" fontId="8" fillId="0" borderId="26" xfId="2" applyNumberFormat="1" applyFont="1" applyBorder="1" applyAlignment="1">
      <alignment horizontal="right"/>
    </xf>
    <xf numFmtId="3" fontId="9" fillId="0" borderId="149" xfId="1" applyNumberFormat="1" applyFont="1" applyBorder="1"/>
    <xf numFmtId="3" fontId="9" fillId="0" borderId="133" xfId="1" applyNumberFormat="1" applyFont="1" applyBorder="1"/>
    <xf numFmtId="3" fontId="9" fillId="0" borderId="150" xfId="1" applyNumberFormat="1" applyFont="1" applyBorder="1"/>
    <xf numFmtId="3" fontId="9" fillId="0" borderId="151" xfId="1" applyNumberFormat="1" applyFont="1" applyBorder="1"/>
    <xf numFmtId="3" fontId="9" fillId="0" borderId="152" xfId="1" applyNumberFormat="1" applyFont="1" applyBorder="1"/>
    <xf numFmtId="3" fontId="9" fillId="0" borderId="136" xfId="1" applyNumberFormat="1" applyFont="1" applyBorder="1"/>
    <xf numFmtId="3" fontId="9" fillId="0" borderId="148" xfId="1" applyNumberFormat="1" applyFont="1" applyBorder="1"/>
    <xf numFmtId="3" fontId="9" fillId="0" borderId="140" xfId="1" applyNumberFormat="1" applyFont="1" applyBorder="1"/>
    <xf numFmtId="3" fontId="9" fillId="3" borderId="153" xfId="1" applyNumberFormat="1" applyFont="1" applyFill="1" applyBorder="1"/>
    <xf numFmtId="3" fontId="9" fillId="3" borderId="154" xfId="1" applyNumberFormat="1" applyFont="1" applyFill="1" applyBorder="1"/>
    <xf numFmtId="3" fontId="9" fillId="0" borderId="155" xfId="1" applyNumberFormat="1" applyFont="1" applyBorder="1"/>
    <xf numFmtId="3" fontId="9" fillId="0" borderId="137" xfId="1" applyNumberFormat="1" applyFont="1" applyBorder="1"/>
    <xf numFmtId="3" fontId="9" fillId="3" borderId="156" xfId="1" applyNumberFormat="1" applyFont="1" applyFill="1" applyBorder="1"/>
    <xf numFmtId="3" fontId="9" fillId="3" borderId="137" xfId="1" applyNumberFormat="1" applyFont="1" applyFill="1" applyBorder="1"/>
    <xf numFmtId="3" fontId="9" fillId="0" borderId="157" xfId="1" applyNumberFormat="1" applyFont="1" applyBorder="1"/>
    <xf numFmtId="3" fontId="9" fillId="0" borderId="53" xfId="1" applyNumberFormat="1" applyFont="1" applyBorder="1"/>
    <xf numFmtId="3" fontId="9" fillId="3" borderId="103" xfId="1" applyNumberFormat="1" applyFont="1" applyFill="1" applyBorder="1"/>
    <xf numFmtId="3" fontId="9" fillId="3" borderId="32" xfId="1" applyNumberFormat="1" applyFont="1" applyFill="1" applyBorder="1"/>
    <xf numFmtId="3" fontId="9" fillId="0" borderId="158" xfId="1" applyNumberFormat="1" applyFont="1" applyBorder="1"/>
    <xf numFmtId="3" fontId="9" fillId="0" borderId="130" xfId="1" applyNumberFormat="1" applyFont="1" applyBorder="1"/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1" fillId="0" borderId="75" xfId="0" applyFont="1" applyBorder="1"/>
    <xf numFmtId="4" fontId="1" fillId="0" borderId="132" xfId="0" applyNumberFormat="1" applyFont="1" applyBorder="1"/>
    <xf numFmtId="4" fontId="17" fillId="0" borderId="132" xfId="0" applyNumberFormat="1" applyFont="1" applyBorder="1"/>
    <xf numFmtId="0" fontId="1" fillId="0" borderId="14" xfId="0" applyFont="1" applyBorder="1"/>
    <xf numFmtId="4" fontId="1" fillId="0" borderId="19" xfId="0" applyNumberFormat="1" applyFont="1" applyBorder="1"/>
    <xf numFmtId="4" fontId="17" fillId="0" borderId="19" xfId="0" applyNumberFormat="1" applyFont="1" applyBorder="1"/>
    <xf numFmtId="0" fontId="1" fillId="0" borderId="134" xfId="0" applyFont="1" applyBorder="1"/>
    <xf numFmtId="0" fontId="1" fillId="0" borderId="92" xfId="0" applyFont="1" applyBorder="1"/>
    <xf numFmtId="4" fontId="1" fillId="0" borderId="15" xfId="0" applyNumberFormat="1" applyFont="1" applyBorder="1"/>
    <xf numFmtId="4" fontId="17" fillId="0" borderId="15" xfId="0" applyNumberFormat="1" applyFont="1" applyBorder="1"/>
    <xf numFmtId="0" fontId="1" fillId="0" borderId="126" xfId="0" applyFont="1" applyBorder="1"/>
    <xf numFmtId="4" fontId="1" fillId="0" borderId="127" xfId="0" applyNumberFormat="1" applyFont="1" applyBorder="1"/>
    <xf numFmtId="4" fontId="17" fillId="0" borderId="127" xfId="0" applyNumberFormat="1" applyFont="1" applyBorder="1"/>
    <xf numFmtId="0" fontId="1" fillId="0" borderId="6" xfId="0" applyFont="1" applyBorder="1"/>
    <xf numFmtId="0" fontId="1" fillId="0" borderId="1" xfId="0" applyFont="1" applyBorder="1"/>
    <xf numFmtId="4" fontId="1" fillId="0" borderId="138" xfId="0" applyNumberFormat="1" applyFont="1" applyBorder="1"/>
    <xf numFmtId="4" fontId="17" fillId="0" borderId="138" xfId="0" applyNumberFormat="1" applyFont="1" applyBorder="1"/>
    <xf numFmtId="166" fontId="1" fillId="0" borderId="65" xfId="2" applyNumberFormat="1" applyFont="1" applyBorder="1"/>
    <xf numFmtId="166" fontId="1" fillId="0" borderId="56" xfId="2" applyNumberFormat="1" applyFont="1" applyBorder="1"/>
    <xf numFmtId="166" fontId="1" fillId="0" borderId="127" xfId="2" applyNumberFormat="1" applyFont="1" applyBorder="1"/>
    <xf numFmtId="166" fontId="1" fillId="0" borderId="133" xfId="2" applyNumberFormat="1" applyFont="1" applyBorder="1"/>
    <xf numFmtId="166" fontId="1" fillId="0" borderId="138" xfId="2" applyNumberFormat="1" applyFont="1" applyBorder="1"/>
    <xf numFmtId="166" fontId="17" fillId="0" borderId="138" xfId="2" applyNumberFormat="1" applyFont="1" applyBorder="1"/>
    <xf numFmtId="166" fontId="1" fillId="0" borderId="139" xfId="2" applyNumberFormat="1" applyFont="1" applyBorder="1"/>
    <xf numFmtId="0" fontId="2" fillId="2" borderId="96" xfId="0" applyFont="1" applyFill="1" applyBorder="1" applyAlignment="1">
      <alignment horizontal="center" wrapText="1"/>
    </xf>
    <xf numFmtId="0" fontId="8" fillId="7" borderId="144" xfId="1" applyFont="1" applyFill="1" applyBorder="1" applyAlignment="1">
      <alignment horizontal="center"/>
    </xf>
    <xf numFmtId="0" fontId="3" fillId="2" borderId="62" xfId="0" applyFont="1" applyFill="1" applyBorder="1" applyAlignment="1">
      <alignment horizontal="center" wrapText="1"/>
    </xf>
    <xf numFmtId="0" fontId="8" fillId="2" borderId="42" xfId="1" applyFont="1" applyFill="1" applyBorder="1" applyAlignment="1">
      <alignment horizontal="centerContinuous" wrapText="1"/>
    </xf>
    <xf numFmtId="3" fontId="14" fillId="0" borderId="52" xfId="0" applyNumberFormat="1" applyFont="1" applyBorder="1"/>
    <xf numFmtId="3" fontId="14" fillId="0" borderId="136" xfId="0" applyNumberFormat="1" applyFont="1" applyBorder="1"/>
    <xf numFmtId="3" fontId="14" fillId="0" borderId="137" xfId="0" applyNumberFormat="1" applyFont="1" applyBorder="1"/>
    <xf numFmtId="3" fontId="14" fillId="0" borderId="133" xfId="0" applyNumberFormat="1" applyFont="1" applyBorder="1"/>
    <xf numFmtId="3" fontId="14" fillId="0" borderId="139" xfId="0" applyNumberFormat="1" applyFont="1" applyBorder="1"/>
    <xf numFmtId="3" fontId="14" fillId="0" borderId="140" xfId="0" applyNumberFormat="1" applyFont="1" applyBorder="1"/>
    <xf numFmtId="3" fontId="14" fillId="0" borderId="56" xfId="0" applyNumberFormat="1" applyFont="1" applyBorder="1"/>
    <xf numFmtId="0" fontId="1" fillId="0" borderId="147" xfId="0" applyFont="1" applyBorder="1"/>
    <xf numFmtId="0" fontId="1" fillId="0" borderId="147" xfId="0" applyFont="1" applyBorder="1" applyAlignment="1">
      <alignment horizontal="center"/>
    </xf>
    <xf numFmtId="4" fontId="17" fillId="0" borderId="147" xfId="0" applyNumberFormat="1" applyFont="1" applyBorder="1"/>
    <xf numFmtId="4" fontId="1" fillId="0" borderId="159" xfId="0" applyNumberFormat="1" applyFont="1" applyBorder="1"/>
    <xf numFmtId="166" fontId="0" fillId="0" borderId="0" xfId="2" applyNumberFormat="1" applyFont="1"/>
    <xf numFmtId="3" fontId="15" fillId="0" borderId="12" xfId="1" applyNumberFormat="1" applyFont="1" applyBorder="1"/>
    <xf numFmtId="0" fontId="0" fillId="0" borderId="65" xfId="0" applyBorder="1" applyAlignment="1">
      <alignment horizontal="center"/>
    </xf>
    <xf numFmtId="10" fontId="0" fillId="0" borderId="65" xfId="2" applyNumberFormat="1" applyFont="1" applyBorder="1"/>
    <xf numFmtId="4" fontId="1" fillId="0" borderId="65" xfId="0" applyNumberFormat="1" applyFont="1" applyBorder="1" applyAlignment="1">
      <alignment horizontal="center"/>
    </xf>
    <xf numFmtId="4" fontId="1" fillId="0" borderId="132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4" fontId="1" fillId="0" borderId="15" xfId="0" applyNumberFormat="1" applyFont="1" applyBorder="1" applyAlignment="1">
      <alignment horizontal="center"/>
    </xf>
    <xf numFmtId="4" fontId="1" fillId="0" borderId="127" xfId="0" applyNumberFormat="1" applyFont="1" applyBorder="1" applyAlignment="1">
      <alignment horizontal="center"/>
    </xf>
    <xf numFmtId="4" fontId="1" fillId="0" borderId="138" xfId="0" applyNumberFormat="1" applyFont="1" applyBorder="1" applyAlignment="1">
      <alignment horizontal="center"/>
    </xf>
    <xf numFmtId="4" fontId="1" fillId="0" borderId="147" xfId="0" applyNumberFormat="1" applyFont="1" applyBorder="1" applyAlignment="1">
      <alignment horizontal="center"/>
    </xf>
    <xf numFmtId="166" fontId="1" fillId="0" borderId="65" xfId="2" applyNumberFormat="1" applyFont="1" applyBorder="1" applyAlignment="1">
      <alignment horizontal="center"/>
    </xf>
    <xf numFmtId="166" fontId="1" fillId="0" borderId="127" xfId="2" applyNumberFormat="1" applyFont="1" applyBorder="1" applyAlignment="1">
      <alignment horizontal="center"/>
    </xf>
    <xf numFmtId="166" fontId="1" fillId="0" borderId="138" xfId="2" applyNumberFormat="1" applyFont="1" applyBorder="1" applyAlignment="1">
      <alignment horizontal="center"/>
    </xf>
    <xf numFmtId="0" fontId="0" fillId="0" borderId="132" xfId="0" applyBorder="1" applyAlignment="1">
      <alignment horizontal="center"/>
    </xf>
    <xf numFmtId="4" fontId="0" fillId="0" borderId="132" xfId="0" applyNumberFormat="1" applyBorder="1" applyAlignment="1">
      <alignment horizontal="center"/>
    </xf>
    <xf numFmtId="4" fontId="0" fillId="0" borderId="132" xfId="0" applyNumberFormat="1" applyBorder="1"/>
    <xf numFmtId="4" fontId="0" fillId="0" borderId="19" xfId="0" applyNumberFormat="1" applyBorder="1" applyAlignment="1">
      <alignment horizontal="center"/>
    </xf>
    <xf numFmtId="4" fontId="0" fillId="0" borderId="19" xfId="0" applyNumberFormat="1" applyBorder="1"/>
    <xf numFmtId="0" fontId="0" fillId="0" borderId="109" xfId="0" applyBorder="1" applyAlignment="1">
      <alignment horizontal="center"/>
    </xf>
    <xf numFmtId="0" fontId="0" fillId="0" borderId="110" xfId="0" applyBorder="1"/>
    <xf numFmtId="0" fontId="0" fillId="0" borderId="128" xfId="0" applyBorder="1" applyAlignment="1">
      <alignment horizontal="center"/>
    </xf>
    <xf numFmtId="4" fontId="0" fillId="0" borderId="128" xfId="0" applyNumberFormat="1" applyBorder="1" applyAlignment="1">
      <alignment horizontal="center"/>
    </xf>
    <xf numFmtId="4" fontId="0" fillId="0" borderId="128" xfId="0" applyNumberFormat="1" applyBorder="1"/>
    <xf numFmtId="0" fontId="0" fillId="0" borderId="111" xfId="0" applyBorder="1" applyAlignment="1">
      <alignment horizontal="center"/>
    </xf>
    <xf numFmtId="0" fontId="0" fillId="0" borderId="161" xfId="0" applyBorder="1" applyAlignment="1">
      <alignment horizontal="center"/>
    </xf>
    <xf numFmtId="4" fontId="0" fillId="0" borderId="138" xfId="0" applyNumberFormat="1" applyBorder="1" applyAlignment="1">
      <alignment horizontal="center"/>
    </xf>
    <xf numFmtId="4" fontId="0" fillId="0" borderId="138" xfId="0" applyNumberFormat="1" applyBorder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1" fillId="0" borderId="65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3" fontId="1" fillId="0" borderId="132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3" fontId="1" fillId="0" borderId="15" xfId="0" applyNumberFormat="1" applyFont="1" applyBorder="1" applyAlignment="1">
      <alignment horizontal="center"/>
    </xf>
    <xf numFmtId="3" fontId="1" fillId="0" borderId="127" xfId="0" applyNumberFormat="1" applyFont="1" applyBorder="1" applyAlignment="1">
      <alignment horizontal="center"/>
    </xf>
    <xf numFmtId="3" fontId="1" fillId="0" borderId="138" xfId="0" applyNumberFormat="1" applyFont="1" applyBorder="1" applyAlignment="1">
      <alignment horizontal="center"/>
    </xf>
    <xf numFmtId="3" fontId="1" fillId="0" borderId="128" xfId="0" applyNumberFormat="1" applyFont="1" applyBorder="1" applyAlignment="1">
      <alignment horizontal="center"/>
    </xf>
    <xf numFmtId="166" fontId="0" fillId="0" borderId="138" xfId="2" applyNumberFormat="1" applyFont="1" applyBorder="1" applyAlignment="1">
      <alignment horizontal="center"/>
    </xf>
    <xf numFmtId="0" fontId="18" fillId="0" borderId="0" xfId="0" applyFont="1"/>
    <xf numFmtId="9" fontId="3" fillId="0" borderId="0" xfId="2" applyFont="1"/>
    <xf numFmtId="3" fontId="0" fillId="0" borderId="0" xfId="0" applyNumberFormat="1"/>
    <xf numFmtId="166" fontId="1" fillId="0" borderId="0" xfId="2" applyNumberFormat="1" applyFont="1"/>
    <xf numFmtId="165" fontId="1" fillId="0" borderId="0" xfId="0" applyNumberFormat="1" applyFont="1"/>
    <xf numFmtId="0" fontId="0" fillId="0" borderId="60" xfId="0" applyBorder="1" applyAlignment="1">
      <alignment horizontal="center"/>
    </xf>
    <xf numFmtId="10" fontId="0" fillId="0" borderId="60" xfId="2" applyNumberFormat="1" applyFont="1" applyBorder="1"/>
    <xf numFmtId="0" fontId="0" fillId="0" borderId="65" xfId="0" applyBorder="1"/>
    <xf numFmtId="3" fontId="0" fillId="0" borderId="65" xfId="2" applyNumberFormat="1" applyFont="1" applyBorder="1"/>
    <xf numFmtId="0" fontId="8" fillId="0" borderId="19" xfId="0" applyFont="1" applyBorder="1"/>
    <xf numFmtId="3" fontId="1" fillId="0" borderId="19" xfId="0" applyNumberFormat="1" applyFont="1" applyBorder="1"/>
    <xf numFmtId="0" fontId="8" fillId="0" borderId="15" xfId="0" applyFont="1" applyBorder="1"/>
    <xf numFmtId="0" fontId="8" fillId="0" borderId="127" xfId="1" applyFont="1" applyBorder="1"/>
    <xf numFmtId="9" fontId="8" fillId="0" borderId="127" xfId="2" applyFont="1" applyBorder="1"/>
    <xf numFmtId="0" fontId="8" fillId="0" borderId="19" xfId="1" applyFont="1" applyBorder="1"/>
    <xf numFmtId="1" fontId="8" fillId="0" borderId="19" xfId="1" applyNumberFormat="1" applyFont="1" applyBorder="1"/>
    <xf numFmtId="9" fontId="8" fillId="0" borderId="19" xfId="2" applyFont="1" applyBorder="1"/>
    <xf numFmtId="0" fontId="8" fillId="0" borderId="15" xfId="1" applyFont="1" applyBorder="1"/>
    <xf numFmtId="1" fontId="8" fillId="0" borderId="15" xfId="1" applyNumberFormat="1" applyFont="1" applyBorder="1"/>
    <xf numFmtId="3" fontId="17" fillId="0" borderId="65" xfId="0" applyNumberFormat="1" applyFont="1" applyBorder="1" applyAlignment="1">
      <alignment horizontal="right"/>
    </xf>
    <xf numFmtId="3" fontId="8" fillId="0" borderId="101" xfId="0" applyNumberFormat="1" applyFont="1" applyBorder="1" applyAlignment="1">
      <alignment horizontal="right"/>
    </xf>
    <xf numFmtId="3" fontId="8" fillId="0" borderId="18" xfId="0" applyNumberFormat="1" applyFont="1" applyBorder="1" applyAlignment="1">
      <alignment horizontal="right"/>
    </xf>
    <xf numFmtId="3" fontId="8" fillId="0" borderId="18" xfId="0" quotePrefix="1" applyNumberFormat="1" applyFont="1" applyBorder="1" applyAlignment="1">
      <alignment horizontal="right"/>
    </xf>
    <xf numFmtId="3" fontId="8" fillId="0" borderId="17" xfId="0" applyNumberFormat="1" applyFont="1" applyBorder="1" applyAlignment="1">
      <alignment horizontal="right"/>
    </xf>
    <xf numFmtId="3" fontId="8" fillId="3" borderId="163" xfId="1" applyNumberFormat="1" applyFont="1" applyFill="1" applyBorder="1"/>
    <xf numFmtId="0" fontId="8" fillId="3" borderId="8" xfId="1" applyFont="1" applyFill="1" applyBorder="1"/>
    <xf numFmtId="2" fontId="8" fillId="3" borderId="91" xfId="1" applyNumberFormat="1" applyFont="1" applyFill="1" applyBorder="1"/>
    <xf numFmtId="4" fontId="15" fillId="3" borderId="162" xfId="1" applyNumberFormat="1" applyFont="1" applyFill="1" applyBorder="1"/>
    <xf numFmtId="3" fontId="8" fillId="3" borderId="164" xfId="1" applyNumberFormat="1" applyFont="1" applyFill="1" applyBorder="1"/>
    <xf numFmtId="3" fontId="17" fillId="0" borderId="132" xfId="0" applyNumberFormat="1" applyFont="1" applyBorder="1"/>
    <xf numFmtId="3" fontId="17" fillId="0" borderId="19" xfId="0" applyNumberFormat="1" applyFont="1" applyBorder="1"/>
    <xf numFmtId="3" fontId="17" fillId="0" borderId="15" xfId="0" applyNumberFormat="1" applyFont="1" applyBorder="1"/>
    <xf numFmtId="3" fontId="17" fillId="0" borderId="127" xfId="0" applyNumberFormat="1" applyFont="1" applyBorder="1"/>
    <xf numFmtId="3" fontId="17" fillId="0" borderId="138" xfId="0" applyNumberFormat="1" applyFont="1" applyBorder="1"/>
    <xf numFmtId="3" fontId="17" fillId="0" borderId="128" xfId="0" applyNumberFormat="1" applyFont="1" applyBorder="1"/>
    <xf numFmtId="3" fontId="17" fillId="0" borderId="65" xfId="0" applyNumberFormat="1" applyFont="1" applyBorder="1"/>
    <xf numFmtId="0" fontId="8" fillId="0" borderId="65" xfId="0" applyFont="1" applyBorder="1" applyAlignment="1">
      <alignment horizontal="center" vertical="center"/>
    </xf>
    <xf numFmtId="2" fontId="8" fillId="0" borderId="65" xfId="0" applyNumberFormat="1" applyFont="1" applyBorder="1"/>
    <xf numFmtId="4" fontId="8" fillId="0" borderId="65" xfId="0" applyNumberFormat="1" applyFont="1" applyBorder="1" applyAlignment="1">
      <alignment horizontal="right"/>
    </xf>
    <xf numFmtId="4" fontId="8" fillId="0" borderId="65" xfId="0" applyNumberFormat="1" applyFont="1" applyBorder="1"/>
    <xf numFmtId="0" fontId="8" fillId="0" borderId="65" xfId="1" applyFont="1" applyBorder="1" applyAlignment="1">
      <alignment horizontal="center"/>
    </xf>
    <xf numFmtId="1" fontId="8" fillId="3" borderId="34" xfId="0" applyNumberFormat="1" applyFont="1" applyFill="1" applyBorder="1" applyAlignment="1">
      <alignment horizontal="right"/>
    </xf>
    <xf numFmtId="169" fontId="17" fillId="0" borderId="65" xfId="2" applyNumberFormat="1" applyFont="1" applyBorder="1"/>
    <xf numFmtId="169" fontId="17" fillId="0" borderId="127" xfId="2" applyNumberFormat="1" applyFont="1" applyBorder="1"/>
    <xf numFmtId="169" fontId="17" fillId="0" borderId="138" xfId="2" applyNumberFormat="1" applyFont="1" applyBorder="1"/>
    <xf numFmtId="169" fontId="14" fillId="0" borderId="56" xfId="2" applyNumberFormat="1" applyFont="1" applyBorder="1"/>
    <xf numFmtId="169" fontId="14" fillId="0" borderId="133" xfId="2" applyNumberFormat="1" applyFont="1" applyBorder="1"/>
    <xf numFmtId="169" fontId="14" fillId="0" borderId="139" xfId="2" applyNumberFormat="1" applyFont="1" applyBorder="1"/>
    <xf numFmtId="4" fontId="15" fillId="0" borderId="87" xfId="0" applyNumberFormat="1" applyFont="1" applyBorder="1"/>
    <xf numFmtId="4" fontId="15" fillId="0" borderId="26" xfId="0" applyNumberFormat="1" applyFont="1" applyBorder="1"/>
    <xf numFmtId="4" fontId="15" fillId="0" borderId="11" xfId="0" applyNumberFormat="1" applyFont="1" applyBorder="1"/>
    <xf numFmtId="4" fontId="15" fillId="3" borderId="119" xfId="0" applyNumberFormat="1" applyFont="1" applyFill="1" applyBorder="1"/>
    <xf numFmtId="168" fontId="1" fillId="0" borderId="0" xfId="0" applyNumberFormat="1" applyFont="1"/>
    <xf numFmtId="1" fontId="0" fillId="0" borderId="65" xfId="0" applyNumberFormat="1" applyBorder="1"/>
    <xf numFmtId="14" fontId="0" fillId="0" borderId="0" xfId="0" applyNumberFormat="1"/>
    <xf numFmtId="3" fontId="8" fillId="2" borderId="67" xfId="1" applyNumberFormat="1" applyFont="1" applyFill="1" applyBorder="1"/>
    <xf numFmtId="3" fontId="8" fillId="3" borderId="81" xfId="1" applyNumberFormat="1" applyFont="1" applyFill="1" applyBorder="1"/>
    <xf numFmtId="3" fontId="8" fillId="2" borderId="73" xfId="1" applyNumberFormat="1" applyFont="1" applyFill="1" applyBorder="1"/>
    <xf numFmtId="3" fontId="8" fillId="2" borderId="78" xfId="1" applyNumberFormat="1" applyFont="1" applyFill="1" applyBorder="1"/>
    <xf numFmtId="3" fontId="8" fillId="2" borderId="84" xfId="1" applyNumberFormat="1" applyFont="1" applyFill="1" applyBorder="1"/>
    <xf numFmtId="3" fontId="8" fillId="2" borderId="71" xfId="1" applyNumberFormat="1" applyFont="1" applyFill="1" applyBorder="1"/>
    <xf numFmtId="3" fontId="8" fillId="2" borderId="57" xfId="1" applyNumberFormat="1" applyFont="1" applyFill="1" applyBorder="1"/>
    <xf numFmtId="3" fontId="8" fillId="2" borderId="16" xfId="1" applyNumberFormat="1" applyFont="1" applyFill="1" applyBorder="1"/>
    <xf numFmtId="3" fontId="8" fillId="2" borderId="69" xfId="1" applyNumberFormat="1" applyFont="1" applyFill="1" applyBorder="1"/>
    <xf numFmtId="3" fontId="8" fillId="2" borderId="66" xfId="1" applyNumberFormat="1" applyFont="1" applyFill="1" applyBorder="1"/>
    <xf numFmtId="2" fontId="8" fillId="3" borderId="34" xfId="0" quotePrefix="1" applyNumberFormat="1" applyFont="1" applyFill="1" applyBorder="1" applyAlignment="1">
      <alignment horizontal="right"/>
    </xf>
    <xf numFmtId="2" fontId="0" fillId="0" borderId="0" xfId="2" applyNumberFormat="1" applyFont="1"/>
    <xf numFmtId="3" fontId="8" fillId="0" borderId="65" xfId="1" applyNumberFormat="1" applyFont="1" applyBorder="1"/>
    <xf numFmtId="1" fontId="8" fillId="0" borderId="65" xfId="1" applyNumberFormat="1" applyFont="1" applyBorder="1"/>
    <xf numFmtId="3" fontId="8" fillId="0" borderId="127" xfId="1" applyNumberFormat="1" applyFont="1" applyBorder="1"/>
    <xf numFmtId="3" fontId="8" fillId="0" borderId="19" xfId="1" applyNumberFormat="1" applyFont="1" applyBorder="1"/>
    <xf numFmtId="3" fontId="8" fillId="0" borderId="0" xfId="1" applyNumberFormat="1" applyFont="1" applyBorder="1"/>
    <xf numFmtId="3" fontId="15" fillId="0" borderId="78" xfId="1" applyNumberFormat="1" applyFont="1" applyBorder="1"/>
    <xf numFmtId="0" fontId="8" fillId="2" borderId="67" xfId="0" applyFont="1" applyFill="1" applyBorder="1"/>
    <xf numFmtId="4" fontId="15" fillId="0" borderId="84" xfId="1" applyNumberFormat="1" applyFont="1" applyBorder="1"/>
    <xf numFmtId="0" fontId="8" fillId="0" borderId="72" xfId="0" applyFont="1" applyBorder="1"/>
    <xf numFmtId="171" fontId="1" fillId="0" borderId="0" xfId="0" applyNumberFormat="1" applyFont="1"/>
    <xf numFmtId="0" fontId="1" fillId="0" borderId="42" xfId="0" applyFont="1" applyBorder="1"/>
    <xf numFmtId="0" fontId="1" fillId="0" borderId="84" xfId="0" applyFont="1" applyBorder="1"/>
    <xf numFmtId="0" fontId="1" fillId="0" borderId="165" xfId="0" applyFont="1" applyBorder="1"/>
    <xf numFmtId="0" fontId="8" fillId="2" borderId="156" xfId="1" applyFont="1" applyFill="1" applyBorder="1"/>
    <xf numFmtId="0" fontId="2" fillId="2" borderId="44" xfId="0" applyFont="1" applyFill="1" applyBorder="1" applyAlignment="1">
      <alignment horizontal="centerContinuous" vertical="center"/>
    </xf>
    <xf numFmtId="168" fontId="1" fillId="0" borderId="79" xfId="3" applyNumberFormat="1" applyFont="1" applyFill="1" applyBorder="1"/>
    <xf numFmtId="0" fontId="2" fillId="2" borderId="36" xfId="0" applyNumberFormat="1" applyFont="1" applyFill="1" applyBorder="1" applyAlignment="1">
      <alignment horizontal="center"/>
    </xf>
    <xf numFmtId="0" fontId="8" fillId="0" borderId="167" xfId="0" applyFont="1" applyBorder="1"/>
    <xf numFmtId="0" fontId="8" fillId="0" borderId="169" xfId="0" applyFont="1" applyBorder="1"/>
    <xf numFmtId="0" fontId="8" fillId="2" borderId="170" xfId="0" applyFont="1" applyFill="1" applyBorder="1"/>
    <xf numFmtId="0" fontId="8" fillId="0" borderId="170" xfId="0" applyFont="1" applyBorder="1"/>
    <xf numFmtId="3" fontId="8" fillId="0" borderId="170" xfId="0" applyNumberFormat="1" applyFont="1" applyBorder="1"/>
    <xf numFmtId="3" fontId="8" fillId="0" borderId="170" xfId="0" applyNumberFormat="1" applyFont="1" applyBorder="1" applyAlignment="1">
      <alignment horizontal="right"/>
    </xf>
    <xf numFmtId="1" fontId="8" fillId="0" borderId="171" xfId="0" applyNumberFormat="1" applyFont="1" applyBorder="1" applyAlignment="1">
      <alignment horizontal="right"/>
    </xf>
    <xf numFmtId="1" fontId="8" fillId="8" borderId="21" xfId="0" applyNumberFormat="1" applyFont="1" applyFill="1" applyBorder="1" applyAlignment="1">
      <alignment horizontal="right"/>
    </xf>
    <xf numFmtId="1" fontId="8" fillId="0" borderId="170" xfId="0" applyNumberFormat="1" applyFont="1" applyBorder="1" applyAlignment="1">
      <alignment horizontal="right"/>
    </xf>
    <xf numFmtId="1" fontId="8" fillId="0" borderId="172" xfId="0" quotePrefix="1" applyNumberFormat="1" applyFont="1" applyBorder="1" applyAlignment="1">
      <alignment horizontal="right"/>
    </xf>
    <xf numFmtId="1" fontId="8" fillId="0" borderId="172" xfId="0" applyNumberFormat="1" applyFont="1" applyBorder="1" applyAlignment="1">
      <alignment horizontal="right"/>
    </xf>
    <xf numFmtId="1" fontId="8" fillId="0" borderId="111" xfId="0" quotePrefix="1" applyNumberFormat="1" applyFont="1" applyBorder="1" applyAlignment="1">
      <alignment horizontal="right"/>
    </xf>
    <xf numFmtId="1" fontId="8" fillId="3" borderId="25" xfId="0" applyNumberFormat="1" applyFont="1" applyFill="1" applyBorder="1" applyAlignment="1">
      <alignment horizontal="right"/>
    </xf>
    <xf numFmtId="1" fontId="8" fillId="0" borderId="173" xfId="0" applyNumberFormat="1" applyFont="1" applyBorder="1" applyAlignment="1">
      <alignment horizontal="right"/>
    </xf>
    <xf numFmtId="1" fontId="8" fillId="8" borderId="174" xfId="0" applyNumberFormat="1" applyFont="1" applyFill="1" applyBorder="1" applyAlignment="1">
      <alignment horizontal="right"/>
    </xf>
    <xf numFmtId="1" fontId="1" fillId="0" borderId="65" xfId="0" applyNumberFormat="1" applyFont="1" applyBorder="1" applyAlignment="1"/>
    <xf numFmtId="1" fontId="8" fillId="0" borderId="167" xfId="0" applyNumberFormat="1" applyFont="1" applyBorder="1"/>
    <xf numFmtId="1" fontId="8" fillId="0" borderId="65" xfId="0" applyNumberFormat="1" applyFont="1" applyBorder="1"/>
    <xf numFmtId="1" fontId="8" fillId="0" borderId="169" xfId="0" applyNumberFormat="1" applyFont="1" applyBorder="1"/>
    <xf numFmtId="0" fontId="8" fillId="0" borderId="13" xfId="1" applyFont="1" applyBorder="1"/>
    <xf numFmtId="3" fontId="15" fillId="0" borderId="79" xfId="1" applyNumberFormat="1" applyFont="1" applyBorder="1"/>
    <xf numFmtId="17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right"/>
    </xf>
    <xf numFmtId="1" fontId="1" fillId="0" borderId="167" xfId="0" applyNumberFormat="1" applyFont="1" applyBorder="1" applyAlignment="1"/>
    <xf numFmtId="1" fontId="1" fillId="0" borderId="169" xfId="0" applyNumberFormat="1" applyFont="1" applyBorder="1" applyAlignment="1"/>
    <xf numFmtId="1" fontId="8" fillId="0" borderId="0" xfId="0" applyNumberFormat="1" applyFont="1" applyBorder="1" applyAlignment="1">
      <alignment horizontal="right"/>
    </xf>
    <xf numFmtId="1" fontId="1" fillId="0" borderId="60" xfId="0" applyNumberFormat="1" applyFont="1" applyBorder="1" applyAlignment="1"/>
    <xf numFmtId="1" fontId="1" fillId="0" borderId="65" xfId="0" applyNumberFormat="1" applyFont="1" applyFill="1" applyBorder="1" applyAlignment="1">
      <alignment horizontal="right"/>
    </xf>
    <xf numFmtId="1" fontId="1" fillId="0" borderId="167" xfId="0" applyNumberFormat="1" applyFont="1" applyFill="1" applyBorder="1" applyAlignment="1">
      <alignment horizontal="right"/>
    </xf>
    <xf numFmtId="1" fontId="1" fillId="0" borderId="169" xfId="0" applyNumberFormat="1" applyFont="1" applyFill="1" applyBorder="1" applyAlignment="1">
      <alignment horizontal="right"/>
    </xf>
    <xf numFmtId="1" fontId="8" fillId="0" borderId="0" xfId="1" applyNumberFormat="1" applyFont="1"/>
    <xf numFmtId="0" fontId="8" fillId="0" borderId="11" xfId="0" applyFont="1" applyFill="1" applyBorder="1"/>
    <xf numFmtId="1" fontId="20" fillId="0" borderId="0" xfId="0" applyNumberFormat="1" applyFont="1" applyAlignment="1">
      <alignment horizontal="right"/>
    </xf>
    <xf numFmtId="1" fontId="8" fillId="0" borderId="61" xfId="0" applyNumberFormat="1" applyFont="1" applyBorder="1"/>
    <xf numFmtId="172" fontId="1" fillId="0" borderId="65" xfId="3" applyNumberFormat="1" applyFont="1" applyBorder="1"/>
    <xf numFmtId="172" fontId="8" fillId="0" borderId="65" xfId="1" applyNumberFormat="1" applyFont="1" applyBorder="1"/>
    <xf numFmtId="172" fontId="8" fillId="0" borderId="65" xfId="0" applyNumberFormat="1" applyFont="1" applyBorder="1" applyAlignment="1">
      <alignment horizontal="right"/>
    </xf>
    <xf numFmtId="17" fontId="1" fillId="0" borderId="0" xfId="0" applyNumberFormat="1" applyFont="1"/>
    <xf numFmtId="0" fontId="3" fillId="2" borderId="42" xfId="0" applyFont="1" applyFill="1" applyBorder="1"/>
    <xf numFmtId="165" fontId="8" fillId="0" borderId="87" xfId="0" applyNumberFormat="1" applyFont="1" applyBorder="1" applyAlignment="1">
      <alignment horizontal="right"/>
    </xf>
    <xf numFmtId="2" fontId="8" fillId="0" borderId="87" xfId="0" applyNumberFormat="1" applyFont="1" applyBorder="1" applyAlignment="1">
      <alignment horizontal="right"/>
    </xf>
    <xf numFmtId="165" fontId="8" fillId="0" borderId="26" xfId="0" applyNumberFormat="1" applyFont="1" applyBorder="1" applyAlignment="1">
      <alignment horizontal="right"/>
    </xf>
    <xf numFmtId="165" fontId="10" fillId="6" borderId="26" xfId="0" quotePrefix="1" applyNumberFormat="1" applyFont="1" applyFill="1" applyBorder="1" applyAlignment="1">
      <alignment horizontal="right"/>
    </xf>
    <xf numFmtId="2" fontId="10" fillId="6" borderId="26" xfId="0" quotePrefix="1" applyNumberFormat="1" applyFont="1" applyFill="1" applyBorder="1" applyAlignment="1">
      <alignment horizontal="right"/>
    </xf>
    <xf numFmtId="2" fontId="1" fillId="0" borderId="0" xfId="0" applyNumberFormat="1" applyFont="1"/>
    <xf numFmtId="165" fontId="8" fillId="0" borderId="59" xfId="0" applyNumberFormat="1" applyFont="1" applyBorder="1" applyAlignment="1">
      <alignment horizontal="right"/>
    </xf>
    <xf numFmtId="165" fontId="10" fillId="6" borderId="59" xfId="0" quotePrefix="1" applyNumberFormat="1" applyFont="1" applyFill="1" applyBorder="1" applyAlignment="1">
      <alignment horizontal="right"/>
    </xf>
    <xf numFmtId="165" fontId="10" fillId="6" borderId="59" xfId="0" applyNumberFormat="1" applyFont="1" applyFill="1" applyBorder="1" applyAlignment="1">
      <alignment horizontal="right"/>
    </xf>
    <xf numFmtId="0" fontId="8" fillId="3" borderId="119" xfId="0" applyFont="1" applyFill="1" applyBorder="1" applyAlignment="1">
      <alignment horizontal="right"/>
    </xf>
    <xf numFmtId="2" fontId="8" fillId="3" borderId="119" xfId="0" applyNumberFormat="1" applyFont="1" applyFill="1" applyBorder="1"/>
    <xf numFmtId="0" fontId="8" fillId="3" borderId="93" xfId="0" applyFont="1" applyFill="1" applyBorder="1"/>
    <xf numFmtId="0" fontId="8" fillId="3" borderId="11" xfId="0" applyFont="1" applyFill="1" applyBorder="1"/>
    <xf numFmtId="0" fontId="8" fillId="3" borderId="11" xfId="0" applyFont="1" applyFill="1" applyBorder="1" applyAlignment="1">
      <alignment horizontal="right"/>
    </xf>
    <xf numFmtId="2" fontId="8" fillId="3" borderId="11" xfId="0" applyNumberFormat="1" applyFont="1" applyFill="1" applyBorder="1"/>
    <xf numFmtId="0" fontId="8" fillId="2" borderId="31" xfId="0" applyFont="1" applyFill="1" applyBorder="1" applyAlignment="1">
      <alignment horizontal="center"/>
    </xf>
    <xf numFmtId="2" fontId="8" fillId="0" borderId="87" xfId="0" applyNumberFormat="1" applyFont="1" applyBorder="1"/>
    <xf numFmtId="0" fontId="8" fillId="2" borderId="29" xfId="0" applyFont="1" applyFill="1" applyBorder="1" applyAlignment="1">
      <alignment horizontal="center"/>
    </xf>
    <xf numFmtId="2" fontId="8" fillId="0" borderId="11" xfId="0" applyNumberFormat="1" applyFont="1" applyBorder="1"/>
    <xf numFmtId="165" fontId="8" fillId="0" borderId="26" xfId="0" applyNumberFormat="1" applyFont="1" applyBorder="1"/>
    <xf numFmtId="2" fontId="8" fillId="3" borderId="1" xfId="0" applyNumberFormat="1" applyFont="1" applyFill="1" applyBorder="1"/>
    <xf numFmtId="173" fontId="1" fillId="0" borderId="0" xfId="0" applyNumberFormat="1" applyFont="1"/>
    <xf numFmtId="17" fontId="1" fillId="0" borderId="0" xfId="0" applyNumberFormat="1" applyFont="1" applyAlignment="1">
      <alignment horizontal="center"/>
    </xf>
    <xf numFmtId="1" fontId="1" fillId="0" borderId="0" xfId="0" applyNumberFormat="1" applyFont="1"/>
    <xf numFmtId="14" fontId="1" fillId="0" borderId="0" xfId="0" applyNumberFormat="1" applyFont="1"/>
    <xf numFmtId="3" fontId="8" fillId="0" borderId="19" xfId="0" applyNumberFormat="1" applyFont="1" applyBorder="1" applyAlignment="1">
      <alignment horizontal="right"/>
    </xf>
    <xf numFmtId="0" fontId="10" fillId="6" borderId="19" xfId="0" quotePrefix="1" applyFont="1" applyFill="1" applyBorder="1" applyAlignment="1">
      <alignment horizontal="left"/>
    </xf>
    <xf numFmtId="3" fontId="10" fillId="6" borderId="19" xfId="0" quotePrefix="1" applyNumberFormat="1" applyFont="1" applyFill="1" applyBorder="1" applyAlignment="1">
      <alignment horizontal="right"/>
    </xf>
    <xf numFmtId="0" fontId="10" fillId="6" borderId="19" xfId="0" applyFont="1" applyFill="1" applyBorder="1"/>
    <xf numFmtId="3" fontId="10" fillId="6" borderId="19" xfId="0" applyNumberFormat="1" applyFont="1" applyFill="1" applyBorder="1" applyAlignment="1">
      <alignment horizontal="right"/>
    </xf>
    <xf numFmtId="3" fontId="8" fillId="3" borderId="19" xfId="0" applyNumberFormat="1" applyFont="1" applyFill="1" applyBorder="1" applyAlignment="1">
      <alignment horizontal="right"/>
    </xf>
    <xf numFmtId="0" fontId="1" fillId="0" borderId="55" xfId="0" applyFont="1" applyBorder="1"/>
    <xf numFmtId="0" fontId="26" fillId="0" borderId="0" xfId="0" applyFont="1"/>
    <xf numFmtId="0" fontId="27" fillId="0" borderId="0" xfId="0" applyFont="1" applyFill="1" applyBorder="1"/>
    <xf numFmtId="0" fontId="28" fillId="0" borderId="0" xfId="0" applyFont="1"/>
    <xf numFmtId="17" fontId="28" fillId="0" borderId="0" xfId="0" applyNumberFormat="1" applyFont="1"/>
    <xf numFmtId="0" fontId="1" fillId="0" borderId="139" xfId="0" applyFont="1" applyBorder="1"/>
    <xf numFmtId="0" fontId="1" fillId="0" borderId="136" xfId="0" applyFont="1" applyBorder="1"/>
    <xf numFmtId="164" fontId="1" fillId="0" borderId="132" xfId="0" applyNumberFormat="1" applyFont="1" applyBorder="1" applyAlignment="1">
      <alignment horizontal="center"/>
    </xf>
    <xf numFmtId="164" fontId="1" fillId="0" borderId="19" xfId="0" applyNumberFormat="1" applyFont="1" applyBorder="1" applyAlignment="1">
      <alignment horizontal="center"/>
    </xf>
    <xf numFmtId="164" fontId="1" fillId="0" borderId="138" xfId="0" applyNumberFormat="1" applyFont="1" applyBorder="1" applyAlignment="1">
      <alignment horizontal="center"/>
    </xf>
    <xf numFmtId="164" fontId="1" fillId="0" borderId="42" xfId="0" applyNumberFormat="1" applyFont="1" applyBorder="1" applyAlignment="1">
      <alignment horizontal="center"/>
    </xf>
    <xf numFmtId="164" fontId="1" fillId="0" borderId="84" xfId="0" applyNumberFormat="1" applyFont="1" applyBorder="1" applyAlignment="1">
      <alignment horizontal="center"/>
    </xf>
    <xf numFmtId="164" fontId="1" fillId="0" borderId="165" xfId="0" applyNumberFormat="1" applyFont="1" applyBorder="1" applyAlignment="1">
      <alignment horizontal="center"/>
    </xf>
    <xf numFmtId="1" fontId="1" fillId="0" borderId="132" xfId="0" applyNumberFormat="1" applyFon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138" xfId="0" applyNumberFormat="1" applyBorder="1" applyAlignment="1">
      <alignment horizontal="center"/>
    </xf>
    <xf numFmtId="4" fontId="1" fillId="0" borderId="0" xfId="0" applyNumberFormat="1" applyFont="1" applyAlignment="1">
      <alignment horizontal="center"/>
    </xf>
    <xf numFmtId="3" fontId="8" fillId="0" borderId="15" xfId="1" applyNumberFormat="1" applyFont="1" applyBorder="1"/>
    <xf numFmtId="17" fontId="2" fillId="2" borderId="38" xfId="0" applyNumberFormat="1" applyFont="1" applyFill="1" applyBorder="1" applyAlignment="1">
      <alignment horizontal="right"/>
    </xf>
    <xf numFmtId="3" fontId="8" fillId="0" borderId="178" xfId="0" applyNumberFormat="1" applyFont="1" applyBorder="1" applyAlignment="1">
      <alignment horizontal="right"/>
    </xf>
    <xf numFmtId="3" fontId="8" fillId="0" borderId="117" xfId="0" applyNumberFormat="1" applyFont="1" applyBorder="1" applyAlignment="1">
      <alignment horizontal="right"/>
    </xf>
    <xf numFmtId="3" fontId="8" fillId="3" borderId="164" xfId="0" applyNumberFormat="1" applyFont="1" applyFill="1" applyBorder="1" applyAlignment="1">
      <alignment horizontal="right"/>
    </xf>
    <xf numFmtId="3" fontId="8" fillId="3" borderId="179" xfId="0" applyNumberFormat="1" applyFont="1" applyFill="1" applyBorder="1" applyAlignment="1">
      <alignment horizontal="right"/>
    </xf>
    <xf numFmtId="3" fontId="8" fillId="3" borderId="180" xfId="0" quotePrefix="1" applyNumberFormat="1" applyFont="1" applyFill="1" applyBorder="1" applyAlignment="1">
      <alignment horizontal="right"/>
    </xf>
    <xf numFmtId="3" fontId="8" fillId="0" borderId="117" xfId="0" quotePrefix="1" applyNumberFormat="1" applyFont="1" applyBorder="1" applyAlignment="1">
      <alignment horizontal="right"/>
    </xf>
    <xf numFmtId="3" fontId="8" fillId="0" borderId="118" xfId="0" applyNumberFormat="1" applyFont="1" applyBorder="1" applyAlignment="1">
      <alignment horizontal="right"/>
    </xf>
    <xf numFmtId="3" fontId="8" fillId="0" borderId="181" xfId="0" applyNumberFormat="1" applyFont="1" applyBorder="1" applyAlignment="1">
      <alignment horizontal="right"/>
    </xf>
    <xf numFmtId="3" fontId="8" fillId="0" borderId="182" xfId="0" applyNumberFormat="1" applyFont="1" applyBorder="1" applyAlignment="1">
      <alignment horizontal="right"/>
    </xf>
    <xf numFmtId="0" fontId="2" fillId="2" borderId="81" xfId="0" applyFont="1" applyFill="1" applyBorder="1" applyAlignment="1">
      <alignment horizontal="centerContinuous"/>
    </xf>
    <xf numFmtId="0" fontId="2" fillId="2" borderId="154" xfId="0" applyFont="1" applyFill="1" applyBorder="1" applyAlignment="1">
      <alignment horizontal="centerContinuous"/>
    </xf>
    <xf numFmtId="2" fontId="8" fillId="3" borderId="91" xfId="0" applyNumberFormat="1" applyFont="1" applyFill="1" applyBorder="1" applyAlignment="1">
      <alignment horizontal="right"/>
    </xf>
    <xf numFmtId="2" fontId="8" fillId="3" borderId="183" xfId="0" applyNumberFormat="1" applyFont="1" applyFill="1" applyBorder="1" applyAlignment="1">
      <alignment horizontal="right"/>
    </xf>
    <xf numFmtId="2" fontId="8" fillId="0" borderId="21" xfId="0" applyNumberFormat="1" applyFont="1" applyBorder="1"/>
    <xf numFmtId="2" fontId="8" fillId="0" borderId="147" xfId="0" applyNumberFormat="1" applyFont="1" applyBorder="1"/>
    <xf numFmtId="2" fontId="8" fillId="0" borderId="147" xfId="0" quotePrefix="1" applyNumberFormat="1" applyFont="1" applyBorder="1" applyAlignment="1">
      <alignment horizontal="right"/>
    </xf>
    <xf numFmtId="2" fontId="8" fillId="0" borderId="128" xfId="0" applyNumberFormat="1" applyFont="1" applyBorder="1"/>
    <xf numFmtId="2" fontId="8" fillId="3" borderId="184" xfId="0" applyNumberFormat="1" applyFont="1" applyFill="1" applyBorder="1"/>
    <xf numFmtId="2" fontId="8" fillId="3" borderId="60" xfId="0" applyNumberFormat="1" applyFont="1" applyFill="1" applyBorder="1" applyAlignment="1">
      <alignment horizontal="right"/>
    </xf>
    <xf numFmtId="2" fontId="8" fillId="0" borderId="185" xfId="0" applyNumberFormat="1" applyFont="1" applyBorder="1"/>
    <xf numFmtId="2" fontId="8" fillId="0" borderId="151" xfId="0" applyNumberFormat="1" applyFont="1" applyBorder="1"/>
    <xf numFmtId="2" fontId="8" fillId="3" borderId="186" xfId="0" applyNumberFormat="1" applyFont="1" applyFill="1" applyBorder="1"/>
    <xf numFmtId="2" fontId="8" fillId="3" borderId="32" xfId="0" quotePrefix="1" applyNumberFormat="1" applyFont="1" applyFill="1" applyBorder="1" applyAlignment="1">
      <alignment horizontal="right"/>
    </xf>
    <xf numFmtId="2" fontId="8" fillId="0" borderId="151" xfId="0" quotePrefix="1" applyNumberFormat="1" applyFont="1" applyBorder="1" applyAlignment="1">
      <alignment horizontal="right"/>
    </xf>
    <xf numFmtId="2" fontId="8" fillId="0" borderId="136" xfId="0" applyNumberFormat="1" applyFont="1" applyBorder="1"/>
    <xf numFmtId="2" fontId="8" fillId="0" borderId="140" xfId="0" applyNumberFormat="1" applyFont="1" applyBorder="1"/>
    <xf numFmtId="2" fontId="8" fillId="3" borderId="187" xfId="0" applyNumberFormat="1" applyFont="1" applyFill="1" applyBorder="1" applyAlignment="1">
      <alignment horizontal="right"/>
    </xf>
    <xf numFmtId="0" fontId="8" fillId="0" borderId="55" xfId="0" applyFont="1" applyBorder="1"/>
    <xf numFmtId="0" fontId="8" fillId="3" borderId="91" xfId="0" applyFont="1" applyFill="1" applyBorder="1"/>
    <xf numFmtId="0" fontId="8" fillId="3" borderId="86" xfId="0" quotePrefix="1" applyFont="1" applyFill="1" applyBorder="1" applyAlignment="1">
      <alignment horizontal="left"/>
    </xf>
    <xf numFmtId="0" fontId="8" fillId="0" borderId="99" xfId="0" applyFont="1" applyBorder="1"/>
    <xf numFmtId="0" fontId="8" fillId="3" borderId="188" xfId="0" applyFont="1" applyFill="1" applyBorder="1"/>
    <xf numFmtId="0" fontId="8" fillId="3" borderId="183" xfId="0" applyFont="1" applyFill="1" applyBorder="1"/>
    <xf numFmtId="0" fontId="8" fillId="0" borderId="58" xfId="0" applyFont="1" applyBorder="1" applyAlignment="1">
      <alignment horizontal="centerContinuous"/>
    </xf>
    <xf numFmtId="2" fontId="8" fillId="0" borderId="26" xfId="0" quotePrefix="1" applyNumberFormat="1" applyFont="1" applyBorder="1" applyAlignment="1">
      <alignment horizontal="right"/>
    </xf>
    <xf numFmtId="2" fontId="8" fillId="0" borderId="189" xfId="0" applyNumberFormat="1" applyFont="1" applyBorder="1" applyAlignment="1">
      <alignment horizontal="right"/>
    </xf>
    <xf numFmtId="2" fontId="8" fillId="0" borderId="77" xfId="0" applyNumberFormat="1" applyFont="1" applyBorder="1" applyAlignment="1">
      <alignment horizontal="right"/>
    </xf>
    <xf numFmtId="2" fontId="8" fillId="0" borderId="55" xfId="0" applyNumberFormat="1" applyFont="1" applyBorder="1" applyAlignment="1">
      <alignment horizontal="right"/>
    </xf>
    <xf numFmtId="2" fontId="8" fillId="0" borderId="55" xfId="0" quotePrefix="1" applyNumberFormat="1" applyFont="1" applyBorder="1" applyAlignment="1">
      <alignment horizontal="right"/>
    </xf>
    <xf numFmtId="2" fontId="8" fillId="0" borderId="144" xfId="0" applyNumberFormat="1" applyFont="1" applyBorder="1" applyAlignment="1">
      <alignment horizontal="right"/>
    </xf>
    <xf numFmtId="2" fontId="8" fillId="0" borderId="11" xfId="0" applyNumberFormat="1" applyFont="1" applyBorder="1" applyAlignment="1">
      <alignment horizontal="right"/>
    </xf>
    <xf numFmtId="2" fontId="8" fillId="3" borderId="126" xfId="0" applyNumberFormat="1" applyFont="1" applyFill="1" applyBorder="1" applyAlignment="1">
      <alignment horizontal="right"/>
    </xf>
    <xf numFmtId="2" fontId="8" fillId="0" borderId="190" xfId="0" applyNumberFormat="1" applyFont="1" applyBorder="1" applyAlignment="1">
      <alignment horizontal="right"/>
    </xf>
    <xf numFmtId="3" fontId="8" fillId="3" borderId="191" xfId="0" applyNumberFormat="1" applyFont="1" applyFill="1" applyBorder="1" applyAlignment="1">
      <alignment horizontal="right"/>
    </xf>
    <xf numFmtId="3" fontId="8" fillId="3" borderId="97" xfId="0" quotePrefix="1" applyNumberFormat="1" applyFont="1" applyFill="1" applyBorder="1" applyAlignment="1">
      <alignment horizontal="right"/>
    </xf>
    <xf numFmtId="0" fontId="8" fillId="0" borderId="190" xfId="0" applyFont="1" applyBorder="1" applyAlignment="1">
      <alignment horizontal="right"/>
    </xf>
    <xf numFmtId="0" fontId="8" fillId="0" borderId="190" xfId="0" quotePrefix="1" applyFont="1" applyBorder="1" applyAlignment="1">
      <alignment horizontal="right"/>
    </xf>
    <xf numFmtId="0" fontId="8" fillId="0" borderId="192" xfId="0" applyFont="1" applyBorder="1" applyAlignment="1">
      <alignment horizontal="right"/>
    </xf>
    <xf numFmtId="0" fontId="8" fillId="0" borderId="193" xfId="0" applyFont="1" applyBorder="1" applyAlignment="1">
      <alignment horizontal="right"/>
    </xf>
    <xf numFmtId="0" fontId="8" fillId="0" borderId="194" xfId="0" applyFont="1" applyBorder="1" applyAlignment="1">
      <alignment horizontal="right"/>
    </xf>
    <xf numFmtId="3" fontId="8" fillId="3" borderId="195" xfId="0" applyNumberFormat="1" applyFont="1" applyFill="1" applyBorder="1" applyAlignment="1">
      <alignment horizontal="right"/>
    </xf>
    <xf numFmtId="3" fontId="8" fillId="0" borderId="196" xfId="0" applyNumberFormat="1" applyFont="1" applyBorder="1" applyAlignment="1">
      <alignment horizontal="centerContinuous"/>
    </xf>
    <xf numFmtId="17" fontId="2" fillId="2" borderId="40" xfId="0" applyNumberFormat="1" applyFont="1" applyFill="1" applyBorder="1" applyAlignment="1">
      <alignment horizontal="left"/>
    </xf>
    <xf numFmtId="2" fontId="8" fillId="0" borderId="99" xfId="0" applyNumberFormat="1" applyFont="1" applyBorder="1" applyAlignment="1">
      <alignment horizontal="right"/>
    </xf>
    <xf numFmtId="0" fontId="2" fillId="2" borderId="153" xfId="0" applyFont="1" applyFill="1" applyBorder="1" applyAlignment="1">
      <alignment horizontal="centerContinuous"/>
    </xf>
    <xf numFmtId="2" fontId="8" fillId="0" borderId="104" xfId="0" applyNumberFormat="1" applyFont="1" applyBorder="1"/>
    <xf numFmtId="2" fontId="8" fillId="3" borderId="105" xfId="0" applyNumberFormat="1" applyFont="1" applyFill="1" applyBorder="1"/>
    <xf numFmtId="2" fontId="8" fillId="3" borderId="25" xfId="0" quotePrefix="1" applyNumberFormat="1" applyFont="1" applyFill="1" applyBorder="1" applyAlignment="1">
      <alignment horizontal="right"/>
    </xf>
    <xf numFmtId="2" fontId="8" fillId="0" borderId="104" xfId="0" quotePrefix="1" applyNumberFormat="1" applyFont="1" applyBorder="1" applyAlignment="1">
      <alignment horizontal="right"/>
    </xf>
    <xf numFmtId="2" fontId="8" fillId="0" borderId="108" xfId="0" applyNumberFormat="1" applyFont="1" applyBorder="1"/>
    <xf numFmtId="2" fontId="8" fillId="0" borderId="110" xfId="0" applyNumberFormat="1" applyFont="1" applyBorder="1"/>
    <xf numFmtId="2" fontId="8" fillId="0" borderId="171" xfId="0" applyNumberFormat="1" applyFont="1" applyBorder="1"/>
    <xf numFmtId="2" fontId="8" fillId="0" borderId="30" xfId="0" applyNumberFormat="1" applyFont="1" applyBorder="1" applyAlignment="1">
      <alignment horizontal="right"/>
    </xf>
    <xf numFmtId="2" fontId="8" fillId="3" borderId="100" xfId="0" applyNumberFormat="1" applyFont="1" applyFill="1" applyBorder="1" applyAlignment="1">
      <alignment horizontal="right"/>
    </xf>
    <xf numFmtId="2" fontId="8" fillId="0" borderId="64" xfId="0" applyNumberFormat="1" applyFont="1" applyBorder="1" applyAlignment="1">
      <alignment horizontal="right"/>
    </xf>
    <xf numFmtId="2" fontId="8" fillId="0" borderId="169" xfId="0" applyNumberFormat="1" applyFont="1" applyBorder="1" applyAlignment="1">
      <alignment horizontal="right"/>
    </xf>
    <xf numFmtId="2" fontId="8" fillId="0" borderId="197" xfId="0" applyNumberFormat="1" applyFont="1" applyBorder="1" applyAlignment="1">
      <alignment horizontal="right"/>
    </xf>
    <xf numFmtId="2" fontId="8" fillId="0" borderId="198" xfId="0" applyNumberFormat="1" applyFont="1" applyBorder="1" applyAlignment="1">
      <alignment horizontal="right"/>
    </xf>
    <xf numFmtId="2" fontId="8" fillId="0" borderId="199" xfId="0" applyNumberFormat="1" applyFont="1" applyBorder="1" applyAlignment="1">
      <alignment horizontal="right"/>
    </xf>
    <xf numFmtId="0" fontId="8" fillId="0" borderId="61" xfId="0" applyFont="1" applyBorder="1" applyAlignment="1">
      <alignment horizontal="centerContinuous"/>
    </xf>
    <xf numFmtId="3" fontId="8" fillId="0" borderId="61" xfId="0" applyNumberFormat="1" applyFont="1" applyBorder="1"/>
    <xf numFmtId="3" fontId="8" fillId="0" borderId="129" xfId="0" applyNumberFormat="1" applyFont="1" applyBorder="1" applyAlignment="1">
      <alignment horizontal="right"/>
    </xf>
    <xf numFmtId="3" fontId="8" fillId="0" borderId="200" xfId="0" applyNumberFormat="1" applyFont="1" applyBorder="1" applyAlignment="1">
      <alignment horizontal="right"/>
    </xf>
    <xf numFmtId="0" fontId="8" fillId="3" borderId="184" xfId="0" applyFont="1" applyFill="1" applyBorder="1"/>
    <xf numFmtId="17" fontId="2" fillId="2" borderId="98" xfId="0" applyNumberFormat="1" applyFont="1" applyFill="1" applyBorder="1" applyAlignment="1">
      <alignment horizontal="right"/>
    </xf>
    <xf numFmtId="3" fontId="8" fillId="3" borderId="188" xfId="0" applyNumberFormat="1" applyFont="1" applyFill="1" applyBorder="1" applyAlignment="1">
      <alignment horizontal="right"/>
    </xf>
    <xf numFmtId="3" fontId="8" fillId="3" borderId="86" xfId="0" quotePrefix="1" applyNumberFormat="1" applyFont="1" applyFill="1" applyBorder="1" applyAlignment="1">
      <alignment horizontal="right"/>
    </xf>
    <xf numFmtId="3" fontId="8" fillId="0" borderId="99" xfId="0" applyNumberFormat="1" applyFont="1" applyBorder="1" applyAlignment="1">
      <alignment horizontal="right"/>
    </xf>
    <xf numFmtId="3" fontId="8" fillId="0" borderId="88" xfId="0" applyNumberFormat="1" applyFont="1" applyBorder="1" applyAlignment="1">
      <alignment horizontal="right"/>
    </xf>
    <xf numFmtId="3" fontId="8" fillId="0" borderId="201" xfId="0" applyNumberFormat="1" applyFont="1" applyBorder="1" applyAlignment="1">
      <alignment horizontal="right"/>
    </xf>
    <xf numFmtId="0" fontId="8" fillId="2" borderId="63" xfId="1" applyFont="1" applyFill="1" applyBorder="1" applyAlignment="1">
      <alignment wrapText="1"/>
    </xf>
    <xf numFmtId="17" fontId="8" fillId="2" borderId="52" xfId="1" applyNumberFormat="1" applyFont="1" applyFill="1" applyBorder="1" applyAlignment="1">
      <alignment horizontal="centerContinuous"/>
    </xf>
    <xf numFmtId="0" fontId="8" fillId="2" borderId="203" xfId="1" applyFont="1" applyFill="1" applyBorder="1"/>
    <xf numFmtId="0" fontId="8" fillId="2" borderId="204" xfId="1" applyFont="1" applyFill="1" applyBorder="1" applyAlignment="1">
      <alignment horizontal="center"/>
    </xf>
    <xf numFmtId="0" fontId="8" fillId="2" borderId="202" xfId="1" applyFont="1" applyFill="1" applyBorder="1" applyAlignment="1">
      <alignment horizontal="center"/>
    </xf>
    <xf numFmtId="0" fontId="8" fillId="2" borderId="139" xfId="1" applyFont="1" applyFill="1" applyBorder="1" applyAlignment="1">
      <alignment horizontal="center"/>
    </xf>
    <xf numFmtId="3" fontId="8" fillId="0" borderId="57" xfId="1" applyNumberFormat="1" applyFont="1" applyBorder="1"/>
    <xf numFmtId="3" fontId="8" fillId="0" borderId="20" xfId="1" applyNumberFormat="1" applyFont="1" applyBorder="1"/>
    <xf numFmtId="3" fontId="8" fillId="0" borderId="74" xfId="1" applyNumberFormat="1" applyFont="1" applyBorder="1"/>
    <xf numFmtId="3" fontId="8" fillId="0" borderId="16" xfId="1" applyNumberFormat="1" applyFont="1" applyBorder="1"/>
    <xf numFmtId="3" fontId="8" fillId="3" borderId="73" xfId="1" applyNumberFormat="1" applyFont="1" applyFill="1" applyBorder="1"/>
    <xf numFmtId="3" fontId="8" fillId="0" borderId="129" xfId="1" applyNumberFormat="1" applyFont="1" applyBorder="1"/>
    <xf numFmtId="3" fontId="8" fillId="3" borderId="9" xfId="1" applyNumberFormat="1" applyFont="1" applyFill="1" applyBorder="1"/>
    <xf numFmtId="3" fontId="8" fillId="0" borderId="2" xfId="1" applyNumberFormat="1" applyFont="1" applyBorder="1"/>
    <xf numFmtId="4" fontId="15" fillId="3" borderId="184" xfId="1" applyNumberFormat="1" applyFont="1" applyFill="1" applyBorder="1"/>
    <xf numFmtId="0" fontId="8" fillId="2" borderId="205" xfId="1" applyFont="1" applyFill="1" applyBorder="1"/>
    <xf numFmtId="4" fontId="15" fillId="0" borderId="151" xfId="1" applyNumberFormat="1" applyFont="1" applyBorder="1"/>
    <xf numFmtId="4" fontId="15" fillId="0" borderId="136" xfId="1" applyNumberFormat="1" applyFont="1" applyBorder="1"/>
    <xf numFmtId="4" fontId="15" fillId="0" borderId="140" xfId="1" applyNumberFormat="1" applyFont="1" applyBorder="1"/>
    <xf numFmtId="0" fontId="8" fillId="3" borderId="153" xfId="1" applyFont="1" applyFill="1" applyBorder="1"/>
    <xf numFmtId="4" fontId="15" fillId="3" borderId="154" xfId="1" applyNumberFormat="1" applyFont="1" applyFill="1" applyBorder="1"/>
    <xf numFmtId="4" fontId="15" fillId="0" borderId="137" xfId="1" applyNumberFormat="1" applyFont="1" applyBorder="1"/>
    <xf numFmtId="0" fontId="8" fillId="2" borderId="113" xfId="1" applyFont="1" applyFill="1" applyBorder="1"/>
    <xf numFmtId="0" fontId="8" fillId="2" borderId="160" xfId="1" applyFont="1" applyFill="1" applyBorder="1"/>
    <xf numFmtId="3" fontId="8" fillId="3" borderId="103" xfId="1" applyNumberFormat="1" applyFont="1" applyFill="1" applyBorder="1"/>
    <xf numFmtId="0" fontId="8" fillId="2" borderId="134" xfId="1" applyFont="1" applyFill="1" applyBorder="1"/>
    <xf numFmtId="4" fontId="15" fillId="3" borderId="137" xfId="1" applyNumberFormat="1" applyFont="1" applyFill="1" applyBorder="1"/>
    <xf numFmtId="4" fontId="15" fillId="0" borderId="53" xfId="1" applyNumberFormat="1" applyFont="1" applyBorder="1"/>
    <xf numFmtId="0" fontId="8" fillId="2" borderId="149" xfId="1" applyFont="1" applyFill="1" applyBorder="1"/>
    <xf numFmtId="4" fontId="15" fillId="0" borderId="133" xfId="1" applyNumberFormat="1" applyFont="1" applyBorder="1"/>
    <xf numFmtId="0" fontId="8" fillId="2" borderId="155" xfId="1" applyFont="1" applyFill="1" applyBorder="1"/>
    <xf numFmtId="4" fontId="15" fillId="3" borderId="32" xfId="1" applyNumberFormat="1" applyFont="1" applyFill="1" applyBorder="1"/>
    <xf numFmtId="0" fontId="8" fillId="2" borderId="206" xfId="1" applyFont="1" applyFill="1" applyBorder="1"/>
    <xf numFmtId="0" fontId="8" fillId="0" borderId="203" xfId="1" applyFont="1" applyBorder="1" applyAlignment="1">
      <alignment horizontal="centerContinuous"/>
    </xf>
    <xf numFmtId="0" fontId="8" fillId="0" borderId="207" xfId="1" applyFont="1" applyBorder="1" applyAlignment="1">
      <alignment horizontal="centerContinuous"/>
    </xf>
    <xf numFmtId="4" fontId="9" fillId="0" borderId="202" xfId="1" applyNumberFormat="1" applyFont="1" applyBorder="1"/>
    <xf numFmtId="4" fontId="9" fillId="0" borderId="139" xfId="1" applyNumberFormat="1" applyFont="1" applyBorder="1"/>
    <xf numFmtId="0" fontId="8" fillId="2" borderId="165" xfId="1" applyFont="1" applyFill="1" applyBorder="1" applyAlignment="1">
      <alignment horizontal="center"/>
    </xf>
    <xf numFmtId="4" fontId="15" fillId="0" borderId="67" xfId="1" applyNumberFormat="1" applyFont="1" applyBorder="1"/>
    <xf numFmtId="4" fontId="15" fillId="0" borderId="78" xfId="1" applyNumberFormat="1" applyFont="1" applyBorder="1"/>
    <xf numFmtId="4" fontId="9" fillId="0" borderId="165" xfId="1" applyNumberFormat="1" applyFont="1" applyBorder="1"/>
    <xf numFmtId="17" fontId="8" fillId="2" borderId="102" xfId="1" applyNumberFormat="1" applyFont="1" applyFill="1" applyBorder="1" applyAlignment="1">
      <alignment horizontal="centerContinuous"/>
    </xf>
    <xf numFmtId="0" fontId="8" fillId="2" borderId="205" xfId="1" applyFont="1" applyFill="1" applyBorder="1" applyAlignment="1">
      <alignment horizontal="center"/>
    </xf>
    <xf numFmtId="4" fontId="15" fillId="0" borderId="150" xfId="1" applyNumberFormat="1" applyFont="1" applyBorder="1"/>
    <xf numFmtId="4" fontId="15" fillId="0" borderId="152" xfId="1" applyNumberFormat="1" applyFont="1" applyBorder="1"/>
    <xf numFmtId="4" fontId="15" fillId="0" borderId="148" xfId="1" applyNumberFormat="1" applyFont="1" applyBorder="1"/>
    <xf numFmtId="4" fontId="15" fillId="3" borderId="153" xfId="1" applyNumberFormat="1" applyFont="1" applyFill="1" applyBorder="1"/>
    <xf numFmtId="4" fontId="15" fillId="0" borderId="155" xfId="1" applyNumberFormat="1" applyFont="1" applyBorder="1"/>
    <xf numFmtId="4" fontId="15" fillId="3" borderId="156" xfId="1" applyNumberFormat="1" applyFont="1" applyFill="1" applyBorder="1"/>
    <xf numFmtId="4" fontId="15" fillId="0" borderId="157" xfId="1" applyNumberFormat="1" applyFont="1" applyBorder="1"/>
    <xf numFmtId="4" fontId="15" fillId="0" borderId="149" xfId="1" applyNumberFormat="1" applyFont="1" applyBorder="1"/>
    <xf numFmtId="4" fontId="15" fillId="3" borderId="103" xfId="1" applyNumberFormat="1" applyFont="1" applyFill="1" applyBorder="1"/>
    <xf numFmtId="4" fontId="9" fillId="0" borderId="205" xfId="1" applyNumberFormat="1" applyFont="1" applyBorder="1"/>
    <xf numFmtId="174" fontId="1" fillId="0" borderId="0" xfId="0" applyNumberFormat="1" applyFont="1"/>
    <xf numFmtId="0" fontId="8" fillId="2" borderId="144" xfId="1" applyFont="1" applyFill="1" applyBorder="1" applyAlignment="1">
      <alignment horizontal="center" wrapText="1"/>
    </xf>
    <xf numFmtId="4" fontId="15" fillId="0" borderId="208" xfId="1" applyNumberFormat="1" applyFont="1" applyBorder="1"/>
    <xf numFmtId="4" fontId="15" fillId="0" borderId="104" xfId="1" applyNumberFormat="1" applyFont="1" applyBorder="1"/>
    <xf numFmtId="4" fontId="15" fillId="0" borderId="108" xfId="1" applyNumberFormat="1" applyFont="1" applyBorder="1"/>
    <xf numFmtId="4" fontId="15" fillId="0" borderId="110" xfId="1" applyNumberFormat="1" applyFont="1" applyBorder="1"/>
    <xf numFmtId="4" fontId="15" fillId="3" borderId="209" xfId="1" applyNumberFormat="1" applyFont="1" applyFill="1" applyBorder="1"/>
    <xf numFmtId="4" fontId="15" fillId="0" borderId="173" xfId="1" applyNumberFormat="1" applyFont="1" applyBorder="1"/>
    <xf numFmtId="4" fontId="15" fillId="0" borderId="210" xfId="1" applyNumberFormat="1" applyFont="1" applyBorder="1"/>
    <xf numFmtId="4" fontId="15" fillId="0" borderId="158" xfId="1" applyNumberFormat="1" applyFont="1" applyBorder="1"/>
    <xf numFmtId="4" fontId="15" fillId="0" borderId="130" xfId="1" applyNumberFormat="1" applyFont="1" applyBorder="1"/>
    <xf numFmtId="0" fontId="8" fillId="2" borderId="141" xfId="1" applyFont="1" applyFill="1" applyBorder="1"/>
    <xf numFmtId="0" fontId="8" fillId="2" borderId="132" xfId="1" applyFont="1" applyFill="1" applyBorder="1" applyAlignment="1">
      <alignment wrapText="1"/>
    </xf>
    <xf numFmtId="0" fontId="8" fillId="2" borderId="132" xfId="1" applyFont="1" applyFill="1" applyBorder="1" applyAlignment="1">
      <alignment horizontal="center"/>
    </xf>
    <xf numFmtId="0" fontId="8" fillId="2" borderId="52" xfId="1" applyFont="1" applyFill="1" applyBorder="1" applyAlignment="1">
      <alignment horizontal="center"/>
    </xf>
    <xf numFmtId="0" fontId="8" fillId="2" borderId="173" xfId="1" applyFont="1" applyFill="1" applyBorder="1"/>
    <xf numFmtId="0" fontId="8" fillId="2" borderId="15" xfId="1" applyFont="1" applyFill="1" applyBorder="1"/>
    <xf numFmtId="0" fontId="8" fillId="2" borderId="15" xfId="1" applyFont="1" applyFill="1" applyBorder="1" applyAlignment="1">
      <alignment horizontal="center"/>
    </xf>
    <xf numFmtId="17" fontId="8" fillId="2" borderId="15" xfId="1" applyNumberFormat="1" applyFont="1" applyFill="1" applyBorder="1" applyAlignment="1">
      <alignment horizontal="centerContinuous"/>
    </xf>
    <xf numFmtId="17" fontId="8" fillId="2" borderId="137" xfId="1" applyNumberFormat="1" applyFont="1" applyFill="1" applyBorder="1" applyAlignment="1">
      <alignment horizontal="centerContinuous"/>
    </xf>
    <xf numFmtId="2" fontId="8" fillId="0" borderId="211" xfId="1" applyNumberFormat="1" applyFont="1" applyBorder="1"/>
    <xf numFmtId="4" fontId="15" fillId="0" borderId="211" xfId="1" applyNumberFormat="1" applyFont="1" applyBorder="1"/>
    <xf numFmtId="2" fontId="8" fillId="0" borderId="73" xfId="1" applyNumberFormat="1" applyFont="1" applyBorder="1"/>
    <xf numFmtId="2" fontId="8" fillId="0" borderId="76" xfId="1" applyNumberFormat="1" applyFont="1" applyBorder="1"/>
    <xf numFmtId="0" fontId="8" fillId="2" borderId="211" xfId="1" applyFont="1" applyFill="1" applyBorder="1"/>
    <xf numFmtId="0" fontId="8" fillId="0" borderId="170" xfId="1" applyFont="1" applyBorder="1"/>
    <xf numFmtId="0" fontId="8" fillId="2" borderId="129" xfId="1" applyFont="1" applyFill="1" applyBorder="1"/>
    <xf numFmtId="0" fontId="8" fillId="0" borderId="61" xfId="1" applyFont="1" applyBorder="1"/>
    <xf numFmtId="0" fontId="8" fillId="7" borderId="47" xfId="1" applyFont="1" applyFill="1" applyBorder="1"/>
    <xf numFmtId="0" fontId="8" fillId="7" borderId="62" xfId="1" applyFont="1" applyFill="1" applyBorder="1" applyAlignment="1">
      <alignment horizontal="center" wrapText="1"/>
    </xf>
    <xf numFmtId="4" fontId="15" fillId="3" borderId="186" xfId="1" applyNumberFormat="1" applyFont="1" applyFill="1" applyBorder="1"/>
    <xf numFmtId="4" fontId="15" fillId="0" borderId="185" xfId="1" applyNumberFormat="1" applyFont="1" applyBorder="1"/>
    <xf numFmtId="0" fontId="8" fillId="0" borderId="14" xfId="1" applyFont="1" applyBorder="1"/>
    <xf numFmtId="4" fontId="8" fillId="0" borderId="56" xfId="0" applyNumberFormat="1" applyFont="1" applyBorder="1" applyAlignment="1">
      <alignment horizontal="right"/>
    </xf>
    <xf numFmtId="172" fontId="8" fillId="0" borderId="56" xfId="0" applyNumberFormat="1" applyFont="1" applyBorder="1" applyAlignment="1">
      <alignment horizontal="right"/>
    </xf>
    <xf numFmtId="0" fontId="8" fillId="0" borderId="169" xfId="1" applyFont="1" applyBorder="1"/>
    <xf numFmtId="0" fontId="8" fillId="0" borderId="169" xfId="0" applyFont="1" applyBorder="1" applyAlignment="1">
      <alignment horizontal="centerContinuous"/>
    </xf>
    <xf numFmtId="172" fontId="8" fillId="0" borderId="169" xfId="1" applyNumberFormat="1" applyFont="1" applyBorder="1"/>
    <xf numFmtId="172" fontId="8" fillId="0" borderId="169" xfId="0" applyNumberFormat="1" applyFont="1" applyBorder="1" applyAlignment="1">
      <alignment horizontal="right"/>
    </xf>
    <xf numFmtId="172" fontId="8" fillId="0" borderId="197" xfId="0" applyNumberFormat="1" applyFont="1" applyBorder="1" applyAlignment="1">
      <alignment horizontal="right"/>
    </xf>
    <xf numFmtId="0" fontId="8" fillId="7" borderId="6" xfId="1" applyFont="1" applyFill="1" applyBorder="1"/>
    <xf numFmtId="0" fontId="8" fillId="7" borderId="202" xfId="1" applyFont="1" applyFill="1" applyBorder="1"/>
    <xf numFmtId="0" fontId="8" fillId="7" borderId="203" xfId="1" applyFont="1" applyFill="1" applyBorder="1"/>
    <xf numFmtId="0" fontId="8" fillId="7" borderId="207" xfId="1" applyFont="1" applyFill="1" applyBorder="1"/>
    <xf numFmtId="17" fontId="8" fillId="7" borderId="202" xfId="1" applyNumberFormat="1" applyFont="1" applyFill="1" applyBorder="1" applyAlignment="1">
      <alignment horizontal="center"/>
    </xf>
    <xf numFmtId="17" fontId="8" fillId="7" borderId="139" xfId="1" applyNumberFormat="1" applyFont="1" applyFill="1" applyBorder="1" applyAlignment="1">
      <alignment horizontal="center"/>
    </xf>
    <xf numFmtId="17" fontId="8" fillId="7" borderId="165" xfId="1" applyNumberFormat="1" applyFont="1" applyFill="1" applyBorder="1" applyAlignment="1">
      <alignment horizontal="center"/>
    </xf>
    <xf numFmtId="4" fontId="8" fillId="0" borderId="58" xfId="0" applyNumberFormat="1" applyFont="1" applyBorder="1" applyAlignment="1">
      <alignment horizontal="right"/>
    </xf>
    <xf numFmtId="4" fontId="8" fillId="0" borderId="58" xfId="0" applyNumberFormat="1" applyFont="1" applyBorder="1"/>
    <xf numFmtId="172" fontId="8" fillId="0" borderId="58" xfId="1" applyNumberFormat="1" applyFont="1" applyBorder="1"/>
    <xf numFmtId="172" fontId="8" fillId="0" borderId="199" xfId="1" applyNumberFormat="1" applyFont="1" applyBorder="1"/>
    <xf numFmtId="17" fontId="8" fillId="7" borderId="205" xfId="1" applyNumberFormat="1" applyFont="1" applyFill="1" applyBorder="1" applyAlignment="1">
      <alignment horizontal="center"/>
    </xf>
    <xf numFmtId="4" fontId="15" fillId="3" borderId="212" xfId="1" applyNumberFormat="1" applyFont="1" applyFill="1" applyBorder="1"/>
    <xf numFmtId="4" fontId="15" fillId="0" borderId="213" xfId="1" applyNumberFormat="1" applyFont="1" applyBorder="1"/>
    <xf numFmtId="4" fontId="15" fillId="0" borderId="156" xfId="1" applyNumberFormat="1" applyFont="1" applyBorder="1"/>
    <xf numFmtId="4" fontId="15" fillId="0" borderId="214" xfId="1" applyNumberFormat="1" applyFont="1" applyBorder="1"/>
    <xf numFmtId="4" fontId="15" fillId="0" borderId="134" xfId="1" applyNumberFormat="1" applyFont="1" applyBorder="1"/>
    <xf numFmtId="4" fontId="15" fillId="3" borderId="10" xfId="1" applyNumberFormat="1" applyFont="1" applyFill="1" applyBorder="1"/>
    <xf numFmtId="4" fontId="8" fillId="0" borderId="168" xfId="0" applyNumberFormat="1" applyFont="1" applyBorder="1" applyAlignment="1">
      <alignment horizontal="right"/>
    </xf>
    <xf numFmtId="172" fontId="8" fillId="0" borderId="168" xfId="0" applyNumberFormat="1" applyFont="1" applyBorder="1" applyAlignment="1">
      <alignment horizontal="right"/>
    </xf>
    <xf numFmtId="172" fontId="8" fillId="0" borderId="64" xfId="0" applyNumberFormat="1" applyFont="1" applyBorder="1" applyAlignment="1">
      <alignment horizontal="right"/>
    </xf>
    <xf numFmtId="2" fontId="15" fillId="0" borderId="87" xfId="0" applyNumberFormat="1" applyFont="1" applyBorder="1"/>
    <xf numFmtId="2" fontId="15" fillId="0" borderId="26" xfId="0" applyNumberFormat="1" applyFont="1" applyBorder="1"/>
    <xf numFmtId="0" fontId="30" fillId="0" borderId="0" xfId="0" applyFont="1"/>
    <xf numFmtId="0" fontId="31" fillId="0" borderId="0" xfId="0" applyFont="1"/>
    <xf numFmtId="0" fontId="1" fillId="0" borderId="215" xfId="0" applyFont="1" applyBorder="1"/>
    <xf numFmtId="0" fontId="1" fillId="0" borderId="216" xfId="0" applyFont="1" applyBorder="1"/>
    <xf numFmtId="0" fontId="0" fillId="0" borderId="79" xfId="0" applyBorder="1"/>
    <xf numFmtId="0" fontId="1" fillId="0" borderId="0" xfId="0" applyFont="1" applyBorder="1"/>
    <xf numFmtId="0" fontId="0" fillId="0" borderId="71" xfId="0" applyBorder="1"/>
    <xf numFmtId="0" fontId="1" fillId="0" borderId="143" xfId="0" applyFont="1" applyBorder="1"/>
    <xf numFmtId="0" fontId="30" fillId="0" borderId="215" xfId="0" applyFont="1" applyBorder="1"/>
    <xf numFmtId="0" fontId="0" fillId="0" borderId="216" xfId="0" applyBorder="1"/>
    <xf numFmtId="0" fontId="1" fillId="0" borderId="79" xfId="0" applyFont="1" applyBorder="1"/>
    <xf numFmtId="0" fontId="1" fillId="0" borderId="71" xfId="0" applyFont="1" applyBorder="1"/>
    <xf numFmtId="165" fontId="8" fillId="0" borderId="21" xfId="0" applyNumberFormat="1" applyFont="1" applyBorder="1" applyAlignment="1">
      <alignment horizontal="right"/>
    </xf>
    <xf numFmtId="0" fontId="8" fillId="2" borderId="177" xfId="1" applyFont="1" applyFill="1" applyBorder="1" applyAlignment="1">
      <alignment horizontal="center" vertical="center"/>
    </xf>
    <xf numFmtId="0" fontId="8" fillId="5" borderId="55" xfId="1" applyFont="1" applyFill="1" applyBorder="1"/>
    <xf numFmtId="3" fontId="9" fillId="5" borderId="27" xfId="1" applyNumberFormat="1" applyFont="1" applyFill="1" applyBorder="1"/>
    <xf numFmtId="0" fontId="8" fillId="0" borderId="211" xfId="1" applyFont="1" applyFill="1" applyBorder="1"/>
    <xf numFmtId="0" fontId="8" fillId="0" borderId="85" xfId="1" applyFont="1" applyFill="1" applyBorder="1"/>
    <xf numFmtId="3" fontId="9" fillId="0" borderId="22" xfId="1" applyNumberFormat="1" applyFont="1" applyFill="1" applyBorder="1"/>
    <xf numFmtId="0" fontId="0" fillId="10" borderId="0" xfId="0" applyFill="1"/>
    <xf numFmtId="0" fontId="0" fillId="10" borderId="0" xfId="0" applyFill="1" applyBorder="1"/>
    <xf numFmtId="0" fontId="0" fillId="10" borderId="143" xfId="0" applyFill="1" applyBorder="1"/>
    <xf numFmtId="0" fontId="0" fillId="9" borderId="216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14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/>
    <xf numFmtId="165" fontId="0" fillId="10" borderId="0" xfId="0" applyNumberFormat="1" applyFill="1"/>
    <xf numFmtId="170" fontId="1" fillId="0" borderId="65" xfId="4" applyNumberFormat="1" applyFont="1" applyBorder="1" applyAlignment="1">
      <alignment horizontal="right"/>
    </xf>
    <xf numFmtId="170" fontId="1" fillId="0" borderId="65" xfId="0" applyNumberFormat="1" applyFont="1" applyBorder="1" applyAlignment="1">
      <alignment horizontal="right"/>
    </xf>
    <xf numFmtId="0" fontId="0" fillId="0" borderId="218" xfId="0" applyBorder="1"/>
    <xf numFmtId="0" fontId="0" fillId="0" borderId="219" xfId="0" applyBorder="1" applyAlignment="1">
      <alignment horizontal="center"/>
    </xf>
    <xf numFmtId="0" fontId="0" fillId="0" borderId="167" xfId="0" applyBorder="1" applyAlignment="1">
      <alignment horizontal="center"/>
    </xf>
    <xf numFmtId="10" fontId="0" fillId="0" borderId="167" xfId="2" applyNumberFormat="1" applyFont="1" applyBorder="1"/>
    <xf numFmtId="10" fontId="0" fillId="0" borderId="220" xfId="2" applyNumberFormat="1" applyFont="1" applyBorder="1"/>
    <xf numFmtId="10" fontId="0" fillId="0" borderId="56" xfId="2" applyNumberFormat="1" applyFont="1" applyBorder="1"/>
    <xf numFmtId="10" fontId="0" fillId="0" borderId="187" xfId="2" applyNumberFormat="1" applyFont="1" applyBorder="1"/>
    <xf numFmtId="0" fontId="0" fillId="0" borderId="168" xfId="0" applyBorder="1"/>
    <xf numFmtId="3" fontId="0" fillId="0" borderId="56" xfId="2" applyNumberFormat="1" applyFont="1" applyBorder="1"/>
    <xf numFmtId="0" fontId="0" fillId="0" borderId="64" xfId="0" applyBorder="1"/>
    <xf numFmtId="0" fontId="1" fillId="0" borderId="169" xfId="0" applyFont="1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69" xfId="0" applyBorder="1"/>
    <xf numFmtId="3" fontId="0" fillId="0" borderId="169" xfId="2" applyNumberFormat="1" applyFont="1" applyBorder="1"/>
    <xf numFmtId="3" fontId="0" fillId="0" borderId="197" xfId="2" applyNumberFormat="1" applyFont="1" applyBorder="1"/>
    <xf numFmtId="0" fontId="0" fillId="0" borderId="47" xfId="0" applyBorder="1"/>
    <xf numFmtId="0" fontId="0" fillId="0" borderId="120" xfId="0" applyBorder="1"/>
    <xf numFmtId="0" fontId="0" fillId="0" borderId="50" xfId="0" applyBorder="1"/>
    <xf numFmtId="0" fontId="0" fillId="0" borderId="48" xfId="0" applyBorder="1"/>
    <xf numFmtId="3" fontId="0" fillId="0" borderId="221" xfId="0" applyNumberFormat="1" applyBorder="1"/>
    <xf numFmtId="1" fontId="0" fillId="0" borderId="42" xfId="0" applyNumberFormat="1" applyBorder="1"/>
    <xf numFmtId="1" fontId="0" fillId="0" borderId="84" xfId="0" applyNumberFormat="1" applyBorder="1"/>
    <xf numFmtId="1" fontId="0" fillId="0" borderId="165" xfId="0" applyNumberFormat="1" applyBorder="1"/>
    <xf numFmtId="3" fontId="0" fillId="0" borderId="222" xfId="0" applyNumberFormat="1" applyBorder="1"/>
    <xf numFmtId="1" fontId="0" fillId="0" borderId="96" xfId="0" applyNumberFormat="1" applyBorder="1"/>
    <xf numFmtId="1" fontId="0" fillId="0" borderId="192" xfId="0" applyNumberFormat="1" applyBorder="1"/>
    <xf numFmtId="1" fontId="0" fillId="0" borderId="223" xfId="0" applyNumberFormat="1" applyBorder="1"/>
    <xf numFmtId="1" fontId="0" fillId="0" borderId="217" xfId="0" applyNumberFormat="1" applyFill="1" applyBorder="1"/>
    <xf numFmtId="2" fontId="8" fillId="0" borderId="19" xfId="1" applyNumberFormat="1" applyFont="1" applyBorder="1"/>
    <xf numFmtId="2" fontId="8" fillId="0" borderId="15" xfId="1" applyNumberFormat="1" applyFont="1" applyBorder="1"/>
    <xf numFmtId="3" fontId="15" fillId="0" borderId="127" xfId="1" applyNumberFormat="1" applyFont="1" applyBorder="1"/>
    <xf numFmtId="3" fontId="15" fillId="0" borderId="147" xfId="1" applyNumberFormat="1" applyFont="1" applyBorder="1"/>
    <xf numFmtId="3" fontId="15" fillId="3" borderId="82" xfId="1" applyNumberFormat="1" applyFont="1" applyFill="1" applyBorder="1"/>
    <xf numFmtId="3" fontId="15" fillId="0" borderId="177" xfId="1" applyNumberFormat="1" applyFont="1" applyBorder="1"/>
    <xf numFmtId="3" fontId="15" fillId="0" borderId="15" xfId="1" applyNumberFormat="1" applyFont="1" applyBorder="1"/>
    <xf numFmtId="3" fontId="15" fillId="0" borderId="128" xfId="1" applyNumberFormat="1" applyFont="1" applyBorder="1"/>
    <xf numFmtId="3" fontId="15" fillId="0" borderId="19" xfId="1" applyNumberFormat="1" applyFont="1" applyBorder="1"/>
    <xf numFmtId="3" fontId="15" fillId="3" borderId="15" xfId="1" applyNumberFormat="1" applyFont="1" applyFill="1" applyBorder="1"/>
    <xf numFmtId="3" fontId="15" fillId="0" borderId="61" xfId="1" applyNumberFormat="1" applyFont="1" applyBorder="1"/>
    <xf numFmtId="3" fontId="15" fillId="3" borderId="224" xfId="1" applyNumberFormat="1" applyFont="1" applyFill="1" applyBorder="1"/>
    <xf numFmtId="3" fontId="8" fillId="0" borderId="225" xfId="1" applyNumberFormat="1" applyFont="1" applyBorder="1"/>
    <xf numFmtId="0" fontId="1" fillId="0" borderId="135" xfId="0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6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1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0" borderId="143" xfId="0" applyFont="1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44" xfId="0" applyBorder="1" applyAlignment="1">
      <alignment horizontal="center"/>
    </xf>
    <xf numFmtId="0" fontId="8" fillId="0" borderId="65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166" xfId="0" applyFont="1" applyFill="1" applyBorder="1" applyAlignment="1">
      <alignment horizontal="center" vertical="center" wrapText="1"/>
    </xf>
    <xf numFmtId="0" fontId="8" fillId="0" borderId="167" xfId="0" applyFont="1" applyFill="1" applyBorder="1" applyAlignment="1">
      <alignment horizontal="center" vertical="center" wrapText="1"/>
    </xf>
    <xf numFmtId="0" fontId="8" fillId="0" borderId="168" xfId="0" applyFont="1" applyFill="1" applyBorder="1" applyAlignment="1">
      <alignment horizontal="center" vertical="center" wrapText="1"/>
    </xf>
    <xf numFmtId="0" fontId="8" fillId="0" borderId="65" xfId="0" applyFont="1" applyFill="1" applyBorder="1" applyAlignment="1">
      <alignment horizontal="center" vertical="center" wrapText="1"/>
    </xf>
    <xf numFmtId="0" fontId="8" fillId="0" borderId="64" xfId="0" applyFont="1" applyFill="1" applyBorder="1" applyAlignment="1">
      <alignment horizontal="center" vertical="center" wrapText="1"/>
    </xf>
    <xf numFmtId="0" fontId="8" fillId="0" borderId="169" xfId="0" applyFont="1" applyFill="1" applyBorder="1" applyAlignment="1">
      <alignment horizontal="center" vertical="center" wrapText="1"/>
    </xf>
    <xf numFmtId="0" fontId="8" fillId="0" borderId="167" xfId="0" applyFont="1" applyFill="1" applyBorder="1" applyAlignment="1">
      <alignment horizontal="center"/>
    </xf>
    <xf numFmtId="0" fontId="8" fillId="0" borderId="65" xfId="0" applyFont="1" applyFill="1" applyBorder="1" applyAlignment="1">
      <alignment horizontal="center"/>
    </xf>
    <xf numFmtId="0" fontId="8" fillId="0" borderId="169" xfId="0" applyFont="1" applyFill="1" applyBorder="1" applyAlignment="1">
      <alignment horizontal="center"/>
    </xf>
    <xf numFmtId="0" fontId="8" fillId="0" borderId="167" xfId="0" applyFont="1" applyBorder="1" applyAlignment="1">
      <alignment horizontal="center"/>
    </xf>
    <xf numFmtId="0" fontId="8" fillId="0" borderId="169" xfId="0" applyFont="1" applyBorder="1" applyAlignment="1">
      <alignment horizontal="center"/>
    </xf>
    <xf numFmtId="0" fontId="8" fillId="0" borderId="175" xfId="0" applyFont="1" applyBorder="1" applyAlignment="1">
      <alignment horizontal="center"/>
    </xf>
    <xf numFmtId="0" fontId="8" fillId="0" borderId="17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2" borderId="12" xfId="0" applyFont="1" applyFill="1" applyBorder="1" applyAlignment="1">
      <alignment horizontal="center" vertical="center" textRotation="90"/>
    </xf>
    <xf numFmtId="0" fontId="2" fillId="2" borderId="9" xfId="0" applyFont="1" applyFill="1" applyBorder="1" applyAlignment="1">
      <alignment horizontal="center" vertical="center" textRotation="90"/>
    </xf>
    <xf numFmtId="0" fontId="2" fillId="2" borderId="29" xfId="0" applyFont="1" applyFill="1" applyBorder="1" applyAlignment="1">
      <alignment horizontal="center" vertical="center" textRotation="90" shrinkToFit="1"/>
    </xf>
    <xf numFmtId="0" fontId="2" fillId="2" borderId="24" xfId="0" applyFont="1" applyFill="1" applyBorder="1" applyAlignment="1">
      <alignment horizontal="center" vertical="center" textRotation="90" shrinkToFit="1"/>
    </xf>
    <xf numFmtId="0" fontId="2" fillId="2" borderId="35" xfId="0" applyFont="1" applyFill="1" applyBorder="1" applyAlignment="1">
      <alignment horizontal="center" vertical="center" textRotation="90"/>
    </xf>
    <xf numFmtId="0" fontId="2" fillId="2" borderId="30" xfId="0" applyFont="1" applyFill="1" applyBorder="1" applyAlignment="1">
      <alignment horizontal="center" vertical="center" textRotation="90"/>
    </xf>
    <xf numFmtId="0" fontId="2" fillId="2" borderId="25" xfId="0" applyFont="1" applyFill="1" applyBorder="1" applyAlignment="1">
      <alignment horizontal="center" vertical="center" textRotation="90"/>
    </xf>
    <xf numFmtId="0" fontId="2" fillId="2" borderId="31" xfId="0" applyFont="1" applyFill="1" applyBorder="1" applyAlignment="1">
      <alignment horizontal="center" vertical="center" textRotation="90"/>
    </xf>
    <xf numFmtId="0" fontId="2" fillId="2" borderId="29" xfId="0" applyFont="1" applyFill="1" applyBorder="1" applyAlignment="1">
      <alignment horizontal="center" vertical="center" textRotation="90"/>
    </xf>
    <xf numFmtId="0" fontId="2" fillId="2" borderId="24" xfId="0" applyFont="1" applyFill="1" applyBorder="1" applyAlignment="1">
      <alignment horizontal="center" vertical="center" textRotation="90"/>
    </xf>
    <xf numFmtId="0" fontId="2" fillId="2" borderId="45" xfId="0" applyFont="1" applyFill="1" applyBorder="1" applyAlignment="1">
      <alignment horizontal="center"/>
    </xf>
    <xf numFmtId="0" fontId="2" fillId="2" borderId="44" xfId="0" applyFont="1" applyFill="1" applyBorder="1" applyAlignment="1">
      <alignment horizontal="center"/>
    </xf>
    <xf numFmtId="0" fontId="8" fillId="0" borderId="166" xfId="0" applyFont="1" applyBorder="1" applyAlignment="1">
      <alignment horizontal="center" vertical="center" wrapText="1"/>
    </xf>
    <xf numFmtId="0" fontId="8" fillId="0" borderId="167" xfId="0" applyFont="1" applyBorder="1" applyAlignment="1">
      <alignment horizontal="center" vertical="center" wrapText="1"/>
    </xf>
    <xf numFmtId="0" fontId="8" fillId="0" borderId="168" xfId="0" applyFont="1" applyBorder="1" applyAlignment="1">
      <alignment horizontal="center" vertical="center" wrapText="1"/>
    </xf>
    <xf numFmtId="0" fontId="8" fillId="0" borderId="65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169" xfId="0" applyFont="1" applyBorder="1" applyAlignment="1">
      <alignment horizontal="center" vertical="center" wrapText="1"/>
    </xf>
    <xf numFmtId="0" fontId="8" fillId="0" borderId="100" xfId="0" applyFont="1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 textRotation="90"/>
    </xf>
    <xf numFmtId="0" fontId="2" fillId="2" borderId="23" xfId="0" applyFont="1" applyFill="1" applyBorder="1" applyAlignment="1">
      <alignment horizontal="center" vertical="center" textRotation="90"/>
    </xf>
    <xf numFmtId="0" fontId="1" fillId="0" borderId="65" xfId="0" applyFont="1" applyBorder="1" applyAlignment="1">
      <alignment horizontal="center" vertical="center"/>
    </xf>
    <xf numFmtId="0" fontId="2" fillId="2" borderId="131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8" fillId="2" borderId="42" xfId="1" applyFont="1" applyFill="1" applyBorder="1" applyAlignment="1">
      <alignment horizontal="center"/>
    </xf>
    <xf numFmtId="0" fontId="8" fillId="2" borderId="43" xfId="1" applyFont="1" applyFill="1" applyBorder="1" applyAlignment="1">
      <alignment horizontal="center"/>
    </xf>
    <xf numFmtId="0" fontId="8" fillId="2" borderId="78" xfId="1" applyFont="1" applyFill="1" applyBorder="1" applyAlignment="1">
      <alignment horizontal="center"/>
    </xf>
    <xf numFmtId="0" fontId="8" fillId="2" borderId="77" xfId="1" applyFont="1" applyFill="1" applyBorder="1" applyAlignment="1">
      <alignment horizontal="center"/>
    </xf>
    <xf numFmtId="0" fontId="8" fillId="2" borderId="100" xfId="1" applyFont="1" applyFill="1" applyBorder="1" applyAlignment="1">
      <alignment horizontal="center" vertical="center" textRotation="90"/>
    </xf>
    <xf numFmtId="0" fontId="8" fillId="2" borderId="30" xfId="1" applyFont="1" applyFill="1" applyBorder="1" applyAlignment="1">
      <alignment horizontal="center" vertical="center" textRotation="90"/>
    </xf>
    <xf numFmtId="0" fontId="8" fillId="2" borderId="25" xfId="1" applyFont="1" applyFill="1" applyBorder="1" applyAlignment="1">
      <alignment horizontal="center" vertical="center" textRotation="90"/>
    </xf>
    <xf numFmtId="0" fontId="8" fillId="2" borderId="35" xfId="1" quotePrefix="1" applyFont="1" applyFill="1" applyBorder="1" applyAlignment="1">
      <alignment horizontal="center" vertical="center" textRotation="90"/>
    </xf>
    <xf numFmtId="0" fontId="8" fillId="0" borderId="126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2" borderId="47" xfId="1" applyFont="1" applyFill="1" applyBorder="1" applyAlignment="1">
      <alignment horizontal="center"/>
    </xf>
    <xf numFmtId="0" fontId="8" fillId="2" borderId="75" xfId="1" applyFont="1" applyFill="1" applyBorder="1" applyAlignment="1">
      <alignment horizontal="center"/>
    </xf>
    <xf numFmtId="0" fontId="8" fillId="2" borderId="14" xfId="1" applyFont="1" applyFill="1" applyBorder="1" applyAlignment="1">
      <alignment horizontal="center" vertical="center" textRotation="90"/>
    </xf>
    <xf numFmtId="0" fontId="8" fillId="2" borderId="10" xfId="1" applyFont="1" applyFill="1" applyBorder="1" applyAlignment="1">
      <alignment horizontal="center" vertical="center" textRotation="90"/>
    </xf>
    <xf numFmtId="0" fontId="8" fillId="2" borderId="121" xfId="1" quotePrefix="1" applyFont="1" applyFill="1" applyBorder="1" applyAlignment="1">
      <alignment horizontal="center" vertical="center" textRotation="90"/>
    </xf>
    <xf numFmtId="0" fontId="10" fillId="0" borderId="58" xfId="1" applyFont="1" applyBorder="1" applyAlignment="1">
      <alignment horizontal="center"/>
    </xf>
    <xf numFmtId="0" fontId="10" fillId="0" borderId="90" xfId="1" applyFont="1" applyBorder="1" applyAlignment="1">
      <alignment horizontal="center"/>
    </xf>
    <xf numFmtId="0" fontId="8" fillId="2" borderId="132" xfId="1" applyFont="1" applyFill="1" applyBorder="1" applyAlignment="1">
      <alignment horizontal="center"/>
    </xf>
    <xf numFmtId="0" fontId="8" fillId="7" borderId="78" xfId="1" applyFont="1" applyFill="1" applyBorder="1" applyAlignment="1">
      <alignment horizontal="center"/>
    </xf>
    <xf numFmtId="0" fontId="8" fillId="7" borderId="77" xfId="1" applyFont="1" applyFill="1" applyBorder="1" applyAlignment="1">
      <alignment horizontal="center"/>
    </xf>
    <xf numFmtId="0" fontId="8" fillId="0" borderId="47" xfId="0" applyFont="1" applyBorder="1" applyAlignment="1">
      <alignment horizontal="center" vertical="center" wrapText="1"/>
    </xf>
    <xf numFmtId="0" fontId="8" fillId="0" borderId="75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7" borderId="65" xfId="1" applyFont="1" applyFill="1" applyBorder="1" applyAlignment="1">
      <alignment horizontal="center"/>
    </xf>
    <xf numFmtId="0" fontId="8" fillId="7" borderId="67" xfId="1" applyFont="1" applyFill="1" applyBorder="1" applyAlignment="1">
      <alignment horizontal="center"/>
    </xf>
    <xf numFmtId="0" fontId="8" fillId="7" borderId="55" xfId="1" applyFont="1" applyFill="1" applyBorder="1" applyAlignment="1">
      <alignment horizontal="center"/>
    </xf>
    <xf numFmtId="0" fontId="29" fillId="7" borderId="47" xfId="1" applyFont="1" applyFill="1" applyBorder="1" applyAlignment="1">
      <alignment horizontal="center" vertical="center"/>
    </xf>
    <xf numFmtId="0" fontId="29" fillId="7" borderId="62" xfId="1" applyFont="1" applyFill="1" applyBorder="1" applyAlignment="1">
      <alignment horizontal="center" vertical="center"/>
    </xf>
    <xf numFmtId="0" fontId="29" fillId="7" borderId="120" xfId="1" applyFont="1" applyFill="1" applyBorder="1" applyAlignment="1">
      <alignment horizontal="center" vertical="center"/>
    </xf>
    <xf numFmtId="0" fontId="8" fillId="7" borderId="63" xfId="1" applyFont="1" applyFill="1" applyBorder="1" applyAlignment="1">
      <alignment horizontal="center"/>
    </xf>
    <xf numFmtId="0" fontId="8" fillId="7" borderId="75" xfId="1" applyFont="1" applyFill="1" applyBorder="1" applyAlignment="1">
      <alignment horizontal="center"/>
    </xf>
    <xf numFmtId="0" fontId="8" fillId="7" borderId="42" xfId="1" applyFont="1" applyFill="1" applyBorder="1" applyAlignment="1">
      <alignment horizontal="center"/>
    </xf>
    <xf numFmtId="0" fontId="8" fillId="7" borderId="44" xfId="1" applyFont="1" applyFill="1" applyBorder="1" applyAlignment="1">
      <alignment horizontal="center"/>
    </xf>
    <xf numFmtId="0" fontId="8" fillId="0" borderId="19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 textRotation="90"/>
    </xf>
    <xf numFmtId="0" fontId="3" fillId="2" borderId="30" xfId="0" applyFont="1" applyFill="1" applyBorder="1" applyAlignment="1">
      <alignment horizontal="center" vertical="center" textRotation="90"/>
    </xf>
    <xf numFmtId="0" fontId="3" fillId="2" borderId="89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 vertical="center" textRotation="90"/>
    </xf>
    <xf numFmtId="0" fontId="8" fillId="0" borderId="115" xfId="0" applyFont="1" applyBorder="1" applyAlignment="1">
      <alignment horizontal="center" vertical="center"/>
    </xf>
    <xf numFmtId="0" fontId="8" fillId="0" borderId="116" xfId="0" applyFont="1" applyBorder="1" applyAlignment="1">
      <alignment horizontal="center" vertical="center"/>
    </xf>
    <xf numFmtId="0" fontId="8" fillId="0" borderId="117" xfId="0" applyFont="1" applyBorder="1" applyAlignment="1">
      <alignment horizontal="center" vertical="center"/>
    </xf>
    <xf numFmtId="0" fontId="8" fillId="0" borderId="118" xfId="0" applyFont="1" applyBorder="1" applyAlignment="1">
      <alignment horizontal="center" vertical="center" wrapText="1"/>
    </xf>
    <xf numFmtId="0" fontId="8" fillId="0" borderId="118" xfId="0" applyFont="1" applyBorder="1" applyAlignment="1">
      <alignment horizontal="center" vertical="center"/>
    </xf>
    <xf numFmtId="0" fontId="3" fillId="2" borderId="38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63" xfId="0" applyFont="1" applyFill="1" applyBorder="1" applyAlignment="1">
      <alignment horizontal="center"/>
    </xf>
    <xf numFmtId="0" fontId="3" fillId="2" borderId="62" xfId="0" applyFont="1" applyFill="1" applyBorder="1" applyAlignment="1">
      <alignment horizontal="center"/>
    </xf>
    <xf numFmtId="0" fontId="3" fillId="2" borderId="75" xfId="0" applyFont="1" applyFill="1" applyBorder="1" applyAlignment="1">
      <alignment horizontal="center"/>
    </xf>
    <xf numFmtId="0" fontId="3" fillId="2" borderId="42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3" fillId="2" borderId="121" xfId="0" applyFont="1" applyFill="1" applyBorder="1" applyAlignment="1">
      <alignment horizontal="center" vertical="center" textRotation="90"/>
    </xf>
    <xf numFmtId="0" fontId="3" fillId="2" borderId="14" xfId="0" applyFont="1" applyFill="1" applyBorder="1" applyAlignment="1">
      <alignment horizontal="center" vertical="center" textRotation="90"/>
    </xf>
    <xf numFmtId="0" fontId="3" fillId="2" borderId="10" xfId="0" applyFont="1" applyFill="1" applyBorder="1" applyAlignment="1">
      <alignment horizontal="center" vertical="center" textRotation="90"/>
    </xf>
    <xf numFmtId="0" fontId="1" fillId="0" borderId="141" xfId="0" applyFont="1" applyBorder="1" applyAlignment="1">
      <alignment horizontal="center" vertical="center"/>
    </xf>
    <xf numFmtId="0" fontId="1" fillId="0" borderId="108" xfId="0" applyFont="1" applyBorder="1" applyAlignment="1">
      <alignment horizontal="center" vertical="center"/>
    </xf>
    <xf numFmtId="0" fontId="1" fillId="0" borderId="142" xfId="0" applyFont="1" applyBorder="1" applyAlignment="1">
      <alignment horizontal="center" vertical="center"/>
    </xf>
    <xf numFmtId="0" fontId="8" fillId="2" borderId="12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0" borderId="128" xfId="0" applyFont="1" applyBorder="1" applyAlignment="1">
      <alignment horizontal="center" vertical="center"/>
    </xf>
    <xf numFmtId="0" fontId="8" fillId="0" borderId="177" xfId="0" applyFont="1" applyBorder="1" applyAlignment="1">
      <alignment horizontal="center" vertical="center"/>
    </xf>
    <xf numFmtId="0" fontId="8" fillId="0" borderId="147" xfId="0" applyFont="1" applyBorder="1" applyAlignment="1">
      <alignment horizontal="center" vertical="center"/>
    </xf>
    <xf numFmtId="0" fontId="2" fillId="2" borderId="42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/>
    </xf>
    <xf numFmtId="0" fontId="8" fillId="2" borderId="19" xfId="1" applyFont="1" applyFill="1" applyBorder="1" applyAlignment="1">
      <alignment horizontal="center" vertical="center"/>
    </xf>
    <xf numFmtId="0" fontId="8" fillId="2" borderId="82" xfId="1" applyFont="1" applyFill="1" applyBorder="1" applyAlignment="1">
      <alignment horizontal="center" vertical="center"/>
    </xf>
    <xf numFmtId="0" fontId="8" fillId="2" borderId="63" xfId="1" applyFont="1" applyFill="1" applyBorder="1" applyAlignment="1">
      <alignment horizontal="center"/>
    </xf>
    <xf numFmtId="0" fontId="8" fillId="2" borderId="62" xfId="1" applyFont="1" applyFill="1" applyBorder="1" applyAlignment="1">
      <alignment horizontal="center"/>
    </xf>
    <xf numFmtId="0" fontId="8" fillId="2" borderId="38" xfId="1" applyFont="1" applyFill="1" applyBorder="1" applyAlignment="1">
      <alignment horizontal="center"/>
    </xf>
    <xf numFmtId="0" fontId="8" fillId="2" borderId="37" xfId="1" applyFont="1" applyFill="1" applyBorder="1" applyAlignment="1">
      <alignment horizontal="center"/>
    </xf>
    <xf numFmtId="0" fontId="8" fillId="2" borderId="35" xfId="1" applyFont="1" applyFill="1" applyBorder="1" applyAlignment="1">
      <alignment horizontal="center" vertical="center" textRotation="90"/>
    </xf>
    <xf numFmtId="0" fontId="8" fillId="2" borderId="2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</cellXfs>
  <cellStyles count="6">
    <cellStyle name="DIV1000" xfId="5" xr:uid="{5C72FB82-A0DA-43D3-93CC-05CB4020BD9C}"/>
    <cellStyle name="Moeda" xfId="3" builtinId="4"/>
    <cellStyle name="Normal" xfId="0" builtinId="0"/>
    <cellStyle name="Normal 2" xfId="1" xr:uid="{00000000-0005-0000-0000-000002000000}"/>
    <cellStyle name="Porcentagem" xfId="2" builtinId="5"/>
    <cellStyle name="Vírgula" xfId="4" builtinId="3"/>
  </cellStyles>
  <dxfs count="6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2F2F2"/>
      <color rgb="FFFFFFCC"/>
      <color rgb="FF0000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23.xml"/><Relationship Id="rId21" Type="http://schemas.openxmlformats.org/officeDocument/2006/relationships/externalLink" Target="externalLinks/externalLink5.xml"/><Relationship Id="rId34" Type="http://schemas.openxmlformats.org/officeDocument/2006/relationships/externalLink" Target="externalLinks/externalLink18.xml"/><Relationship Id="rId42" Type="http://schemas.openxmlformats.org/officeDocument/2006/relationships/externalLink" Target="externalLinks/externalLink26.xml"/><Relationship Id="rId47" Type="http://schemas.openxmlformats.org/officeDocument/2006/relationships/externalLink" Target="externalLinks/externalLink31.xml"/><Relationship Id="rId50" Type="http://schemas.openxmlformats.org/officeDocument/2006/relationships/externalLink" Target="externalLinks/externalLink34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3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externalLink" Target="externalLinks/externalLink16.xml"/><Relationship Id="rId37" Type="http://schemas.openxmlformats.org/officeDocument/2006/relationships/externalLink" Target="externalLinks/externalLink21.xml"/><Relationship Id="rId40" Type="http://schemas.openxmlformats.org/officeDocument/2006/relationships/externalLink" Target="externalLinks/externalLink24.xml"/><Relationship Id="rId45" Type="http://schemas.openxmlformats.org/officeDocument/2006/relationships/externalLink" Target="externalLinks/externalLink29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externalLink" Target="externalLinks/externalLink19.xml"/><Relationship Id="rId43" Type="http://schemas.openxmlformats.org/officeDocument/2006/relationships/externalLink" Target="externalLinks/externalLink27.xml"/><Relationship Id="rId48" Type="http://schemas.openxmlformats.org/officeDocument/2006/relationships/externalLink" Target="externalLinks/externalLink32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externalLink" Target="externalLinks/externalLink17.xml"/><Relationship Id="rId38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30.xml"/><Relationship Id="rId20" Type="http://schemas.openxmlformats.org/officeDocument/2006/relationships/externalLink" Target="externalLinks/externalLink4.xml"/><Relationship Id="rId41" Type="http://schemas.openxmlformats.org/officeDocument/2006/relationships/externalLink" Target="externalLinks/externalLink25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33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5.xml"/><Relationship Id="rId44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3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de Falhas - UM-1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8577415513564905E-2"/>
          <c:y val="0.17171296296296296"/>
          <c:w val="0.9414307385082139"/>
          <c:h val="0.671196230154227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'Falhas UM-1 - Cost'!$E$70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50000"/>
                  </a:schemeClr>
                </a:gs>
                <a:gs pos="50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50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[0]!LinUM1_BP</c:f>
              <c:numCache>
                <c:formatCode>#,##0.000,</c:formatCode>
                <c:ptCount val="12"/>
                <c:pt idx="0">
                  <c:v>4605.4622694100417</c:v>
                </c:pt>
                <c:pt idx="1">
                  <c:v>4679.5607101937167</c:v>
                </c:pt>
                <c:pt idx="2">
                  <c:v>2943.3037714297143</c:v>
                </c:pt>
                <c:pt idx="3">
                  <c:v>4552.9948183563265</c:v>
                </c:pt>
                <c:pt idx="4">
                  <c:v>4301.5417738451069</c:v>
                </c:pt>
                <c:pt idx="5">
                  <c:v>4644.647599723633</c:v>
                </c:pt>
                <c:pt idx="6">
                  <c:v>1511.0425264903513</c:v>
                </c:pt>
                <c:pt idx="7">
                  <c:v>719.42684626137043</c:v>
                </c:pt>
                <c:pt idx="8">
                  <c:v>1008.1926523914865</c:v>
                </c:pt>
                <c:pt idx="9">
                  <c:v>1845.8988045699998</c:v>
                </c:pt>
                <c:pt idx="10">
                  <c:v>1878.3257282199997</c:v>
                </c:pt>
                <c:pt idx="11">
                  <c:v>2289.9406609799998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9-4FF0-951C-1AC7B1FA7569}"/>
            </c:ext>
          </c:extLst>
        </c:ser>
        <c:ser>
          <c:idx val="0"/>
          <c:order val="1"/>
          <c:tx>
            <c:strRef>
              <c:f>'Falhas UM-1 - Cost'!$E$69</c:f>
              <c:strCache>
                <c:ptCount val="1"/>
                <c:pt idx="0">
                  <c:v>Real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[0]!LinUM1_Y</c:f>
              <c:numCache>
                <c:formatCode>#,##0.000,</c:formatCode>
                <c:ptCount val="12"/>
                <c:pt idx="0">
                  <c:v>3035.2332533493836</c:v>
                </c:pt>
                <c:pt idx="1">
                  <c:v>1656.2862610348693</c:v>
                </c:pt>
                <c:pt idx="2">
                  <c:v>1648.6859135955567</c:v>
                </c:pt>
                <c:pt idx="3">
                  <c:v>1666.1181815694201</c:v>
                </c:pt>
                <c:pt idx="4">
                  <c:v>3009.7006214889557</c:v>
                </c:pt>
                <c:pt idx="5">
                  <c:v>3487.6945192031881</c:v>
                </c:pt>
                <c:pt idx="6">
                  <c:v>3512.5243287631911</c:v>
                </c:pt>
                <c:pt idx="7">
                  <c:v>3516.5454933064543</c:v>
                </c:pt>
                <c:pt idx="8">
                  <c:v>2819.4339018088422</c:v>
                </c:pt>
                <c:pt idx="9">
                  <c:v>2612.8985760057599</c:v>
                </c:pt>
                <c:pt idx="10">
                  <c:v>2643.7419474102244</c:v>
                </c:pt>
                <c:pt idx="11">
                  <c:v>3254.7782594757873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9-4FF0-951C-1AC7B1FA75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-27"/>
        <c:axId val="394387560"/>
        <c:axId val="394392264"/>
      </c:barChart>
      <c:dateAx>
        <c:axId val="39438756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4392264"/>
        <c:crosses val="autoZero"/>
        <c:auto val="1"/>
        <c:lblOffset val="100"/>
        <c:baseTimeUnit val="months"/>
      </c:dateAx>
      <c:valAx>
        <c:axId val="394392264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7.0060176101491081E-3"/>
              <c:y val="0.30456000291630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0," sourceLinked="1"/>
        <c:majorTickMark val="none"/>
        <c:minorTickMark val="none"/>
        <c:tickLblPos val="nextTo"/>
        <c:crossAx val="39438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490097202416623"/>
          <c:y val="5.6662657801780585E-2"/>
          <c:w val="0.16809822656682349"/>
          <c:h val="7.8784028077181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Custo de Falhas UM-3 Linha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30215979837074E-2"/>
          <c:y val="0.1725003645377661"/>
          <c:w val="0.94104221029046731"/>
          <c:h val="0.5620771224271362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'Falhas UM-3-1 Cost'!$C$65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50000"/>
                  </a:schemeClr>
                </a:gs>
                <a:gs pos="5100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50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[0]!LinUM31_BP</c:f>
              <c:numCache>
                <c:formatCode>#,##0.000,</c:formatCode>
                <c:ptCount val="12"/>
                <c:pt idx="0">
                  <c:v>2077.765446177159</c:v>
                </c:pt>
                <c:pt idx="1">
                  <c:v>2015.8266915265965</c:v>
                </c:pt>
                <c:pt idx="2">
                  <c:v>1210.3443384703271</c:v>
                </c:pt>
                <c:pt idx="3">
                  <c:v>1864.80441628072</c:v>
                </c:pt>
                <c:pt idx="4">
                  <c:v>2361.3107130551816</c:v>
                </c:pt>
                <c:pt idx="5">
                  <c:v>2720.4269641422911</c:v>
                </c:pt>
                <c:pt idx="6">
                  <c:v>102.16506556073583</c:v>
                </c:pt>
                <c:pt idx="7">
                  <c:v>2325.4985181262555</c:v>
                </c:pt>
                <c:pt idx="8">
                  <c:v>2665.1160679261939</c:v>
                </c:pt>
                <c:pt idx="9">
                  <c:v>1102.2378402894863</c:v>
                </c:pt>
                <c:pt idx="10">
                  <c:v>1228.0378248110455</c:v>
                </c:pt>
                <c:pt idx="11">
                  <c:v>1258.3398077062914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7C-46A6-9C79-3CD23890BB50}"/>
            </c:ext>
          </c:extLst>
        </c:ser>
        <c:ser>
          <c:idx val="0"/>
          <c:order val="1"/>
          <c:tx>
            <c:strRef>
              <c:f>'Falhas UM-3-1 Cost'!$C$64</c:f>
              <c:strCache>
                <c:ptCount val="1"/>
                <c:pt idx="0">
                  <c:v>Real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[0]!LinUM31_Y</c:f>
              <c:numCache>
                <c:formatCode>#,##0.000,</c:formatCode>
                <c:ptCount val="12"/>
                <c:pt idx="0">
                  <c:v>2412.2935980348675</c:v>
                </c:pt>
                <c:pt idx="1">
                  <c:v>2524.6251105802753</c:v>
                </c:pt>
                <c:pt idx="2">
                  <c:v>2429.6601774794544</c:v>
                </c:pt>
                <c:pt idx="3">
                  <c:v>2445.3680552257301</c:v>
                </c:pt>
                <c:pt idx="4">
                  <c:v>2475.2415269566495</c:v>
                </c:pt>
                <c:pt idx="5">
                  <c:v>2814.303925485292</c:v>
                </c:pt>
                <c:pt idx="6">
                  <c:v>2779.6876192731711</c:v>
                </c:pt>
                <c:pt idx="7">
                  <c:v>2781.1456472046793</c:v>
                </c:pt>
                <c:pt idx="8">
                  <c:v>2646.1797717329177</c:v>
                </c:pt>
                <c:pt idx="9">
                  <c:v>2052.1897164541042</c:v>
                </c:pt>
                <c:pt idx="10">
                  <c:v>1969.7301199257458</c:v>
                </c:pt>
                <c:pt idx="11">
                  <c:v>2497.3972182130028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7C-46A6-9C79-3CD23890BB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394387952"/>
        <c:axId val="394388344"/>
      </c:barChart>
      <c:dateAx>
        <c:axId val="3943879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394388344"/>
        <c:crosses val="autoZero"/>
        <c:auto val="1"/>
        <c:lblOffset val="100"/>
        <c:baseTimeUnit val="months"/>
        <c:majorUnit val="1"/>
        <c:majorTimeUnit val="months"/>
      </c:dateAx>
      <c:valAx>
        <c:axId val="3943883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1.3737475013619303E-2"/>
              <c:y val="0.27521602206142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#,##0.000," sourceLinked="1"/>
        <c:majorTickMark val="none"/>
        <c:minorTickMark val="none"/>
        <c:tickLblPos val="nextTo"/>
        <c:crossAx val="39438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825227879265586"/>
          <c:y val="4.1652328481687026E-2"/>
          <c:w val="0.11830092218738594"/>
          <c:h val="8.92403032954214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Custo de Falhas UM-3 Linha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686278313351315E-2"/>
          <c:y val="0.13132398548562785"/>
          <c:w val="0.90898039275197562"/>
          <c:h val="0.6210574955076213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'Falhas UM-3-2 Cost'!$C$65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50000"/>
                  </a:schemeClr>
                </a:gs>
                <a:gs pos="5000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50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[0]!LinUM32_X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[0]!LinUM32_BP</c:f>
              <c:numCache>
                <c:formatCode>#,##0.000,</c:formatCode>
                <c:ptCount val="12"/>
                <c:pt idx="0">
                  <c:v>8154.7947498654521</c:v>
                </c:pt>
                <c:pt idx="1">
                  <c:v>5335.2673649185435</c:v>
                </c:pt>
                <c:pt idx="2">
                  <c:v>4627.4525857269182</c:v>
                </c:pt>
                <c:pt idx="3">
                  <c:v>5011.742968832983</c:v>
                </c:pt>
                <c:pt idx="4">
                  <c:v>6964.492353935766</c:v>
                </c:pt>
                <c:pt idx="5">
                  <c:v>7024.808770773443</c:v>
                </c:pt>
                <c:pt idx="6">
                  <c:v>2144.8487617068295</c:v>
                </c:pt>
                <c:pt idx="7">
                  <c:v>5970.3481714972268</c:v>
                </c:pt>
                <c:pt idx="8">
                  <c:v>5655.1925741622736</c:v>
                </c:pt>
                <c:pt idx="9">
                  <c:v>2979.1592677595672</c:v>
                </c:pt>
                <c:pt idx="10">
                  <c:v>3319.1749849417893</c:v>
                </c:pt>
                <c:pt idx="11">
                  <c:v>3401.0760319518922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1-4F32-A467-D0BEF0E65BEB}"/>
            </c:ext>
          </c:extLst>
        </c:ser>
        <c:ser>
          <c:idx val="0"/>
          <c:order val="1"/>
          <c:tx>
            <c:strRef>
              <c:f>'Falhas UM-3-2 Cost'!$C$64</c:f>
              <c:strCache>
                <c:ptCount val="1"/>
                <c:pt idx="0">
                  <c:v>Real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  <a:tileRect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2060"/>
                  </a:gs>
                  <a:gs pos="50000">
                    <a:schemeClr val="accent5">
                      <a:lumMod val="40000"/>
                      <a:lumOff val="60000"/>
                    </a:schemeClr>
                  </a:gs>
                  <a:gs pos="100000">
                    <a:srgbClr val="00206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A2-407D-93F7-A06810103B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[0]!LinUM32_X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[0]!LinUM32_Y</c:f>
              <c:numCache>
                <c:formatCode>#,##0.000,</c:formatCode>
                <c:ptCount val="12"/>
                <c:pt idx="0">
                  <c:v>6976.4935146877197</c:v>
                </c:pt>
                <c:pt idx="1">
                  <c:v>7301.3627882315823</c:v>
                </c:pt>
                <c:pt idx="2">
                  <c:v>7026.7186734188836</c:v>
                </c:pt>
                <c:pt idx="3">
                  <c:v>7072.1467702789296</c:v>
                </c:pt>
                <c:pt idx="4">
                  <c:v>7158.5425895779335</c:v>
                </c:pt>
                <c:pt idx="5">
                  <c:v>8139.1307842887763</c:v>
                </c:pt>
                <c:pt idx="6">
                  <c:v>8039.018411570948</c:v>
                </c:pt>
                <c:pt idx="7">
                  <c:v>8043.2351132264539</c:v>
                </c:pt>
                <c:pt idx="8">
                  <c:v>7652.9059444636041</c:v>
                </c:pt>
                <c:pt idx="9">
                  <c:v>5935.0521260820215</c:v>
                </c:pt>
                <c:pt idx="10">
                  <c:v>5696.5741726220867</c:v>
                </c:pt>
                <c:pt idx="11">
                  <c:v>7222.6181384619049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71-4F32-A467-D0BEF0E65B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-27"/>
        <c:axId val="394389912"/>
        <c:axId val="394391088"/>
      </c:barChart>
      <c:dateAx>
        <c:axId val="39438991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394391088"/>
        <c:crosses val="autoZero"/>
        <c:auto val="1"/>
        <c:lblOffset val="100"/>
        <c:baseTimeUnit val="months"/>
        <c:majorUnit val="1"/>
        <c:majorTimeUnit val="months"/>
      </c:dateAx>
      <c:valAx>
        <c:axId val="394391088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1.6420615604867572E-2"/>
              <c:y val="0.295558407859407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#,##0.000," sourceLinked="1"/>
        <c:majorTickMark val="out"/>
        <c:minorTickMark val="none"/>
        <c:tickLblPos val="nextTo"/>
        <c:crossAx val="39438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72113497384939"/>
          <c:y val="2.5527256075985286E-2"/>
          <c:w val="0.11886490238486426"/>
          <c:h val="7.5719509064544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 UM-4 - Custo de Falhas (kR$)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427813529959667"/>
          <c:y val="0.17171296296296296"/>
          <c:w val="0.85203641798273577"/>
          <c:h val="0.562055581807106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'Falhas UM-4 Cost'!$C$70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50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4">
                      <a:lumMod val="75000"/>
                    </a:schemeClr>
                  </a:gs>
                  <a:gs pos="50000">
                    <a:schemeClr val="accent4">
                      <a:lumMod val="40000"/>
                      <a:lumOff val="60000"/>
                    </a:schemeClr>
                  </a:gs>
                  <a:gs pos="100000">
                    <a:schemeClr val="accent4">
                      <a:lumMod val="75000"/>
                    </a:schemeClr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40-49EF-89C1-F610CDBE57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[0]!LinUM4_X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[0]!LinUM4_BP</c:f>
              <c:numCache>
                <c:formatCode>#,##0.000,</c:formatCode>
                <c:ptCount val="12"/>
                <c:pt idx="0">
                  <c:v>2061.5599192637101</c:v>
                </c:pt>
                <c:pt idx="1">
                  <c:v>3801.756763171702</c:v>
                </c:pt>
                <c:pt idx="2">
                  <c:v>2517.7117939257155</c:v>
                </c:pt>
                <c:pt idx="3">
                  <c:v>3582.4234130501068</c:v>
                </c:pt>
                <c:pt idx="4">
                  <c:v>3899.7266270056975</c:v>
                </c:pt>
                <c:pt idx="5">
                  <c:v>3921.8965134373011</c:v>
                </c:pt>
                <c:pt idx="6">
                  <c:v>3787.3580781191786</c:v>
                </c:pt>
                <c:pt idx="7">
                  <c:v>3950.8139313174561</c:v>
                </c:pt>
                <c:pt idx="8">
                  <c:v>3760.784136607409</c:v>
                </c:pt>
                <c:pt idx="9">
                  <c:v>3358.0266990965456</c:v>
                </c:pt>
                <c:pt idx="10">
                  <c:v>3390.8338489089228</c:v>
                </c:pt>
                <c:pt idx="11">
                  <c:v>3836.0484668561312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7-4E45-B371-02DB54A3BDD1}"/>
            </c:ext>
          </c:extLst>
        </c:ser>
        <c:ser>
          <c:idx val="1"/>
          <c:order val="1"/>
          <c:tx>
            <c:strRef>
              <c:f>'Falhas UM-4 Cost'!$C$69</c:f>
              <c:strCache>
                <c:ptCount val="1"/>
                <c:pt idx="0">
                  <c:v>Real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75000"/>
                  </a:schemeClr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[0]!LinUM4_X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[0]!LinUM4_Y</c:f>
              <c:numCache>
                <c:formatCode>#,##0.000,</c:formatCode>
                <c:ptCount val="12"/>
                <c:pt idx="0">
                  <c:v>2988.697666249649</c:v>
                </c:pt>
                <c:pt idx="1">
                  <c:v>3801.756763171702</c:v>
                </c:pt>
                <c:pt idx="2">
                  <c:v>2517.7117939257155</c:v>
                </c:pt>
                <c:pt idx="3">
                  <c:v>3582.4234130501068</c:v>
                </c:pt>
                <c:pt idx="4">
                  <c:v>3899.7266270056975</c:v>
                </c:pt>
                <c:pt idx="5">
                  <c:v>3921.8965134373011</c:v>
                </c:pt>
                <c:pt idx="6">
                  <c:v>3787.3580781191786</c:v>
                </c:pt>
                <c:pt idx="7">
                  <c:v>3950.8139313174561</c:v>
                </c:pt>
                <c:pt idx="8">
                  <c:v>3760.784136607409</c:v>
                </c:pt>
                <c:pt idx="9">
                  <c:v>3358.0266990965456</c:v>
                </c:pt>
                <c:pt idx="10">
                  <c:v>3390.8338489089228</c:v>
                </c:pt>
                <c:pt idx="11">
                  <c:v>3286.5593007357961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4-4DD9-A6C5-D60BD9ED45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-27"/>
        <c:axId val="409551288"/>
        <c:axId val="409554424"/>
      </c:barChart>
      <c:dateAx>
        <c:axId val="409551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9554424"/>
        <c:crosses val="autoZero"/>
        <c:auto val="1"/>
        <c:lblOffset val="100"/>
        <c:baseTimeUnit val="months"/>
      </c:dateAx>
      <c:valAx>
        <c:axId val="4095544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Custo de Falhas</a:t>
                </a:r>
              </a:p>
            </c:rich>
          </c:tx>
          <c:layout>
            <c:manualLayout>
              <c:xMode val="edge"/>
              <c:yMode val="edge"/>
              <c:x val="1.0408188775700133E-2"/>
              <c:y val="0.23213800963262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0," sourceLinked="1"/>
        <c:majorTickMark val="none"/>
        <c:minorTickMark val="none"/>
        <c:tickLblPos val="nextTo"/>
        <c:crossAx val="40955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6241555089948"/>
          <c:y val="3.3133410380052866E-2"/>
          <c:w val="0.17869039777333764"/>
          <c:h val="7.77787582573777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Custo de Falhas da Blindagem (R$)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'BLIND-PVC-PRE - Cost'!$C$6:$C$10</c:f>
              <c:strCache>
                <c:ptCount val="1"/>
                <c:pt idx="0">
                  <c:v>UM-1</c:v>
                </c:pt>
              </c:strCache>
            </c:strRef>
          </c:tx>
          <c:spPr>
            <a:gradFill>
              <a:gsLst>
                <a:gs pos="0">
                  <a:srgbClr val="FFC000"/>
                </a:gs>
                <a:gs pos="53000">
                  <a:schemeClr val="accent4">
                    <a:lumMod val="40000"/>
                    <a:lumOff val="60000"/>
                  </a:schemeClr>
                </a:gs>
                <a:gs pos="100000">
                  <a:srgbClr val="FFC000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[0]!bld_um1_y</c:f>
              <c:numCache>
                <c:formatCode>0.00</c:formatCode>
                <c:ptCount val="12"/>
                <c:pt idx="0">
                  <c:v>155.45073945629264</c:v>
                </c:pt>
                <c:pt idx="1">
                  <c:v>84.827393000208147</c:v>
                </c:pt>
                <c:pt idx="2">
                  <c:v>84.438138030013647</c:v>
                </c:pt>
                <c:pt idx="3">
                  <c:v>85.330938919021776</c:v>
                </c:pt>
                <c:pt idx="4">
                  <c:v>154.14307504579338</c:v>
                </c:pt>
                <c:pt idx="5">
                  <c:v>178.62373226489765</c:v>
                </c:pt>
                <c:pt idx="6">
                  <c:v>179.89540133757998</c:v>
                </c:pt>
                <c:pt idx="7">
                  <c:v>180.10134696005758</c:v>
                </c:pt>
                <c:pt idx="8">
                  <c:v>144.39848548729455</c:v>
                </c:pt>
                <c:pt idx="9">
                  <c:v>133.82069246776095</c:v>
                </c:pt>
                <c:pt idx="10">
                  <c:v>135.40034862329961</c:v>
                </c:pt>
                <c:pt idx="11">
                  <c:v>166.69482869016784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0-4B0C-BBF6-86A717844DC2}"/>
            </c:ext>
          </c:extLst>
        </c:ser>
        <c:ser>
          <c:idx val="1"/>
          <c:order val="1"/>
          <c:tx>
            <c:v>UM-3</c:v>
          </c:tx>
          <c:spPr>
            <a:gradFill>
              <a:gsLst>
                <a:gs pos="0">
                  <a:srgbClr val="0000FF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100000">
                  <a:srgbClr val="0000FF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[0]!bld_um3_y</c:f>
              <c:numCache>
                <c:formatCode>0.00</c:formatCode>
                <c:ptCount val="12"/>
                <c:pt idx="0">
                  <c:v>933.78495298528719</c:v>
                </c:pt>
                <c:pt idx="1">
                  <c:v>977.26783427570274</c:v>
                </c:pt>
                <c:pt idx="2">
                  <c:v>940.50745582797185</c:v>
                </c:pt>
                <c:pt idx="3">
                  <c:v>946.58788480011401</c:v>
                </c:pt>
                <c:pt idx="4">
                  <c:v>958.15173358638481</c:v>
                </c:pt>
                <c:pt idx="5">
                  <c:v>1089.400834494777</c:v>
                </c:pt>
                <c:pt idx="6">
                  <c:v>1076.0010618074302</c:v>
                </c:pt>
                <c:pt idx="7">
                  <c:v>1076.5654560190565</c:v>
                </c:pt>
                <c:pt idx="8">
                  <c:v>1024.3209432513386</c:v>
                </c:pt>
                <c:pt idx="9">
                  <c:v>794.39081522127708</c:v>
                </c:pt>
                <c:pt idx="10">
                  <c:v>762.47118050925633</c:v>
                </c:pt>
                <c:pt idx="11">
                  <c:v>966.72807401817283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80-4B0C-BBF6-86A717844D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224953280"/>
        <c:axId val="1224950784"/>
      </c:barChart>
      <c:lineChart>
        <c:grouping val="standard"/>
        <c:varyColors val="0"/>
        <c:ser>
          <c:idx val="2"/>
          <c:order val="2"/>
          <c:tx>
            <c:v>BP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[0]!bld_BP_y</c:f>
              <c:numCache>
                <c:formatCode>0.00</c:formatCode>
                <c:ptCount val="12"/>
                <c:pt idx="0">
                  <c:v>1089.2356924415797</c:v>
                </c:pt>
                <c:pt idx="1">
                  <c:v>1062.0952272759112</c:v>
                </c:pt>
                <c:pt idx="2">
                  <c:v>1024.9455938579854</c:v>
                </c:pt>
                <c:pt idx="3">
                  <c:v>1031.9188237191361</c:v>
                </c:pt>
                <c:pt idx="4">
                  <c:v>1112.294808632178</c:v>
                </c:pt>
                <c:pt idx="5">
                  <c:v>1268.0245667596744</c:v>
                </c:pt>
                <c:pt idx="6">
                  <c:v>1255.8964631450103</c:v>
                </c:pt>
                <c:pt idx="7">
                  <c:v>1256.666802979114</c:v>
                </c:pt>
                <c:pt idx="8">
                  <c:v>1168.719428738633</c:v>
                </c:pt>
                <c:pt idx="9">
                  <c:v>928.21150768903794</c:v>
                </c:pt>
                <c:pt idx="10">
                  <c:v>897.87152913255591</c:v>
                </c:pt>
                <c:pt idx="11">
                  <c:v>1133.4229027083406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80-4B0C-BBF6-86A717844D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24953280"/>
        <c:axId val="1224950784"/>
      </c:lineChart>
      <c:scatterChart>
        <c:scatterStyle val="lineMarker"/>
        <c:varyColors val="0"/>
        <c:ser>
          <c:idx val="3"/>
          <c:order val="3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xVal>
          <c:yVal>
            <c:numRef>
              <c:f>[0]!bld_Total_y</c:f>
              <c:numCache>
                <c:formatCode>0.00</c:formatCode>
                <c:ptCount val="12"/>
                <c:pt idx="0">
                  <c:v>1089.2356924415797</c:v>
                </c:pt>
                <c:pt idx="1">
                  <c:v>1062.0952272759112</c:v>
                </c:pt>
                <c:pt idx="2">
                  <c:v>1024.9455938579854</c:v>
                </c:pt>
                <c:pt idx="3">
                  <c:v>1031.9188237191361</c:v>
                </c:pt>
                <c:pt idx="4">
                  <c:v>1112.294808632178</c:v>
                </c:pt>
                <c:pt idx="5">
                  <c:v>1268.0245667596744</c:v>
                </c:pt>
                <c:pt idx="6">
                  <c:v>1255.8964631450103</c:v>
                </c:pt>
                <c:pt idx="7">
                  <c:v>1256.666802979114</c:v>
                </c:pt>
                <c:pt idx="8">
                  <c:v>1168.719428738633</c:v>
                </c:pt>
                <c:pt idx="9">
                  <c:v>928.21150768903794</c:v>
                </c:pt>
                <c:pt idx="10">
                  <c:v>897.87152913255591</c:v>
                </c:pt>
                <c:pt idx="11">
                  <c:v>1133.4229027083406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80-4B0C-BBF6-86A717844D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6952880"/>
        <c:axId val="1246957040"/>
      </c:scatterChart>
      <c:dateAx>
        <c:axId val="1224953280"/>
        <c:scaling>
          <c:orientation val="minMax"/>
          <c:min val="44287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950784"/>
        <c:crosses val="autoZero"/>
        <c:auto val="1"/>
        <c:lblOffset val="100"/>
        <c:baseTimeUnit val="months"/>
        <c:majorUnit val="1"/>
        <c:majorTimeUnit val="months"/>
      </c:dateAx>
      <c:valAx>
        <c:axId val="122495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224953280"/>
        <c:crosses val="autoZero"/>
        <c:crossBetween val="between"/>
      </c:valAx>
      <c:valAx>
        <c:axId val="12469570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246952880"/>
        <c:crosses val="max"/>
        <c:crossBetween val="midCat"/>
      </c:valAx>
      <c:valAx>
        <c:axId val="124695288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695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accent1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Custo de Falhas da PVC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'BLIND-PVC-PRE - Cost'!$C$6:$C$10</c:f>
              <c:strCache>
                <c:ptCount val="1"/>
                <c:pt idx="0">
                  <c:v>UM-1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53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75000"/>
                  </a:schemeClr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[0]!pvc_um1_y</c:f>
              <c:numCache>
                <c:formatCode>0.00</c:formatCode>
                <c:ptCount val="12"/>
                <c:pt idx="0">
                  <c:v>638.49929891102067</c:v>
                </c:pt>
                <c:pt idx="1">
                  <c:v>348.4205424079766</c:v>
                </c:pt>
                <c:pt idx="2">
                  <c:v>346.82171421046451</c:v>
                </c:pt>
                <c:pt idx="3">
                  <c:v>350.48880993283063</c:v>
                </c:pt>
                <c:pt idx="4">
                  <c:v>633.12819027406613</c:v>
                </c:pt>
                <c:pt idx="5">
                  <c:v>733.68018845657696</c:v>
                </c:pt>
                <c:pt idx="6">
                  <c:v>738.90344962725021</c:v>
                </c:pt>
                <c:pt idx="7">
                  <c:v>739.74935191131544</c:v>
                </c:pt>
                <c:pt idx="8">
                  <c:v>593.10320471890543</c:v>
                </c:pt>
                <c:pt idx="9">
                  <c:v>549.65591427422373</c:v>
                </c:pt>
                <c:pt idx="10">
                  <c:v>556.14420343489053</c:v>
                </c:pt>
                <c:pt idx="11">
                  <c:v>684.68333841982508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6-482F-BB64-138889F18411}"/>
            </c:ext>
          </c:extLst>
        </c:ser>
        <c:ser>
          <c:idx val="1"/>
          <c:order val="1"/>
          <c:tx>
            <c:v>UM-3</c:v>
          </c:tx>
          <c:spPr>
            <a:gradFill>
              <a:gsLst>
                <a:gs pos="0">
                  <a:srgbClr val="0000FF"/>
                </a:gs>
                <a:gs pos="53000">
                  <a:schemeClr val="accent1">
                    <a:lumMod val="40000"/>
                    <a:lumOff val="60000"/>
                  </a:schemeClr>
                </a:gs>
                <a:gs pos="100000">
                  <a:srgbClr val="0000FF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[0]!pvc_um3_y</c:f>
              <c:numCache>
                <c:formatCode>0.00</c:formatCode>
                <c:ptCount val="12"/>
                <c:pt idx="0">
                  <c:v>1694.0910140206981</c:v>
                </c:pt>
                <c:pt idx="1">
                  <c:v>1772.9785118565967</c:v>
                </c:pt>
                <c:pt idx="2">
                  <c:v>1706.2871107998455</c:v>
                </c:pt>
                <c:pt idx="3">
                  <c:v>1717.3183445439383</c:v>
                </c:pt>
                <c:pt idx="4">
                  <c:v>1738.2977062842256</c:v>
                </c:pt>
                <c:pt idx="5">
                  <c:v>1976.4124046806412</c:v>
                </c:pt>
                <c:pt idx="6">
                  <c:v>1952.1022737163535</c:v>
                </c:pt>
                <c:pt idx="7">
                  <c:v>1953.1262087875116</c:v>
                </c:pt>
                <c:pt idx="8">
                  <c:v>1858.3431869271501</c:v>
                </c:pt>
                <c:pt idx="9">
                  <c:v>1441.1994296808357</c:v>
                </c:pt>
                <c:pt idx="10">
                  <c:v>1383.2902010478604</c:v>
                </c:pt>
                <c:pt idx="11">
                  <c:v>1753.8570716522638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6-482F-BB64-138889F184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224953280"/>
        <c:axId val="1224950784"/>
      </c:barChart>
      <c:lineChart>
        <c:grouping val="standard"/>
        <c:varyColors val="0"/>
        <c:ser>
          <c:idx val="2"/>
          <c:order val="2"/>
          <c:tx>
            <c:v>BP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[0]!pvc_BP_y</c:f>
              <c:numCache>
                <c:formatCode>0.00</c:formatCode>
                <c:ptCount val="12"/>
                <c:pt idx="0">
                  <c:v>2332.5903129317189</c:v>
                </c:pt>
                <c:pt idx="1">
                  <c:v>2121.3990542645734</c:v>
                </c:pt>
                <c:pt idx="2">
                  <c:v>2053.1088250103103</c:v>
                </c:pt>
                <c:pt idx="3">
                  <c:v>2067.807154476769</c:v>
                </c:pt>
                <c:pt idx="4">
                  <c:v>2371.4258965582917</c:v>
                </c:pt>
                <c:pt idx="5">
                  <c:v>2710.092593137218</c:v>
                </c:pt>
                <c:pt idx="6">
                  <c:v>2691.0057233436037</c:v>
                </c:pt>
                <c:pt idx="7">
                  <c:v>2692.875560698827</c:v>
                </c:pt>
                <c:pt idx="8">
                  <c:v>2451.4463916460554</c:v>
                </c:pt>
                <c:pt idx="9">
                  <c:v>1990.8553439550594</c:v>
                </c:pt>
                <c:pt idx="10">
                  <c:v>1939.4344044827508</c:v>
                </c:pt>
                <c:pt idx="11">
                  <c:v>2438.5404100720889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06-482F-BB64-138889F184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24953280"/>
        <c:axId val="1224950784"/>
      </c:lineChart>
      <c:scatterChart>
        <c:scatterStyle val="lineMarker"/>
        <c:varyColors val="0"/>
        <c:ser>
          <c:idx val="3"/>
          <c:order val="3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xVal>
          <c:yVal>
            <c:numRef>
              <c:f>[0]!pvc_Total_y</c:f>
              <c:numCache>
                <c:formatCode>0.00</c:formatCode>
                <c:ptCount val="12"/>
                <c:pt idx="0">
                  <c:v>2332.5903129317189</c:v>
                </c:pt>
                <c:pt idx="1">
                  <c:v>2121.3990542645734</c:v>
                </c:pt>
                <c:pt idx="2">
                  <c:v>2053.1088250103103</c:v>
                </c:pt>
                <c:pt idx="3">
                  <c:v>2067.807154476769</c:v>
                </c:pt>
                <c:pt idx="4">
                  <c:v>2371.4258965582917</c:v>
                </c:pt>
                <c:pt idx="5">
                  <c:v>2710.092593137218</c:v>
                </c:pt>
                <c:pt idx="6">
                  <c:v>2691.0057233436037</c:v>
                </c:pt>
                <c:pt idx="7">
                  <c:v>2692.875560698827</c:v>
                </c:pt>
                <c:pt idx="8">
                  <c:v>2451.4463916460554</c:v>
                </c:pt>
                <c:pt idx="9">
                  <c:v>1990.8553439550594</c:v>
                </c:pt>
                <c:pt idx="10">
                  <c:v>1939.4344044827508</c:v>
                </c:pt>
                <c:pt idx="11">
                  <c:v>2438.5404100720889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6-482F-BB64-138889F184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6952880"/>
        <c:axId val="1246957040"/>
      </c:scatterChart>
      <c:dateAx>
        <c:axId val="12249532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950784"/>
        <c:crosses val="autoZero"/>
        <c:auto val="1"/>
        <c:lblOffset val="100"/>
        <c:baseTimeUnit val="months"/>
      </c:dateAx>
      <c:valAx>
        <c:axId val="122495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224953280"/>
        <c:crosses val="autoZero"/>
        <c:crossBetween val="between"/>
      </c:valAx>
      <c:valAx>
        <c:axId val="12469570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246952880"/>
        <c:crosses val="max"/>
        <c:crossBetween val="midCat"/>
      </c:valAx>
      <c:valAx>
        <c:axId val="124695288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695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Custo de Falhas da Prensa (R$)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'BLIND-PVC-PRE - Cost'!$C$6:$C$10</c:f>
              <c:strCache>
                <c:ptCount val="1"/>
                <c:pt idx="0">
                  <c:v>UM-1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50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[0]!pre_um1_y</c:f>
              <c:numCache>
                <c:formatCode>0.00</c:formatCode>
                <c:ptCount val="12"/>
                <c:pt idx="0">
                  <c:v>174.84246672344887</c:v>
                </c:pt>
                <c:pt idx="1">
                  <c:v>95.409199658686077</c:v>
                </c:pt>
                <c:pt idx="2">
                  <c:v>94.971387015200364</c:v>
                </c:pt>
                <c:pt idx="3">
                  <c:v>95.975560493390589</c:v>
                </c:pt>
                <c:pt idx="4">
                  <c:v>173.37167750766366</c:v>
                </c:pt>
                <c:pt idx="5">
                  <c:v>200.9061782129682</c:v>
                </c:pt>
                <c:pt idx="6">
                  <c:v>202.33648184678404</c:v>
                </c:pt>
                <c:pt idx="7">
                  <c:v>202.56811818875846</c:v>
                </c:pt>
                <c:pt idx="8">
                  <c:v>162.41149757172622</c:v>
                </c:pt>
                <c:pt idx="9">
                  <c:v>150.51417607622224</c:v>
                </c:pt>
                <c:pt idx="10">
                  <c:v>152.29088669062827</c:v>
                </c:pt>
                <c:pt idx="11">
                  <c:v>187.48920166073793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016-B785-6F460641034F}"/>
            </c:ext>
          </c:extLst>
        </c:ser>
        <c:ser>
          <c:idx val="1"/>
          <c:order val="1"/>
          <c:tx>
            <c:v>UM-3</c:v>
          </c:tx>
          <c:spPr>
            <a:gradFill>
              <a:gsLst>
                <a:gs pos="0">
                  <a:schemeClr val="accent5">
                    <a:lumMod val="75000"/>
                  </a:schemeClr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[0]!pre_UM3_y</c:f>
              <c:numCache>
                <c:formatCode>0.00</c:formatCode>
                <c:ptCount val="12"/>
                <c:pt idx="0">
                  <c:v>315.35037456280253</c:v>
                </c:pt>
                <c:pt idx="1">
                  <c:v>330.03506492771413</c:v>
                </c:pt>
                <c:pt idx="2">
                  <c:v>317.62064437456451</c:v>
                </c:pt>
                <c:pt idx="3">
                  <c:v>319.67407814187618</c:v>
                </c:pt>
                <c:pt idx="4">
                  <c:v>323.57932852578932</c:v>
                </c:pt>
                <c:pt idx="5">
                  <c:v>367.90372355932612</c:v>
                </c:pt>
                <c:pt idx="6">
                  <c:v>363.37845966157118</c:v>
                </c:pt>
                <c:pt idx="7">
                  <c:v>363.56906235383826</c:v>
                </c:pt>
                <c:pt idx="8">
                  <c:v>345.92546398841182</c:v>
                </c:pt>
                <c:pt idx="9">
                  <c:v>268.27530292536932</c:v>
                </c:pt>
                <c:pt idx="10">
                  <c:v>257.4956595715509</c:v>
                </c:pt>
                <c:pt idx="11">
                  <c:v>326.47566151862253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016-B785-6F460641034F}"/>
            </c:ext>
          </c:extLst>
        </c:ser>
        <c:ser>
          <c:idx val="4"/>
          <c:order val="2"/>
          <c:tx>
            <c:v>UM-4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75000"/>
                  </a:schemeClr>
                </a:gs>
              </a:gsLst>
              <a:lin ang="0" scaled="0"/>
            </a:gra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[0]!pre_UM4_y</c:f>
              <c:numCache>
                <c:formatCode>0.00</c:formatCode>
                <c:ptCount val="12"/>
                <c:pt idx="0">
                  <c:v>324.93257075733891</c:v>
                </c:pt>
                <c:pt idx="1">
                  <c:v>370.99965180481712</c:v>
                </c:pt>
                <c:pt idx="2">
                  <c:v>336.03324481197052</c:v>
                </c:pt>
                <c:pt idx="3">
                  <c:v>337.72281560936864</c:v>
                </c:pt>
                <c:pt idx="4">
                  <c:v>364.59563991010805</c:v>
                </c:pt>
                <c:pt idx="5">
                  <c:v>384.20562422648618</c:v>
                </c:pt>
                <c:pt idx="6">
                  <c:v>374.87621651715205</c:v>
                </c:pt>
                <c:pt idx="7">
                  <c:v>374.12634734663447</c:v>
                </c:pt>
                <c:pt idx="8">
                  <c:v>373.68400666928818</c:v>
                </c:pt>
                <c:pt idx="9">
                  <c:v>276.55889499580633</c:v>
                </c:pt>
                <c:pt idx="10">
                  <c:v>288.85693401766531</c:v>
                </c:pt>
                <c:pt idx="11">
                  <c:v>357.31622324802942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D2-4B4A-863A-4335B3136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4953280"/>
        <c:axId val="1224950784"/>
      </c:barChart>
      <c:lineChart>
        <c:grouping val="standard"/>
        <c:varyColors val="0"/>
        <c:ser>
          <c:idx val="2"/>
          <c:order val="3"/>
          <c:tx>
            <c:v>BP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[0]!pre_BP_y</c:f>
              <c:numCache>
                <c:formatCode>0.00</c:formatCode>
                <c:ptCount val="12"/>
                <c:pt idx="0">
                  <c:v>815.12541204359036</c:v>
                </c:pt>
                <c:pt idx="1">
                  <c:v>796.44391639121727</c:v>
                </c:pt>
                <c:pt idx="2">
                  <c:v>748.62527620173546</c:v>
                </c:pt>
                <c:pt idx="3">
                  <c:v>753.37245424463549</c:v>
                </c:pt>
                <c:pt idx="4">
                  <c:v>861.54664594356109</c:v>
                </c:pt>
                <c:pt idx="5">
                  <c:v>953.0155259987805</c:v>
                </c:pt>
                <c:pt idx="6">
                  <c:v>940.59115802550718</c:v>
                </c:pt>
                <c:pt idx="7">
                  <c:v>940.26352788923123</c:v>
                </c:pt>
                <c:pt idx="8">
                  <c:v>882.02096822942622</c:v>
                </c:pt>
                <c:pt idx="9">
                  <c:v>695.34837399739786</c:v>
                </c:pt>
                <c:pt idx="10">
                  <c:v>698.64348027984443</c:v>
                </c:pt>
                <c:pt idx="11">
                  <c:v>871.28108642738994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20-4016-B785-6F46064103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24953280"/>
        <c:axId val="1224950784"/>
      </c:lineChart>
      <c:scatterChart>
        <c:scatterStyle val="lineMarker"/>
        <c:varyColors val="0"/>
        <c:ser>
          <c:idx val="3"/>
          <c:order val="4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xVal>
          <c:yVal>
            <c:numRef>
              <c:f>[0]!pre_Total_y</c:f>
              <c:numCache>
                <c:formatCode>0.00</c:formatCode>
                <c:ptCount val="12"/>
                <c:pt idx="0">
                  <c:v>815.12541204359036</c:v>
                </c:pt>
                <c:pt idx="1">
                  <c:v>796.44391639121727</c:v>
                </c:pt>
                <c:pt idx="2">
                  <c:v>748.62527620173546</c:v>
                </c:pt>
                <c:pt idx="3">
                  <c:v>753.37245424463549</c:v>
                </c:pt>
                <c:pt idx="4">
                  <c:v>861.54664594356109</c:v>
                </c:pt>
                <c:pt idx="5">
                  <c:v>953.0155259987805</c:v>
                </c:pt>
                <c:pt idx="6">
                  <c:v>940.59115802550718</c:v>
                </c:pt>
                <c:pt idx="7">
                  <c:v>940.26352788923123</c:v>
                </c:pt>
                <c:pt idx="8">
                  <c:v>882.02096822942622</c:v>
                </c:pt>
                <c:pt idx="9">
                  <c:v>695.34837399739786</c:v>
                </c:pt>
                <c:pt idx="10">
                  <c:v>698.64348027984443</c:v>
                </c:pt>
                <c:pt idx="11">
                  <c:v>871.28108642738994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20-4016-B785-6F46064103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6952880"/>
        <c:axId val="1246957040"/>
      </c:scatterChart>
      <c:dateAx>
        <c:axId val="12249532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950784"/>
        <c:crosses val="autoZero"/>
        <c:auto val="1"/>
        <c:lblOffset val="100"/>
        <c:baseTimeUnit val="months"/>
      </c:dateAx>
      <c:valAx>
        <c:axId val="122495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224953280"/>
        <c:crosses val="autoZero"/>
        <c:crossBetween val="between"/>
      </c:valAx>
      <c:valAx>
        <c:axId val="12469570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246952880"/>
        <c:crosses val="max"/>
        <c:crossBetween val="between"/>
      </c:valAx>
      <c:catAx>
        <c:axId val="124695288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6957040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2F2F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9526</xdr:colOff>
      <xdr:row>71</xdr:row>
      <xdr:rowOff>9524</xdr:rowOff>
    </xdr:from>
    <xdr:to>
      <xdr:col>20</xdr:col>
      <xdr:colOff>19050</xdr:colOff>
      <xdr:row>91</xdr:row>
      <xdr:rowOff>76199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D45314-4DA4-420E-BE03-9FBBF8AF3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1</xdr:col>
      <xdr:colOff>709882</xdr:colOff>
      <xdr:row>67</xdr:row>
      <xdr:rowOff>17971</xdr:rowOff>
    </xdr:from>
    <xdr:to>
      <xdr:col>19</xdr:col>
      <xdr:colOff>17971</xdr:colOff>
      <xdr:row>87</xdr:row>
      <xdr:rowOff>154018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9D760FD-0B43-452D-BC15-C406CBE4F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1</xdr:col>
      <xdr:colOff>8985</xdr:colOff>
      <xdr:row>65</xdr:row>
      <xdr:rowOff>134788</xdr:rowOff>
    </xdr:from>
    <xdr:to>
      <xdr:col>19</xdr:col>
      <xdr:colOff>8986</xdr:colOff>
      <xdr:row>88</xdr:row>
      <xdr:rowOff>17971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24CF84E-8096-46CE-9112-766BFE126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1</xdr:col>
      <xdr:colOff>8985</xdr:colOff>
      <xdr:row>71</xdr:row>
      <xdr:rowOff>79612</xdr:rowOff>
    </xdr:from>
    <xdr:to>
      <xdr:col>18</xdr:col>
      <xdr:colOff>745825</xdr:colOff>
      <xdr:row>97</xdr:row>
      <xdr:rowOff>89858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457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953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1B95AA29-B79E-44E8-B9A9-96A97252EEA4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471A33FD-AC43-4F0E-9B43-10D2265DF0E5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70BDDE09-741E-4B3C-9267-CAA94D7C175B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BB500150-C3DA-48BD-8FE8-47A76B1CC75D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52AD27B6-62FE-448C-8780-EBE497173AE4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4B013E91-931F-4D63-A403-59275355101D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A4AEF315-0E36-4B1B-81CE-B6D5B1F4E962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7AD65BAE-BECE-4CF6-9B0A-77A73C4C938D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3ED02239-07FA-4742-B472-398C2CF63BE5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DE127AE2-A342-49CD-BA8D-50328324022C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A29B48A7-8C3A-4678-8BCE-844C608FB073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4</xdr:col>
      <xdr:colOff>114300</xdr:colOff>
      <xdr:row>73</xdr:row>
      <xdr:rowOff>157162</xdr:rowOff>
    </xdr:from>
    <xdr:to>
      <xdr:col>16</xdr:col>
      <xdr:colOff>742950</xdr:colOff>
      <xdr:row>96</xdr:row>
      <xdr:rowOff>142875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5ED7670-6643-4A27-9174-02AAD8DA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97</xdr:row>
      <xdr:rowOff>133350</xdr:rowOff>
    </xdr:from>
    <xdr:to>
      <xdr:col>16</xdr:col>
      <xdr:colOff>752475</xdr:colOff>
      <xdr:row>120</xdr:row>
      <xdr:rowOff>119063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A3E1073-F722-41DF-9392-83DC74C390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104775</xdr:colOff>
      <xdr:row>121</xdr:row>
      <xdr:rowOff>133350</xdr:rowOff>
    </xdr:from>
    <xdr:to>
      <xdr:col>16</xdr:col>
      <xdr:colOff>742950</xdr:colOff>
      <xdr:row>144</xdr:row>
      <xdr:rowOff>119063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18F3263-A1F7-42C2-8040-1C37D3293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PBR/FY-2021%20-%20TOTALIZA&#199;&#195;O%20DE%20PRODU&#199;&#195;O%20E%20FALHAS_PB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PBR/FY-2021%20-%20TOTALIZA&#199;&#195;O%20DE%20PRODU&#199;&#195;O%20E%20FALHAS%20-%20Foreca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2/(1)%20Quality%20Business%20Plan/1.1%20-%20Plan/BP/BP%20FY22%20-%20F&#225;brica%20Rev.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ALCALINA/05%20-%20RELATORIOS/2022-d/QC%20-%20Previs&#227;o%20FY202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PBR/Resumo%20de%20falhas%20Blindagem%20202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20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6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7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9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2)%20PREVIS&#195;O/FY-2021%20-%20PREVIS&#195;O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4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5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6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7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8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9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10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11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12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4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5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6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7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8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9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10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11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12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7%20-%20Outras%20Perdas/SJCPIL-R%2016-098-01%20-%202201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4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5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2/(1)%20Quality%20Business%20Plan/1.1%20-%20Plan/PSI/BP%20FY22%20-%20F&#225;brica%20Rev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SM - Qty"/>
      <sheetName val="SM Cost"/>
      <sheetName val="RESUMO - QLOSS-BP"/>
      <sheetName val="FY-2021 - TOTALIZAÇÃO DE PRODUÇ"/>
    </sheetNames>
    <sheetDataSet>
      <sheetData sheetId="0"/>
      <sheetData sheetId="1"/>
      <sheetData sheetId="2"/>
      <sheetData sheetId="3">
        <row r="5">
          <cell r="F5">
            <v>44287</v>
          </cell>
        </row>
        <row r="69">
          <cell r="F69">
            <v>5418.9550040078148</v>
          </cell>
          <cell r="G69">
            <v>5725.0495287425374</v>
          </cell>
          <cell r="H69">
            <v>3181.8914303949509</v>
          </cell>
          <cell r="I69">
            <v>6049.2762179302399</v>
          </cell>
          <cell r="J69">
            <v>4438.8106539213304</v>
          </cell>
          <cell r="K69">
            <v>6633.3630201919987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F70">
            <v>4605.4622694100417</v>
          </cell>
        </row>
      </sheetData>
      <sheetData sheetId="4"/>
      <sheetData sheetId="5">
        <row r="4">
          <cell r="E4">
            <v>44287</v>
          </cell>
        </row>
        <row r="65">
          <cell r="E65">
            <v>3207.0404457199993</v>
          </cell>
          <cell r="F65">
            <v>2193.8975065317213</v>
          </cell>
          <cell r="G65">
            <v>1733.2221342625007</v>
          </cell>
          <cell r="H65">
            <v>2908.3430361963897</v>
          </cell>
          <cell r="I65">
            <v>3661.0597097441869</v>
          </cell>
          <cell r="J65">
            <v>4059.0530088156697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E66">
            <v>2077.765446177159</v>
          </cell>
        </row>
      </sheetData>
      <sheetData sheetId="6"/>
      <sheetData sheetId="7">
        <row r="6">
          <cell r="E6">
            <v>44287</v>
          </cell>
        </row>
      </sheetData>
      <sheetData sheetId="8"/>
      <sheetData sheetId="9">
        <row r="5">
          <cell r="E5">
            <v>44287</v>
          </cell>
        </row>
      </sheetData>
      <sheetData sheetId="10"/>
      <sheetData sheetId="11"/>
      <sheetData sheetId="12">
        <row r="42">
          <cell r="F42">
            <v>220.1724008724</v>
          </cell>
        </row>
      </sheetData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Cascata"/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Dados do Pareto"/>
      <sheetName val="Gráfico1"/>
      <sheetName val="Gráfico3"/>
      <sheetName val="Controle de Revisões"/>
    </sheetNames>
    <sheetDataSet>
      <sheetData sheetId="0"/>
      <sheetData sheetId="1">
        <row r="5">
          <cell r="C5">
            <v>466440</v>
          </cell>
        </row>
        <row r="20">
          <cell r="D20">
            <v>467.88451780000003</v>
          </cell>
        </row>
      </sheetData>
      <sheetData sheetId="2">
        <row r="6">
          <cell r="H6">
            <v>6</v>
          </cell>
        </row>
        <row r="15">
          <cell r="N15">
            <v>203.46487250348508</v>
          </cell>
        </row>
        <row r="22">
          <cell r="N22">
            <v>100.42622236588403</v>
          </cell>
        </row>
        <row r="36">
          <cell r="N36">
            <v>123.26868968230758</v>
          </cell>
        </row>
        <row r="57">
          <cell r="N57">
            <v>260.17569178413726</v>
          </cell>
        </row>
        <row r="60">
          <cell r="N60">
            <v>320.85717605567254</v>
          </cell>
        </row>
        <row r="61">
          <cell r="I61"/>
        </row>
      </sheetData>
      <sheetData sheetId="3">
        <row r="7">
          <cell r="G7">
            <v>652.5</v>
          </cell>
        </row>
        <row r="19">
          <cell r="Y19">
            <v>851.57581519818848</v>
          </cell>
          <cell r="AA19">
            <v>1838.5066857501345</v>
          </cell>
        </row>
        <row r="37">
          <cell r="Y37">
            <v>361.21336690104084</v>
          </cell>
          <cell r="AA37">
            <v>766.94615497965947</v>
          </cell>
        </row>
        <row r="50">
          <cell r="Y50">
            <v>423.17849626951363</v>
          </cell>
          <cell r="AA50">
            <v>1119.9374483934378</v>
          </cell>
        </row>
        <row r="55">
          <cell r="Y55">
            <v>1029.1483895574513</v>
          </cell>
          <cell r="AA55">
            <v>1929.8022850390416</v>
          </cell>
        </row>
      </sheetData>
      <sheetData sheetId="4">
        <row r="7">
          <cell r="H7">
            <v>178</v>
          </cell>
        </row>
        <row r="16">
          <cell r="P16">
            <v>881.37034321509555</v>
          </cell>
        </row>
        <row r="35">
          <cell r="P35">
            <v>674.84603493293946</v>
          </cell>
        </row>
        <row r="55">
          <cell r="P55">
            <v>14.288028238276382</v>
          </cell>
        </row>
        <row r="62">
          <cell r="P62">
            <v>2190.2797302210975</v>
          </cell>
        </row>
      </sheetData>
      <sheetData sheetId="5">
        <row r="6">
          <cell r="E6">
            <v>119435</v>
          </cell>
          <cell r="N6">
            <v>175.01089999999999</v>
          </cell>
        </row>
        <row r="7">
          <cell r="N7">
            <v>175.01089999999999</v>
          </cell>
        </row>
        <row r="8">
          <cell r="N8">
            <v>175.01089999999999</v>
          </cell>
        </row>
        <row r="9">
          <cell r="N9">
            <v>175.01089999999999</v>
          </cell>
        </row>
        <row r="11">
          <cell r="N11">
            <v>60.866</v>
          </cell>
        </row>
        <row r="12">
          <cell r="N12">
            <v>60.866</v>
          </cell>
        </row>
        <row r="13">
          <cell r="N13">
            <v>60.866</v>
          </cell>
        </row>
        <row r="14">
          <cell r="N14">
            <v>60.866</v>
          </cell>
        </row>
        <row r="15">
          <cell r="N15">
            <v>60.866</v>
          </cell>
        </row>
        <row r="17">
          <cell r="N17">
            <v>60.866</v>
          </cell>
        </row>
        <row r="23">
          <cell r="N23">
            <v>14.04</v>
          </cell>
        </row>
        <row r="24">
          <cell r="N24">
            <v>14.04</v>
          </cell>
        </row>
        <row r="27">
          <cell r="N27">
            <v>1.47657127</v>
          </cell>
        </row>
        <row r="28">
          <cell r="N28">
            <v>0.40350349000000002</v>
          </cell>
        </row>
        <row r="29">
          <cell r="N29">
            <v>0.52740282999999999</v>
          </cell>
        </row>
      </sheetData>
      <sheetData sheetId="6">
        <row r="6">
          <cell r="F6">
            <v>147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</sheetNames>
    <sheetDataSet>
      <sheetData sheetId="0" refreshError="1"/>
      <sheetData sheetId="1">
        <row r="5">
          <cell r="R5">
            <v>19480822</v>
          </cell>
        </row>
        <row r="6">
          <cell r="R6">
            <v>38889654.75</v>
          </cell>
        </row>
        <row r="7">
          <cell r="R7">
            <v>129337336.25</v>
          </cell>
        </row>
        <row r="8">
          <cell r="R8">
            <v>123965577</v>
          </cell>
        </row>
        <row r="9">
          <cell r="R9">
            <v>33097980.38050025</v>
          </cell>
        </row>
        <row r="10">
          <cell r="R10">
            <v>344771370.38050026</v>
          </cell>
        </row>
        <row r="12">
          <cell r="R12">
            <v>572538.17652210058</v>
          </cell>
        </row>
        <row r="13">
          <cell r="R13">
            <v>124797.57924175065</v>
          </cell>
        </row>
        <row r="14">
          <cell r="R14">
            <v>314272.0106609253</v>
          </cell>
        </row>
        <row r="15">
          <cell r="R15">
            <v>31961.701883701884</v>
          </cell>
        </row>
        <row r="16">
          <cell r="R16">
            <v>10045.178364317426</v>
          </cell>
        </row>
        <row r="17">
          <cell r="R17">
            <v>13713</v>
          </cell>
        </row>
        <row r="18">
          <cell r="R18">
            <v>84416.6443420203</v>
          </cell>
        </row>
        <row r="19">
          <cell r="R19">
            <v>22904.511405417205</v>
          </cell>
        </row>
        <row r="20">
          <cell r="R20">
            <v>35634.622492857146</v>
          </cell>
        </row>
        <row r="21">
          <cell r="R21">
            <v>207188.16115225243</v>
          </cell>
        </row>
        <row r="22">
          <cell r="R22">
            <v>90859.544130666734</v>
          </cell>
        </row>
        <row r="23">
          <cell r="R23">
            <v>100527.96378195244</v>
          </cell>
        </row>
        <row r="24">
          <cell r="R24">
            <v>248971.66914412598</v>
          </cell>
        </row>
        <row r="25">
          <cell r="R25">
            <v>988.34534134927833</v>
          </cell>
        </row>
        <row r="26">
          <cell r="R26">
            <v>164396.42438611572</v>
          </cell>
        </row>
        <row r="27">
          <cell r="R27">
            <v>3882.040480970003</v>
          </cell>
        </row>
        <row r="28">
          <cell r="R28">
            <v>19836.222900316789</v>
          </cell>
        </row>
        <row r="29">
          <cell r="R29">
            <v>11144.238014155619</v>
          </cell>
        </row>
        <row r="30">
          <cell r="R30">
            <v>576420.21700307052</v>
          </cell>
        </row>
        <row r="31">
          <cell r="R31">
            <v>144633.80214206743</v>
          </cell>
        </row>
        <row r="32">
          <cell r="R32">
            <v>325416.24867508101</v>
          </cell>
        </row>
        <row r="33">
          <cell r="R33">
            <v>1046470.267820219</v>
          </cell>
        </row>
        <row r="34">
          <cell r="R34">
            <v>3.0352586024335556E-3</v>
          </cell>
        </row>
        <row r="35">
          <cell r="R35">
            <v>2.5999999999999999E-3</v>
          </cell>
        </row>
        <row r="36">
          <cell r="R36">
            <v>4.3525860243355573E-4</v>
          </cell>
        </row>
        <row r="39">
          <cell r="R39">
            <v>55719.880248019312</v>
          </cell>
        </row>
        <row r="40">
          <cell r="R40">
            <v>142955.77824029466</v>
          </cell>
        </row>
        <row r="41">
          <cell r="R41">
            <v>398575.6690648715</v>
          </cell>
        </row>
        <row r="42">
          <cell r="R42">
            <v>414356.43887159094</v>
          </cell>
        </row>
        <row r="43">
          <cell r="R43">
            <v>34862.501395442414</v>
          </cell>
        </row>
      </sheetData>
      <sheetData sheetId="2">
        <row r="5">
          <cell r="S5">
            <v>12300713.617029399</v>
          </cell>
        </row>
        <row r="6">
          <cell r="S6">
            <v>6638593.5580122992</v>
          </cell>
        </row>
        <row r="7">
          <cell r="S7">
            <v>21742591.631734401</v>
          </cell>
        </row>
        <row r="8">
          <cell r="S8">
            <v>10427614.7213146</v>
          </cell>
        </row>
        <row r="9">
          <cell r="S9">
            <v>11583881.500655852</v>
          </cell>
        </row>
        <row r="10">
          <cell r="S10">
            <v>62693395.028746553</v>
          </cell>
        </row>
        <row r="12">
          <cell r="S12">
            <v>99666.244396077847</v>
          </cell>
        </row>
        <row r="13">
          <cell r="S13">
            <v>38909.335096413422</v>
          </cell>
        </row>
        <row r="14">
          <cell r="S14">
            <v>58719.100773316954</v>
          </cell>
        </row>
        <row r="15">
          <cell r="S15">
            <v>24889.151802359193</v>
          </cell>
        </row>
        <row r="16">
          <cell r="S16">
            <v>11838.940988391054</v>
          </cell>
        </row>
        <row r="17">
          <cell r="S17">
            <v>6201.4362431999998</v>
          </cell>
        </row>
        <row r="18">
          <cell r="S18">
            <v>17539.55026354521</v>
          </cell>
        </row>
        <row r="19">
          <cell r="S19">
            <v>4512.6294169331704</v>
          </cell>
        </row>
        <row r="20">
          <cell r="S20">
            <v>8463.4454197506802</v>
          </cell>
        </row>
        <row r="21">
          <cell r="S21">
            <v>45301.269727245468</v>
          </cell>
        </row>
        <row r="22">
          <cell r="S22">
            <v>17697.89191175867</v>
          </cell>
        </row>
        <row r="23">
          <cell r="S23">
            <v>25127.046730314065</v>
          </cell>
        </row>
        <row r="24">
          <cell r="S24">
            <v>11936.272602927971</v>
          </cell>
        </row>
        <row r="25">
          <cell r="S25">
            <v>4859.8727793305306</v>
          </cell>
        </row>
        <row r="26">
          <cell r="S26">
            <v>18927.172380052205</v>
          </cell>
        </row>
        <row r="27">
          <cell r="S27">
            <v>2924.8316002481388</v>
          </cell>
        </row>
        <row r="28">
          <cell r="S28">
            <v>901.63510925115895</v>
          </cell>
        </row>
        <row r="29">
          <cell r="S29">
            <v>4589.5321609397997</v>
          </cell>
        </row>
        <row r="30">
          <cell r="S30">
            <v>11524.330652679848</v>
          </cell>
        </row>
        <row r="31">
          <cell r="S31">
            <v>27175.133229913728</v>
          </cell>
        </row>
        <row r="32">
          <cell r="S32">
            <v>11935.860337992555</v>
          </cell>
        </row>
        <row r="33">
          <cell r="S33">
            <v>2749.6506598189198</v>
          </cell>
        </row>
        <row r="34">
          <cell r="S34">
            <v>102591.07599632599</v>
          </cell>
        </row>
        <row r="35">
          <cell r="S35">
            <v>39810.970205664584</v>
          </cell>
        </row>
        <row r="36">
          <cell r="S36">
            <v>63308.632934256755</v>
          </cell>
        </row>
        <row r="37">
          <cell r="S37">
            <v>259095.65401665238</v>
          </cell>
        </row>
        <row r="38">
          <cell r="S38">
            <v>4.1327424347947705E-3</v>
          </cell>
        </row>
        <row r="39">
          <cell r="S39">
            <v>9.2000000000000003E-4</v>
          </cell>
        </row>
        <row r="40">
          <cell r="S40">
            <v>3.2127424347947707E-3</v>
          </cell>
        </row>
        <row r="44">
          <cell r="S44">
            <v>42929.529033950239</v>
          </cell>
        </row>
        <row r="45">
          <cell r="S45">
            <v>30515.625100229066</v>
          </cell>
        </row>
        <row r="46">
          <cell r="S46">
            <v>88126.208369318221</v>
          </cell>
        </row>
        <row r="47">
          <cell r="S47">
            <v>35723.317762310711</v>
          </cell>
        </row>
        <row r="48">
          <cell r="S48">
            <v>8415.9988704390998</v>
          </cell>
        </row>
        <row r="49">
          <cell r="S49">
            <v>8120.162911693199</v>
          </cell>
        </row>
        <row r="50">
          <cell r="S50">
            <v>23388.137766394648</v>
          </cell>
        </row>
        <row r="51">
          <cell r="S51">
            <v>2869.2472979353843</v>
          </cell>
        </row>
        <row r="52">
          <cell r="S52">
            <v>175.96739457779935</v>
          </cell>
        </row>
        <row r="53">
          <cell r="S53">
            <v>542.40266824242576</v>
          </cell>
        </row>
        <row r="54">
          <cell r="S54">
            <v>146.1645931840433</v>
          </cell>
        </row>
        <row r="55">
          <cell r="S55">
            <v>218.49056193697447</v>
          </cell>
        </row>
        <row r="56">
          <cell r="S56">
            <v>1758.8183139489199</v>
          </cell>
        </row>
        <row r="57">
          <cell r="S57">
            <v>8415.9988704390998</v>
          </cell>
        </row>
      </sheetData>
      <sheetData sheetId="3">
        <row r="6">
          <cell r="AA6">
            <v>39</v>
          </cell>
        </row>
        <row r="7">
          <cell r="AA7">
            <v>73</v>
          </cell>
        </row>
        <row r="8">
          <cell r="AA8">
            <v>812</v>
          </cell>
        </row>
        <row r="9">
          <cell r="AA9">
            <v>3</v>
          </cell>
        </row>
        <row r="10">
          <cell r="AA10">
            <v>2</v>
          </cell>
        </row>
        <row r="11">
          <cell r="AA11">
            <v>10</v>
          </cell>
        </row>
        <row r="12">
          <cell r="AA12">
            <v>28</v>
          </cell>
        </row>
        <row r="13">
          <cell r="AA13">
            <v>4</v>
          </cell>
        </row>
        <row r="14">
          <cell r="AA14">
            <v>20</v>
          </cell>
        </row>
        <row r="15">
          <cell r="AA15">
            <v>996</v>
          </cell>
        </row>
        <row r="16">
          <cell r="AA16">
            <v>9004</v>
          </cell>
        </row>
        <row r="17">
          <cell r="AA17">
            <v>35</v>
          </cell>
        </row>
        <row r="18">
          <cell r="AA18">
            <v>8</v>
          </cell>
        </row>
        <row r="19">
          <cell r="AA19">
            <v>1443</v>
          </cell>
        </row>
        <row r="20">
          <cell r="AA20">
            <v>0</v>
          </cell>
        </row>
        <row r="21">
          <cell r="AA21">
            <v>3018</v>
          </cell>
        </row>
        <row r="22">
          <cell r="AA22">
            <v>9040</v>
          </cell>
        </row>
        <row r="23">
          <cell r="AA23">
            <v>1</v>
          </cell>
        </row>
        <row r="24">
          <cell r="AA24">
            <v>30</v>
          </cell>
        </row>
        <row r="25">
          <cell r="AA25">
            <v>134</v>
          </cell>
        </row>
        <row r="26">
          <cell r="AA26">
            <v>25</v>
          </cell>
        </row>
        <row r="27">
          <cell r="AA27">
            <v>28</v>
          </cell>
        </row>
        <row r="28">
          <cell r="AA28">
            <v>53</v>
          </cell>
        </row>
        <row r="29">
          <cell r="AA29">
            <v>9</v>
          </cell>
        </row>
        <row r="30">
          <cell r="AA30">
            <v>6</v>
          </cell>
        </row>
        <row r="31">
          <cell r="AA31">
            <v>62</v>
          </cell>
        </row>
        <row r="32">
          <cell r="AA32">
            <v>18</v>
          </cell>
        </row>
        <row r="33">
          <cell r="AA33">
            <v>15</v>
          </cell>
        </row>
        <row r="34">
          <cell r="AA34">
            <v>55</v>
          </cell>
        </row>
        <row r="35">
          <cell r="AA35">
            <v>1</v>
          </cell>
        </row>
        <row r="36">
          <cell r="AA36">
            <v>444</v>
          </cell>
        </row>
        <row r="37">
          <cell r="AA37">
            <v>6</v>
          </cell>
        </row>
        <row r="38">
          <cell r="AA38">
            <v>3</v>
          </cell>
        </row>
        <row r="39">
          <cell r="AA39">
            <v>2</v>
          </cell>
        </row>
        <row r="40">
          <cell r="AA40">
            <v>2</v>
          </cell>
        </row>
        <row r="41">
          <cell r="AA41">
            <v>18</v>
          </cell>
        </row>
        <row r="42">
          <cell r="AA42">
            <v>16</v>
          </cell>
        </row>
        <row r="43">
          <cell r="AA43">
            <v>12</v>
          </cell>
        </row>
        <row r="44">
          <cell r="AA44">
            <v>6</v>
          </cell>
        </row>
        <row r="45">
          <cell r="AA45">
            <v>3</v>
          </cell>
        </row>
        <row r="46">
          <cell r="AA46">
            <v>47</v>
          </cell>
        </row>
        <row r="47">
          <cell r="AA47">
            <v>4</v>
          </cell>
        </row>
        <row r="48">
          <cell r="AA48">
            <v>74</v>
          </cell>
        </row>
        <row r="49">
          <cell r="AA49">
            <v>5</v>
          </cell>
        </row>
        <row r="50">
          <cell r="AA50">
            <v>19</v>
          </cell>
        </row>
        <row r="51">
          <cell r="AA51">
            <v>44</v>
          </cell>
        </row>
        <row r="52">
          <cell r="AA52">
            <v>50</v>
          </cell>
        </row>
        <row r="53">
          <cell r="AA53">
            <v>142</v>
          </cell>
        </row>
        <row r="54">
          <cell r="AA54">
            <v>86</v>
          </cell>
        </row>
        <row r="55">
          <cell r="AA55">
            <v>14602</v>
          </cell>
        </row>
        <row r="56">
          <cell r="AA56">
            <v>21511</v>
          </cell>
        </row>
        <row r="57">
          <cell r="AA57">
            <v>468.53324118981391</v>
          </cell>
        </row>
        <row r="58">
          <cell r="AA58">
            <v>307.15965034611418</v>
          </cell>
        </row>
        <row r="59">
          <cell r="AA59">
            <v>49.569461164530473</v>
          </cell>
        </row>
        <row r="60">
          <cell r="AA60">
            <v>808.38359071679315</v>
          </cell>
        </row>
        <row r="61">
          <cell r="AA61">
            <v>1951.9732464930346</v>
          </cell>
        </row>
      </sheetData>
      <sheetData sheetId="4" refreshError="1"/>
      <sheetData sheetId="5">
        <row r="7">
          <cell r="Z7">
            <v>128.7658091992505</v>
          </cell>
        </row>
        <row r="8">
          <cell r="Z8">
            <v>47.614464777398211</v>
          </cell>
        </row>
        <row r="9">
          <cell r="Z9">
            <v>61.708280993521669</v>
          </cell>
        </row>
        <row r="10">
          <cell r="Z10">
            <v>259.80130162588819</v>
          </cell>
        </row>
        <row r="11">
          <cell r="Z11">
            <v>44.537351663406653</v>
          </cell>
        </row>
        <row r="12">
          <cell r="Z12">
            <v>36.716430839182394</v>
          </cell>
        </row>
        <row r="13">
          <cell r="Z13">
            <v>233.4506216508062</v>
          </cell>
        </row>
        <row r="14">
          <cell r="Z14">
            <v>78.119484278602371</v>
          </cell>
        </row>
        <row r="15">
          <cell r="Z15">
            <v>389.05237403654462</v>
          </cell>
        </row>
        <row r="16">
          <cell r="Z16">
            <v>4654.1257296705762</v>
          </cell>
        </row>
        <row r="17">
          <cell r="Z17">
            <v>460.1951056351536</v>
          </cell>
        </row>
        <row r="18">
          <cell r="Z18">
            <v>0.57762104948599413</v>
          </cell>
        </row>
        <row r="19">
          <cell r="Z19">
            <v>1281.4201932412161</v>
          </cell>
        </row>
        <row r="20">
          <cell r="Z20">
            <v>16.622053538264431</v>
          </cell>
        </row>
        <row r="21">
          <cell r="Z21">
            <v>13.099713806045042</v>
          </cell>
        </row>
        <row r="22">
          <cell r="Z22">
            <v>4.5109137656639353</v>
          </cell>
        </row>
        <row r="23">
          <cell r="Z23">
            <v>52.532280356899093</v>
          </cell>
        </row>
        <row r="24">
          <cell r="Z24">
            <v>1.8131268177310842</v>
          </cell>
        </row>
        <row r="25">
          <cell r="Z25">
            <v>44.515680098241646</v>
          </cell>
        </row>
        <row r="26">
          <cell r="Z26">
            <v>25.421249883564194</v>
          </cell>
        </row>
        <row r="27">
          <cell r="Z27">
            <v>2.0424329381458231</v>
          </cell>
        </row>
        <row r="28">
          <cell r="Z28">
            <v>83.129982843640519</v>
          </cell>
        </row>
        <row r="29">
          <cell r="Z29">
            <v>2.7092713350435185</v>
          </cell>
        </row>
        <row r="30">
          <cell r="Z30">
            <v>3.8536515966846636</v>
          </cell>
        </row>
        <row r="31">
          <cell r="Z31">
            <v>60.394109069269234</v>
          </cell>
        </row>
        <row r="32">
          <cell r="Z32">
            <v>114.81198850169588</v>
          </cell>
        </row>
        <row r="33">
          <cell r="Z33">
            <v>8.6133546775709551</v>
          </cell>
        </row>
        <row r="34">
          <cell r="Z34">
            <v>8.6874527993676907</v>
          </cell>
        </row>
        <row r="35">
          <cell r="Z35">
            <v>69.943122893628441</v>
          </cell>
        </row>
        <row r="36">
          <cell r="Z36">
            <v>61.803095534311439</v>
          </cell>
        </row>
        <row r="37">
          <cell r="Z37">
            <v>574.50348045576766</v>
          </cell>
        </row>
        <row r="38">
          <cell r="Z38">
            <v>3.206825241192917</v>
          </cell>
        </row>
        <row r="39">
          <cell r="Z39">
            <v>0.97305557516003394</v>
          </cell>
        </row>
        <row r="40">
          <cell r="Z40">
            <v>32.717835502595854</v>
          </cell>
        </row>
        <row r="41">
          <cell r="Z41">
            <v>16.735384004900425</v>
          </cell>
        </row>
        <row r="42">
          <cell r="Z42">
            <v>17.861639126864368</v>
          </cell>
        </row>
        <row r="43">
          <cell r="Z43">
            <v>18.491705744725706</v>
          </cell>
        </row>
        <row r="44">
          <cell r="Z44">
            <v>53.221537599620277</v>
          </cell>
        </row>
        <row r="45">
          <cell r="Z45">
            <v>59.312375006200824</v>
          </cell>
        </row>
        <row r="46">
          <cell r="Z46">
            <v>6.0691203133111333</v>
          </cell>
        </row>
        <row r="47">
          <cell r="Z47">
            <v>86.555226463970143</v>
          </cell>
        </row>
        <row r="48">
          <cell r="Z48">
            <v>112.71023592106879</v>
          </cell>
        </row>
        <row r="49">
          <cell r="Z49">
            <v>95.707186177065964</v>
          </cell>
        </row>
        <row r="50">
          <cell r="Z50">
            <v>503.56212667667643</v>
          </cell>
        </row>
        <row r="51">
          <cell r="Z51">
            <v>674.46311558287061</v>
          </cell>
        </row>
        <row r="52">
          <cell r="Z52">
            <v>108.97408454791378</v>
          </cell>
        </row>
        <row r="53">
          <cell r="Z53">
            <v>0</v>
          </cell>
        </row>
        <row r="54">
          <cell r="Z54">
            <v>14613.144004564827</v>
          </cell>
        </row>
        <row r="55">
          <cell r="Z55">
            <v>783.4372001307845</v>
          </cell>
        </row>
        <row r="56">
          <cell r="Z56">
            <v>0</v>
          </cell>
        </row>
        <row r="57">
          <cell r="Z57">
            <v>3602.0416530124694</v>
          </cell>
        </row>
      </sheetData>
      <sheetData sheetId="6" refreshError="1"/>
      <sheetData sheetId="7">
        <row r="7">
          <cell r="Z7">
            <v>125.8486745747057</v>
          </cell>
        </row>
        <row r="8">
          <cell r="Z8">
            <v>43.434088477220399</v>
          </cell>
        </row>
        <row r="9">
          <cell r="Z9">
            <v>40.130026725290833</v>
          </cell>
        </row>
        <row r="10">
          <cell r="Z10">
            <v>230.16542341742658</v>
          </cell>
        </row>
        <row r="11">
          <cell r="Z11">
            <v>34.99790601644154</v>
          </cell>
        </row>
        <row r="12">
          <cell r="Z12">
            <v>26.612987952075841</v>
          </cell>
        </row>
        <row r="13">
          <cell r="Z13">
            <v>260.37021591091559</v>
          </cell>
        </row>
        <row r="14">
          <cell r="Z14">
            <v>85.569345804223403</v>
          </cell>
        </row>
        <row r="15">
          <cell r="Z15">
            <v>143.44767310619184</v>
          </cell>
        </row>
        <row r="16">
          <cell r="Z16">
            <v>4965.5690387042778</v>
          </cell>
        </row>
        <row r="17">
          <cell r="Z17">
            <v>515.67089650065054</v>
          </cell>
        </row>
        <row r="18">
          <cell r="Z18">
            <v>0</v>
          </cell>
        </row>
        <row r="19">
          <cell r="Z19">
            <v>992.7003743097921</v>
          </cell>
        </row>
        <row r="20">
          <cell r="Z20">
            <v>18.078622542295637</v>
          </cell>
        </row>
        <row r="21">
          <cell r="Z21">
            <v>9.5573810188990773</v>
          </cell>
        </row>
        <row r="22">
          <cell r="Z22">
            <v>9.9974040609287016</v>
          </cell>
        </row>
        <row r="23">
          <cell r="Z23">
            <v>47.215368807492517</v>
          </cell>
        </row>
        <row r="24">
          <cell r="Z24">
            <v>4.8774535461344541</v>
          </cell>
        </row>
        <row r="25">
          <cell r="Z25">
            <v>9.1856259631184258</v>
          </cell>
        </row>
        <row r="26">
          <cell r="Z26">
            <v>2.609786452627576</v>
          </cell>
        </row>
        <row r="27">
          <cell r="Z27">
            <v>0.1346561969170022</v>
          </cell>
        </row>
        <row r="28">
          <cell r="Z28">
            <v>79.629640420652549</v>
          </cell>
        </row>
        <row r="29">
          <cell r="Z29">
            <v>0.21058019598540123</v>
          </cell>
        </row>
        <row r="30">
          <cell r="Z30">
            <v>22.616599720663977</v>
          </cell>
        </row>
        <row r="31">
          <cell r="Z31">
            <v>29.739533261718613</v>
          </cell>
        </row>
        <row r="32">
          <cell r="Z32">
            <v>24.162005960926862</v>
          </cell>
        </row>
        <row r="33">
          <cell r="Z33">
            <v>0.56076154358404895</v>
          </cell>
        </row>
        <row r="34">
          <cell r="Z34">
            <v>32.524937521154648</v>
          </cell>
        </row>
        <row r="35">
          <cell r="Z35">
            <v>23.76923337809761</v>
          </cell>
        </row>
        <row r="36">
          <cell r="Z36">
            <v>62.072266192785911</v>
          </cell>
        </row>
        <row r="37">
          <cell r="Z37">
            <v>376.94185678398304</v>
          </cell>
        </row>
        <row r="38">
          <cell r="Z38">
            <v>3.1356196438072304</v>
          </cell>
        </row>
        <row r="39">
          <cell r="Z39">
            <v>3.1375550066607483</v>
          </cell>
        </row>
        <row r="40">
          <cell r="Z40">
            <v>68.172035709930057</v>
          </cell>
        </row>
        <row r="41">
          <cell r="Z41">
            <v>5.9249433051657903</v>
          </cell>
        </row>
        <row r="42">
          <cell r="Z42">
            <v>19.460450610111003</v>
          </cell>
        </row>
        <row r="43">
          <cell r="Z43">
            <v>14.590095123345826</v>
          </cell>
        </row>
        <row r="44">
          <cell r="Z44">
            <v>51.380128685343465</v>
          </cell>
        </row>
        <row r="45">
          <cell r="Z45">
            <v>21.18047227908874</v>
          </cell>
        </row>
        <row r="46">
          <cell r="Z46">
            <v>13.007995794732985</v>
          </cell>
        </row>
        <row r="47">
          <cell r="Z47">
            <v>119.90652013962435</v>
          </cell>
        </row>
        <row r="48">
          <cell r="Z48">
            <v>197.2617075189014</v>
          </cell>
        </row>
        <row r="49">
          <cell r="Z49">
            <v>83.480408617280773</v>
          </cell>
        </row>
        <row r="50">
          <cell r="Z50">
            <v>600.63793243399232</v>
          </cell>
        </row>
        <row r="51">
          <cell r="Z51">
            <v>608.6716964821768</v>
          </cell>
        </row>
        <row r="52">
          <cell r="Z52">
            <v>55.880485630428993</v>
          </cell>
        </row>
        <row r="53">
          <cell r="Z53">
            <v>0</v>
          </cell>
        </row>
        <row r="54">
          <cell r="Z54">
            <v>14724.271924911849</v>
          </cell>
        </row>
        <row r="55">
          <cell r="Z55">
            <v>664.55218211260581</v>
          </cell>
        </row>
        <row r="56">
          <cell r="Z56">
            <v>0</v>
          </cell>
        </row>
        <row r="57">
          <cell r="Z57">
            <v>3148.3792098157232</v>
          </cell>
        </row>
      </sheetData>
      <sheetData sheetId="8" refreshError="1"/>
      <sheetData sheetId="9">
        <row r="6">
          <cell r="Z6">
            <v>49.753288060956649</v>
          </cell>
        </row>
        <row r="7">
          <cell r="Z7">
            <v>46.246099352610166</v>
          </cell>
        </row>
        <row r="8">
          <cell r="Z8">
            <v>9.0228925112452778</v>
          </cell>
        </row>
        <row r="9">
          <cell r="Z9">
            <v>142.14200960651675</v>
          </cell>
        </row>
        <row r="10">
          <cell r="Z10">
            <v>10.701436790165161</v>
          </cell>
        </row>
        <row r="11">
          <cell r="Z11">
            <v>1.7616141102668739</v>
          </cell>
        </row>
        <row r="12">
          <cell r="Z12">
            <v>11.497073923282965</v>
          </cell>
        </row>
        <row r="13">
          <cell r="Z13">
            <v>391.52458898136757</v>
          </cell>
        </row>
        <row r="14">
          <cell r="Z14">
            <v>3.586757714618571</v>
          </cell>
        </row>
        <row r="15">
          <cell r="Z15">
            <v>294.25576373290346</v>
          </cell>
        </row>
        <row r="16">
          <cell r="Z16">
            <v>2.0691227855939395E-2</v>
          </cell>
        </row>
        <row r="17">
          <cell r="Z17">
            <v>896.27715807970947</v>
          </cell>
        </row>
        <row r="18">
          <cell r="Z18">
            <v>0</v>
          </cell>
        </row>
        <row r="19">
          <cell r="Z19">
            <v>5.9074581797431677E-2</v>
          </cell>
        </row>
        <row r="20">
          <cell r="Z20">
            <v>0</v>
          </cell>
        </row>
        <row r="21">
          <cell r="Z21">
            <v>9.7698554307816003</v>
          </cell>
        </row>
        <row r="22">
          <cell r="Z22">
            <v>53.858829244377091</v>
          </cell>
        </row>
        <row r="23">
          <cell r="Z23">
            <v>8.6457072786097058E-2</v>
          </cell>
        </row>
        <row r="24">
          <cell r="Z24">
            <v>1.0889265122148644</v>
          </cell>
        </row>
        <row r="25">
          <cell r="Z25">
            <v>6.4138833563395725E-2</v>
          </cell>
        </row>
        <row r="26">
          <cell r="Z26">
            <v>0.11982224511917147</v>
          </cell>
        </row>
        <row r="27">
          <cell r="Z27">
            <v>0.12482178718516806</v>
          </cell>
        </row>
        <row r="28">
          <cell r="Z28">
            <v>33.001990191830927</v>
          </cell>
        </row>
        <row r="29">
          <cell r="Z29">
            <v>2.4706912490445885</v>
          </cell>
        </row>
        <row r="30">
          <cell r="Z30">
            <v>0.48891942417449058</v>
          </cell>
        </row>
        <row r="31">
          <cell r="Z31">
            <v>5.3845165795249361</v>
          </cell>
        </row>
        <row r="32">
          <cell r="Z32">
            <v>0</v>
          </cell>
        </row>
        <row r="33">
          <cell r="Z33">
            <v>12.669417879923891</v>
          </cell>
        </row>
        <row r="34">
          <cell r="Z34">
            <v>246.49098908585751</v>
          </cell>
        </row>
        <row r="35">
          <cell r="Z35">
            <v>0.5517660761583838</v>
          </cell>
        </row>
        <row r="36">
          <cell r="Z36">
            <v>1.8661705280025052E-2</v>
          </cell>
        </row>
        <row r="37">
          <cell r="Z37">
            <v>4.6554308258657494E-3</v>
          </cell>
        </row>
        <row r="38">
          <cell r="Z38">
            <v>2.8081241672986413E-2</v>
          </cell>
        </row>
        <row r="39">
          <cell r="Z39">
            <v>0.35925042998407009</v>
          </cell>
        </row>
        <row r="40">
          <cell r="Z40">
            <v>0.36758670780279473</v>
          </cell>
        </row>
        <row r="41">
          <cell r="Z41">
            <v>0</v>
          </cell>
        </row>
        <row r="42">
          <cell r="Z42">
            <v>0</v>
          </cell>
        </row>
        <row r="43">
          <cell r="Z43">
            <v>0</v>
          </cell>
        </row>
        <row r="44">
          <cell r="Z44">
            <v>0</v>
          </cell>
        </row>
        <row r="45">
          <cell r="Z45">
            <v>0</v>
          </cell>
        </row>
        <row r="46">
          <cell r="Z46">
            <v>0</v>
          </cell>
        </row>
        <row r="47">
          <cell r="Z47">
            <v>0</v>
          </cell>
        </row>
        <row r="48">
          <cell r="Z48">
            <v>0</v>
          </cell>
        </row>
        <row r="49">
          <cell r="Z49">
            <v>2.5045132750504955</v>
          </cell>
        </row>
        <row r="50">
          <cell r="Z50">
            <v>0.32680377778452863</v>
          </cell>
        </row>
        <row r="51">
          <cell r="Z51">
            <v>0.40877356184797781</v>
          </cell>
        </row>
        <row r="52">
          <cell r="Z52">
            <v>0.22042499650990821</v>
          </cell>
        </row>
        <row r="53">
          <cell r="Z53">
            <v>2.107403233125805</v>
          </cell>
        </row>
        <row r="54">
          <cell r="Z54">
            <v>3.4371256696012713</v>
          </cell>
        </row>
        <row r="55">
          <cell r="Z55">
            <v>328.46519772758239</v>
          </cell>
        </row>
        <row r="56">
          <cell r="Z56">
            <v>13.616968517648694</v>
          </cell>
        </row>
        <row r="57">
          <cell r="Z57">
            <v>1040.9004120724787</v>
          </cell>
        </row>
        <row r="58">
          <cell r="Z58">
            <v>41.460197314317895</v>
          </cell>
        </row>
        <row r="59">
          <cell r="Z59">
            <v>2.7353803225551886E-2</v>
          </cell>
        </row>
        <row r="60">
          <cell r="Z60">
            <v>3.4354251053342542</v>
          </cell>
        </row>
        <row r="61">
          <cell r="Z61">
            <v>1133.8546252249439</v>
          </cell>
        </row>
        <row r="62">
          <cell r="Z62">
            <v>0</v>
          </cell>
        </row>
      </sheetData>
      <sheetData sheetId="10" refreshError="1"/>
      <sheetData sheetId="11">
        <row r="6">
          <cell r="X6">
            <v>29.559127720818633</v>
          </cell>
        </row>
        <row r="7">
          <cell r="X7">
            <v>153.87190520732938</v>
          </cell>
        </row>
        <row r="8">
          <cell r="X8">
            <v>204.20831711717804</v>
          </cell>
        </row>
        <row r="9">
          <cell r="X9">
            <v>219.70325698043069</v>
          </cell>
        </row>
        <row r="10">
          <cell r="X10">
            <v>549.79883181668049</v>
          </cell>
        </row>
        <row r="11">
          <cell r="X11">
            <v>435.0386339445455</v>
          </cell>
        </row>
        <row r="12">
          <cell r="X12">
            <v>676.12425839316234</v>
          </cell>
        </row>
        <row r="13">
          <cell r="X13">
            <v>430.10157929177115</v>
          </cell>
        </row>
        <row r="14">
          <cell r="X14">
            <v>545.18760368015887</v>
          </cell>
        </row>
        <row r="15">
          <cell r="X15">
            <v>947.17235082557272</v>
          </cell>
        </row>
        <row r="16">
          <cell r="X16">
            <v>569.21614968067342</v>
          </cell>
        </row>
        <row r="17">
          <cell r="X17">
            <v>400.08940302403187</v>
          </cell>
        </row>
        <row r="18">
          <cell r="X18">
            <v>374.23357160413588</v>
          </cell>
        </row>
        <row r="19">
          <cell r="X19">
            <v>516.40370228806171</v>
          </cell>
        </row>
        <row r="20">
          <cell r="X20">
            <v>448.98866314398612</v>
          </cell>
        </row>
        <row r="21">
          <cell r="X21">
            <v>231.12716414357988</v>
          </cell>
        </row>
        <row r="22">
          <cell r="X22">
            <v>0</v>
          </cell>
        </row>
        <row r="23">
          <cell r="X23">
            <v>38648.658034234126</v>
          </cell>
        </row>
        <row r="24">
          <cell r="X24">
            <v>32522.187660837848</v>
          </cell>
        </row>
        <row r="25">
          <cell r="X25">
            <v>0</v>
          </cell>
        </row>
        <row r="26">
          <cell r="X26">
            <v>0</v>
          </cell>
        </row>
        <row r="27">
          <cell r="X27">
            <v>8.2103486304189607E-2</v>
          </cell>
        </row>
        <row r="28">
          <cell r="X28">
            <v>5.5692541348488847E-2</v>
          </cell>
        </row>
        <row r="29">
          <cell r="X29">
            <v>6.2503380669361841E-2</v>
          </cell>
        </row>
        <row r="30">
          <cell r="X30">
            <v>0</v>
          </cell>
        </row>
      </sheetData>
      <sheetData sheetId="12" refreshError="1"/>
      <sheetData sheetId="13">
        <row r="6">
          <cell r="X6">
            <v>1982.167394857315</v>
          </cell>
        </row>
        <row r="7">
          <cell r="X7">
            <v>1240.8793869240153</v>
          </cell>
        </row>
        <row r="8">
          <cell r="X8">
            <v>215.82612416535565</v>
          </cell>
        </row>
        <row r="10">
          <cell r="X10">
            <v>1154.1499790053558</v>
          </cell>
        </row>
        <row r="11">
          <cell r="X11">
            <v>1181.8667784385407</v>
          </cell>
        </row>
        <row r="12">
          <cell r="X12">
            <v>0</v>
          </cell>
        </row>
        <row r="14">
          <cell r="X14">
            <v>1852.201337971986</v>
          </cell>
        </row>
        <row r="15">
          <cell r="X15">
            <v>1852.201337971986</v>
          </cell>
        </row>
        <row r="16">
          <cell r="X16">
            <v>126.73305983531921</v>
          </cell>
        </row>
        <row r="18">
          <cell r="X18">
            <v>2098.6976256383327</v>
          </cell>
        </row>
        <row r="19">
          <cell r="X19">
            <v>1948.1009632434987</v>
          </cell>
        </row>
        <row r="20">
          <cell r="X20">
            <v>276.78603919189709</v>
          </cell>
        </row>
        <row r="22">
          <cell r="X22">
            <v>1015.3514278884961</v>
          </cell>
        </row>
        <row r="23">
          <cell r="X23">
            <v>862.52955842424694</v>
          </cell>
        </row>
        <row r="24">
          <cell r="X24">
            <v>0</v>
          </cell>
        </row>
        <row r="26">
          <cell r="X26">
            <v>1201.9037341044134</v>
          </cell>
        </row>
        <row r="27">
          <cell r="X27">
            <v>1093.4778499005322</v>
          </cell>
        </row>
        <row r="28">
          <cell r="X28">
            <v>21.987091606033932</v>
          </cell>
        </row>
        <row r="31">
          <cell r="X31">
            <v>1273.6757349597747</v>
          </cell>
        </row>
        <row r="32">
          <cell r="X32">
            <v>1241.8948495354789</v>
          </cell>
        </row>
        <row r="33">
          <cell r="X33">
            <v>23.268148257073818</v>
          </cell>
        </row>
        <row r="35">
          <cell r="X35">
            <v>419.12229004420124</v>
          </cell>
        </row>
        <row r="37">
          <cell r="X37">
            <v>262.96310044413394</v>
          </cell>
        </row>
        <row r="47">
          <cell r="W47">
            <v>0</v>
          </cell>
        </row>
        <row r="48">
          <cell r="W48">
            <v>0</v>
          </cell>
        </row>
        <row r="49">
          <cell r="W49">
            <v>1976</v>
          </cell>
        </row>
        <row r="50">
          <cell r="W50">
            <v>106</v>
          </cell>
        </row>
        <row r="51">
          <cell r="W51">
            <v>2082</v>
          </cell>
        </row>
        <row r="52">
          <cell r="W52">
            <v>2081.6362152748425</v>
          </cell>
        </row>
        <row r="54">
          <cell r="W54">
            <v>202</v>
          </cell>
        </row>
        <row r="55">
          <cell r="W55">
            <v>16</v>
          </cell>
        </row>
        <row r="56">
          <cell r="W56">
            <v>930</v>
          </cell>
        </row>
        <row r="57">
          <cell r="W57">
            <v>36</v>
          </cell>
        </row>
        <row r="58">
          <cell r="W58">
            <v>1185</v>
          </cell>
        </row>
        <row r="59">
          <cell r="W59">
            <v>1184.6619636031514</v>
          </cell>
        </row>
        <row r="61">
          <cell r="W61">
            <v>3</v>
          </cell>
        </row>
        <row r="62">
          <cell r="W62">
            <v>2</v>
          </cell>
        </row>
        <row r="63">
          <cell r="W63">
            <v>936</v>
          </cell>
        </row>
        <row r="64">
          <cell r="W64">
            <v>14</v>
          </cell>
        </row>
        <row r="65">
          <cell r="W65">
            <v>955</v>
          </cell>
        </row>
        <row r="66">
          <cell r="W66">
            <v>955.25641690865291</v>
          </cell>
        </row>
      </sheetData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Rev.2) BP22 (2)"/>
      <sheetName val="PRODUCTION (Rev.1) BP22"/>
      <sheetName val="Internal Price - BP2022"/>
    </sheetNames>
    <sheetDataSet>
      <sheetData sheetId="0">
        <row r="108">
          <cell r="B108">
            <v>1442218.0025000002</v>
          </cell>
          <cell r="C108">
            <v>786999.10800000001</v>
          </cell>
          <cell r="D108">
            <v>783387.73550000007</v>
          </cell>
          <cell r="E108">
            <v>791670.83225000009</v>
          </cell>
          <cell r="F108">
            <v>1430085.946</v>
          </cell>
          <cell r="G108">
            <v>1657208.9862499998</v>
          </cell>
          <cell r="H108">
            <v>1669007.0904999999</v>
          </cell>
          <cell r="I108">
            <v>1670917.7825</v>
          </cell>
          <cell r="J108">
            <v>1339679.0264999999</v>
          </cell>
          <cell r="K108">
            <v>1241541.9345</v>
          </cell>
          <cell r="L108">
            <v>1256197.436</v>
          </cell>
          <cell r="M108">
            <v>1546536.7594999999</v>
          </cell>
        </row>
        <row r="109">
          <cell r="B109">
            <v>14032951.3575</v>
          </cell>
          <cell r="C109">
            <v>14686413.544999998</v>
          </cell>
          <cell r="D109">
            <v>14133977.354000002</v>
          </cell>
          <cell r="E109">
            <v>14225354.243000001</v>
          </cell>
          <cell r="F109">
            <v>14399136.147499997</v>
          </cell>
          <cell r="G109">
            <v>16371552.004999999</v>
          </cell>
          <cell r="H109">
            <v>16170179.775</v>
          </cell>
          <cell r="I109">
            <v>16178661.51</v>
          </cell>
          <cell r="J109">
            <v>15393529.233000001</v>
          </cell>
          <cell r="K109">
            <v>11938131.615000002</v>
          </cell>
          <cell r="L109">
            <v>11458442.281999998</v>
          </cell>
          <cell r="M109">
            <v>14528021.676999999</v>
          </cell>
        </row>
        <row r="110">
          <cell r="B110">
            <v>9857057.3350800052</v>
          </cell>
          <cell r="C110">
            <v>11254534.534999996</v>
          </cell>
          <cell r="D110">
            <v>10193804.064900002</v>
          </cell>
          <cell r="E110">
            <v>10245058.379550003</v>
          </cell>
          <cell r="F110">
            <v>11060264.3445</v>
          </cell>
          <cell r="G110">
            <v>11655146.96675</v>
          </cell>
          <cell r="H110">
            <v>11372132.843299998</v>
          </cell>
          <cell r="I110">
            <v>11349385.0363</v>
          </cell>
          <cell r="J110">
            <v>11335966.321739998</v>
          </cell>
          <cell r="K110">
            <v>8389607.9674200006</v>
          </cell>
          <cell r="L110">
            <v>8762677.6029599998</v>
          </cell>
          <cell r="M110">
            <v>10839438.13666</v>
          </cell>
        </row>
        <row r="111">
          <cell r="B111">
            <v>2866874.4319000007</v>
          </cell>
          <cell r="C111">
            <v>3185354.3056000001</v>
          </cell>
          <cell r="D111">
            <v>3093608.6620000005</v>
          </cell>
          <cell r="E111">
            <v>3151055.1489999997</v>
          </cell>
          <cell r="F111">
            <v>3141480.7345000003</v>
          </cell>
          <cell r="G111">
            <v>3469465.8730000006</v>
          </cell>
          <cell r="H111">
            <v>3542507.2598000006</v>
          </cell>
          <cell r="I111">
            <v>3579027.9532000008</v>
          </cell>
          <cell r="J111">
            <v>3319138.7550000004</v>
          </cell>
          <cell r="K111">
            <v>2144673.8849999998</v>
          </cell>
          <cell r="L111">
            <v>2440418.0299999998</v>
          </cell>
          <cell r="M111">
            <v>3089352.807000001</v>
          </cell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P - ORIGINAL"/>
      <sheetName val="PROCSQUALIDADE"/>
      <sheetName val="CUSTO POR PROCESSO"/>
      <sheetName val="MONTAGEM"/>
      <sheetName val="ACABAMENTO"/>
      <sheetName val="COLETOR"/>
      <sheetName val="TOTAL"/>
      <sheetName val="Resumo de VA"/>
    </sheetNames>
    <sheetDataSet>
      <sheetData sheetId="0">
        <row r="4">
          <cell r="E4">
            <v>44652</v>
          </cell>
          <cell r="F4"/>
          <cell r="G4"/>
          <cell r="H4">
            <v>44682</v>
          </cell>
          <cell r="I4"/>
          <cell r="J4"/>
          <cell r="K4">
            <v>44713</v>
          </cell>
          <cell r="L4"/>
          <cell r="M4"/>
          <cell r="N4">
            <v>44743</v>
          </cell>
          <cell r="O4"/>
          <cell r="P4"/>
          <cell r="Q4">
            <v>44774</v>
          </cell>
          <cell r="R4"/>
          <cell r="S4"/>
          <cell r="T4">
            <v>44805</v>
          </cell>
          <cell r="U4"/>
          <cell r="V4"/>
        </row>
        <row r="15">
          <cell r="E15">
            <v>96.701320457462472</v>
          </cell>
          <cell r="F15">
            <v>207.43291276354182</v>
          </cell>
          <cell r="G15">
            <v>10.900974856360801</v>
          </cell>
          <cell r="H15">
            <v>96.701320457462458</v>
          </cell>
          <cell r="I15">
            <v>308.08754954112618</v>
          </cell>
          <cell r="J15">
            <v>16.190558124852728</v>
          </cell>
          <cell r="K15">
            <v>96.701320457462444</v>
          </cell>
          <cell r="L15">
            <v>299.21390855616414</v>
          </cell>
          <cell r="M15">
            <v>15.724232236772904</v>
          </cell>
          <cell r="N15">
            <v>96.701320457462458</v>
          </cell>
          <cell r="O15">
            <v>304.77013424147049</v>
          </cell>
          <cell r="P15">
            <v>21.288846727525616</v>
          </cell>
          <cell r="Q15">
            <v>96.701320457462472</v>
          </cell>
          <cell r="R15">
            <v>303.84409662725284</v>
          </cell>
          <cell r="S15">
            <v>21.224161016499274</v>
          </cell>
          <cell r="T15">
            <v>96.701320457462487</v>
          </cell>
          <cell r="U15">
            <v>335.56682757392491</v>
          </cell>
          <cell r="V15">
            <v>23.440061726662559</v>
          </cell>
        </row>
        <row r="16">
          <cell r="E16">
            <v>351.40509808759765</v>
          </cell>
          <cell r="F16">
            <v>753.795115841599</v>
          </cell>
          <cell r="G16">
            <v>51.587604048307384</v>
          </cell>
          <cell r="H16">
            <v>351.40509808759771</v>
          </cell>
          <cell r="I16">
            <v>1119.566258805025</v>
          </cell>
          <cell r="J16">
            <v>76.619945727023179</v>
          </cell>
          <cell r="K16">
            <v>351.40509808759771</v>
          </cell>
          <cell r="L16">
            <v>1087.3201357328342</v>
          </cell>
          <cell r="M16">
            <v>74.413112339300966</v>
          </cell>
          <cell r="N16">
            <v>351.40509808759771</v>
          </cell>
          <cell r="O16">
            <v>1107.5110289151125</v>
          </cell>
          <cell r="P16">
            <v>75.794919916690375</v>
          </cell>
          <cell r="Q16">
            <v>351.40509808759771</v>
          </cell>
          <cell r="R16">
            <v>1104.1458800513997</v>
          </cell>
          <cell r="S16">
            <v>75.564618653792152</v>
          </cell>
          <cell r="T16">
            <v>351.40509808759765</v>
          </cell>
          <cell r="U16">
            <v>1219.4238237980455</v>
          </cell>
          <cell r="V16">
            <v>83.453914819986323</v>
          </cell>
        </row>
        <row r="17">
          <cell r="E17">
            <v>0.64216160056616811</v>
          </cell>
          <cell r="F17">
            <v>1.3774936127054598</v>
          </cell>
          <cell r="G17">
            <v>9.4271763743099771E-2</v>
          </cell>
          <cell r="H17">
            <v>0.64216160056616833</v>
          </cell>
          <cell r="I17">
            <v>2.0459078841107052</v>
          </cell>
          <cell r="J17">
            <v>0.14001614447577837</v>
          </cell>
          <cell r="K17">
            <v>0.64216160056616822</v>
          </cell>
          <cell r="L17">
            <v>1.986980958699595</v>
          </cell>
          <cell r="M17">
            <v>0.13598335249821494</v>
          </cell>
          <cell r="N17">
            <v>0.64216160056616844</v>
          </cell>
          <cell r="O17">
            <v>2.0238780223829469</v>
          </cell>
          <cell r="P17">
            <v>0.13850848309649003</v>
          </cell>
          <cell r="Q17">
            <v>0.64216160056616844</v>
          </cell>
          <cell r="R17">
            <v>2.0177285117690551</v>
          </cell>
          <cell r="S17">
            <v>0.13808762799677751</v>
          </cell>
          <cell r="T17">
            <v>0.64216160056616833</v>
          </cell>
          <cell r="U17">
            <v>2.2283887135395757</v>
          </cell>
          <cell r="V17">
            <v>0.15250461591469583</v>
          </cell>
        </row>
        <row r="21">
          <cell r="E21">
            <v>859.10519462410548</v>
          </cell>
          <cell r="F21">
            <v>1842.8568715311212</v>
          </cell>
          <cell r="G21">
            <v>59.286907664060742</v>
          </cell>
          <cell r="H21">
            <v>859.10519462410571</v>
          </cell>
          <cell r="I21">
            <v>2737.0837642927722</v>
          </cell>
          <cell r="J21">
            <v>88.055255353391686</v>
          </cell>
          <cell r="K21">
            <v>859.10519462410559</v>
          </cell>
          <cell r="L21">
            <v>2658.2493592469418</v>
          </cell>
          <cell r="M21">
            <v>85.519058340532993</v>
          </cell>
          <cell r="N21">
            <v>858.53365854689241</v>
          </cell>
          <cell r="O21">
            <v>2707.6114809446522</v>
          </cell>
          <cell r="P21">
            <v>87.107096780416185</v>
          </cell>
          <cell r="Q21">
            <v>858.53365854689264</v>
          </cell>
          <cell r="R21">
            <v>2699.3844606617013</v>
          </cell>
          <cell r="S21">
            <v>86.842423707102341</v>
          </cell>
          <cell r="T21">
            <v>859.10519462410559</v>
          </cell>
          <cell r="U21">
            <v>2981.2127005970287</v>
          </cell>
          <cell r="V21">
            <v>93.197265281203002</v>
          </cell>
        </row>
        <row r="26">
          <cell r="E26">
            <v>74.080519544844947</v>
          </cell>
          <cell r="F26">
            <v>158.90928764497363</v>
          </cell>
          <cell r="G26">
            <v>1.4260254624447191</v>
          </cell>
          <cell r="H26">
            <v>74.078843784160824</v>
          </cell>
          <cell r="I26">
            <v>236.01300733366313</v>
          </cell>
          <cell r="J26">
            <v>2.1179413923110708</v>
          </cell>
          <cell r="K26">
            <v>74.078843784160824</v>
          </cell>
          <cell r="L26">
            <v>229.21528149897935</v>
          </cell>
          <cell r="M26">
            <v>2.0569397336249242</v>
          </cell>
          <cell r="N26">
            <v>74.082195343436979</v>
          </cell>
          <cell r="O26">
            <v>233.47167399314813</v>
          </cell>
          <cell r="P26">
            <v>2.0951358904688457</v>
          </cell>
          <cell r="Q26">
            <v>74.082195343436965</v>
          </cell>
          <cell r="R26">
            <v>232.76227524412002</v>
          </cell>
          <cell r="S26">
            <v>2.0887698643281922</v>
          </cell>
          <cell r="T26">
            <v>74.078843784160824</v>
          </cell>
          <cell r="U26">
            <v>257.0637348218018</v>
          </cell>
          <cell r="V26">
            <v>2.306847112335046</v>
          </cell>
        </row>
        <row r="35">
          <cell r="E35">
            <v>44835</v>
          </cell>
          <cell r="F35"/>
          <cell r="G35"/>
          <cell r="H35">
            <v>44866</v>
          </cell>
          <cell r="I35"/>
          <cell r="J35"/>
          <cell r="K35">
            <v>44896</v>
          </cell>
          <cell r="L35"/>
          <cell r="M35"/>
          <cell r="N35">
            <v>44927</v>
          </cell>
          <cell r="O35"/>
          <cell r="P35"/>
          <cell r="Q35">
            <v>44958</v>
          </cell>
          <cell r="R35"/>
          <cell r="S35"/>
          <cell r="T35">
            <v>44986</v>
          </cell>
          <cell r="U35"/>
          <cell r="V35"/>
        </row>
        <row r="46">
          <cell r="E46">
            <v>96.701320457462458</v>
          </cell>
          <cell r="F46">
            <v>346.46109453253143</v>
          </cell>
          <cell r="G46">
            <v>24.201049610425358</v>
          </cell>
          <cell r="H46">
            <v>96.701320457462472</v>
          </cell>
          <cell r="I46">
            <v>321.30300768801595</v>
          </cell>
          <cell r="J46">
            <v>22.443703352979014</v>
          </cell>
          <cell r="K46">
            <v>96.701320457462487</v>
          </cell>
          <cell r="L46">
            <v>207.61113669092208</v>
          </cell>
          <cell r="M46">
            <v>10.91034084618995</v>
          </cell>
          <cell r="N46">
            <v>96.701320457462472</v>
          </cell>
          <cell r="O46">
            <v>236.24009447446633</v>
          </cell>
          <cell r="P46">
            <v>12.414844373641177</v>
          </cell>
          <cell r="Q46">
            <v>96.701320457462472</v>
          </cell>
          <cell r="R46">
            <v>299.05900957084719</v>
          </cell>
          <cell r="S46">
            <v>15.716092014849004</v>
          </cell>
          <cell r="T46">
            <v>96.701320457462458</v>
          </cell>
          <cell r="U46">
            <v>280.26479811036836</v>
          </cell>
          <cell r="V46">
            <v>15.933658229818949</v>
          </cell>
        </row>
        <row r="47">
          <cell r="E47">
            <v>351.1713191597895</v>
          </cell>
          <cell r="F47">
            <v>1257.931944549563</v>
          </cell>
          <cell r="G47">
            <v>86.089301603775382</v>
          </cell>
          <cell r="H47">
            <v>351.17131915978956</v>
          </cell>
          <cell r="I47">
            <v>1166.5878900369817</v>
          </cell>
          <cell r="J47">
            <v>79.837973069892612</v>
          </cell>
          <cell r="K47">
            <v>351.1713191597895</v>
          </cell>
          <cell r="L47">
            <v>753.795115841599</v>
          </cell>
          <cell r="M47">
            <v>51.587604048307384</v>
          </cell>
          <cell r="N47">
            <v>351.1713191597895</v>
          </cell>
          <cell r="O47">
            <v>857.74121860292837</v>
          </cell>
          <cell r="P47">
            <v>58.701381093186725</v>
          </cell>
          <cell r="Q47">
            <v>351.17131915978956</v>
          </cell>
          <cell r="R47">
            <v>1085.8243173078665</v>
          </cell>
          <cell r="S47">
            <v>74.31074276033489</v>
          </cell>
          <cell r="T47">
            <v>351.1713191597895</v>
          </cell>
          <cell r="U47">
            <v>1017.5862399541742</v>
          </cell>
          <cell r="V47">
            <v>69.640721899812633</v>
          </cell>
        </row>
        <row r="48">
          <cell r="E48">
            <v>0.64173439034276258</v>
          </cell>
          <cell r="F48">
            <v>2.2987588834408257</v>
          </cell>
          <cell r="G48">
            <v>0.15732055115410729</v>
          </cell>
          <cell r="H48">
            <v>0.64173439034276258</v>
          </cell>
          <cell r="I48">
            <v>2.1318357381386464</v>
          </cell>
          <cell r="J48">
            <v>0.14589680357949916</v>
          </cell>
          <cell r="K48">
            <v>0.64173439034276247</v>
          </cell>
          <cell r="L48">
            <v>1.3774936127054598</v>
          </cell>
          <cell r="M48">
            <v>9.4271763743099771E-2</v>
          </cell>
          <cell r="N48">
            <v>0.64173439034276258</v>
          </cell>
          <cell r="O48">
            <v>1.5674458817109349</v>
          </cell>
          <cell r="P48">
            <v>0.10727155935810771</v>
          </cell>
          <cell r="Q48">
            <v>0.64173439034276258</v>
          </cell>
          <cell r="R48">
            <v>1.9842474834052379</v>
          </cell>
          <cell r="S48">
            <v>0.13579628118639875</v>
          </cell>
          <cell r="T48">
            <v>0.64173439034276258</v>
          </cell>
          <cell r="U48">
            <v>1.8595484587995059</v>
          </cell>
          <cell r="V48">
            <v>0.12726223291336317</v>
          </cell>
        </row>
        <row r="52">
          <cell r="E52">
            <v>858.53365854689241</v>
          </cell>
          <cell r="F52">
            <v>3075.3562595632511</v>
          </cell>
          <cell r="G52">
            <v>98.9378857422236</v>
          </cell>
          <cell r="H52">
            <v>858.53365854689253</v>
          </cell>
          <cell r="I52">
            <v>2852.0409116731526</v>
          </cell>
          <cell r="J52">
            <v>91.753564151731425</v>
          </cell>
          <cell r="K52">
            <v>858.53365854689241</v>
          </cell>
          <cell r="L52">
            <v>1842.8568715311212</v>
          </cell>
          <cell r="M52">
            <v>59.286907664060742</v>
          </cell>
          <cell r="N52">
            <v>858.53365854689253</v>
          </cell>
          <cell r="O52">
            <v>2096.9813487489459</v>
          </cell>
          <cell r="P52">
            <v>67.462395760145625</v>
          </cell>
          <cell r="Q52">
            <v>858.53365854689241</v>
          </cell>
          <cell r="R52">
            <v>2654.5924248823076</v>
          </cell>
          <cell r="S52">
            <v>85.401410392198613</v>
          </cell>
          <cell r="T52">
            <v>858.53365854689241</v>
          </cell>
          <cell r="U52">
            <v>2487.7659131306054</v>
          </cell>
          <cell r="V52">
            <v>80.034402161156237</v>
          </cell>
        </row>
        <row r="53">
          <cell r="E53">
            <v>38.115035664309161</v>
          </cell>
          <cell r="F53">
            <v>136.55530447496048</v>
          </cell>
          <cell r="G53">
            <v>1.2254245431408828</v>
          </cell>
          <cell r="H53">
            <v>38.115035664309154</v>
          </cell>
          <cell r="I53">
            <v>126.63941416786645</v>
          </cell>
          <cell r="J53">
            <v>1.1364409961734057</v>
          </cell>
          <cell r="K53">
            <v>38.115035664309161</v>
          </cell>
          <cell r="L53">
            <v>81.828529755913181</v>
          </cell>
          <cell r="M53">
            <v>0.73431558794127227</v>
          </cell>
          <cell r="N53">
            <v>38.115035664309161</v>
          </cell>
          <cell r="O53">
            <v>93.112440442068433</v>
          </cell>
          <cell r="P53">
            <v>0.83557552178704841</v>
          </cell>
          <cell r="Q53">
            <v>38.115035664309161</v>
          </cell>
          <cell r="R53">
            <v>117.87209228507649</v>
          </cell>
          <cell r="S53">
            <v>1.0577645108175624</v>
          </cell>
          <cell r="T53">
            <v>38.115035664309161</v>
          </cell>
          <cell r="U53">
            <v>110.46448055361988</v>
          </cell>
          <cell r="V53">
            <v>0.99128983774142587</v>
          </cell>
        </row>
        <row r="54"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</row>
        <row r="55"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E56">
            <v>35.967159679127803</v>
          </cell>
          <cell r="F56">
            <v>128.86007727606415</v>
          </cell>
          <cell r="G56">
            <v>1.1563688567958537</v>
          </cell>
          <cell r="H56">
            <v>35.967159679127811</v>
          </cell>
          <cell r="I56">
            <v>119.50297177111172</v>
          </cell>
          <cell r="J56">
            <v>1.0723997515119947</v>
          </cell>
          <cell r="K56">
            <v>35.967159679127818</v>
          </cell>
          <cell r="L56">
            <v>77.217290886471375</v>
          </cell>
          <cell r="M56">
            <v>0.69293509886671312</v>
          </cell>
          <cell r="N56">
            <v>35.967159679127811</v>
          </cell>
          <cell r="O56">
            <v>87.865325458140418</v>
          </cell>
          <cell r="P56">
            <v>0.7884887864404424</v>
          </cell>
          <cell r="Q56">
            <v>35.967159679127811</v>
          </cell>
          <cell r="R56">
            <v>111.22971003540519</v>
          </cell>
          <cell r="S56">
            <v>0.99815687957272037</v>
          </cell>
          <cell r="T56">
            <v>35.967159679127811</v>
          </cell>
          <cell r="U56">
            <v>104.23953544045486</v>
          </cell>
          <cell r="V56">
            <v>0.93542821778673524</v>
          </cell>
        </row>
        <row r="57">
          <cell r="E57">
            <v>74.082195343436965</v>
          </cell>
          <cell r="F57">
            <v>265.4153817510246</v>
          </cell>
          <cell r="G57">
            <v>2.3817933999367362</v>
          </cell>
          <cell r="H57">
            <v>74.082195343436965</v>
          </cell>
          <cell r="I57">
            <v>246.14238593897818</v>
          </cell>
          <cell r="J57">
            <v>2.2088407476854002</v>
          </cell>
          <cell r="K57">
            <v>74.082195343436979</v>
          </cell>
          <cell r="L57">
            <v>159.04582064238457</v>
          </cell>
          <cell r="M57">
            <v>1.4272506868079855</v>
          </cell>
          <cell r="N57">
            <v>74.082195343436979</v>
          </cell>
          <cell r="O57">
            <v>180.97776590020885</v>
          </cell>
          <cell r="P57">
            <v>1.6240643082274908</v>
          </cell>
          <cell r="Q57">
            <v>74.082195343436965</v>
          </cell>
          <cell r="R57">
            <v>229.10180232048168</v>
          </cell>
          <cell r="S57">
            <v>2.0559213903902829</v>
          </cell>
          <cell r="T57">
            <v>74.082195343436965</v>
          </cell>
          <cell r="U57">
            <v>214.70401599407472</v>
          </cell>
          <cell r="V57">
            <v>1.9267180555281611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IND-PVC-PRE - Qty"/>
      <sheetName val="BLIND-PVC-PRE - Cost"/>
    </sheetNames>
    <sheetDataSet>
      <sheetData sheetId="0"/>
      <sheetData sheetId="1">
        <row r="10">
          <cell r="N10"/>
          <cell r="O10"/>
          <cell r="P10"/>
          <cell r="Q10"/>
        </row>
        <row r="16">
          <cell r="N16"/>
          <cell r="O16"/>
          <cell r="P16"/>
          <cell r="Q16"/>
        </row>
        <row r="21">
          <cell r="N21"/>
          <cell r="O21"/>
          <cell r="P21"/>
          <cell r="Q21"/>
        </row>
        <row r="24">
          <cell r="N24"/>
          <cell r="O24"/>
          <cell r="P24"/>
          <cell r="Q24"/>
        </row>
        <row r="25">
          <cell r="N25"/>
          <cell r="O25"/>
          <cell r="P25"/>
          <cell r="Q25"/>
        </row>
        <row r="29">
          <cell r="N29"/>
          <cell r="O29"/>
          <cell r="P29"/>
          <cell r="Q29"/>
        </row>
        <row r="30">
          <cell r="N30"/>
          <cell r="O30"/>
          <cell r="P30"/>
          <cell r="Q30"/>
        </row>
        <row r="31">
          <cell r="N31"/>
          <cell r="O31"/>
          <cell r="P31"/>
          <cell r="Q31"/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Cascata"/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Dados do Pareto"/>
      <sheetName val="Gráfico1"/>
      <sheetName val="Gráfico3"/>
      <sheetName val="Controle de Revisões"/>
    </sheetNames>
    <sheetDataSet>
      <sheetData sheetId="0"/>
      <sheetData sheetId="1">
        <row r="5">
          <cell r="C5">
            <v>496088</v>
          </cell>
        </row>
      </sheetData>
      <sheetData sheetId="2">
        <row r="6">
          <cell r="H6">
            <v>117</v>
          </cell>
          <cell r="I6">
            <v>530.22249999999997</v>
          </cell>
        </row>
        <row r="7">
          <cell r="I7">
            <v>633.36130000000003</v>
          </cell>
        </row>
        <row r="8">
          <cell r="I8">
            <v>633.36130000000003</v>
          </cell>
        </row>
        <row r="9">
          <cell r="I9">
            <v>637.74869999999999</v>
          </cell>
        </row>
        <row r="10">
          <cell r="I10">
            <v>658.06309999999996</v>
          </cell>
        </row>
        <row r="11">
          <cell r="I11">
            <v>669.5761</v>
          </cell>
        </row>
        <row r="12">
          <cell r="I12">
            <v>698.92810000000009</v>
          </cell>
        </row>
        <row r="13">
          <cell r="I13">
            <v>860.77808000000005</v>
          </cell>
        </row>
        <row r="14">
          <cell r="I14">
            <v>860.77808000000005</v>
          </cell>
        </row>
        <row r="15">
          <cell r="I15">
            <v>1834.3519698118075</v>
          </cell>
        </row>
        <row r="16">
          <cell r="I16">
            <v>11.513</v>
          </cell>
        </row>
        <row r="17">
          <cell r="I17">
            <v>8.8379999999999992</v>
          </cell>
        </row>
        <row r="18">
          <cell r="I18">
            <v>3.3452999999999999</v>
          </cell>
        </row>
        <row r="19">
          <cell r="I19">
            <v>24.538799999999998</v>
          </cell>
        </row>
        <row r="20">
          <cell r="I20">
            <v>8.8379999999999992</v>
          </cell>
        </row>
        <row r="21">
          <cell r="I21">
            <v>25.540679999999998</v>
          </cell>
        </row>
        <row r="22">
          <cell r="I22">
            <v>3668.703939623615</v>
          </cell>
        </row>
        <row r="23">
          <cell r="I23">
            <v>860.77808000000005</v>
          </cell>
        </row>
        <row r="24">
          <cell r="I24">
            <v>860.77808000000005</v>
          </cell>
        </row>
        <row r="25">
          <cell r="I25">
            <v>860.77808000000005</v>
          </cell>
        </row>
        <row r="26">
          <cell r="I26">
            <v>860.77808000000005</v>
          </cell>
        </row>
        <row r="27">
          <cell r="I27">
            <v>860.77808000000005</v>
          </cell>
        </row>
        <row r="28">
          <cell r="I28">
            <v>860.77808000000005</v>
          </cell>
        </row>
        <row r="29">
          <cell r="I29">
            <v>860.77808000000005</v>
          </cell>
        </row>
        <row r="30">
          <cell r="I30">
            <v>860.77808000000005</v>
          </cell>
        </row>
        <row r="31">
          <cell r="I31">
            <v>860.77808000000005</v>
          </cell>
        </row>
        <row r="32">
          <cell r="I32">
            <v>860.77808000000005</v>
          </cell>
        </row>
        <row r="33">
          <cell r="I33">
            <v>860.77808000000005</v>
          </cell>
        </row>
        <row r="34">
          <cell r="I34">
            <v>860.77808000000005</v>
          </cell>
        </row>
        <row r="35">
          <cell r="I35">
            <v>0</v>
          </cell>
        </row>
        <row r="36">
          <cell r="I36">
            <v>544.25827675734945</v>
          </cell>
        </row>
        <row r="37">
          <cell r="I37">
            <v>860.77808000000005</v>
          </cell>
        </row>
        <row r="38">
          <cell r="I38">
            <v>860.77808000000005</v>
          </cell>
        </row>
        <row r="39">
          <cell r="I39">
            <v>860.77808000000005</v>
          </cell>
        </row>
        <row r="40">
          <cell r="I40">
            <v>860.77808000000005</v>
          </cell>
        </row>
        <row r="41">
          <cell r="I41">
            <v>860.77808000000005</v>
          </cell>
        </row>
        <row r="42">
          <cell r="I42">
            <v>860.77808000000005</v>
          </cell>
        </row>
        <row r="43">
          <cell r="I43">
            <v>860.77808000000005</v>
          </cell>
        </row>
        <row r="44">
          <cell r="I44">
            <v>860.77808000000005</v>
          </cell>
        </row>
        <row r="45">
          <cell r="I45">
            <v>860.77808000000005</v>
          </cell>
        </row>
        <row r="46">
          <cell r="I46">
            <v>860.77808000000005</v>
          </cell>
        </row>
        <row r="47">
          <cell r="I47">
            <v>860.77808000000005</v>
          </cell>
        </row>
        <row r="48">
          <cell r="I48">
            <v>860.77808000000005</v>
          </cell>
        </row>
        <row r="49">
          <cell r="I49">
            <v>860.77808000000005</v>
          </cell>
        </row>
        <row r="50">
          <cell r="I50">
            <v>860.77808000000005</v>
          </cell>
        </row>
        <row r="51">
          <cell r="I51">
            <v>860.77808000000005</v>
          </cell>
        </row>
        <row r="52">
          <cell r="I52">
            <v>860.77808000000005</v>
          </cell>
        </row>
        <row r="53">
          <cell r="I53">
            <v>860.77808000000005</v>
          </cell>
        </row>
        <row r="54">
          <cell r="I54">
            <v>123.28</v>
          </cell>
        </row>
        <row r="55">
          <cell r="I55">
            <v>8.7911999999999999</v>
          </cell>
        </row>
        <row r="56">
          <cell r="I56">
            <v>2.1126</v>
          </cell>
        </row>
        <row r="57">
          <cell r="I57">
            <v>678.87552040307207</v>
          </cell>
        </row>
        <row r="58">
          <cell r="I58">
            <v>860.77808000000005</v>
          </cell>
        </row>
        <row r="59">
          <cell r="I59">
            <v>860.77808000000005</v>
          </cell>
        </row>
        <row r="60">
          <cell r="I60">
            <v>241.89256744771089</v>
          </cell>
        </row>
      </sheetData>
      <sheetData sheetId="3">
        <row r="7">
          <cell r="G7">
            <v>133</v>
          </cell>
          <cell r="P7">
            <v>121.7338</v>
          </cell>
        </row>
        <row r="8">
          <cell r="P8">
            <v>122.37650000000001</v>
          </cell>
        </row>
        <row r="9">
          <cell r="P9">
            <v>132.37650000000002</v>
          </cell>
        </row>
        <row r="10">
          <cell r="P10">
            <v>132.37650000000002</v>
          </cell>
        </row>
        <row r="11">
          <cell r="P11">
            <v>133.46250000000003</v>
          </cell>
        </row>
        <row r="12">
          <cell r="P12">
            <v>137.27490000000003</v>
          </cell>
        </row>
        <row r="13">
          <cell r="P13">
            <v>147.88660000000002</v>
          </cell>
        </row>
        <row r="14">
          <cell r="P14">
            <v>147.88660000000002</v>
          </cell>
        </row>
        <row r="15">
          <cell r="P15">
            <v>216.17370000000003</v>
          </cell>
        </row>
        <row r="16">
          <cell r="P16">
            <v>16.5517</v>
          </cell>
        </row>
        <row r="17">
          <cell r="P17">
            <v>60.921500000000002</v>
          </cell>
        </row>
        <row r="18">
          <cell r="P18">
            <v>0.31459999999999999</v>
          </cell>
        </row>
        <row r="19">
          <cell r="P19">
            <v>722.44073125823627</v>
          </cell>
        </row>
        <row r="20">
          <cell r="P20">
            <v>216.17370000000003</v>
          </cell>
        </row>
        <row r="21">
          <cell r="P21">
            <v>216.17370000000003</v>
          </cell>
        </row>
        <row r="22">
          <cell r="P22">
            <v>216.17370000000003</v>
          </cell>
        </row>
        <row r="23">
          <cell r="P23">
            <v>216.17370000000003</v>
          </cell>
        </row>
        <row r="24">
          <cell r="P24">
            <v>216.17370000000003</v>
          </cell>
        </row>
        <row r="25">
          <cell r="P25">
            <v>216.17370000000003</v>
          </cell>
        </row>
        <row r="26">
          <cell r="P26">
            <v>216.17370000000003</v>
          </cell>
        </row>
        <row r="27">
          <cell r="P27">
            <v>216.17370000000003</v>
          </cell>
        </row>
        <row r="28">
          <cell r="P28">
            <v>216.17370000000003</v>
          </cell>
        </row>
        <row r="29">
          <cell r="P29">
            <v>216.17370000000003</v>
          </cell>
        </row>
        <row r="30">
          <cell r="P30">
            <v>216.17370000000003</v>
          </cell>
        </row>
        <row r="31">
          <cell r="P31">
            <v>216.17370000000003</v>
          </cell>
        </row>
        <row r="32">
          <cell r="P32">
            <v>216.17370000000003</v>
          </cell>
        </row>
        <row r="33">
          <cell r="P33">
            <v>216.17370000000003</v>
          </cell>
        </row>
        <row r="34">
          <cell r="P34">
            <v>216.17370000000003</v>
          </cell>
        </row>
        <row r="35">
          <cell r="P35">
            <v>216.17370000000003</v>
          </cell>
        </row>
        <row r="36">
          <cell r="P36">
            <v>216.17370000000003</v>
          </cell>
        </row>
        <row r="37">
          <cell r="P37">
            <v>427.29127968078274</v>
          </cell>
        </row>
        <row r="38">
          <cell r="P38">
            <v>216.17370000000003</v>
          </cell>
        </row>
        <row r="39">
          <cell r="P39">
            <v>216.17370000000003</v>
          </cell>
        </row>
        <row r="40">
          <cell r="P40">
            <v>216.17370000000003</v>
          </cell>
        </row>
        <row r="41">
          <cell r="P41">
            <v>216.17370000000003</v>
          </cell>
        </row>
        <row r="42">
          <cell r="P42">
            <v>216.17370000000003</v>
          </cell>
        </row>
        <row r="43">
          <cell r="P43">
            <v>216.17370000000003</v>
          </cell>
        </row>
        <row r="44">
          <cell r="P44">
            <v>216.17370000000003</v>
          </cell>
        </row>
        <row r="45">
          <cell r="P45">
            <v>216.17370000000003</v>
          </cell>
        </row>
        <row r="46">
          <cell r="P46">
            <v>216.17370000000003</v>
          </cell>
        </row>
        <row r="47">
          <cell r="P47">
            <v>216.17370000000003</v>
          </cell>
        </row>
        <row r="48">
          <cell r="P48">
            <v>216.17370000000003</v>
          </cell>
        </row>
        <row r="49">
          <cell r="P49">
            <v>216.17370000000003</v>
          </cell>
        </row>
        <row r="50">
          <cell r="P50">
            <v>574.22454028454183</v>
          </cell>
        </row>
        <row r="51">
          <cell r="P51">
            <v>216.17370000000003</v>
          </cell>
        </row>
        <row r="52">
          <cell r="P52">
            <v>216.17370000000003</v>
          </cell>
        </row>
        <row r="53">
          <cell r="P53">
            <v>120</v>
          </cell>
        </row>
        <row r="54">
          <cell r="P54">
            <v>2.1146400000000001</v>
          </cell>
        </row>
        <row r="55">
          <cell r="P55">
            <v>866.19875992895845</v>
          </cell>
        </row>
        <row r="56">
          <cell r="P56"/>
        </row>
        <row r="57">
          <cell r="P57">
            <v>2590.1553111525195</v>
          </cell>
        </row>
      </sheetData>
      <sheetData sheetId="4">
        <row r="7">
          <cell r="H7">
            <v>193</v>
          </cell>
          <cell r="I7">
            <v>88.917599999999993</v>
          </cell>
        </row>
        <row r="8">
          <cell r="I8">
            <v>88.917599999999993</v>
          </cell>
        </row>
        <row r="9">
          <cell r="I9">
            <v>110.66759999999999</v>
          </cell>
        </row>
        <row r="10">
          <cell r="I10">
            <v>110.66759999999999</v>
          </cell>
        </row>
        <row r="11">
          <cell r="I11">
            <v>130.66759999999999</v>
          </cell>
        </row>
        <row r="12">
          <cell r="I12">
            <v>130.66759999999999</v>
          </cell>
        </row>
        <row r="13">
          <cell r="I13">
            <v>130.66759999999999</v>
          </cell>
        </row>
        <row r="14">
          <cell r="I14">
            <v>160.00289999999998</v>
          </cell>
        </row>
        <row r="15">
          <cell r="I15">
            <v>160.00289999999998</v>
          </cell>
        </row>
        <row r="17">
          <cell r="I17">
            <v>160.00289999999998</v>
          </cell>
        </row>
        <row r="18">
          <cell r="I18">
            <v>20.357800000000001</v>
          </cell>
        </row>
        <row r="19">
          <cell r="I19">
            <v>20.357800000000001</v>
          </cell>
        </row>
        <row r="20">
          <cell r="I20">
            <v>20.357800000000001</v>
          </cell>
        </row>
        <row r="21">
          <cell r="I21">
            <v>160.00289999999998</v>
          </cell>
        </row>
        <row r="22">
          <cell r="I22">
            <v>160.00289999999998</v>
          </cell>
        </row>
        <row r="23">
          <cell r="I23">
            <v>160.00289999999998</v>
          </cell>
        </row>
        <row r="24">
          <cell r="I24">
            <v>160.00289999999998</v>
          </cell>
        </row>
        <row r="25">
          <cell r="I25">
            <v>160.00289999999998</v>
          </cell>
        </row>
        <row r="26">
          <cell r="I26">
            <v>160.00289999999998</v>
          </cell>
        </row>
        <row r="27">
          <cell r="I27">
            <v>160.00289999999998</v>
          </cell>
        </row>
        <row r="28">
          <cell r="I28">
            <v>160.00289999999998</v>
          </cell>
        </row>
        <row r="29">
          <cell r="I29">
            <v>160.00289999999998</v>
          </cell>
        </row>
        <row r="30">
          <cell r="I30">
            <v>160.00289999999998</v>
          </cell>
        </row>
        <row r="31">
          <cell r="I31">
            <v>160.00289999999998</v>
          </cell>
        </row>
        <row r="32">
          <cell r="I32">
            <v>160.00289999999998</v>
          </cell>
        </row>
        <row r="33">
          <cell r="I33">
            <v>160.00289999999998</v>
          </cell>
        </row>
        <row r="34">
          <cell r="I34">
            <v>160.00289999999998</v>
          </cell>
        </row>
        <row r="36">
          <cell r="I36">
            <v>160.00289999999998</v>
          </cell>
        </row>
        <row r="37">
          <cell r="I37">
            <v>20.357800000000001</v>
          </cell>
        </row>
        <row r="38">
          <cell r="I38">
            <v>20.357800000000001</v>
          </cell>
        </row>
        <row r="39">
          <cell r="I39">
            <v>20.357800000000001</v>
          </cell>
        </row>
        <row r="40">
          <cell r="I40">
            <v>160.00289999999998</v>
          </cell>
        </row>
        <row r="41">
          <cell r="I41">
            <v>160.00289999999998</v>
          </cell>
        </row>
        <row r="42">
          <cell r="I42">
            <v>160.00289999999998</v>
          </cell>
        </row>
        <row r="43">
          <cell r="I43">
            <v>160.00289999999998</v>
          </cell>
        </row>
        <row r="44">
          <cell r="I44">
            <v>160.00289999999998</v>
          </cell>
        </row>
        <row r="45">
          <cell r="I45">
            <v>160.00289999999998</v>
          </cell>
        </row>
        <row r="46">
          <cell r="I46">
            <v>160.00289999999998</v>
          </cell>
        </row>
        <row r="47">
          <cell r="I47">
            <v>160.00289999999998</v>
          </cell>
        </row>
        <row r="48">
          <cell r="I48">
            <v>160.00289999999998</v>
          </cell>
        </row>
        <row r="49">
          <cell r="I49">
            <v>160.00289999999998</v>
          </cell>
        </row>
        <row r="50">
          <cell r="I50">
            <v>160.00289999999998</v>
          </cell>
        </row>
        <row r="51">
          <cell r="I51">
            <v>160.00289999999998</v>
          </cell>
        </row>
        <row r="52">
          <cell r="I52">
            <v>160.00289999999998</v>
          </cell>
        </row>
        <row r="53">
          <cell r="I53">
            <v>160.00289999999998</v>
          </cell>
        </row>
        <row r="54">
          <cell r="I54">
            <v>160.00289999999998</v>
          </cell>
        </row>
        <row r="56">
          <cell r="I56">
            <v>0</v>
          </cell>
        </row>
        <row r="57">
          <cell r="I57">
            <v>0</v>
          </cell>
        </row>
        <row r="58">
          <cell r="I58">
            <v>160.00289999999998</v>
          </cell>
        </row>
        <row r="59">
          <cell r="I59">
            <v>160.00289999999998</v>
          </cell>
        </row>
        <row r="60">
          <cell r="I60">
            <v>180</v>
          </cell>
        </row>
        <row r="61">
          <cell r="I61">
            <v>5.8390659999999997E-2</v>
          </cell>
        </row>
      </sheetData>
      <sheetData sheetId="5">
        <row r="6">
          <cell r="E6">
            <v>22676</v>
          </cell>
          <cell r="N6">
            <v>177.47130000000001</v>
          </cell>
        </row>
        <row r="7">
          <cell r="N7">
            <v>177.47130000000001</v>
          </cell>
        </row>
        <row r="8">
          <cell r="N8">
            <v>177.47130000000001</v>
          </cell>
        </row>
        <row r="9">
          <cell r="N9">
            <v>177.47130000000001</v>
          </cell>
        </row>
        <row r="10">
          <cell r="N10">
            <v>177.47130000000001</v>
          </cell>
        </row>
        <row r="11">
          <cell r="N11">
            <v>60.921500000000002</v>
          </cell>
        </row>
        <row r="12">
          <cell r="N12">
            <v>60.921500000000002</v>
          </cell>
        </row>
        <row r="13">
          <cell r="N13">
            <v>60.921500000000002</v>
          </cell>
        </row>
        <row r="14">
          <cell r="N14">
            <v>60.921500000000002</v>
          </cell>
        </row>
        <row r="15">
          <cell r="N15">
            <v>60.921500000000002</v>
          </cell>
        </row>
        <row r="16">
          <cell r="N16">
            <v>60.921500000000002</v>
          </cell>
        </row>
        <row r="17">
          <cell r="N17">
            <v>60.921500000000002</v>
          </cell>
        </row>
        <row r="18">
          <cell r="N18">
            <v>60.921500000000002</v>
          </cell>
        </row>
        <row r="19">
          <cell r="N19">
            <v>60.921500000000002</v>
          </cell>
        </row>
        <row r="20">
          <cell r="N20">
            <v>60.921500000000002</v>
          </cell>
        </row>
        <row r="21">
          <cell r="N21">
            <v>60.921500000000002</v>
          </cell>
        </row>
        <row r="23">
          <cell r="N23">
            <v>14.5</v>
          </cell>
        </row>
        <row r="24">
          <cell r="N24">
            <v>14.5</v>
          </cell>
        </row>
      </sheetData>
      <sheetData sheetId="6">
        <row r="6">
          <cell r="F6">
            <v>0</v>
          </cell>
          <cell r="I6">
            <v>20</v>
          </cell>
        </row>
        <row r="7">
          <cell r="I7">
            <v>26.07</v>
          </cell>
        </row>
        <row r="8">
          <cell r="I8">
            <v>860.77808000000005</v>
          </cell>
        </row>
        <row r="10">
          <cell r="I10">
            <v>10</v>
          </cell>
        </row>
        <row r="11">
          <cell r="I11">
            <v>24.22</v>
          </cell>
        </row>
        <row r="12">
          <cell r="I12">
            <v>570</v>
          </cell>
        </row>
        <row r="14">
          <cell r="I14">
            <v>10</v>
          </cell>
        </row>
        <row r="15">
          <cell r="I15">
            <v>19.795000000000002</v>
          </cell>
        </row>
        <row r="16">
          <cell r="I16">
            <v>216.17370000000003</v>
          </cell>
        </row>
        <row r="18">
          <cell r="I18">
            <v>20</v>
          </cell>
        </row>
        <row r="19">
          <cell r="I19">
            <v>26.07</v>
          </cell>
        </row>
        <row r="20">
          <cell r="I20">
            <v>1763.52</v>
          </cell>
        </row>
        <row r="22">
          <cell r="I22">
            <v>10</v>
          </cell>
        </row>
        <row r="23">
          <cell r="I23">
            <v>24.22</v>
          </cell>
        </row>
        <row r="24">
          <cell r="I24">
            <v>1027.44</v>
          </cell>
        </row>
        <row r="26">
          <cell r="I26">
            <v>10</v>
          </cell>
        </row>
        <row r="27">
          <cell r="I27">
            <v>19.795000000000002</v>
          </cell>
        </row>
        <row r="28">
          <cell r="I28">
            <v>469.2800196</v>
          </cell>
        </row>
        <row r="31">
          <cell r="I31">
            <v>20</v>
          </cell>
        </row>
        <row r="32">
          <cell r="I32">
            <v>48.44</v>
          </cell>
        </row>
        <row r="33">
          <cell r="I33">
            <v>460</v>
          </cell>
        </row>
        <row r="35">
          <cell r="I35">
            <v>42.16</v>
          </cell>
        </row>
        <row r="36">
          <cell r="I36">
            <v>10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15">
          <cell r="N15">
            <v>706.50781096374499</v>
          </cell>
        </row>
        <row r="22">
          <cell r="N22">
            <v>341.83872417148592</v>
          </cell>
        </row>
        <row r="36">
          <cell r="N36">
            <v>403.41712054703964</v>
          </cell>
        </row>
        <row r="57">
          <cell r="N57">
            <v>882.1179329165509</v>
          </cell>
        </row>
        <row r="60">
          <cell r="N60">
            <v>609.42218283089301</v>
          </cell>
        </row>
      </sheetData>
      <sheetData sheetId="2">
        <row r="19">
          <cell r="Y19">
            <v>413.69785398349745</v>
          </cell>
          <cell r="AA19">
            <v>1515.2137953211366</v>
          </cell>
        </row>
        <row r="37">
          <cell r="Y37">
            <v>170.40145063698841</v>
          </cell>
          <cell r="AA37">
            <v>616.89222222510887</v>
          </cell>
        </row>
        <row r="50">
          <cell r="Y50">
            <v>147.79891108979984</v>
          </cell>
          <cell r="AA50">
            <v>910.98651261364182</v>
          </cell>
        </row>
        <row r="55">
          <cell r="Y55">
            <v>478.44612276004136</v>
          </cell>
          <cell r="AA55">
            <v>1584.3600555670314</v>
          </cell>
        </row>
      </sheetData>
      <sheetData sheetId="3">
        <row r="16">
          <cell r="P16">
            <v>647.33602791381998</v>
          </cell>
        </row>
        <row r="35">
          <cell r="P35">
            <v>513.62882051376187</v>
          </cell>
        </row>
        <row r="55">
          <cell r="P55">
            <v>8.7983859479515054</v>
          </cell>
        </row>
        <row r="62">
          <cell r="P62">
            <v>1347.9485595501822</v>
          </cell>
        </row>
      </sheetData>
      <sheetData sheetId="4">
        <row r="6">
          <cell r="N6">
            <v>124.53149999999999</v>
          </cell>
        </row>
        <row r="7">
          <cell r="N7">
            <v>124.53149999999999</v>
          </cell>
        </row>
        <row r="8">
          <cell r="N8">
            <v>124.53149999999999</v>
          </cell>
        </row>
        <row r="9">
          <cell r="N9">
            <v>124.53149999999999</v>
          </cell>
        </row>
        <row r="11">
          <cell r="N11">
            <v>43.864600000000003</v>
          </cell>
        </row>
        <row r="12">
          <cell r="N12">
            <v>43.864600000000003</v>
          </cell>
        </row>
        <row r="13">
          <cell r="N13">
            <v>43.864600000000003</v>
          </cell>
        </row>
        <row r="14">
          <cell r="N14">
            <v>43.864600000000003</v>
          </cell>
        </row>
        <row r="15">
          <cell r="N15">
            <v>43.864600000000003</v>
          </cell>
        </row>
        <row r="17">
          <cell r="N17">
            <v>43.864600000000003</v>
          </cell>
        </row>
        <row r="23">
          <cell r="N23">
            <v>14.21</v>
          </cell>
        </row>
        <row r="24">
          <cell r="N24">
            <v>14.21</v>
          </cell>
        </row>
        <row r="27">
          <cell r="N27">
            <v>1.3617978799999999</v>
          </cell>
        </row>
        <row r="28">
          <cell r="N28">
            <v>0.37200200999999999</v>
          </cell>
        </row>
        <row r="29">
          <cell r="N29">
            <v>0.48710163000000001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15">
          <cell r="N15">
            <v>931.31548420654178</v>
          </cell>
        </row>
        <row r="22">
          <cell r="N22">
            <v>459.0152255667191</v>
          </cell>
        </row>
        <row r="36">
          <cell r="N36">
            <v>535.72619480534297</v>
          </cell>
        </row>
        <row r="57">
          <cell r="N57">
            <v>1232.4914047144839</v>
          </cell>
        </row>
        <row r="60">
          <cell r="N60">
            <v>1394.4465090632384</v>
          </cell>
        </row>
      </sheetData>
      <sheetData sheetId="2">
        <row r="19">
          <cell r="Y19">
            <v>605.13621960417652</v>
          </cell>
          <cell r="AA19">
            <v>1597.7408536066321</v>
          </cell>
        </row>
        <row r="37">
          <cell r="Y37">
            <v>256.38116526827866</v>
          </cell>
          <cell r="AA37">
            <v>668.34114510242216</v>
          </cell>
        </row>
        <row r="50">
          <cell r="Y50">
            <v>272.89789702033005</v>
          </cell>
          <cell r="AA50">
            <v>1029.9057161303365</v>
          </cell>
        </row>
        <row r="55">
          <cell r="Y55">
            <v>730.38913438793463</v>
          </cell>
          <cell r="AA55">
            <v>1715.7552539935928</v>
          </cell>
        </row>
      </sheetData>
      <sheetData sheetId="3">
        <row r="16">
          <cell r="P16">
            <v>891.1274212529737</v>
          </cell>
        </row>
        <row r="35">
          <cell r="P35">
            <v>703.80086078501847</v>
          </cell>
        </row>
        <row r="55">
          <cell r="P55">
            <v>12.888034448388382</v>
          </cell>
        </row>
        <row r="62">
          <cell r="P62">
            <v>1974.6070965637261</v>
          </cell>
        </row>
      </sheetData>
      <sheetData sheetId="4">
        <row r="6">
          <cell r="N6">
            <v>129.37309999999999</v>
          </cell>
        </row>
        <row r="7">
          <cell r="N7">
            <v>129.37309999999999</v>
          </cell>
        </row>
        <row r="8">
          <cell r="N8">
            <v>129.37309999999999</v>
          </cell>
        </row>
        <row r="9">
          <cell r="N9">
            <v>129.37309999999999</v>
          </cell>
        </row>
        <row r="11">
          <cell r="N11">
            <v>50.476300000000002</v>
          </cell>
        </row>
        <row r="12">
          <cell r="N12">
            <v>50.476300000000002</v>
          </cell>
        </row>
        <row r="13">
          <cell r="N13">
            <v>50.476300000000002</v>
          </cell>
        </row>
        <row r="14">
          <cell r="N14">
            <v>50.476300000000002</v>
          </cell>
        </row>
        <row r="15">
          <cell r="N15">
            <v>50.476300000000002</v>
          </cell>
        </row>
        <row r="17">
          <cell r="N17">
            <v>50.476300000000002</v>
          </cell>
        </row>
        <row r="23">
          <cell r="N23">
            <v>14.29</v>
          </cell>
        </row>
        <row r="24">
          <cell r="N24">
            <v>14.29</v>
          </cell>
        </row>
        <row r="27">
          <cell r="N27">
            <v>1.4224561</v>
          </cell>
        </row>
        <row r="28">
          <cell r="N28">
            <v>0.38880200999999998</v>
          </cell>
        </row>
        <row r="29">
          <cell r="N29">
            <v>0.50790162999999999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15">
          <cell r="N15">
            <v>897.87182420888166</v>
          </cell>
        </row>
        <row r="22">
          <cell r="N22">
            <v>445.02066312656302</v>
          </cell>
        </row>
        <row r="36">
          <cell r="N36">
            <v>517.29551218690392</v>
          </cell>
        </row>
        <row r="57">
          <cell r="N57">
            <v>1094.8806540654805</v>
          </cell>
        </row>
        <row r="60">
          <cell r="N60">
            <v>1346.4731202572775</v>
          </cell>
        </row>
      </sheetData>
      <sheetData sheetId="2">
        <row r="19">
          <cell r="Y19">
            <v>782.23431943608784</v>
          </cell>
          <cell r="AA19">
            <v>2325.931248626805</v>
          </cell>
        </row>
        <row r="37">
          <cell r="Y37">
            <v>324.781928852992</v>
          </cell>
          <cell r="AA37">
            <v>949.25151949670055</v>
          </cell>
        </row>
        <row r="50">
          <cell r="Y50">
            <v>333.11905185955891</v>
          </cell>
          <cell r="AA50">
            <v>1295.2736813196091</v>
          </cell>
        </row>
        <row r="55">
          <cell r="Y55">
            <v>921.17541290654276</v>
          </cell>
          <cell r="AA55">
            <v>2394.0359044926522</v>
          </cell>
        </row>
      </sheetData>
      <sheetData sheetId="3">
        <row r="16">
          <cell r="P16">
            <v>1011.6403371019119</v>
          </cell>
        </row>
        <row r="35">
          <cell r="P35">
            <v>800.48664316889017</v>
          </cell>
        </row>
        <row r="55">
          <cell r="P55">
            <v>13.537474735050603</v>
          </cell>
        </row>
        <row r="62">
          <cell r="P62">
            <v>2074.0621719998448</v>
          </cell>
        </row>
      </sheetData>
      <sheetData sheetId="4">
        <row r="6">
          <cell r="N6">
            <v>129.37309999999999</v>
          </cell>
        </row>
        <row r="7">
          <cell r="N7">
            <v>129.37309999999999</v>
          </cell>
        </row>
        <row r="8">
          <cell r="N8">
            <v>129.37309999999999</v>
          </cell>
        </row>
        <row r="9">
          <cell r="N9">
            <v>129.37309999999999</v>
          </cell>
        </row>
        <row r="11">
          <cell r="N11">
            <v>51.476300000000002</v>
          </cell>
        </row>
        <row r="12">
          <cell r="N12">
            <v>51.476300000000002</v>
          </cell>
        </row>
        <row r="13">
          <cell r="N13">
            <v>51.476300000000002</v>
          </cell>
        </row>
        <row r="14">
          <cell r="N14">
            <v>51.476300000000002</v>
          </cell>
        </row>
        <row r="15">
          <cell r="N15">
            <v>51.476300000000002</v>
          </cell>
        </row>
        <row r="17">
          <cell r="N17">
            <v>51.476300000000002</v>
          </cell>
        </row>
        <row r="23">
          <cell r="N23">
            <v>14.29</v>
          </cell>
        </row>
        <row r="24">
          <cell r="N24">
            <v>14.29</v>
          </cell>
        </row>
        <row r="27">
          <cell r="N27">
            <v>1.4222035700000002</v>
          </cell>
        </row>
        <row r="28">
          <cell r="N28">
            <v>0.38880233999999997</v>
          </cell>
        </row>
        <row r="29">
          <cell r="N29">
            <v>0.5091019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Gráfico4"/>
      <sheetName val="Controle de Revisões"/>
    </sheetNames>
    <sheetDataSet>
      <sheetData sheetId="0"/>
      <sheetData sheetId="1">
        <row r="15">
          <cell r="N15">
            <v>952.36324810906603</v>
          </cell>
        </row>
        <row r="22">
          <cell r="N22">
            <v>473.48725192729353</v>
          </cell>
        </row>
        <row r="36">
          <cell r="N36">
            <v>564.26037043317115</v>
          </cell>
        </row>
        <row r="57">
          <cell r="N57">
            <v>1185.818358969517</v>
          </cell>
        </row>
        <row r="60">
          <cell r="N60">
            <v>1468.718370284585</v>
          </cell>
        </row>
      </sheetData>
      <sheetData sheetId="2">
        <row r="19">
          <cell r="Y19">
            <v>905.60029572798248</v>
          </cell>
          <cell r="AA19">
            <v>2263.8008797491489</v>
          </cell>
        </row>
        <row r="37">
          <cell r="Y37">
            <v>377.63518618121907</v>
          </cell>
          <cell r="AA37">
            <v>927.23003504832184</v>
          </cell>
        </row>
        <row r="50">
          <cell r="Y50">
            <v>372.0545826009282</v>
          </cell>
          <cell r="AA50">
            <v>1456.8526027872238</v>
          </cell>
        </row>
        <row r="55">
          <cell r="Y55">
            <v>1065.1368996321614</v>
          </cell>
          <cell r="AA55">
            <v>2376.9252531887491</v>
          </cell>
        </row>
      </sheetData>
      <sheetData sheetId="3">
        <row r="16">
          <cell r="P16">
            <v>982.58562468934576</v>
          </cell>
        </row>
        <row r="35">
          <cell r="P35">
            <v>776.97720473306208</v>
          </cell>
        </row>
        <row r="55">
          <cell r="P55">
            <v>14.022035973989116</v>
          </cell>
        </row>
        <row r="62">
          <cell r="P62">
            <v>2148.3116480409039</v>
          </cell>
        </row>
      </sheetData>
      <sheetData sheetId="4">
        <row r="6">
          <cell r="N6">
            <v>152.0729</v>
          </cell>
        </row>
        <row r="7">
          <cell r="N7">
            <v>152.0729</v>
          </cell>
        </row>
        <row r="8">
          <cell r="N8">
            <v>152.0729</v>
          </cell>
        </row>
        <row r="9">
          <cell r="N9">
            <v>152.0729</v>
          </cell>
        </row>
        <row r="11">
          <cell r="N11">
            <v>54.365499999999997</v>
          </cell>
        </row>
        <row r="12">
          <cell r="N12">
            <v>54.365499999999997</v>
          </cell>
        </row>
        <row r="13">
          <cell r="N13">
            <v>54.365499999999997</v>
          </cell>
        </row>
        <row r="14">
          <cell r="N14">
            <v>54.365499999999997</v>
          </cell>
        </row>
        <row r="15">
          <cell r="N15">
            <v>54.365499999999997</v>
          </cell>
        </row>
        <row r="17">
          <cell r="N17">
            <v>54.365499999999997</v>
          </cell>
        </row>
        <row r="23">
          <cell r="N23">
            <v>14.4</v>
          </cell>
        </row>
        <row r="24">
          <cell r="N24">
            <v>14.4</v>
          </cell>
        </row>
        <row r="27">
          <cell r="N27">
            <v>1.4598833099999999</v>
          </cell>
        </row>
        <row r="28">
          <cell r="N28">
            <v>0.39930233999999998</v>
          </cell>
        </row>
        <row r="29">
          <cell r="N29">
            <v>0.51390190000000002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1"/>
      <sheetName val="Gráfico3"/>
      <sheetName val="Controle de Revisões"/>
    </sheetNames>
    <sheetDataSet>
      <sheetData sheetId="0"/>
      <sheetData sheetId="1">
        <row r="15">
          <cell r="N15">
            <v>322.89274912953698</v>
          </cell>
        </row>
        <row r="22">
          <cell r="N22">
            <v>164.1860681920268</v>
          </cell>
        </row>
        <row r="36">
          <cell r="N36">
            <v>191.67514641664403</v>
          </cell>
        </row>
        <row r="57">
          <cell r="N57">
            <v>333.37560798801934</v>
          </cell>
        </row>
        <row r="60">
          <cell r="N60">
            <v>498.91295476412409</v>
          </cell>
        </row>
      </sheetData>
      <sheetData sheetId="2">
        <row r="19">
          <cell r="Y19">
            <v>21.815092194815421</v>
          </cell>
          <cell r="AA19">
            <v>649.30426867448364</v>
          </cell>
        </row>
        <row r="37">
          <cell r="Y37">
            <v>9.6020916976421571</v>
          </cell>
          <cell r="AA37">
            <v>283.24189558367783</v>
          </cell>
        </row>
        <row r="50">
          <cell r="Y50">
            <v>36.779923915723444</v>
          </cell>
          <cell r="AA50">
            <v>479.15648713173374</v>
          </cell>
        </row>
        <row r="55">
          <cell r="Y55">
            <v>33.96795775255481</v>
          </cell>
          <cell r="AA55">
            <v>733.14611031693437</v>
          </cell>
        </row>
      </sheetData>
      <sheetData sheetId="3">
        <row r="16">
          <cell r="P16">
            <v>930.20484605470517</v>
          </cell>
        </row>
        <row r="35">
          <cell r="P35">
            <v>731.94283999709239</v>
          </cell>
        </row>
        <row r="55">
          <cell r="P55">
            <v>13.780469193764519</v>
          </cell>
        </row>
        <row r="62">
          <cell r="P62">
            <v>2111.4299228736168</v>
          </cell>
        </row>
      </sheetData>
      <sheetData sheetId="4">
        <row r="6">
          <cell r="N6">
            <v>152.0729</v>
          </cell>
        </row>
        <row r="7">
          <cell r="N7">
            <v>152.0729</v>
          </cell>
        </row>
        <row r="8">
          <cell r="N8">
            <v>152.0729</v>
          </cell>
        </row>
        <row r="9">
          <cell r="N9">
            <v>152.0729</v>
          </cell>
        </row>
        <row r="11">
          <cell r="N11">
            <v>56.7545</v>
          </cell>
        </row>
        <row r="12">
          <cell r="N12">
            <v>56.7545</v>
          </cell>
        </row>
        <row r="13">
          <cell r="N13">
            <v>56.7545</v>
          </cell>
        </row>
        <row r="14">
          <cell r="N14">
            <v>56.7545</v>
          </cell>
        </row>
        <row r="15">
          <cell r="N15">
            <v>56.7545</v>
          </cell>
        </row>
        <row r="17">
          <cell r="N17">
            <v>56.7545</v>
          </cell>
        </row>
        <row r="23">
          <cell r="N23">
            <v>14.29</v>
          </cell>
        </row>
        <row r="24">
          <cell r="N24">
            <v>14.29</v>
          </cell>
        </row>
        <row r="27">
          <cell r="N27">
            <v>1.4752554600000001</v>
          </cell>
        </row>
        <row r="28">
          <cell r="N28">
            <v>0.40350234000000001</v>
          </cell>
        </row>
        <row r="29">
          <cell r="N29">
            <v>0.51980190000000004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Gráfico Cascata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Dados do Pareto"/>
      <sheetName val="Gráfico1"/>
      <sheetName val="Gráfico3"/>
      <sheetName val="Controle de Revisões"/>
    </sheetNames>
    <sheetDataSet>
      <sheetData sheetId="0"/>
      <sheetData sheetId="1"/>
      <sheetData sheetId="2">
        <row r="15">
          <cell r="N15">
            <v>115.1769181916662</v>
          </cell>
        </row>
        <row r="22">
          <cell r="N22">
            <v>57.257201443458456</v>
          </cell>
        </row>
        <row r="36">
          <cell r="N36">
            <v>69.978715437474307</v>
          </cell>
        </row>
        <row r="57">
          <cell r="N57">
            <v>294.86578622476304</v>
          </cell>
        </row>
        <row r="60">
          <cell r="N60">
            <v>182.14822496400842</v>
          </cell>
        </row>
      </sheetData>
      <sheetData sheetId="3">
        <row r="19">
          <cell r="Y19">
            <v>688.94421179729295</v>
          </cell>
          <cell r="AA19">
            <v>1645.2167816315887</v>
          </cell>
        </row>
        <row r="37">
          <cell r="Y37">
            <v>350.27818829942368</v>
          </cell>
          <cell r="AA37">
            <v>851.71628549329512</v>
          </cell>
        </row>
        <row r="50">
          <cell r="Y50">
            <v>307.44403039765626</v>
          </cell>
          <cell r="AA50">
            <v>1297.748070793939</v>
          </cell>
        </row>
        <row r="55">
          <cell r="Y55">
            <v>978.83208763188259</v>
          </cell>
          <cell r="AA55">
            <v>2175.6670335784042</v>
          </cell>
        </row>
      </sheetData>
      <sheetData sheetId="4">
        <row r="16">
          <cell r="P16">
            <v>922.98808658536689</v>
          </cell>
        </row>
        <row r="35">
          <cell r="P35">
            <v>723.12397752552431</v>
          </cell>
        </row>
        <row r="55">
          <cell r="P55">
            <v>14.943532422025161</v>
          </cell>
        </row>
        <row r="62">
          <cell r="P62">
            <v>2289.7583347845398</v>
          </cell>
        </row>
      </sheetData>
      <sheetData sheetId="5">
        <row r="6">
          <cell r="N6">
            <v>175.01089999999999</v>
          </cell>
        </row>
        <row r="7">
          <cell r="N7">
            <v>175.01089999999999</v>
          </cell>
        </row>
        <row r="8">
          <cell r="N8">
            <v>175.01089999999999</v>
          </cell>
        </row>
        <row r="9">
          <cell r="N9">
            <v>175.01089999999999</v>
          </cell>
        </row>
        <row r="11">
          <cell r="N11">
            <v>60.4771</v>
          </cell>
        </row>
        <row r="12">
          <cell r="N12">
            <v>60.4771</v>
          </cell>
        </row>
        <row r="13">
          <cell r="N13">
            <v>60.4771</v>
          </cell>
        </row>
        <row r="14">
          <cell r="N14">
            <v>60.4771</v>
          </cell>
        </row>
        <row r="15">
          <cell r="N15">
            <v>60.4771</v>
          </cell>
        </row>
        <row r="17">
          <cell r="N17">
            <v>60.4771</v>
          </cell>
        </row>
        <row r="23">
          <cell r="N23">
            <v>14.04</v>
          </cell>
        </row>
        <row r="24">
          <cell r="N24">
            <v>14.04</v>
          </cell>
        </row>
        <row r="27">
          <cell r="N27">
            <v>1.4757206500000002</v>
          </cell>
        </row>
        <row r="28">
          <cell r="N28">
            <v>0.40350349000000002</v>
          </cell>
        </row>
        <row r="29">
          <cell r="N29">
            <v>0.52080282999999994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ário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</sheetNames>
    <sheetDataSet>
      <sheetData sheetId="0"/>
      <sheetData sheetId="1">
        <row r="5">
          <cell r="Q5">
            <v>1701198</v>
          </cell>
        </row>
      </sheetData>
      <sheetData sheetId="2"/>
      <sheetData sheetId="3">
        <row r="6">
          <cell r="P6">
            <v>54</v>
          </cell>
        </row>
      </sheetData>
      <sheetData sheetId="4">
        <row r="63">
          <cell r="O63">
            <v>827.06542840999987</v>
          </cell>
          <cell r="P63">
            <v>841.38677233999988</v>
          </cell>
          <cell r="Q63">
            <v>1024.8207649199996</v>
          </cell>
          <cell r="R63">
            <v>6011.6765362999986</v>
          </cell>
          <cell r="S63">
            <v>6239.9623417599996</v>
          </cell>
        </row>
        <row r="65">
          <cell r="O65">
            <v>698.67234391999989</v>
          </cell>
          <cell r="P65">
            <v>711.47504939999999</v>
          </cell>
          <cell r="Q65">
            <v>868.73004661999994</v>
          </cell>
          <cell r="R65">
            <v>5092.0425502199996</v>
          </cell>
          <cell r="S65">
            <v>5284.9677494600001</v>
          </cell>
        </row>
        <row r="67">
          <cell r="O67">
            <v>320.16103224000005</v>
          </cell>
          <cell r="P67">
            <v>325.46390647999999</v>
          </cell>
          <cell r="Q67">
            <v>396.38984944000003</v>
          </cell>
          <cell r="R67">
            <v>2327.2989320800002</v>
          </cell>
          <cell r="S67">
            <v>0</v>
          </cell>
        </row>
      </sheetData>
      <sheetData sheetId="5">
        <row r="7">
          <cell r="O7">
            <v>346.76005094379877</v>
          </cell>
        </row>
      </sheetData>
      <sheetData sheetId="6">
        <row r="60">
          <cell r="N60">
            <v>630.50599336081393</v>
          </cell>
          <cell r="O60">
            <v>702.46654607120627</v>
          </cell>
          <cell r="P60">
            <v>719.79999365194942</v>
          </cell>
        </row>
        <row r="62">
          <cell r="N62">
            <v>183.32949260428899</v>
          </cell>
          <cell r="O62">
            <v>204.2531503566918</v>
          </cell>
          <cell r="P62">
            <v>209.29312171861702</v>
          </cell>
        </row>
        <row r="64">
          <cell r="N64">
            <v>288.40235432438345</v>
          </cell>
          <cell r="O64">
            <v>321.31812838314738</v>
          </cell>
          <cell r="P64">
            <v>329.24669233572496</v>
          </cell>
        </row>
      </sheetData>
      <sheetData sheetId="7">
        <row r="7">
          <cell r="D7">
            <v>113.24676344802053</v>
          </cell>
        </row>
      </sheetData>
      <sheetData sheetId="8">
        <row r="60">
          <cell r="N60">
            <v>1479.1217437973996</v>
          </cell>
          <cell r="O60">
            <v>1647.9360284043817</v>
          </cell>
          <cell r="P60">
            <v>1688.5990506145097</v>
          </cell>
        </row>
        <row r="62">
          <cell r="N62">
            <v>630.22056231217584</v>
          </cell>
          <cell r="O62">
            <v>702.14853836788609</v>
          </cell>
          <cell r="P62">
            <v>719.47413906981842</v>
          </cell>
        </row>
        <row r="64">
          <cell r="N64">
            <v>869.81696164999187</v>
          </cell>
          <cell r="O64">
            <v>969.09041816952151</v>
          </cell>
          <cell r="P64">
            <v>993.00284226756423</v>
          </cell>
        </row>
      </sheetData>
      <sheetData sheetId="9">
        <row r="6">
          <cell r="D6">
            <v>76.48377419309351</v>
          </cell>
        </row>
      </sheetData>
      <sheetData sheetId="10">
        <row r="64">
          <cell r="N64">
            <v>1998.0580181021035</v>
          </cell>
          <cell r="O64">
            <v>2030.8651679144805</v>
          </cell>
          <cell r="P64">
            <v>2476.0797858616888</v>
          </cell>
        </row>
        <row r="66">
          <cell r="F66">
            <v>13.300387815042095</v>
          </cell>
        </row>
        <row r="68">
          <cell r="F68">
            <v>1346.6682931794001</v>
          </cell>
        </row>
      </sheetData>
      <sheetData sheetId="11">
        <row r="6">
          <cell r="E6">
            <v>48.367157056994095</v>
          </cell>
        </row>
      </sheetData>
      <sheetData sheetId="12">
        <row r="6">
          <cell r="O6">
            <v>2.8521907120604748</v>
          </cell>
        </row>
      </sheetData>
      <sheetData sheetId="13">
        <row r="6">
          <cell r="P6">
            <v>100.370682</v>
          </cell>
        </row>
      </sheetData>
      <sheetData sheetId="14">
        <row r="6">
          <cell r="P6">
            <v>1.5055602299999999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4303.0608695652172</v>
          </cell>
        </row>
        <row r="110">
          <cell r="AT110">
            <v>312.1391304347826</v>
          </cell>
        </row>
      </sheetData>
      <sheetData sheetId="5"/>
      <sheetData sheetId="6">
        <row r="7">
          <cell r="AT7">
            <v>12550000</v>
          </cell>
        </row>
        <row r="109">
          <cell r="AT109">
            <v>9960.7083333333321</v>
          </cell>
        </row>
        <row r="110">
          <cell r="AT110">
            <v>401.34722222222223</v>
          </cell>
        </row>
      </sheetData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1196.09375</v>
          </cell>
        </row>
        <row r="110">
          <cell r="AT110">
            <v>76.55</v>
          </cell>
        </row>
      </sheetData>
      <sheetData sheetId="5"/>
      <sheetData sheetId="6">
        <row r="7">
          <cell r="AT7">
            <v>11099911</v>
          </cell>
        </row>
        <row r="109">
          <cell r="AT109">
            <v>6113.0437499999998</v>
          </cell>
        </row>
        <row r="110">
          <cell r="AT110">
            <v>1028.3625</v>
          </cell>
        </row>
      </sheetData>
      <sheetData sheetId="7"/>
      <sheetData sheetId="8"/>
      <sheetData sheetId="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1021.5749999999999</v>
          </cell>
        </row>
        <row r="110">
          <cell r="AT110">
            <v>212.02500000000001</v>
          </cell>
        </row>
      </sheetData>
      <sheetData sheetId="5"/>
      <sheetData sheetId="6">
        <row r="7">
          <cell r="AT7">
            <v>8168700</v>
          </cell>
        </row>
        <row r="109">
          <cell r="AT109">
            <v>2692.7727272727275</v>
          </cell>
        </row>
        <row r="110">
          <cell r="AT110">
            <v>393.55909090909091</v>
          </cell>
        </row>
      </sheetData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2121.6</v>
          </cell>
        </row>
        <row r="110">
          <cell r="AT110">
            <v>209.36842105263156</v>
          </cell>
        </row>
      </sheetData>
      <sheetData sheetId="5"/>
      <sheetData sheetId="6">
        <row r="7">
          <cell r="AT7">
            <v>13917911</v>
          </cell>
        </row>
        <row r="109">
          <cell r="AT109">
            <v>8076.9756097560985</v>
          </cell>
        </row>
        <row r="110">
          <cell r="AT110">
            <v>836.54390243902435</v>
          </cell>
        </row>
      </sheetData>
      <sheetData sheetId="7"/>
      <sheetData sheetId="8"/>
      <sheetData sheetId="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4196.4285714285716</v>
          </cell>
        </row>
        <row r="110">
          <cell r="AT110">
            <v>643.45238095238096</v>
          </cell>
        </row>
      </sheetData>
      <sheetData sheetId="5"/>
      <sheetData sheetId="6">
        <row r="7">
          <cell r="AT7">
            <v>14779898</v>
          </cell>
        </row>
        <row r="109">
          <cell r="AT109">
            <v>8232.1902439024398</v>
          </cell>
        </row>
        <row r="110">
          <cell r="AT110">
            <v>917.97804878048782</v>
          </cell>
        </row>
      </sheetData>
      <sheetData sheetId="7"/>
      <sheetData sheetId="8"/>
      <sheetData sheetId="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1929.8500000000001</v>
          </cell>
        </row>
        <row r="110">
          <cell r="AT110">
            <v>197.93333333333334</v>
          </cell>
        </row>
      </sheetData>
      <sheetData sheetId="5"/>
      <sheetData sheetId="6">
        <row r="7">
          <cell r="AT7">
            <v>13811200</v>
          </cell>
        </row>
        <row r="109">
          <cell r="AT109">
            <v>7294.7384615384608</v>
          </cell>
        </row>
        <row r="110">
          <cell r="AT110">
            <v>769.48717948717945</v>
          </cell>
        </row>
      </sheetData>
      <sheetData sheetId="7"/>
      <sheetData sheetId="8"/>
      <sheetData sheetId="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224</v>
          </cell>
        </row>
        <row r="110">
          <cell r="AT110">
            <v>10.666666666666666</v>
          </cell>
        </row>
      </sheetData>
      <sheetData sheetId="5"/>
      <sheetData sheetId="6">
        <row r="7">
          <cell r="AT7">
            <v>3952300</v>
          </cell>
        </row>
        <row r="109">
          <cell r="AT109">
            <v>3308.1923076923076</v>
          </cell>
        </row>
        <row r="110">
          <cell r="AT110">
            <v>104.46923076923078</v>
          </cell>
        </row>
      </sheetData>
      <sheetData sheetId="7"/>
      <sheetData sheetId="8"/>
      <sheetData sheetId="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109">
          <cell r="AT109">
            <v>1759.5454545454545</v>
          </cell>
        </row>
        <row r="110">
          <cell r="AT110">
            <v>465.02272727272725</v>
          </cell>
        </row>
      </sheetData>
      <sheetData sheetId="5"/>
      <sheetData sheetId="6">
        <row r="7">
          <cell r="AT7">
            <v>12889550</v>
          </cell>
        </row>
        <row r="109">
          <cell r="AT109">
            <v>5032.363157894737</v>
          </cell>
        </row>
        <row r="110">
          <cell r="AT110">
            <v>439.72105263157897</v>
          </cell>
        </row>
      </sheetData>
      <sheetData sheetId="7"/>
      <sheetData sheetId="8"/>
      <sheetData sheetId="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3774300</v>
          </cell>
        </row>
        <row r="109">
          <cell r="AT109">
            <v>2663.73</v>
          </cell>
        </row>
        <row r="110">
          <cell r="AT110">
            <v>313.38</v>
          </cell>
        </row>
      </sheetData>
      <sheetData sheetId="5"/>
      <sheetData sheetId="6">
        <row r="7">
          <cell r="AT7">
            <v>10965800</v>
          </cell>
        </row>
        <row r="109">
          <cell r="AT109">
            <v>4502.7272727272721</v>
          </cell>
        </row>
        <row r="110">
          <cell r="AT110">
            <v>775.46969696969688</v>
          </cell>
        </row>
      </sheetData>
      <sheetData sheetId="7"/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9186.4315068493142</v>
          </cell>
        </row>
        <row r="111">
          <cell r="K111">
            <v>359.88082191780825</v>
          </cell>
        </row>
      </sheetData>
      <sheetData sheetId="7"/>
      <sheetData sheetId="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8757.6952380952389</v>
          </cell>
        </row>
        <row r="111">
          <cell r="K111">
            <v>736.62857142857138</v>
          </cell>
        </row>
      </sheetData>
      <sheetData sheetId="7"/>
      <sheetData sheetId="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8237.268</v>
          </cell>
        </row>
        <row r="111">
          <cell r="K111">
            <v>539.76400000000001</v>
          </cell>
        </row>
      </sheetData>
      <sheetData sheetId="7"/>
      <sheetData sheetId="8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10219.051724137931</v>
          </cell>
        </row>
        <row r="111">
          <cell r="K111">
            <v>779.65517241379314</v>
          </cell>
        </row>
      </sheetData>
      <sheetData sheetId="7"/>
      <sheetData sheetId="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14084.011594202899</v>
          </cell>
        </row>
        <row r="111">
          <cell r="K111">
            <v>1282.9565217391305</v>
          </cell>
        </row>
      </sheetData>
      <sheetData sheetId="7"/>
      <sheetData sheetId="8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12731.919444444444</v>
          </cell>
        </row>
        <row r="111">
          <cell r="K111">
            <v>189.32222222222222</v>
          </cell>
        </row>
      </sheetData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8104.318181818182</v>
          </cell>
        </row>
        <row r="111">
          <cell r="K111">
            <v>1039.0151515151515</v>
          </cell>
        </row>
      </sheetData>
      <sheetData sheetId="7"/>
      <sheetData sheetId="8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110">
          <cell r="K110">
            <v>4771.5190476190473</v>
          </cell>
        </row>
        <row r="111">
          <cell r="K111">
            <v>424.9444444444444</v>
          </cell>
        </row>
      </sheetData>
      <sheetData sheetId="7"/>
      <sheetData sheetId="8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10062850</v>
          </cell>
        </row>
        <row r="110">
          <cell r="K110">
            <v>6275.3263157894744</v>
          </cell>
        </row>
        <row r="111">
          <cell r="K111">
            <v>268.46315789473687</v>
          </cell>
        </row>
      </sheetData>
      <sheetData sheetId="7"/>
      <sheetData sheetId="8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Outras Perdas"/>
    </sheetNames>
    <sheetDataSet>
      <sheetData sheetId="0"/>
      <sheetData sheetId="1">
        <row r="53">
          <cell r="F53">
            <v>5.8390659999999997E-2</v>
          </cell>
        </row>
        <row r="62">
          <cell r="F62">
            <v>0.18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Rascunho"/>
      <sheetName val="Falhas BLIND-PVC"/>
      <sheetName val="Falhas SM"/>
      <sheetName val="Custo do Blister"/>
      <sheetName val="Gráfico Cascata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58">
          <cell r="L58">
            <v>585.32244904466666</v>
          </cell>
        </row>
      </sheetData>
      <sheetData sheetId="2"/>
      <sheetData sheetId="3">
        <row r="58">
          <cell r="N58">
            <v>1845.9341003945287</v>
          </cell>
        </row>
      </sheetData>
      <sheetData sheetId="4"/>
      <sheetData sheetId="5">
        <row r="6">
          <cell r="N6">
            <v>120.1662</v>
          </cell>
        </row>
        <row r="7">
          <cell r="N7">
            <v>120.1662</v>
          </cell>
        </row>
        <row r="8">
          <cell r="N8">
            <v>120.1662</v>
          </cell>
        </row>
        <row r="9">
          <cell r="N9">
            <v>120.1662</v>
          </cell>
        </row>
        <row r="11">
          <cell r="N11">
            <v>40.892200000000003</v>
          </cell>
        </row>
        <row r="12">
          <cell r="N12">
            <v>40.892200000000003</v>
          </cell>
        </row>
        <row r="13">
          <cell r="N13">
            <v>40.892200000000003</v>
          </cell>
        </row>
        <row r="14">
          <cell r="N14">
            <v>40.892200000000003</v>
          </cell>
        </row>
        <row r="15">
          <cell r="N15">
            <v>40.892200000000003</v>
          </cell>
        </row>
        <row r="17">
          <cell r="N17">
            <v>40.892200000000003</v>
          </cell>
        </row>
        <row r="23">
          <cell r="N23">
            <v>13.94</v>
          </cell>
        </row>
        <row r="24">
          <cell r="N24">
            <v>13.94</v>
          </cell>
        </row>
        <row r="27">
          <cell r="N27">
            <v>1.3577795500000001</v>
          </cell>
        </row>
        <row r="28">
          <cell r="N28">
            <v>0.37170200999999997</v>
          </cell>
        </row>
        <row r="29">
          <cell r="N29">
            <v>0.47860163</v>
          </cell>
        </row>
      </sheetData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58">
          <cell r="L58">
            <v>441.14069035968726</v>
          </cell>
        </row>
      </sheetData>
      <sheetData sheetId="2"/>
      <sheetData sheetId="3">
        <row r="58">
          <cell r="N58">
            <v>1697.9090728947876</v>
          </cell>
        </row>
      </sheetData>
      <sheetData sheetId="4">
        <row r="6">
          <cell r="N6">
            <v>124.53149999999999</v>
          </cell>
        </row>
        <row r="7">
          <cell r="N7">
            <v>124.53149999999999</v>
          </cell>
        </row>
        <row r="8">
          <cell r="N8">
            <v>124.53149999999999</v>
          </cell>
        </row>
        <row r="9">
          <cell r="N9">
            <v>124.53149999999999</v>
          </cell>
        </row>
        <row r="11">
          <cell r="N11">
            <v>42.975700000000003</v>
          </cell>
        </row>
        <row r="12">
          <cell r="N12">
            <v>42.975700000000003</v>
          </cell>
        </row>
        <row r="13">
          <cell r="N13">
            <v>42.975700000000003</v>
          </cell>
        </row>
        <row r="14">
          <cell r="N14">
            <v>42.975700000000003</v>
          </cell>
        </row>
        <row r="15">
          <cell r="N15">
            <v>42.975700000000003</v>
          </cell>
        </row>
        <row r="17">
          <cell r="N17">
            <v>42.975700000000003</v>
          </cell>
        </row>
        <row r="23">
          <cell r="N23">
            <v>14.21</v>
          </cell>
        </row>
        <row r="24">
          <cell r="N24">
            <v>14.21</v>
          </cell>
        </row>
        <row r="27">
          <cell r="N27">
            <v>1.3619149799999999</v>
          </cell>
        </row>
        <row r="28">
          <cell r="N28">
            <v>0.37240200999999995</v>
          </cell>
        </row>
        <row r="29">
          <cell r="N29">
            <v>0.50250163000000003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Rev.2) BP22 (2)"/>
      <sheetName val="PRODUCTION (Rev.1) BP22"/>
      <sheetName val="Internal Price - BP2022"/>
    </sheetNames>
    <sheetDataSet>
      <sheetData sheetId="0">
        <row r="7">
          <cell r="B7">
            <v>137755.12049999999</v>
          </cell>
          <cell r="C7">
            <v>136054.44</v>
          </cell>
          <cell r="D7">
            <v>134353.75950000001</v>
          </cell>
          <cell r="E7">
            <v>136904.78025000001</v>
          </cell>
          <cell r="F7">
            <v>136054.44</v>
          </cell>
          <cell r="G7">
            <v>157312.94625000001</v>
          </cell>
          <cell r="H7">
            <v>158163.28649999999</v>
          </cell>
          <cell r="I7">
            <v>158163.28649999999</v>
          </cell>
          <cell r="J7">
            <v>158163.28649999999</v>
          </cell>
          <cell r="K7">
            <v>117346.95450000001</v>
          </cell>
          <cell r="L7">
            <v>122448.99599999998</v>
          </cell>
          <cell r="M7">
            <v>147959.2035</v>
          </cell>
        </row>
        <row r="9">
          <cell r="B9">
            <v>30085.246800000001</v>
          </cell>
          <cell r="C9">
            <v>29713.824000000001</v>
          </cell>
          <cell r="D9">
            <v>29342.4012</v>
          </cell>
          <cell r="E9">
            <v>29899.535400000001</v>
          </cell>
          <cell r="F9">
            <v>29713.824000000001</v>
          </cell>
          <cell r="G9">
            <v>34356.608999999997</v>
          </cell>
          <cell r="H9">
            <v>34542.320399999997</v>
          </cell>
          <cell r="I9">
            <v>34542.320399999997</v>
          </cell>
          <cell r="J9">
            <v>34542.320399999997</v>
          </cell>
          <cell r="K9">
            <v>25628.173200000001</v>
          </cell>
          <cell r="L9">
            <v>26742.441599999998</v>
          </cell>
          <cell r="M9">
            <v>32313.783599999995</v>
          </cell>
        </row>
        <row r="10">
          <cell r="B10">
            <v>9447.84</v>
          </cell>
          <cell r="C10">
            <v>9331.2000000000007</v>
          </cell>
          <cell r="D10">
            <v>9214.56</v>
          </cell>
          <cell r="E10">
            <v>9389.52</v>
          </cell>
          <cell r="F10">
            <v>9331.2000000000007</v>
          </cell>
          <cell r="G10">
            <v>10789.2</v>
          </cell>
          <cell r="H10">
            <v>10847.52</v>
          </cell>
          <cell r="I10">
            <v>10847.52</v>
          </cell>
          <cell r="J10">
            <v>10847.52</v>
          </cell>
          <cell r="K10">
            <v>8048.1600000000008</v>
          </cell>
          <cell r="L10">
            <v>8398.08</v>
          </cell>
          <cell r="M10">
            <v>10147.679999999998</v>
          </cell>
        </row>
        <row r="13">
          <cell r="B13">
            <v>1476979.4340000001</v>
          </cell>
          <cell r="C13">
            <v>1458745.12</v>
          </cell>
          <cell r="D13">
            <v>1440510.8060000001</v>
          </cell>
          <cell r="E13">
            <v>1467862.277</v>
          </cell>
          <cell r="F13">
            <v>1458745.12</v>
          </cell>
          <cell r="G13">
            <v>1686674.0449999999</v>
          </cell>
          <cell r="H13">
            <v>1695791.202</v>
          </cell>
          <cell r="I13">
            <v>1695791.202</v>
          </cell>
          <cell r="J13">
            <v>1695791.202</v>
          </cell>
          <cell r="K13">
            <v>1258167.6660000002</v>
          </cell>
          <cell r="L13">
            <v>1312870.608</v>
          </cell>
          <cell r="M13">
            <v>1586385.318</v>
          </cell>
        </row>
        <row r="14">
          <cell r="B14">
            <v>4301.1000000000004</v>
          </cell>
          <cell r="C14">
            <v>4248</v>
          </cell>
          <cell r="D14">
            <v>4194.8999999999996</v>
          </cell>
          <cell r="E14">
            <v>4274.55</v>
          </cell>
          <cell r="F14">
            <v>4248</v>
          </cell>
          <cell r="G14">
            <v>4911.75</v>
          </cell>
          <cell r="H14">
            <v>4938.3</v>
          </cell>
          <cell r="I14">
            <v>4938.3</v>
          </cell>
          <cell r="J14">
            <v>4938.3</v>
          </cell>
          <cell r="K14">
            <v>3663.9</v>
          </cell>
          <cell r="L14">
            <v>3823.2</v>
          </cell>
          <cell r="M14">
            <v>4619.7</v>
          </cell>
        </row>
        <row r="15">
          <cell r="B15">
            <v>33878.330999999998</v>
          </cell>
          <cell r="C15">
            <v>33460.080000000002</v>
          </cell>
          <cell r="D15">
            <v>33041.828999999998</v>
          </cell>
          <cell r="E15">
            <v>33669.205500000004</v>
          </cell>
          <cell r="F15">
            <v>33460.080000000002</v>
          </cell>
          <cell r="G15">
            <v>38688.217499999999</v>
          </cell>
          <cell r="H15">
            <v>38897.343000000001</v>
          </cell>
          <cell r="I15">
            <v>38897.343000000001</v>
          </cell>
          <cell r="J15">
            <v>38897.343000000001</v>
          </cell>
          <cell r="K15">
            <v>28859.319000000003</v>
          </cell>
          <cell r="L15">
            <v>30114.071999999996</v>
          </cell>
          <cell r="M15">
            <v>36387.837</v>
          </cell>
        </row>
        <row r="22">
          <cell r="B22">
            <v>75738.1345</v>
          </cell>
          <cell r="C22">
            <v>20000</v>
          </cell>
          <cell r="D22">
            <v>50000</v>
          </cell>
          <cell r="E22">
            <v>45000</v>
          </cell>
          <cell r="F22">
            <v>80000</v>
          </cell>
          <cell r="G22">
            <v>100000</v>
          </cell>
          <cell r="H22">
            <v>100000</v>
          </cell>
          <cell r="I22">
            <v>94552.066000000006</v>
          </cell>
          <cell r="J22">
            <v>62713.105000000003</v>
          </cell>
          <cell r="K22">
            <v>62713.105000000003</v>
          </cell>
          <cell r="L22">
            <v>80079.811000000002</v>
          </cell>
          <cell r="M22">
            <v>80079.811000000002</v>
          </cell>
        </row>
        <row r="23">
          <cell r="B23">
            <v>70830.078999999998</v>
          </cell>
          <cell r="C23">
            <v>71281.225999999995</v>
          </cell>
          <cell r="D23">
            <v>70378.932000000001</v>
          </cell>
          <cell r="E23">
            <v>73085.813999999998</v>
          </cell>
          <cell r="F23">
            <v>72634.667000000001</v>
          </cell>
          <cell r="G23">
            <v>85717.930000000008</v>
          </cell>
          <cell r="H23">
            <v>87522.517999999996</v>
          </cell>
          <cell r="I23">
            <v>88424.812000000005</v>
          </cell>
          <cell r="J23">
            <v>85717.930000000008</v>
          </cell>
          <cell r="K23">
            <v>58649.11</v>
          </cell>
          <cell r="L23">
            <v>63160.580000000009</v>
          </cell>
          <cell r="M23">
            <v>74890.402000000002</v>
          </cell>
        </row>
        <row r="24">
          <cell r="B24">
            <v>21008.012999999999</v>
          </cell>
          <cell r="C24">
            <v>21141.822</v>
          </cell>
          <cell r="D24">
            <v>20874.204000000002</v>
          </cell>
          <cell r="E24">
            <v>21677.058000000001</v>
          </cell>
          <cell r="F24">
            <v>21543.249</v>
          </cell>
          <cell r="G24">
            <v>25423.71</v>
          </cell>
          <cell r="H24">
            <v>25958.946</v>
          </cell>
          <cell r="I24">
            <v>26226.564000000002</v>
          </cell>
          <cell r="J24">
            <v>25423.71</v>
          </cell>
          <cell r="K24">
            <v>17395.170000000002</v>
          </cell>
          <cell r="L24">
            <v>18733.260000000002</v>
          </cell>
          <cell r="M24">
            <v>22212.294000000002</v>
          </cell>
        </row>
        <row r="25">
          <cell r="B25">
            <v>36353.954449999997</v>
          </cell>
          <cell r="C25">
            <v>36585.508300000001</v>
          </cell>
          <cell r="D25">
            <v>36122.400600000001</v>
          </cell>
          <cell r="E25">
            <v>37511.723700000002</v>
          </cell>
          <cell r="F25">
            <v>37280.169849999998</v>
          </cell>
          <cell r="G25">
            <v>43995.231500000002</v>
          </cell>
          <cell r="H25">
            <v>44921.446900000003</v>
          </cell>
          <cell r="I25">
            <v>45384.554600000003</v>
          </cell>
          <cell r="J25">
            <v>43995.231500000002</v>
          </cell>
          <cell r="K25">
            <v>30102.000500000002</v>
          </cell>
          <cell r="L25">
            <v>32417.539000000004</v>
          </cell>
          <cell r="M25">
            <v>38437.939100000003</v>
          </cell>
        </row>
        <row r="26">
          <cell r="B26">
            <v>57039.874100000008</v>
          </cell>
          <cell r="C26">
            <v>100000</v>
          </cell>
          <cell r="D26">
            <v>56676.562800000007</v>
          </cell>
          <cell r="E26">
            <v>58856.430600000007</v>
          </cell>
          <cell r="F26">
            <v>58493.119300000006</v>
          </cell>
          <cell r="G26">
            <v>69029.147000000012</v>
          </cell>
          <cell r="H26">
            <v>70482.392200000017</v>
          </cell>
          <cell r="I26">
            <v>71209.014800000019</v>
          </cell>
          <cell r="J26">
            <v>69029.147000000012</v>
          </cell>
          <cell r="K26">
            <v>47230.469000000005</v>
          </cell>
          <cell r="L26">
            <v>50863.582000000009</v>
          </cell>
          <cell r="M26">
            <v>60309.675800000012</v>
          </cell>
        </row>
        <row r="27">
          <cell r="B27">
            <v>731047.04420000012</v>
          </cell>
          <cell r="C27">
            <v>830000</v>
          </cell>
          <cell r="D27">
            <v>800000</v>
          </cell>
          <cell r="E27">
            <v>800000</v>
          </cell>
          <cell r="F27">
            <v>800000</v>
          </cell>
          <cell r="G27">
            <v>884706.61400000006</v>
          </cell>
          <cell r="H27">
            <v>903332.01640000008</v>
          </cell>
          <cell r="I27">
            <v>912644.71760000009</v>
          </cell>
          <cell r="J27">
            <v>800000</v>
          </cell>
          <cell r="K27">
            <v>500000</v>
          </cell>
          <cell r="L27">
            <v>600000</v>
          </cell>
          <cell r="M27">
            <v>800000</v>
          </cell>
        </row>
        <row r="28">
          <cell r="B28">
            <v>632644.3112</v>
          </cell>
          <cell r="C28">
            <v>800000</v>
          </cell>
          <cell r="D28">
            <v>800000</v>
          </cell>
          <cell r="E28">
            <v>800000</v>
          </cell>
          <cell r="F28">
            <v>800000</v>
          </cell>
          <cell r="G28">
            <v>765620.50400000007</v>
          </cell>
          <cell r="H28">
            <v>781738.83040000009</v>
          </cell>
          <cell r="I28">
            <v>789797.99360000005</v>
          </cell>
          <cell r="J28">
            <v>700000</v>
          </cell>
          <cell r="K28">
            <v>400000</v>
          </cell>
          <cell r="L28">
            <v>500000</v>
          </cell>
          <cell r="M28">
            <v>700000</v>
          </cell>
        </row>
        <row r="29">
          <cell r="B29">
            <v>287473.04450000002</v>
          </cell>
          <cell r="C29">
            <v>289304.08299999998</v>
          </cell>
          <cell r="D29">
            <v>285642.00599999999</v>
          </cell>
          <cell r="E29">
            <v>296628.23700000002</v>
          </cell>
          <cell r="F29">
            <v>294797.1985</v>
          </cell>
          <cell r="G29">
            <v>347897.315</v>
          </cell>
          <cell r="H29">
            <v>355221.46899999998</v>
          </cell>
          <cell r="I29">
            <v>358883.54600000003</v>
          </cell>
          <cell r="J29">
            <v>347897.315</v>
          </cell>
          <cell r="K29">
            <v>238035.005</v>
          </cell>
          <cell r="L29">
            <v>256345.39</v>
          </cell>
          <cell r="M29">
            <v>303952.391</v>
          </cell>
        </row>
        <row r="30">
          <cell r="B30">
            <v>292294.23190000001</v>
          </cell>
          <cell r="C30">
            <v>294155.97860000003</v>
          </cell>
          <cell r="D30">
            <v>290432.48520000005</v>
          </cell>
          <cell r="E30">
            <v>301602.96540000004</v>
          </cell>
          <cell r="F30">
            <v>299741.21870000003</v>
          </cell>
          <cell r="G30">
            <v>353731.87300000002</v>
          </cell>
          <cell r="H30">
            <v>361178.85980000003</v>
          </cell>
          <cell r="I30">
            <v>364902.35320000007</v>
          </cell>
          <cell r="J30">
            <v>353731.87300000002</v>
          </cell>
          <cell r="K30">
            <v>242027.07100000003</v>
          </cell>
          <cell r="L30">
            <v>260644.53800000006</v>
          </cell>
          <cell r="M30">
            <v>309049.95220000006</v>
          </cell>
        </row>
        <row r="31">
          <cell r="B31">
            <v>567137.12880000006</v>
          </cell>
          <cell r="C31">
            <v>570749.46720000007</v>
          </cell>
          <cell r="D31">
            <v>563524.79040000006</v>
          </cell>
          <cell r="E31">
            <v>585198.8208000001</v>
          </cell>
          <cell r="F31">
            <v>581586.4824000001</v>
          </cell>
          <cell r="G31">
            <v>686344.29600000009</v>
          </cell>
          <cell r="H31">
            <v>700793.64960000012</v>
          </cell>
          <cell r="I31">
            <v>708018.32640000014</v>
          </cell>
          <cell r="J31">
            <v>686344.29600000009</v>
          </cell>
          <cell r="K31">
            <v>469603.99200000009</v>
          </cell>
          <cell r="L31">
            <v>505727.37600000011</v>
          </cell>
          <cell r="M31">
            <v>599648.17440000013</v>
          </cell>
        </row>
        <row r="32">
          <cell r="B32">
            <v>7336.3823500000008</v>
          </cell>
          <cell r="C32">
            <v>7383.1109000000006</v>
          </cell>
          <cell r="D32">
            <v>7289.6538</v>
          </cell>
          <cell r="E32">
            <v>7570.0251000000007</v>
          </cell>
          <cell r="F32">
            <v>7523.2965500000009</v>
          </cell>
          <cell r="G32">
            <v>8878.424500000001</v>
          </cell>
          <cell r="H32">
            <v>9065.3387000000002</v>
          </cell>
          <cell r="I32">
            <v>9158.7958000000017</v>
          </cell>
          <cell r="J32">
            <v>8878.424500000001</v>
          </cell>
          <cell r="K32">
            <v>6074.7115000000003</v>
          </cell>
          <cell r="L32">
            <v>6541.9970000000012</v>
          </cell>
          <cell r="M32">
            <v>7756.9393000000009</v>
          </cell>
        </row>
        <row r="33">
          <cell r="B33">
            <v>1994.6850000000004</v>
          </cell>
          <cell r="C33">
            <v>2007.3900000000003</v>
          </cell>
          <cell r="D33">
            <v>1981.9800000000002</v>
          </cell>
          <cell r="E33">
            <v>2058.2100000000005</v>
          </cell>
          <cell r="F33">
            <v>2045.5050000000003</v>
          </cell>
          <cell r="G33">
            <v>2413.9500000000003</v>
          </cell>
          <cell r="H33">
            <v>2464.7700000000004</v>
          </cell>
          <cell r="I33">
            <v>2490.1800000000003</v>
          </cell>
          <cell r="J33">
            <v>2413.9500000000003</v>
          </cell>
          <cell r="K33">
            <v>1651.6500000000003</v>
          </cell>
          <cell r="L33">
            <v>1778.7000000000005</v>
          </cell>
          <cell r="M33">
            <v>2109.0300000000002</v>
          </cell>
        </row>
        <row r="34">
          <cell r="B34">
            <v>25135.966900000003</v>
          </cell>
          <cell r="C34">
            <v>25296.068600000002</v>
          </cell>
          <cell r="D34">
            <v>24975.8652</v>
          </cell>
          <cell r="E34">
            <v>25936.475400000003</v>
          </cell>
          <cell r="F34">
            <v>25776.373700000004</v>
          </cell>
          <cell r="G34">
            <v>30419.323000000004</v>
          </cell>
          <cell r="H34">
            <v>31059.729800000005</v>
          </cell>
          <cell r="I34">
            <v>31379.933200000003</v>
          </cell>
          <cell r="J34">
            <v>30419.323000000004</v>
          </cell>
          <cell r="K34">
            <v>20813.221000000001</v>
          </cell>
          <cell r="L34">
            <v>22414.238000000005</v>
          </cell>
          <cell r="M34">
            <v>26576.882200000004</v>
          </cell>
        </row>
        <row r="44">
          <cell r="B44">
            <v>140763.6409</v>
          </cell>
          <cell r="C44">
            <v>141660.22459999999</v>
          </cell>
          <cell r="D44">
            <v>139867.05719999998</v>
          </cell>
          <cell r="E44">
            <v>145246.5594</v>
          </cell>
          <cell r="F44">
            <v>144349.97570000001</v>
          </cell>
          <cell r="G44">
            <v>170350.90299999999</v>
          </cell>
          <cell r="H44">
            <v>173937.2378</v>
          </cell>
          <cell r="I44">
            <v>175730.40520000001</v>
          </cell>
          <cell r="J44">
            <v>170350.90299999999</v>
          </cell>
          <cell r="K44">
            <v>116555.88099999999</v>
          </cell>
          <cell r="L44">
            <v>125521.71800000001</v>
          </cell>
          <cell r="M44">
            <v>148832.89420000001</v>
          </cell>
        </row>
        <row r="45">
          <cell r="B45">
            <v>56211.443975000002</v>
          </cell>
          <cell r="C45">
            <v>40000</v>
          </cell>
          <cell r="D45">
            <v>55853.409299999999</v>
          </cell>
          <cell r="E45">
            <v>58001.61735</v>
          </cell>
          <cell r="F45">
            <v>57643.582674999998</v>
          </cell>
          <cell r="G45">
            <v>68026.588250000001</v>
          </cell>
          <cell r="H45">
            <v>69458.726949999997</v>
          </cell>
          <cell r="I45">
            <v>70174.796300000002</v>
          </cell>
          <cell r="J45">
            <v>68026.588250000001</v>
          </cell>
          <cell r="K45">
            <v>46544.507749999997</v>
          </cell>
          <cell r="L45">
            <v>50124.854500000001</v>
          </cell>
          <cell r="M45">
            <v>59433.756050000004</v>
          </cell>
        </row>
        <row r="46">
          <cell r="B46">
            <v>118580.68700000001</v>
          </cell>
          <cell r="C46">
            <v>130000</v>
          </cell>
          <cell r="D46">
            <v>117825.39599999999</v>
          </cell>
          <cell r="E46">
            <v>122357.14200000001</v>
          </cell>
          <cell r="F46">
            <v>121601.85100000001</v>
          </cell>
          <cell r="G46">
            <v>143505.29</v>
          </cell>
          <cell r="H46">
            <v>146526.454</v>
          </cell>
          <cell r="I46">
            <v>148037.03599999999</v>
          </cell>
          <cell r="J46">
            <v>143505.29</v>
          </cell>
          <cell r="K46">
            <v>98187.83</v>
          </cell>
          <cell r="L46">
            <v>105740.74</v>
          </cell>
          <cell r="M46">
            <v>125378.30600000001</v>
          </cell>
        </row>
        <row r="47">
          <cell r="B47">
            <v>154424.23444999999</v>
          </cell>
          <cell r="C47">
            <v>155407.82829999999</v>
          </cell>
          <cell r="D47">
            <v>153440.64059999998</v>
          </cell>
          <cell r="E47">
            <v>159342.20370000001</v>
          </cell>
          <cell r="F47">
            <v>158358.60985000001</v>
          </cell>
          <cell r="G47">
            <v>186882.8315</v>
          </cell>
          <cell r="H47">
            <v>190817.20689999999</v>
          </cell>
          <cell r="I47">
            <v>192784.3946</v>
          </cell>
          <cell r="J47">
            <v>186882.8315</v>
          </cell>
          <cell r="K47">
            <v>127867.20050000001</v>
          </cell>
          <cell r="L47">
            <v>137703.139</v>
          </cell>
          <cell r="M47">
            <v>163276.5791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54">
          <cell r="B54">
            <v>4456.9944999999998</v>
          </cell>
          <cell r="C54">
            <v>4485.3829999999998</v>
          </cell>
          <cell r="D54">
            <v>4428.6059999999998</v>
          </cell>
          <cell r="E54">
            <v>4598.9369999999999</v>
          </cell>
          <cell r="F54">
            <v>4570.5484999999999</v>
          </cell>
          <cell r="G54">
            <v>5393.8150000000005</v>
          </cell>
          <cell r="H54">
            <v>5507.3690000000006</v>
          </cell>
          <cell r="I54">
            <v>5564.1460000000006</v>
          </cell>
          <cell r="J54">
            <v>5393.8150000000005</v>
          </cell>
          <cell r="K54">
            <v>3690.5050000000001</v>
          </cell>
          <cell r="L54">
            <v>3974.3900000000003</v>
          </cell>
          <cell r="M54">
            <v>4712.491</v>
          </cell>
        </row>
        <row r="55">
          <cell r="B55">
            <v>5110.0360000000001</v>
          </cell>
          <cell r="C55">
            <v>5142.5839999999998</v>
          </cell>
          <cell r="D55">
            <v>5077.4880000000003</v>
          </cell>
          <cell r="E55">
            <v>5272.7759999999998</v>
          </cell>
          <cell r="F55">
            <v>5240.2280000000001</v>
          </cell>
          <cell r="G55">
            <v>6184.12</v>
          </cell>
          <cell r="H55">
            <v>6314.3119999999999</v>
          </cell>
          <cell r="I55">
            <v>6379.4080000000004</v>
          </cell>
          <cell r="J55">
            <v>6184.12</v>
          </cell>
          <cell r="K55">
            <v>4231.24</v>
          </cell>
          <cell r="L55">
            <v>4556.72</v>
          </cell>
          <cell r="M55">
            <v>5402.9679999999998</v>
          </cell>
        </row>
        <row r="56">
          <cell r="B56">
            <v>3820.1239999999998</v>
          </cell>
          <cell r="C56">
            <v>3844.4560000000001</v>
          </cell>
          <cell r="D56">
            <v>3795.7919999999999</v>
          </cell>
          <cell r="E56">
            <v>3941.7840000000001</v>
          </cell>
          <cell r="F56">
            <v>3917.4520000000002</v>
          </cell>
          <cell r="G56">
            <v>4623.08</v>
          </cell>
          <cell r="H56">
            <v>4720.4080000000004</v>
          </cell>
          <cell r="I56">
            <v>4769.0720000000001</v>
          </cell>
          <cell r="J56">
            <v>4623.08</v>
          </cell>
          <cell r="K56">
            <v>3163.1600000000003</v>
          </cell>
          <cell r="L56">
            <v>3406.4800000000005</v>
          </cell>
          <cell r="M56">
            <v>4039.1120000000001</v>
          </cell>
        </row>
        <row r="57">
          <cell r="B57">
            <v>1552.1020000000001</v>
          </cell>
          <cell r="C57">
            <v>1561.9880000000001</v>
          </cell>
          <cell r="D57">
            <v>1542.2159999999999</v>
          </cell>
          <cell r="E57">
            <v>1601.5320000000002</v>
          </cell>
          <cell r="F57">
            <v>1591.646</v>
          </cell>
          <cell r="G57">
            <v>1878.34</v>
          </cell>
          <cell r="H57">
            <v>1917.884</v>
          </cell>
          <cell r="I57">
            <v>1937.6560000000002</v>
          </cell>
          <cell r="J57">
            <v>1878.34</v>
          </cell>
          <cell r="K57">
            <v>1285.18</v>
          </cell>
          <cell r="L57">
            <v>1384.0400000000002</v>
          </cell>
          <cell r="M57">
            <v>1641.076</v>
          </cell>
        </row>
        <row r="63">
          <cell r="B63">
            <v>16776.627499999999</v>
          </cell>
          <cell r="C63">
            <v>16883.485000000001</v>
          </cell>
          <cell r="D63">
            <v>16669.77</v>
          </cell>
          <cell r="E63">
            <v>17310.915000000001</v>
          </cell>
          <cell r="F63">
            <v>17204.057499999999</v>
          </cell>
          <cell r="G63">
            <v>20302.924999999999</v>
          </cell>
          <cell r="H63">
            <v>20730.355</v>
          </cell>
          <cell r="I63">
            <v>20944.07</v>
          </cell>
          <cell r="J63">
            <v>20302.924999999999</v>
          </cell>
          <cell r="K63">
            <v>13891.475</v>
          </cell>
          <cell r="L63">
            <v>14960.050000000001</v>
          </cell>
          <cell r="M63">
            <v>17738.345000000001</v>
          </cell>
        </row>
        <row r="64">
          <cell r="B64">
            <v>50363.088000000003</v>
          </cell>
          <cell r="C64">
            <v>50683.872000000003</v>
          </cell>
          <cell r="D64">
            <v>50042.303999999996</v>
          </cell>
          <cell r="E64">
            <v>51967.008000000002</v>
          </cell>
          <cell r="F64">
            <v>51646.224000000002</v>
          </cell>
          <cell r="G64">
            <v>60948.959999999999</v>
          </cell>
          <cell r="H64">
            <v>62232.096000000005</v>
          </cell>
          <cell r="I64">
            <v>62873.664000000004</v>
          </cell>
          <cell r="J64">
            <v>60948.959999999999</v>
          </cell>
          <cell r="K64">
            <v>41701.919999999998</v>
          </cell>
          <cell r="L64">
            <v>44909.760000000002</v>
          </cell>
          <cell r="M64">
            <v>53250.144</v>
          </cell>
        </row>
        <row r="65">
          <cell r="B65">
            <v>47004.308499999999</v>
          </cell>
          <cell r="C65">
            <v>47303.699000000001</v>
          </cell>
          <cell r="D65">
            <v>46704.917999999998</v>
          </cell>
          <cell r="E65">
            <v>48501.260999999999</v>
          </cell>
          <cell r="F65">
            <v>48201.870500000005</v>
          </cell>
          <cell r="G65">
            <v>56884.195</v>
          </cell>
          <cell r="H65">
            <v>58081.757000000005</v>
          </cell>
          <cell r="I65">
            <v>58680.538</v>
          </cell>
          <cell r="J65">
            <v>56884.195</v>
          </cell>
          <cell r="K65">
            <v>38920.764999999999</v>
          </cell>
          <cell r="L65">
            <v>41914.670000000006</v>
          </cell>
          <cell r="M65">
            <v>49698.823000000004</v>
          </cell>
        </row>
        <row r="66">
          <cell r="B66">
            <v>24260.111000000001</v>
          </cell>
          <cell r="C66">
            <v>24414.634000000002</v>
          </cell>
          <cell r="D66">
            <v>24105.588</v>
          </cell>
          <cell r="E66">
            <v>25032.726000000002</v>
          </cell>
          <cell r="F66">
            <v>24878.203000000001</v>
          </cell>
          <cell r="G66">
            <v>29359.37</v>
          </cell>
          <cell r="H66">
            <v>29977.462</v>
          </cell>
          <cell r="I66">
            <v>30286.508000000002</v>
          </cell>
          <cell r="J66">
            <v>29359.37</v>
          </cell>
          <cell r="K66">
            <v>20087.990000000002</v>
          </cell>
          <cell r="L66">
            <v>21633.22</v>
          </cell>
          <cell r="M66">
            <v>25650.818000000003</v>
          </cell>
        </row>
        <row r="67">
          <cell r="B67">
            <v>45803.807999999997</v>
          </cell>
          <cell r="C67">
            <v>46095.552000000003</v>
          </cell>
          <cell r="D67">
            <v>45512.063999999998</v>
          </cell>
          <cell r="E67">
            <v>47262.527999999998</v>
          </cell>
          <cell r="F67">
            <v>46970.784</v>
          </cell>
          <cell r="G67">
            <v>55431.360000000001</v>
          </cell>
          <cell r="H67">
            <v>56598.336000000003</v>
          </cell>
          <cell r="I67">
            <v>57181.824000000001</v>
          </cell>
          <cell r="J67">
            <v>55431.360000000001</v>
          </cell>
          <cell r="K67">
            <v>37926.720000000001</v>
          </cell>
          <cell r="L67">
            <v>40844.160000000003</v>
          </cell>
          <cell r="M67">
            <v>48429.504000000001</v>
          </cell>
        </row>
        <row r="68">
          <cell r="B68">
            <v>6021.9705000000004</v>
          </cell>
          <cell r="C68">
            <v>6060.3270000000002</v>
          </cell>
          <cell r="D68">
            <v>5983.6139999999996</v>
          </cell>
          <cell r="E68">
            <v>6213.7530000000006</v>
          </cell>
          <cell r="F68">
            <v>6175.3964999999998</v>
          </cell>
          <cell r="G68">
            <v>7287.7349999999997</v>
          </cell>
          <cell r="H68">
            <v>7441.1610000000001</v>
          </cell>
          <cell r="I68">
            <v>7517.8740000000007</v>
          </cell>
          <cell r="J68">
            <v>7287.7349999999997</v>
          </cell>
          <cell r="K68">
            <v>4986.3450000000003</v>
          </cell>
          <cell r="L68">
            <v>5369.9100000000008</v>
          </cell>
          <cell r="M68">
            <v>6367.1790000000001</v>
          </cell>
        </row>
        <row r="71">
          <cell r="B71">
            <v>3090.9375</v>
          </cell>
          <cell r="C71">
            <v>3110.625</v>
          </cell>
          <cell r="D71">
            <v>3071.25</v>
          </cell>
          <cell r="E71">
            <v>3189.375</v>
          </cell>
          <cell r="F71">
            <v>3169.6875</v>
          </cell>
          <cell r="G71">
            <v>3740.625</v>
          </cell>
          <cell r="H71">
            <v>3819.375</v>
          </cell>
          <cell r="I71">
            <v>3858.75</v>
          </cell>
          <cell r="J71">
            <v>3740.625</v>
          </cell>
          <cell r="K71">
            <v>2559.375</v>
          </cell>
          <cell r="L71">
            <v>2756.2500000000005</v>
          </cell>
          <cell r="M71">
            <v>3268.125</v>
          </cell>
        </row>
        <row r="72">
          <cell r="B72">
            <v>2121.6979999999999</v>
          </cell>
          <cell r="C72">
            <v>2135.212</v>
          </cell>
          <cell r="D72">
            <v>2108.1840000000002</v>
          </cell>
          <cell r="E72">
            <v>2189.268</v>
          </cell>
          <cell r="F72">
            <v>2175.7539999999999</v>
          </cell>
          <cell r="G72">
            <v>2567.66</v>
          </cell>
          <cell r="H72">
            <v>2621.7159999999999</v>
          </cell>
          <cell r="I72">
            <v>2648.7440000000001</v>
          </cell>
          <cell r="J72">
            <v>2567.66</v>
          </cell>
          <cell r="K72">
            <v>1756.8200000000002</v>
          </cell>
          <cell r="L72">
            <v>1891.9600000000003</v>
          </cell>
          <cell r="M72">
            <v>2243.3240000000001</v>
          </cell>
        </row>
        <row r="73">
          <cell r="B73">
            <v>1294.1510000000001</v>
          </cell>
          <cell r="C73">
            <v>1302.394</v>
          </cell>
          <cell r="D73">
            <v>1285.9079999999999</v>
          </cell>
          <cell r="E73">
            <v>1335.366</v>
          </cell>
          <cell r="F73">
            <v>1327.123</v>
          </cell>
          <cell r="G73">
            <v>1566.17</v>
          </cell>
          <cell r="H73">
            <v>1599.1420000000001</v>
          </cell>
          <cell r="I73">
            <v>1615.6280000000002</v>
          </cell>
          <cell r="J73">
            <v>1566.17</v>
          </cell>
          <cell r="K73">
            <v>1071.5900000000001</v>
          </cell>
          <cell r="L73">
            <v>1154.0200000000002</v>
          </cell>
          <cell r="M73">
            <v>1368.338</v>
          </cell>
        </row>
        <row r="76">
          <cell r="B76">
            <v>30644.908500000001</v>
          </cell>
          <cell r="C76">
            <v>30840.099000000002</v>
          </cell>
          <cell r="D76">
            <v>30449.718000000001</v>
          </cell>
          <cell r="E76">
            <v>31620.861000000001</v>
          </cell>
          <cell r="F76">
            <v>31425.6705</v>
          </cell>
          <cell r="G76">
            <v>37086.195</v>
          </cell>
          <cell r="H76">
            <v>37866.957000000002</v>
          </cell>
          <cell r="I76">
            <v>38257.338000000003</v>
          </cell>
          <cell r="J76">
            <v>37086.195</v>
          </cell>
          <cell r="K76">
            <v>25374.764999999999</v>
          </cell>
          <cell r="L76">
            <v>27326.670000000002</v>
          </cell>
          <cell r="M76">
            <v>32401.623000000003</v>
          </cell>
        </row>
        <row r="77">
          <cell r="B77">
            <v>7590.2434999999996</v>
          </cell>
          <cell r="C77">
            <v>7638.5889999999999</v>
          </cell>
          <cell r="D77">
            <v>7541.8980000000001</v>
          </cell>
          <cell r="E77">
            <v>7831.9710000000005</v>
          </cell>
          <cell r="F77">
            <v>7783.6255000000001</v>
          </cell>
          <cell r="G77">
            <v>9185.6450000000004</v>
          </cell>
          <cell r="H77">
            <v>9379.027</v>
          </cell>
          <cell r="I77">
            <v>9475.7180000000008</v>
          </cell>
          <cell r="J77">
            <v>9185.6450000000004</v>
          </cell>
          <cell r="K77">
            <v>6284.915</v>
          </cell>
          <cell r="L77">
            <v>6768.3700000000008</v>
          </cell>
          <cell r="M77">
            <v>8025.3530000000001</v>
          </cell>
        </row>
        <row r="81">
          <cell r="B81">
            <v>2487.665</v>
          </cell>
          <cell r="C81">
            <v>2503.5100000000002</v>
          </cell>
          <cell r="D81">
            <v>2471.8200000000002</v>
          </cell>
          <cell r="E81">
            <v>2566.89</v>
          </cell>
          <cell r="F81">
            <v>2551.0450000000001</v>
          </cell>
          <cell r="G81">
            <v>3010.55</v>
          </cell>
          <cell r="H81">
            <v>3073.9300000000003</v>
          </cell>
          <cell r="I81">
            <v>3105.6200000000003</v>
          </cell>
          <cell r="J81">
            <v>3010.55</v>
          </cell>
          <cell r="K81">
            <v>2059.85</v>
          </cell>
          <cell r="L81">
            <v>2218.3000000000002</v>
          </cell>
          <cell r="M81">
            <v>2630.27</v>
          </cell>
        </row>
        <row r="82">
          <cell r="B82">
            <v>481.2835</v>
          </cell>
          <cell r="C82">
            <v>484.34899999999999</v>
          </cell>
          <cell r="D82">
            <v>478.21800000000002</v>
          </cell>
          <cell r="E82">
            <v>496.61099999999999</v>
          </cell>
          <cell r="F82">
            <v>493.5455</v>
          </cell>
          <cell r="G82">
            <v>582.44500000000005</v>
          </cell>
          <cell r="H82">
            <v>594.70699999999999</v>
          </cell>
          <cell r="I82">
            <v>600.83800000000008</v>
          </cell>
          <cell r="J82">
            <v>582.44500000000005</v>
          </cell>
          <cell r="K82">
            <v>398.51499999999999</v>
          </cell>
          <cell r="L82">
            <v>429.17</v>
          </cell>
          <cell r="M82">
            <v>508.87300000000005</v>
          </cell>
        </row>
        <row r="83">
          <cell r="B83">
            <v>4426.4579999999996</v>
          </cell>
          <cell r="C83">
            <v>4454.652</v>
          </cell>
          <cell r="D83">
            <v>4398.2640000000001</v>
          </cell>
          <cell r="E83">
            <v>4567.4279999999999</v>
          </cell>
          <cell r="F83">
            <v>4539.2340000000004</v>
          </cell>
          <cell r="G83">
            <v>5356.86</v>
          </cell>
          <cell r="H83">
            <v>5469.6360000000004</v>
          </cell>
          <cell r="I83">
            <v>5526.0240000000003</v>
          </cell>
          <cell r="J83">
            <v>5356.86</v>
          </cell>
          <cell r="K83">
            <v>3665.2200000000003</v>
          </cell>
          <cell r="L83">
            <v>3947.1600000000003</v>
          </cell>
          <cell r="M83">
            <v>4680.2040000000006</v>
          </cell>
        </row>
        <row r="84">
          <cell r="B84">
            <v>3831.7420000000002</v>
          </cell>
          <cell r="C84">
            <v>3856.1480000000001</v>
          </cell>
          <cell r="D84">
            <v>3807.3359999999998</v>
          </cell>
          <cell r="E84">
            <v>3953.7719999999999</v>
          </cell>
          <cell r="F84">
            <v>3929.366</v>
          </cell>
          <cell r="G84">
            <v>4637.1400000000003</v>
          </cell>
          <cell r="H84">
            <v>4734.7640000000001</v>
          </cell>
          <cell r="I84">
            <v>4783.576</v>
          </cell>
          <cell r="J84">
            <v>4637.1400000000003</v>
          </cell>
          <cell r="K84">
            <v>3172.78</v>
          </cell>
          <cell r="L84">
            <v>3416.84</v>
          </cell>
          <cell r="M84">
            <v>4051.3960000000002</v>
          </cell>
        </row>
        <row r="85">
          <cell r="B85">
            <v>786.02049999999997</v>
          </cell>
          <cell r="C85">
            <v>791.02700000000004</v>
          </cell>
          <cell r="D85">
            <v>781.01400000000001</v>
          </cell>
          <cell r="E85">
            <v>811.053</v>
          </cell>
          <cell r="F85">
            <v>806.04650000000004</v>
          </cell>
          <cell r="G85">
            <v>951.23500000000001</v>
          </cell>
          <cell r="H85">
            <v>971.26100000000008</v>
          </cell>
          <cell r="I85">
            <v>981.274</v>
          </cell>
          <cell r="J85">
            <v>951.23500000000001</v>
          </cell>
          <cell r="K85">
            <v>650.84500000000003</v>
          </cell>
          <cell r="L85">
            <v>700.91000000000008</v>
          </cell>
          <cell r="M85">
            <v>831.07900000000006</v>
          </cell>
        </row>
        <row r="86">
          <cell r="B86">
            <v>37326.828500000003</v>
          </cell>
          <cell r="C86">
            <v>37564.578999999998</v>
          </cell>
          <cell r="D86">
            <v>37089.078000000001</v>
          </cell>
          <cell r="E86">
            <v>38515.580999999998</v>
          </cell>
          <cell r="F86">
            <v>38277.830500000004</v>
          </cell>
          <cell r="G86">
            <v>45172.595000000001</v>
          </cell>
          <cell r="H86">
            <v>46123.597000000002</v>
          </cell>
          <cell r="I86">
            <v>46599.098000000005</v>
          </cell>
          <cell r="J86">
            <v>45172.595000000001</v>
          </cell>
          <cell r="K86">
            <v>30907.565000000002</v>
          </cell>
          <cell r="L86">
            <v>33285.07</v>
          </cell>
          <cell r="M86">
            <v>39466.582999999999</v>
          </cell>
        </row>
        <row r="87">
          <cell r="B87">
            <v>137856.91149999999</v>
          </cell>
          <cell r="C87">
            <v>138734.981</v>
          </cell>
          <cell r="D87">
            <v>136978.842</v>
          </cell>
          <cell r="E87">
            <v>142247.25899999999</v>
          </cell>
          <cell r="F87">
            <v>141369.18950000001</v>
          </cell>
          <cell r="G87">
            <v>166833.20500000002</v>
          </cell>
          <cell r="H87">
            <v>170345.48300000001</v>
          </cell>
          <cell r="I87">
            <v>172101.622</v>
          </cell>
          <cell r="J87">
            <v>166833.20500000002</v>
          </cell>
          <cell r="K87">
            <v>114149.035</v>
          </cell>
          <cell r="L87">
            <v>122929.73000000001</v>
          </cell>
          <cell r="M87">
            <v>145759.53700000001</v>
          </cell>
        </row>
        <row r="92">
          <cell r="B92">
            <v>5172.3649999999998</v>
          </cell>
          <cell r="C92">
            <v>5205.3100000000004</v>
          </cell>
          <cell r="D92">
            <v>5139.42</v>
          </cell>
          <cell r="E92">
            <v>5337.09</v>
          </cell>
          <cell r="F92">
            <v>5304.1450000000004</v>
          </cell>
          <cell r="G92">
            <v>6259.55</v>
          </cell>
          <cell r="H92">
            <v>6391.33</v>
          </cell>
          <cell r="I92">
            <v>6457.22</v>
          </cell>
          <cell r="J92">
            <v>6259.55</v>
          </cell>
          <cell r="K92">
            <v>4282.8500000000004</v>
          </cell>
          <cell r="L92">
            <v>4612.3</v>
          </cell>
          <cell r="M92">
            <v>5468.87</v>
          </cell>
        </row>
        <row r="93">
          <cell r="B93">
            <v>5590.3774999999996</v>
          </cell>
          <cell r="C93">
            <v>5625.9849999999997</v>
          </cell>
          <cell r="D93">
            <v>5554.77</v>
          </cell>
          <cell r="E93">
            <v>5768.415</v>
          </cell>
          <cell r="F93">
            <v>5732.8074999999999</v>
          </cell>
          <cell r="G93">
            <v>6765.4250000000002</v>
          </cell>
          <cell r="H93">
            <v>6907.8550000000005</v>
          </cell>
          <cell r="I93">
            <v>6979.0700000000006</v>
          </cell>
          <cell r="J93">
            <v>6765.4250000000002</v>
          </cell>
          <cell r="K93">
            <v>4628.9750000000004</v>
          </cell>
          <cell r="L93">
            <v>4985.05</v>
          </cell>
          <cell r="M93">
            <v>5910.8450000000003</v>
          </cell>
        </row>
        <row r="97">
          <cell r="B97">
            <v>18688.024000000001</v>
          </cell>
          <cell r="C97">
            <v>18807.056</v>
          </cell>
          <cell r="D97">
            <v>18568.991999999998</v>
          </cell>
          <cell r="E97">
            <v>19283.184000000001</v>
          </cell>
          <cell r="F97">
            <v>19164.152000000002</v>
          </cell>
          <cell r="G97">
            <v>22616.080000000002</v>
          </cell>
          <cell r="H97">
            <v>23092.208000000002</v>
          </cell>
          <cell r="I97">
            <v>23330.272000000001</v>
          </cell>
          <cell r="J97">
            <v>22616.080000000002</v>
          </cell>
          <cell r="K97">
            <v>15474.16</v>
          </cell>
          <cell r="L97">
            <v>16664.480000000003</v>
          </cell>
          <cell r="M97">
            <v>19759.312000000002</v>
          </cell>
        </row>
        <row r="98">
          <cell r="B98">
            <v>11977.844000000001</v>
          </cell>
          <cell r="C98">
            <v>12054.136</v>
          </cell>
          <cell r="D98">
            <v>11901.552</v>
          </cell>
          <cell r="E98">
            <v>12359.304</v>
          </cell>
          <cell r="F98">
            <v>12283.012000000001</v>
          </cell>
          <cell r="G98">
            <v>14495.48</v>
          </cell>
          <cell r="H98">
            <v>14800.648000000001</v>
          </cell>
          <cell r="I98">
            <v>14953.232</v>
          </cell>
          <cell r="J98">
            <v>14495.48</v>
          </cell>
          <cell r="K98">
            <v>9917.9600000000009</v>
          </cell>
          <cell r="L98">
            <v>10680.880000000001</v>
          </cell>
          <cell r="M98">
            <v>12664.472</v>
          </cell>
        </row>
        <row r="99">
          <cell r="B99">
            <v>6574.5320000000002</v>
          </cell>
          <cell r="C99">
            <v>6616.4080000000004</v>
          </cell>
          <cell r="D99">
            <v>6532.6559999999999</v>
          </cell>
          <cell r="E99">
            <v>6783.9120000000003</v>
          </cell>
          <cell r="F99">
            <v>6742.0360000000001</v>
          </cell>
          <cell r="G99">
            <v>7956.4400000000005</v>
          </cell>
          <cell r="H99">
            <v>8123.9440000000004</v>
          </cell>
          <cell r="I99">
            <v>8207.6959999999999</v>
          </cell>
          <cell r="J99">
            <v>7956.4400000000005</v>
          </cell>
          <cell r="K99">
            <v>5443.88</v>
          </cell>
          <cell r="L99">
            <v>5862.64</v>
          </cell>
          <cell r="M99">
            <v>6951.4160000000002</v>
          </cell>
        </row>
        <row r="100">
          <cell r="B100">
            <v>5230.9260000000004</v>
          </cell>
          <cell r="C100">
            <v>5264.2439999999997</v>
          </cell>
          <cell r="D100">
            <v>5197.6080000000002</v>
          </cell>
          <cell r="E100">
            <v>5397.5160000000005</v>
          </cell>
          <cell r="F100">
            <v>5364.1980000000003</v>
          </cell>
          <cell r="G100">
            <v>6330.42</v>
          </cell>
          <cell r="H100">
            <v>6463.692</v>
          </cell>
          <cell r="I100">
            <v>6530.3280000000004</v>
          </cell>
          <cell r="J100">
            <v>6330.42</v>
          </cell>
          <cell r="K100">
            <v>4331.34</v>
          </cell>
          <cell r="L100">
            <v>4664.5200000000004</v>
          </cell>
          <cell r="M100">
            <v>5530.7880000000005</v>
          </cell>
        </row>
        <row r="101">
          <cell r="B101">
            <v>2585.9470000000001</v>
          </cell>
          <cell r="C101">
            <v>2602.4180000000001</v>
          </cell>
          <cell r="D101">
            <v>2569.4760000000001</v>
          </cell>
          <cell r="E101">
            <v>2668.3020000000001</v>
          </cell>
          <cell r="F101">
            <v>2651.8310000000001</v>
          </cell>
          <cell r="G101">
            <v>3129.4900000000002</v>
          </cell>
          <cell r="H101">
            <v>3195.3740000000003</v>
          </cell>
          <cell r="I101">
            <v>3228.3160000000003</v>
          </cell>
          <cell r="J101">
            <v>3129.4900000000002</v>
          </cell>
          <cell r="K101">
            <v>2141.23</v>
          </cell>
          <cell r="L101">
            <v>2305.94</v>
          </cell>
          <cell r="M101">
            <v>2734.1860000000001</v>
          </cell>
        </row>
        <row r="102">
          <cell r="B102">
            <v>613.6345</v>
          </cell>
          <cell r="C102">
            <v>617.54300000000001</v>
          </cell>
          <cell r="D102">
            <v>609.726</v>
          </cell>
          <cell r="E102">
            <v>633.17700000000002</v>
          </cell>
          <cell r="F102">
            <v>629.26850000000002</v>
          </cell>
          <cell r="G102">
            <v>742.61500000000001</v>
          </cell>
          <cell r="H102">
            <v>758.24900000000002</v>
          </cell>
          <cell r="I102">
            <v>766.06600000000003</v>
          </cell>
          <cell r="J102">
            <v>742.61500000000001</v>
          </cell>
          <cell r="K102">
            <v>508.10500000000002</v>
          </cell>
          <cell r="L102">
            <v>547.19000000000005</v>
          </cell>
          <cell r="M102">
            <v>648.81100000000004</v>
          </cell>
        </row>
        <row r="103">
          <cell r="B103">
            <v>847.8</v>
          </cell>
          <cell r="C103">
            <v>853.2</v>
          </cell>
          <cell r="D103">
            <v>842.4</v>
          </cell>
          <cell r="E103">
            <v>874.80000000000007</v>
          </cell>
          <cell r="F103">
            <v>869.4</v>
          </cell>
          <cell r="G103">
            <v>1026</v>
          </cell>
          <cell r="H103">
            <v>1047.6000000000001</v>
          </cell>
          <cell r="I103">
            <v>1058.4000000000001</v>
          </cell>
          <cell r="J103">
            <v>1026</v>
          </cell>
          <cell r="K103">
            <v>702</v>
          </cell>
          <cell r="L103">
            <v>756.00000000000011</v>
          </cell>
          <cell r="M103">
            <v>896.40000000000009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8DF7C-D81E-472F-A824-BA24AF90B5DD}">
  <dimension ref="B1:I20"/>
  <sheetViews>
    <sheetView showGridLines="0" workbookViewId="0">
      <selection activeCell="D5" sqref="D5"/>
    </sheetView>
  </sheetViews>
  <sheetFormatPr defaultRowHeight="12.75"/>
  <cols>
    <col min="2" max="2" width="14.28515625" customWidth="1"/>
    <col min="3" max="3" width="9.5703125" bestFit="1" customWidth="1"/>
    <col min="6" max="6" width="11" customWidth="1"/>
    <col min="7" max="7" width="6.7109375" bestFit="1" customWidth="1"/>
  </cols>
  <sheetData>
    <row r="1" spans="2:9" ht="23.25">
      <c r="B1" s="897" t="s">
        <v>314</v>
      </c>
    </row>
    <row r="3" spans="2:9">
      <c r="B3" s="1" t="s">
        <v>315</v>
      </c>
    </row>
    <row r="5" spans="2:9">
      <c r="B5" s="896" t="s">
        <v>316</v>
      </c>
      <c r="D5" s="915">
        <v>0.9</v>
      </c>
      <c r="F5" s="896" t="s">
        <v>318</v>
      </c>
    </row>
    <row r="6" spans="2:9">
      <c r="F6" s="896" t="s">
        <v>319</v>
      </c>
    </row>
    <row r="7" spans="2:9">
      <c r="B7" s="904" t="s">
        <v>317</v>
      </c>
      <c r="C7" s="905"/>
      <c r="D7" s="181"/>
      <c r="F7" s="898" t="s">
        <v>98</v>
      </c>
      <c r="G7" s="899" t="s">
        <v>134</v>
      </c>
      <c r="H7" s="918">
        <v>205</v>
      </c>
      <c r="I7" s="459" t="s">
        <v>322</v>
      </c>
    </row>
    <row r="8" spans="2:9">
      <c r="B8" s="906" t="s">
        <v>98</v>
      </c>
      <c r="C8" s="916">
        <v>0.79</v>
      </c>
      <c r="D8" s="117" t="s">
        <v>321</v>
      </c>
      <c r="F8" s="900"/>
      <c r="G8" s="901" t="s">
        <v>135</v>
      </c>
      <c r="H8" s="919">
        <v>200</v>
      </c>
      <c r="I8" s="117" t="s">
        <v>322</v>
      </c>
    </row>
    <row r="9" spans="2:9">
      <c r="B9" s="907" t="s">
        <v>96</v>
      </c>
      <c r="C9" s="917">
        <v>0.25600000000000001</v>
      </c>
      <c r="D9" s="456" t="s">
        <v>321</v>
      </c>
      <c r="F9" s="902"/>
      <c r="G9" s="903" t="s">
        <v>136</v>
      </c>
      <c r="H9" s="920">
        <v>310</v>
      </c>
      <c r="I9" s="456" t="s">
        <v>322</v>
      </c>
    </row>
    <row r="10" spans="2:9">
      <c r="H10" s="921"/>
    </row>
    <row r="11" spans="2:9">
      <c r="B11" s="1" t="s">
        <v>323</v>
      </c>
      <c r="C11" s="1" t="s">
        <v>324</v>
      </c>
      <c r="F11" s="898" t="s">
        <v>96</v>
      </c>
      <c r="G11" s="899" t="s">
        <v>134</v>
      </c>
      <c r="H11" s="918">
        <v>250</v>
      </c>
      <c r="I11" s="459" t="s">
        <v>322</v>
      </c>
    </row>
    <row r="12" spans="2:9">
      <c r="B12" s="922" t="s">
        <v>98</v>
      </c>
      <c r="C12" s="923">
        <f>'Falhas UM-1 - Cost'!E58</f>
        <v>860.77808000000005</v>
      </c>
      <c r="F12" s="900"/>
      <c r="G12" s="901" t="s">
        <v>135</v>
      </c>
      <c r="H12" s="919">
        <v>300</v>
      </c>
      <c r="I12" s="117" t="s">
        <v>322</v>
      </c>
    </row>
    <row r="13" spans="2:9">
      <c r="B13" s="922" t="s">
        <v>96</v>
      </c>
      <c r="C13" s="923">
        <f>'Falhas UM-3-1 Cost'!D50</f>
        <v>216.17370000000003</v>
      </c>
      <c r="F13" s="900"/>
      <c r="G13" s="901" t="s">
        <v>136</v>
      </c>
      <c r="H13" s="919">
        <v>265</v>
      </c>
      <c r="I13" s="117" t="s">
        <v>322</v>
      </c>
    </row>
    <row r="14" spans="2:9">
      <c r="B14" s="922" t="s">
        <v>119</v>
      </c>
      <c r="C14" s="923">
        <f>'Falhas UM-4 Cost'!D57</f>
        <v>160.00289999999998</v>
      </c>
      <c r="F14" s="900"/>
      <c r="G14" s="901" t="s">
        <v>138</v>
      </c>
      <c r="H14" s="919">
        <v>310</v>
      </c>
      <c r="I14" s="117" t="s">
        <v>322</v>
      </c>
    </row>
    <row r="15" spans="2:9">
      <c r="B15" s="922" t="s">
        <v>106</v>
      </c>
      <c r="C15" s="915">
        <f>'[2]Prod 1 2 3'!$D$20</f>
        <v>467.88451780000003</v>
      </c>
      <c r="F15" s="902"/>
      <c r="G15" s="903" t="s">
        <v>139</v>
      </c>
      <c r="H15" s="920">
        <v>500</v>
      </c>
      <c r="I15" s="456" t="s">
        <v>322</v>
      </c>
    </row>
    <row r="16" spans="2:9">
      <c r="H16" s="921"/>
    </row>
    <row r="17" spans="6:9">
      <c r="F17" s="898" t="s">
        <v>320</v>
      </c>
      <c r="G17" s="899" t="s">
        <v>134</v>
      </c>
      <c r="H17" s="918">
        <v>360</v>
      </c>
      <c r="I17" s="459" t="s">
        <v>322</v>
      </c>
    </row>
    <row r="18" spans="6:9">
      <c r="F18" s="900"/>
      <c r="G18" s="901" t="s">
        <v>135</v>
      </c>
      <c r="H18" s="919">
        <v>360</v>
      </c>
      <c r="I18" s="117" t="s">
        <v>322</v>
      </c>
    </row>
    <row r="19" spans="6:9">
      <c r="F19" s="900"/>
      <c r="G19" s="901" t="s">
        <v>136</v>
      </c>
      <c r="H19" s="919">
        <v>360</v>
      </c>
      <c r="I19" s="117" t="s">
        <v>322</v>
      </c>
    </row>
    <row r="20" spans="6:9">
      <c r="F20" s="902"/>
      <c r="G20" s="903" t="s">
        <v>138</v>
      </c>
      <c r="H20" s="920">
        <v>360</v>
      </c>
      <c r="I20" s="456" t="s">
        <v>322</v>
      </c>
    </row>
  </sheetData>
  <phoneticPr fontId="20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8">
    <tabColor indexed="42"/>
    <pageSetUpPr fitToPage="1"/>
  </sheetPr>
  <dimension ref="A2:Z62"/>
  <sheetViews>
    <sheetView showGridLines="0" zoomScale="80" zoomScaleNormal="80" workbookViewId="0">
      <selection activeCell="F5" sqref="F5"/>
    </sheetView>
  </sheetViews>
  <sheetFormatPr defaultColWidth="11.42578125" defaultRowHeight="12.75"/>
  <cols>
    <col min="1" max="1" width="10.7109375" customWidth="1"/>
    <col min="2" max="2" width="6.7109375" customWidth="1"/>
    <col min="3" max="3" width="15.42578125" customWidth="1"/>
    <col min="4" max="4" width="4.85546875" style="201" bestFit="1" customWidth="1"/>
    <col min="5" max="5" width="12" style="201" bestFit="1" customWidth="1"/>
    <col min="6" max="13" width="11.7109375" customWidth="1"/>
    <col min="14" max="17" width="13.42578125" bestFit="1" customWidth="1"/>
    <col min="18" max="18" width="14.140625" bestFit="1" customWidth="1"/>
  </cols>
  <sheetData>
    <row r="2" spans="1:21" ht="18">
      <c r="A2" s="240" t="s">
        <v>187</v>
      </c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39"/>
      <c r="M2" s="239"/>
      <c r="N2" s="239"/>
      <c r="O2" s="239"/>
      <c r="P2" s="239"/>
      <c r="Q2" s="239"/>
      <c r="R2" s="239"/>
    </row>
    <row r="3" spans="1:21" ht="18">
      <c r="A3" s="202" t="s">
        <v>253</v>
      </c>
      <c r="B3" s="202"/>
      <c r="C3" s="202"/>
      <c r="D3" s="202"/>
      <c r="E3" s="202"/>
      <c r="F3" s="632" t="s">
        <v>270</v>
      </c>
      <c r="G3" s="632" t="s">
        <v>271</v>
      </c>
      <c r="H3" s="632" t="s">
        <v>272</v>
      </c>
      <c r="I3" s="632" t="s">
        <v>273</v>
      </c>
      <c r="J3" s="632" t="s">
        <v>274</v>
      </c>
      <c r="K3" s="632" t="s">
        <v>275</v>
      </c>
      <c r="L3" s="632" t="s">
        <v>276</v>
      </c>
      <c r="M3" s="632" t="s">
        <v>277</v>
      </c>
      <c r="N3" s="632" t="s">
        <v>278</v>
      </c>
      <c r="O3" s="632" t="s">
        <v>279</v>
      </c>
      <c r="P3" s="632" t="s">
        <v>280</v>
      </c>
      <c r="Q3" s="632" t="s">
        <v>281</v>
      </c>
    </row>
    <row r="4" spans="1:21">
      <c r="A4" s="233" t="s">
        <v>107</v>
      </c>
      <c r="B4" s="233"/>
      <c r="C4" s="233"/>
      <c r="D4" s="225" t="s">
        <v>179</v>
      </c>
      <c r="E4" s="225" t="s">
        <v>313</v>
      </c>
      <c r="F4" s="234">
        <v>44652</v>
      </c>
      <c r="G4" s="234">
        <v>44682</v>
      </c>
      <c r="H4" s="234">
        <v>44713</v>
      </c>
      <c r="I4" s="234">
        <v>44743</v>
      </c>
      <c r="J4" s="234">
        <v>44774</v>
      </c>
      <c r="K4" s="234">
        <v>44805</v>
      </c>
      <c r="L4" s="234">
        <v>44835</v>
      </c>
      <c r="M4" s="234">
        <v>44866</v>
      </c>
      <c r="N4" s="234">
        <v>44896</v>
      </c>
      <c r="O4" s="234">
        <v>44927</v>
      </c>
      <c r="P4" s="234">
        <v>44958</v>
      </c>
      <c r="Q4" s="234">
        <v>44986</v>
      </c>
      <c r="R4" s="226" t="s">
        <v>1</v>
      </c>
    </row>
    <row r="5" spans="1:21">
      <c r="A5" s="233" t="s">
        <v>98</v>
      </c>
      <c r="B5" s="233"/>
      <c r="C5" s="233"/>
      <c r="D5" s="225" t="s">
        <v>180</v>
      </c>
      <c r="E5" s="518">
        <f>'[3]Prod &amp; Defects - Qty'!R5</f>
        <v>19480822</v>
      </c>
      <c r="F5" s="546">
        <f>'[4]PRODUCTION (Rev.2) BP22 (2)'!B108</f>
        <v>1442218.0025000002</v>
      </c>
      <c r="G5" s="546">
        <f>'[4]PRODUCTION (Rev.2) BP22 (2)'!C108</f>
        <v>786999.10800000001</v>
      </c>
      <c r="H5" s="546">
        <f>'[4]PRODUCTION (Rev.2) BP22 (2)'!D108</f>
        <v>783387.73550000007</v>
      </c>
      <c r="I5" s="546">
        <f>'[4]PRODUCTION (Rev.2) BP22 (2)'!E108</f>
        <v>791670.83225000009</v>
      </c>
      <c r="J5" s="546">
        <f>'[4]PRODUCTION (Rev.2) BP22 (2)'!F108</f>
        <v>1430085.946</v>
      </c>
      <c r="K5" s="546">
        <f>'[4]PRODUCTION (Rev.2) BP22 (2)'!G108</f>
        <v>1657208.9862499998</v>
      </c>
      <c r="L5" s="546">
        <f>'[4]PRODUCTION (Rev.2) BP22 (2)'!H108</f>
        <v>1669007.0904999999</v>
      </c>
      <c r="M5" s="546">
        <f>'[4]PRODUCTION (Rev.2) BP22 (2)'!I108</f>
        <v>1670917.7825</v>
      </c>
      <c r="N5" s="546">
        <f>'[4]PRODUCTION (Rev.2) BP22 (2)'!J108</f>
        <v>1339679.0264999999</v>
      </c>
      <c r="O5" s="546">
        <f>'[4]PRODUCTION (Rev.2) BP22 (2)'!K108</f>
        <v>1241541.9345</v>
      </c>
      <c r="P5" s="546">
        <f>'[4]PRODUCTION (Rev.2) BP22 (2)'!L108</f>
        <v>1256197.436</v>
      </c>
      <c r="Q5" s="546">
        <f>'[4]PRODUCTION (Rev.2) BP22 (2)'!M108</f>
        <v>1546536.7594999999</v>
      </c>
      <c r="R5" s="416">
        <f>SUM(F5:Q5)</f>
        <v>15615450.640000002</v>
      </c>
      <c r="S5" s="271"/>
    </row>
    <row r="6" spans="1:21">
      <c r="A6" s="233" t="s">
        <v>170</v>
      </c>
      <c r="B6" s="233"/>
      <c r="C6" s="233"/>
      <c r="D6" s="225" t="s">
        <v>180</v>
      </c>
      <c r="E6" s="518">
        <f>'[3]Prod &amp; Defects - Qty'!R6</f>
        <v>38889654.75</v>
      </c>
      <c r="F6" s="546">
        <f>F11*$S$6</f>
        <v>3244049.1871885103</v>
      </c>
      <c r="G6" s="546">
        <f t="shared" ref="G6:Q6" si="0">G11*$S$6</f>
        <v>3395112.4542242661</v>
      </c>
      <c r="H6" s="546">
        <f t="shared" si="0"/>
        <v>3267403.7398753604</v>
      </c>
      <c r="I6" s="546">
        <f t="shared" si="0"/>
        <v>3288527.6727485284</v>
      </c>
      <c r="J6" s="546">
        <f t="shared" si="0"/>
        <v>3328701.4773658998</v>
      </c>
      <c r="K6" s="546">
        <f t="shared" si="0"/>
        <v>3784672.1350209508</v>
      </c>
      <c r="L6" s="546">
        <f t="shared" si="0"/>
        <v>3738120.1729702381</v>
      </c>
      <c r="M6" s="546">
        <f t="shared" si="0"/>
        <v>3740080.9269721387</v>
      </c>
      <c r="N6" s="546">
        <f t="shared" si="0"/>
        <v>3558578.9991060491</v>
      </c>
      <c r="O6" s="546">
        <f t="shared" si="0"/>
        <v>2759781.9714162871</v>
      </c>
      <c r="P6" s="546">
        <f t="shared" si="0"/>
        <v>2648890.4168759817</v>
      </c>
      <c r="Q6" s="546">
        <f t="shared" si="0"/>
        <v>3358496.421178014</v>
      </c>
      <c r="R6" s="416">
        <f t="shared" ref="R6:R11" si="1">SUM(F6:Q6)</f>
        <v>40112415.574942224</v>
      </c>
      <c r="S6" s="271">
        <f>E6/(+E6+E7)</f>
        <v>0.2311736928707237</v>
      </c>
    </row>
    <row r="7" spans="1:21">
      <c r="A7" s="233" t="s">
        <v>171</v>
      </c>
      <c r="B7" s="233"/>
      <c r="C7" s="233"/>
      <c r="D7" s="225" t="s">
        <v>180</v>
      </c>
      <c r="E7" s="518">
        <f>'[3]Prod &amp; Defects - Qty'!R7</f>
        <v>129337336.25</v>
      </c>
      <c r="F7" s="546">
        <f>F11*$S$7</f>
        <v>10788902.17031149</v>
      </c>
      <c r="G7" s="546">
        <f t="shared" ref="G7:Q7" si="2">G11*$S$7</f>
        <v>11291301.090775732</v>
      </c>
      <c r="H7" s="546">
        <f t="shared" si="2"/>
        <v>10866573.614124643</v>
      </c>
      <c r="I7" s="546">
        <f t="shared" si="2"/>
        <v>10936826.570251472</v>
      </c>
      <c r="J7" s="546">
        <f t="shared" si="2"/>
        <v>11070434.670134097</v>
      </c>
      <c r="K7" s="546">
        <f t="shared" si="2"/>
        <v>12586879.86997905</v>
      </c>
      <c r="L7" s="546">
        <f t="shared" si="2"/>
        <v>12432059.602029763</v>
      </c>
      <c r="M7" s="546">
        <f t="shared" si="2"/>
        <v>12438580.583027862</v>
      </c>
      <c r="N7" s="546">
        <f t="shared" si="2"/>
        <v>11834950.233893953</v>
      </c>
      <c r="O7" s="546">
        <f t="shared" si="2"/>
        <v>9178349.643583715</v>
      </c>
      <c r="P7" s="546">
        <f t="shared" si="2"/>
        <v>8809551.865124017</v>
      </c>
      <c r="Q7" s="546">
        <f t="shared" si="2"/>
        <v>11169525.255821986</v>
      </c>
      <c r="R7" s="416">
        <f t="shared" si="1"/>
        <v>133403935.1690578</v>
      </c>
      <c r="S7" s="271">
        <f>E7/(E6+E7)</f>
        <v>0.76882630712927635</v>
      </c>
    </row>
    <row r="8" spans="1:21">
      <c r="A8" s="233" t="s">
        <v>119</v>
      </c>
      <c r="B8" s="233"/>
      <c r="C8" s="233"/>
      <c r="D8" s="225" t="s">
        <v>180</v>
      </c>
      <c r="E8" s="518">
        <f>'[3]Prod &amp; Defects - Qty'!R8</f>
        <v>123965577</v>
      </c>
      <c r="F8" s="546">
        <f>'[4]PRODUCTION (Rev.2) BP22 (2)'!B110</f>
        <v>9857057.3350800052</v>
      </c>
      <c r="G8" s="546">
        <f>'[4]PRODUCTION (Rev.2) BP22 (2)'!C110</f>
        <v>11254534.534999996</v>
      </c>
      <c r="H8" s="546">
        <f>'[4]PRODUCTION (Rev.2) BP22 (2)'!D110</f>
        <v>10193804.064900002</v>
      </c>
      <c r="I8" s="546">
        <f>'[4]PRODUCTION (Rev.2) BP22 (2)'!E110</f>
        <v>10245058.379550003</v>
      </c>
      <c r="J8" s="546">
        <f>'[4]PRODUCTION (Rev.2) BP22 (2)'!F110</f>
        <v>11060264.3445</v>
      </c>
      <c r="K8" s="546">
        <f>'[4]PRODUCTION (Rev.2) BP22 (2)'!G110</f>
        <v>11655146.96675</v>
      </c>
      <c r="L8" s="546">
        <f>'[4]PRODUCTION (Rev.2) BP22 (2)'!H110</f>
        <v>11372132.843299998</v>
      </c>
      <c r="M8" s="546">
        <f>'[4]PRODUCTION (Rev.2) BP22 (2)'!I110</f>
        <v>11349385.0363</v>
      </c>
      <c r="N8" s="546">
        <f>'[4]PRODUCTION (Rev.2) BP22 (2)'!J110</f>
        <v>11335966.321739998</v>
      </c>
      <c r="O8" s="546">
        <f>'[4]PRODUCTION (Rev.2) BP22 (2)'!K110</f>
        <v>8389607.9674200006</v>
      </c>
      <c r="P8" s="546">
        <f>'[4]PRODUCTION (Rev.2) BP22 (2)'!L110</f>
        <v>8762677.6029599998</v>
      </c>
      <c r="Q8" s="546">
        <f>'[4]PRODUCTION (Rev.2) BP22 (2)'!M110</f>
        <v>10839438.13666</v>
      </c>
      <c r="R8" s="416">
        <f t="shared" si="1"/>
        <v>126315073.53416</v>
      </c>
      <c r="S8" s="271"/>
    </row>
    <row r="9" spans="1:21">
      <c r="A9" s="233" t="s">
        <v>106</v>
      </c>
      <c r="B9" s="233"/>
      <c r="C9" s="233"/>
      <c r="D9" s="225" t="s">
        <v>180</v>
      </c>
      <c r="E9" s="518">
        <f>'[3]Prod &amp; Defects - Qty'!R9</f>
        <v>33097980.38050025</v>
      </c>
      <c r="F9" s="546">
        <f>'[4]PRODUCTION (Rev.2) BP22 (2)'!B111</f>
        <v>2866874.4319000007</v>
      </c>
      <c r="G9" s="546">
        <f>'[4]PRODUCTION (Rev.2) BP22 (2)'!C111</f>
        <v>3185354.3056000001</v>
      </c>
      <c r="H9" s="546">
        <f>'[4]PRODUCTION (Rev.2) BP22 (2)'!D111</f>
        <v>3093608.6620000005</v>
      </c>
      <c r="I9" s="546">
        <f>'[4]PRODUCTION (Rev.2) BP22 (2)'!E111</f>
        <v>3151055.1489999997</v>
      </c>
      <c r="J9" s="546">
        <f>'[4]PRODUCTION (Rev.2) BP22 (2)'!F111</f>
        <v>3141480.7345000003</v>
      </c>
      <c r="K9" s="546">
        <f>'[4]PRODUCTION (Rev.2) BP22 (2)'!G111</f>
        <v>3469465.8730000006</v>
      </c>
      <c r="L9" s="546">
        <f>'[4]PRODUCTION (Rev.2) BP22 (2)'!H111</f>
        <v>3542507.2598000006</v>
      </c>
      <c r="M9" s="546">
        <f>'[4]PRODUCTION (Rev.2) BP22 (2)'!I111</f>
        <v>3579027.9532000008</v>
      </c>
      <c r="N9" s="546">
        <f>'[4]PRODUCTION (Rev.2) BP22 (2)'!J111</f>
        <v>3319138.7550000004</v>
      </c>
      <c r="O9" s="546">
        <f>'[4]PRODUCTION (Rev.2) BP22 (2)'!K111</f>
        <v>2144673.8849999998</v>
      </c>
      <c r="P9" s="546">
        <f>'[4]PRODUCTION (Rev.2) BP22 (2)'!L111</f>
        <v>2440418.0299999998</v>
      </c>
      <c r="Q9" s="546">
        <f>'[4]PRODUCTION (Rev.2) BP22 (2)'!M111</f>
        <v>3089352.807000001</v>
      </c>
      <c r="R9" s="416">
        <f t="shared" si="1"/>
        <v>37022957.846000008</v>
      </c>
      <c r="S9" s="271"/>
    </row>
    <row r="10" spans="1:21">
      <c r="A10" s="233" t="s">
        <v>1</v>
      </c>
      <c r="B10" s="233"/>
      <c r="C10" s="233"/>
      <c r="D10" s="225" t="s">
        <v>180</v>
      </c>
      <c r="E10" s="518">
        <f>'[3]Prod &amp; Defects - Qty'!R10</f>
        <v>344771370.38050026</v>
      </c>
      <c r="F10" s="546">
        <f>SUM(F5:F9)</f>
        <v>28199101.126980007</v>
      </c>
      <c r="G10" s="546">
        <f t="shared" ref="G10:Q10" si="3">SUM(G5:G9)</f>
        <v>29913301.493599992</v>
      </c>
      <c r="H10" s="546">
        <f t="shared" si="3"/>
        <v>28204777.816400006</v>
      </c>
      <c r="I10" s="546">
        <f t="shared" si="3"/>
        <v>28413138.603800002</v>
      </c>
      <c r="J10" s="546">
        <f t="shared" si="3"/>
        <v>30030967.172499999</v>
      </c>
      <c r="K10" s="546">
        <f t="shared" si="3"/>
        <v>33153373.831</v>
      </c>
      <c r="L10" s="546">
        <f t="shared" si="3"/>
        <v>32753826.968600005</v>
      </c>
      <c r="M10" s="546">
        <f t="shared" si="3"/>
        <v>32777992.282000002</v>
      </c>
      <c r="N10" s="546">
        <f t="shared" si="3"/>
        <v>31388313.336239997</v>
      </c>
      <c r="O10" s="546">
        <f t="shared" si="3"/>
        <v>23713955.401919998</v>
      </c>
      <c r="P10" s="546">
        <f t="shared" si="3"/>
        <v>23917735.350960001</v>
      </c>
      <c r="Q10" s="546">
        <f t="shared" si="3"/>
        <v>30003349.38016</v>
      </c>
      <c r="R10" s="416">
        <f t="shared" si="1"/>
        <v>352469832.76416004</v>
      </c>
      <c r="S10" s="271"/>
      <c r="T10" s="529"/>
      <c r="U10">
        <f>(L10-K10)/K10</f>
        <v>-1.205146916379291E-2</v>
      </c>
    </row>
    <row r="11" spans="1:21" ht="13.5" thickBot="1">
      <c r="E11" s="519">
        <f>'[3]Prod &amp; Defects - Qty'!R11</f>
        <v>0</v>
      </c>
      <c r="F11">
        <f>'[4]PRODUCTION (Rev.2) BP22 (2)'!B109</f>
        <v>14032951.3575</v>
      </c>
      <c r="G11" s="1">
        <f>'[4]PRODUCTION (Rev.2) BP22 (2)'!C109</f>
        <v>14686413.544999998</v>
      </c>
      <c r="H11" s="1">
        <f>'[4]PRODUCTION (Rev.2) BP22 (2)'!D109</f>
        <v>14133977.354000002</v>
      </c>
      <c r="I11" s="1">
        <f>'[4]PRODUCTION (Rev.2) BP22 (2)'!E109</f>
        <v>14225354.243000001</v>
      </c>
      <c r="J11" s="1">
        <f>'[4]PRODUCTION (Rev.2) BP22 (2)'!F109</f>
        <v>14399136.147499997</v>
      </c>
      <c r="K11" s="1">
        <f>'[4]PRODUCTION (Rev.2) BP22 (2)'!G109</f>
        <v>16371552.004999999</v>
      </c>
      <c r="L11" s="1">
        <f>'[4]PRODUCTION (Rev.2) BP22 (2)'!H109</f>
        <v>16170179.775</v>
      </c>
      <c r="M11" s="1">
        <f>'[4]PRODUCTION (Rev.2) BP22 (2)'!I109</f>
        <v>16178661.51</v>
      </c>
      <c r="N11" s="1">
        <f>'[4]PRODUCTION (Rev.2) BP22 (2)'!J109</f>
        <v>15393529.233000001</v>
      </c>
      <c r="O11" s="1">
        <f>'[4]PRODUCTION (Rev.2) BP22 (2)'!K109</f>
        <v>11938131.615000002</v>
      </c>
      <c r="P11" s="1">
        <f>'[4]PRODUCTION (Rev.2) BP22 (2)'!L109</f>
        <v>11458442.281999998</v>
      </c>
      <c r="Q11" s="1">
        <f>'[4]PRODUCTION (Rev.2) BP22 (2)'!M109</f>
        <v>14528021.676999999</v>
      </c>
      <c r="R11" s="416">
        <f t="shared" si="1"/>
        <v>173516350.74400002</v>
      </c>
    </row>
    <row r="12" spans="1:21">
      <c r="A12" s="241" t="s">
        <v>182</v>
      </c>
      <c r="B12" s="242"/>
      <c r="C12" s="243" t="s">
        <v>168</v>
      </c>
      <c r="D12" s="244" t="s">
        <v>180</v>
      </c>
      <c r="E12" s="520">
        <f>'[3]Prod &amp; Defects - Qty'!R12</f>
        <v>572538.17652210058</v>
      </c>
      <c r="F12" s="556">
        <f t="array" ref="F12">SUM(IF($C$15:$C$26=$C12,F$15:F$26))</f>
        <v>115185.69142257741</v>
      </c>
      <c r="G12" s="556">
        <f t="array" ref="G12">SUM(IF($C$15:$C$26=$C12,G$15:G$26))</f>
        <v>121070.86702188845</v>
      </c>
      <c r="H12" s="556">
        <f t="array" ref="H12">SUM(IF($C$15:$C$26=$C12,H$15:H$26))</f>
        <v>115482.85154835392</v>
      </c>
      <c r="I12" s="556">
        <f t="array" ref="I12">SUM(IF($C$15:$C$26=$C12,I$15:I$26))</f>
        <v>116209.52692274921</v>
      </c>
      <c r="J12" s="556">
        <f t="array" ref="J12">SUM(IF($C$15:$C$26=$C12,J$15:J$26))</f>
        <v>119709.50483960366</v>
      </c>
      <c r="K12" s="556">
        <f t="array" ref="K12">SUM(IF($C$15:$C$26=$C12,K$15:K$26))</f>
        <v>134605.71502724075</v>
      </c>
      <c r="L12" s="556">
        <f t="array" ref="L12">SUM(IF($C$15:$C$26=$C12,L$15:L$26))</f>
        <v>132762.26982256761</v>
      </c>
      <c r="M12" s="556">
        <f t="array" ref="M12">SUM(IF($C$15:$C$26=$C12,M$15:M$26))</f>
        <v>132785.13514441147</v>
      </c>
      <c r="N12" s="556">
        <f t="array" ref="N12">SUM(IF($C$15:$C$26=$C12,N$15:N$26))</f>
        <v>126878.93060804869</v>
      </c>
      <c r="O12" s="556">
        <f t="array" ref="O12">SUM(IF($C$15:$C$26=$C12,O$15:O$26))</f>
        <v>98019.03748401445</v>
      </c>
      <c r="P12" s="556">
        <f t="array" ref="P12">SUM(IF($C$15:$C$26=$C12,P$15:P$26))</f>
        <v>95369.24888530685</v>
      </c>
      <c r="Q12" s="556">
        <f t="array" ref="Q12">SUM(IF($C$15:$C$26=$C12,Q$15:Q$26))</f>
        <v>120394.79771828641</v>
      </c>
      <c r="R12" s="477">
        <f t="array" ref="R12">SUM(IF($C$15:$C$26=$C12,R$15:R$26))</f>
        <v>1428473.5764450487</v>
      </c>
    </row>
    <row r="13" spans="1:21">
      <c r="A13" s="246"/>
      <c r="B13" s="183"/>
      <c r="C13" s="184" t="s">
        <v>169</v>
      </c>
      <c r="D13" s="236" t="s">
        <v>180</v>
      </c>
      <c r="E13" s="521">
        <f>'[3]Prod &amp; Defects - Qty'!R13</f>
        <v>124797.57924175065</v>
      </c>
      <c r="F13" s="557">
        <f t="array" ref="F13">SUM(IF($C$15:$C$26=$C13,F$15:F$26))</f>
        <v>8835.1221529162904</v>
      </c>
      <c r="G13" s="557">
        <f t="array" ref="G13">SUM(IF($C$15:$C$26=$C13,G$15:G$26))</f>
        <v>8925.7772690999864</v>
      </c>
      <c r="H13" s="557">
        <f t="array" ref="H13">SUM(IF($C$15:$C$26=$C13,H$15:H$26))</f>
        <v>8597.4077777543534</v>
      </c>
      <c r="I13" s="557">
        <f t="array" ref="I13">SUM(IF($C$15:$C$26=$C13,I$15:I$26))</f>
        <v>8654.3473716433473</v>
      </c>
      <c r="J13" s="557">
        <f t="array" ref="J13">SUM(IF($C$15:$C$26=$C13,J$15:J$26))</f>
        <v>9049.6527434170621</v>
      </c>
      <c r="K13" s="557">
        <f t="array" ref="K13">SUM(IF($C$15:$C$26=$C13,K$15:K$26))</f>
        <v>10297.086997202638</v>
      </c>
      <c r="L13" s="557">
        <f t="array" ref="L13">SUM(IF($C$15:$C$26=$C13,L$15:L$26))</f>
        <v>10184.046598870891</v>
      </c>
      <c r="M13" s="557">
        <f t="array" ref="M13">SUM(IF($C$15:$C$26=$C13,M$15:M$26))</f>
        <v>10189.659339783337</v>
      </c>
      <c r="N13" s="557">
        <f t="array" ref="N13">SUM(IF($C$15:$C$26=$C13,N$15:N$26))</f>
        <v>9585.5548404395813</v>
      </c>
      <c r="O13" s="557">
        <f t="array" ref="O13">SUM(IF($C$15:$C$26=$C13,O$15:O$26))</f>
        <v>7522.8759763460839</v>
      </c>
      <c r="P13" s="557">
        <f t="array" ref="P13">SUM(IF($C$15:$C$26=$C13,P$15:P$26))</f>
        <v>7254.7336010135605</v>
      </c>
      <c r="Q13" s="557">
        <f t="array" ref="Q13">SUM(IF($C$15:$C$26=$C13,Q$15:Q$26))</f>
        <v>9175.4028901021738</v>
      </c>
      <c r="R13" s="478">
        <f t="array" ref="R13">SUM(IF($C$15:$C$26=$C13,R$15:R$26))</f>
        <v>108271.66755858932</v>
      </c>
    </row>
    <row r="14" spans="1:21">
      <c r="A14" s="247"/>
      <c r="B14" s="186"/>
      <c r="C14" s="187" t="s">
        <v>104</v>
      </c>
      <c r="D14" s="237" t="s">
        <v>180</v>
      </c>
      <c r="E14" s="522">
        <f>'[3]Prod &amp; Defects - Qty'!R14</f>
        <v>314272.0106609253</v>
      </c>
      <c r="F14" s="558">
        <f t="array" ref="F14">SUM(IF($C$15:$C$26=$C14,F$15:F$26))</f>
        <v>20894.669022771712</v>
      </c>
      <c r="G14" s="558">
        <f t="array" ref="G14">SUM(IF($C$15:$C$26=$C14,G$15:G$26))</f>
        <v>22625.72652425593</v>
      </c>
      <c r="H14" s="558">
        <f t="array" ref="H14">SUM(IF($C$15:$C$26=$C14,H$15:H$26))</f>
        <v>21094.040035526625</v>
      </c>
      <c r="I14" s="558">
        <f t="array" ref="I14">SUM(IF($C$15:$C$26=$C14,I$15:I$26))</f>
        <v>21215.706538628936</v>
      </c>
      <c r="J14" s="558">
        <f t="array" ref="J14">SUM(IF($C$15:$C$26=$C14,J$15:J$26))</f>
        <v>22446.057827263921</v>
      </c>
      <c r="K14" s="558">
        <f t="array" ref="K14">SUM(IF($C$15:$C$26=$C14,K$15:K$26))</f>
        <v>24535.938087134244</v>
      </c>
      <c r="L14" s="558">
        <f t="array" ref="L14">SUM(IF($C$15:$C$26=$C14,L$15:L$26))</f>
        <v>24094.466789547878</v>
      </c>
      <c r="M14" s="558">
        <f t="array" ref="M14">SUM(IF($C$15:$C$26=$C14,M$15:M$26))</f>
        <v>24076.396718537875</v>
      </c>
      <c r="N14" s="558">
        <f t="array" ref="N14">SUM(IF($C$15:$C$26=$C14,N$15:N$26))</f>
        <v>23400.371095451672</v>
      </c>
      <c r="O14" s="558">
        <f t="array" ref="O14">SUM(IF($C$15:$C$26=$C14,O$15:O$26))</f>
        <v>17785.083487824239</v>
      </c>
      <c r="P14" s="558">
        <f t="array" ref="P14">SUM(IF($C$15:$C$26=$C14,P$15:P$26))</f>
        <v>17862.14547247898</v>
      </c>
      <c r="Q14" s="558">
        <f t="array" ref="Q14">SUM(IF($C$15:$C$26=$C14,Q$15:Q$26))</f>
        <v>22337.778965916114</v>
      </c>
      <c r="R14" s="479">
        <f t="array" ref="R14">SUM(IF($C$15:$C$26=$C14,R$15:R$26))</f>
        <v>262368.38056533813</v>
      </c>
    </row>
    <row r="15" spans="1:21">
      <c r="A15" s="248" t="s">
        <v>98</v>
      </c>
      <c r="B15" s="181"/>
      <c r="C15" s="182" t="s">
        <v>168</v>
      </c>
      <c r="D15" s="235" t="s">
        <v>180</v>
      </c>
      <c r="E15" s="523">
        <f>'[3]Prod &amp; Defects - Qty'!R15</f>
        <v>31961.701883701884</v>
      </c>
      <c r="F15" s="559">
        <f>'Falhas UM-1 - Qty'!F15+'Falhas UM-1 - Qty'!F17+'Falhas UM-1 - Qty'!F36</f>
        <v>2109.9649376575007</v>
      </c>
      <c r="G15" s="559">
        <f>'Falhas UM-1 - Qty'!G15+'Falhas UM-1 - Qty'!G17+'Falhas UM-1 - Qty'!G36</f>
        <v>1151.3796950039998</v>
      </c>
      <c r="H15" s="559">
        <f>'Falhas UM-1 - Qty'!H15+'Falhas UM-1 - Qty'!H17+'Falhas UM-1 - Qty'!H36</f>
        <v>1146.0962570365004</v>
      </c>
      <c r="I15" s="559">
        <f>'Falhas UM-1 - Qty'!I15+'Falhas UM-1 - Qty'!I17+'Falhas UM-1 - Qty'!I36</f>
        <v>1158.2144275817502</v>
      </c>
      <c r="J15" s="559">
        <f>'Falhas UM-1 - Qty'!J15+'Falhas UM-1 - Qty'!J17+'Falhas UM-1 - Qty'!J36</f>
        <v>2092.2157389979998</v>
      </c>
      <c r="K15" s="559">
        <f>'Falhas UM-1 - Qty'!K15+'Falhas UM-1 - Qty'!K17+'Falhas UM-1 - Qty'!K36</f>
        <v>2424.4967468837494</v>
      </c>
      <c r="L15" s="559">
        <f>'Falhas UM-1 - Qty'!L15+'Falhas UM-1 - Qty'!L17+'Falhas UM-1 - Qty'!L36</f>
        <v>2441.7573734015</v>
      </c>
      <c r="M15" s="559">
        <f>'Falhas UM-1 - Qty'!M15+'Falhas UM-1 - Qty'!M17+'Falhas UM-1 - Qty'!M36</f>
        <v>2444.5527157974998</v>
      </c>
      <c r="N15" s="559">
        <f>'Falhas UM-1 - Qty'!N15+'Falhas UM-1 - Qty'!N17+'Falhas UM-1 - Qty'!N36</f>
        <v>1959.9504157694996</v>
      </c>
      <c r="O15" s="559">
        <f>'Falhas UM-1 - Qty'!O15+'Falhas UM-1 - Qty'!O17+'Falhas UM-1 - Qty'!O36</f>
        <v>1816.3758501734997</v>
      </c>
      <c r="P15" s="559">
        <f>'Falhas UM-1 - Qty'!P15+'Falhas UM-1 - Qty'!P17+'Falhas UM-1 - Qty'!P36</f>
        <v>1837.8168488679999</v>
      </c>
      <c r="Q15" s="559">
        <f>'Falhas UM-1 - Qty'!Q15+'Falhas UM-1 - Qty'!Q17+'Falhas UM-1 - Qty'!Q36</f>
        <v>2262.5832791485</v>
      </c>
      <c r="R15" s="480">
        <f>SUM(F15:Q15)</f>
        <v>22845.404286319997</v>
      </c>
    </row>
    <row r="16" spans="1:21">
      <c r="A16" s="246"/>
      <c r="B16" s="183"/>
      <c r="C16" s="184" t="s">
        <v>169</v>
      </c>
      <c r="D16" s="236" t="s">
        <v>180</v>
      </c>
      <c r="E16" s="521">
        <f>'[3]Prod &amp; Defects - Qty'!R16</f>
        <v>10045.178364317426</v>
      </c>
      <c r="F16" s="557">
        <f>'Falhas UM-1 - Qty'!F57</f>
        <v>653.32475513250006</v>
      </c>
      <c r="G16" s="557">
        <f>'Falhas UM-1 - Qty'!G57</f>
        <v>356.51059592399997</v>
      </c>
      <c r="H16" s="557">
        <f>'Falhas UM-1 - Qty'!H57</f>
        <v>354.87464418150006</v>
      </c>
      <c r="I16" s="557">
        <f>'Falhas UM-1 - Qty'!I57</f>
        <v>358.62688700925003</v>
      </c>
      <c r="J16" s="557">
        <f>'Falhas UM-1 - Qty'!J57</f>
        <v>647.82893353799989</v>
      </c>
      <c r="K16" s="557">
        <f>'Falhas UM-1 - Qty'!K57</f>
        <v>750.71567077124996</v>
      </c>
      <c r="L16" s="557">
        <f>'Falhas UM-1 - Qty'!L57</f>
        <v>756.06021199650002</v>
      </c>
      <c r="M16" s="557">
        <f>'Falhas UM-1 - Qty'!M57</f>
        <v>756.92575547249999</v>
      </c>
      <c r="N16" s="557">
        <f>'Falhas UM-1 - Qty'!N57</f>
        <v>606.87459900450006</v>
      </c>
      <c r="O16" s="557">
        <f>'Falhas UM-1 - Qty'!O57</f>
        <v>562.41849632849994</v>
      </c>
      <c r="P16" s="557">
        <f>'Falhas UM-1 - Qty'!P57</f>
        <v>569.05743850800002</v>
      </c>
      <c r="Q16" s="557">
        <f>'Falhas UM-1 - Qty'!Q57</f>
        <v>700.58115205349998</v>
      </c>
      <c r="R16" s="478">
        <f t="shared" ref="R16:R29" si="4">SUM(F16:Q16)</f>
        <v>7073.7991399199991</v>
      </c>
    </row>
    <row r="17" spans="1:18">
      <c r="A17" s="247"/>
      <c r="B17" s="186"/>
      <c r="C17" s="187" t="s">
        <v>104</v>
      </c>
      <c r="D17" s="237" t="s">
        <v>180</v>
      </c>
      <c r="E17" s="522">
        <f>'[3]Prod &amp; Defects - Qty'!R17</f>
        <v>13713</v>
      </c>
      <c r="F17" s="558">
        <f>'Falhas UM-1 - Qty'!F60</f>
        <v>514.48114663648175</v>
      </c>
      <c r="G17" s="558">
        <f>'Falhas UM-1 - Qty'!G60</f>
        <v>280.74549255650987</v>
      </c>
      <c r="H17" s="558">
        <f>'Falhas UM-1 - Qty'!H60</f>
        <v>279.4572108532509</v>
      </c>
      <c r="I17" s="558">
        <f>'Falhas UM-1 - Qty'!I60</f>
        <v>282.41203259743509</v>
      </c>
      <c r="J17" s="558">
        <f>'Falhas UM-1 - Qty'!J60</f>
        <v>510.15328890043975</v>
      </c>
      <c r="K17" s="558">
        <f>'Falhas UM-1 - Qty'!K60</f>
        <v>591.1746892524186</v>
      </c>
      <c r="L17" s="558">
        <f>'Falhas UM-1 - Qty'!L60</f>
        <v>595.38341649903111</v>
      </c>
      <c r="M17" s="558">
        <f>'Falhas UM-1 - Qty'!M60</f>
        <v>596.0650159585615</v>
      </c>
      <c r="N17" s="558">
        <f>'Falhas UM-1 - Qty'!N60</f>
        <v>477.90250883279032</v>
      </c>
      <c r="O17" s="558">
        <f>'Falhas UM-1 - Qty'!O60</f>
        <v>442.89415119739198</v>
      </c>
      <c r="P17" s="558">
        <f>'Falhas UM-1 - Qty'!P60</f>
        <v>448.12219522622991</v>
      </c>
      <c r="Q17" s="558">
        <f>'Falhas UM-1 - Qty'!Q60</f>
        <v>551.69468413498646</v>
      </c>
      <c r="R17" s="479">
        <f t="shared" si="4"/>
        <v>5570.4858326455278</v>
      </c>
    </row>
    <row r="18" spans="1:18">
      <c r="A18" s="248" t="s">
        <v>170</v>
      </c>
      <c r="B18" s="181"/>
      <c r="C18" s="182" t="s">
        <v>168</v>
      </c>
      <c r="D18" s="235" t="s">
        <v>180</v>
      </c>
      <c r="E18" s="523">
        <f>'[3]Prod &amp; Defects - Qty'!R18</f>
        <v>84416.6443420203</v>
      </c>
      <c r="F18" s="559">
        <f>'Falhas UM-3-1 Qty'!E19+'Falhas UM-3-1 Qty'!E37</f>
        <v>22608.323967043318</v>
      </c>
      <c r="G18" s="559">
        <f>'Falhas UM-3-1 Qty'!F19+'Falhas UM-3-1 Qty'!F37</f>
        <v>23661.109262085112</v>
      </c>
      <c r="H18" s="559">
        <f>'Falhas UM-3-1 Qty'!G19+'Falhas UM-3-1 Qty'!G37</f>
        <v>22771.085769587778</v>
      </c>
      <c r="I18" s="559">
        <f>'Falhas UM-3-1 Qty'!H19+'Falhas UM-3-1 Qty'!H37</f>
        <v>22918.30200778192</v>
      </c>
      <c r="J18" s="559">
        <f>'Falhas UM-3-1 Qty'!I19+'Falhas UM-3-1 Qty'!I37</f>
        <v>23198.280003604294</v>
      </c>
      <c r="K18" s="559">
        <f>'Falhas UM-3-1 Qty'!J19+'Falhas UM-3-1 Qty'!J37</f>
        <v>26376.016145350459</v>
      </c>
      <c r="L18" s="559">
        <f>'Falhas UM-3-1 Qty'!K19+'Falhas UM-3-1 Qty'!K37</f>
        <v>26051.587698488296</v>
      </c>
      <c r="M18" s="559">
        <f>'Falhas UM-3-1 Qty'!L19+'Falhas UM-3-1 Qty'!L37</f>
        <v>26065.252522643772</v>
      </c>
      <c r="N18" s="559">
        <f>'Falhas UM-3-1 Qty'!M19+'Falhas UM-3-1 Qty'!M37</f>
        <v>24800.335084879585</v>
      </c>
      <c r="O18" s="559">
        <f>'Falhas UM-3-1 Qty'!N19+'Falhas UM-3-1 Qty'!N37</f>
        <v>19233.384356375733</v>
      </c>
      <c r="P18" s="559">
        <f>'Falhas UM-3-1 Qty'!O19+'Falhas UM-3-1 Qty'!O37</f>
        <v>18460.562476807052</v>
      </c>
      <c r="Q18" s="559">
        <f>'Falhas UM-3-1 Qty'!P19+'Falhas UM-3-1 Qty'!P37</f>
        <v>23405.925974246289</v>
      </c>
      <c r="R18" s="480">
        <f>SUM(F18:Q18)</f>
        <v>279550.16526889359</v>
      </c>
    </row>
    <row r="19" spans="1:18">
      <c r="A19" s="246"/>
      <c r="B19" s="183"/>
      <c r="C19" s="184" t="s">
        <v>169</v>
      </c>
      <c r="D19" s="236" t="s">
        <v>180</v>
      </c>
      <c r="E19" s="521">
        <f>'[3]Prod &amp; Defects - Qty'!R19</f>
        <v>22904.511405417205</v>
      </c>
      <c r="F19" s="557">
        <f>'Falhas UM-3-1 Qty'!E50</f>
        <v>1633.5803077443898</v>
      </c>
      <c r="G19" s="557">
        <f>'Falhas UM-3-1 Qty'!F50</f>
        <v>1709.6500477556419</v>
      </c>
      <c r="H19" s="557">
        <f>'Falhas UM-3-1 Qty'!G50</f>
        <v>1645.3407759629624</v>
      </c>
      <c r="I19" s="557">
        <f>'Falhas UM-3-1 Qty'!H50</f>
        <v>1655.9779885243504</v>
      </c>
      <c r="J19" s="557">
        <f>'Falhas UM-3-1 Qty'!I50</f>
        <v>1676.2079950141672</v>
      </c>
      <c r="K19" s="557">
        <f>'Falhas UM-3-1 Qty'!J50</f>
        <v>1905.8175490851072</v>
      </c>
      <c r="L19" s="557">
        <f>'Falhas UM-3-1 Qty'!K50</f>
        <v>1882.3757440738786</v>
      </c>
      <c r="M19" s="557">
        <f>'Falhas UM-3-1 Qty'!L50</f>
        <v>1883.3631055289654</v>
      </c>
      <c r="N19" s="557">
        <f>'Falhas UM-3-1 Qty'!M50</f>
        <v>1791.9656087368007</v>
      </c>
      <c r="O19" s="557">
        <f>'Falhas UM-3-1 Qty'!N50</f>
        <v>1389.7216786903364</v>
      </c>
      <c r="P19" s="557">
        <f>'Falhas UM-3-1 Qty'!O50</f>
        <v>1333.8808916555372</v>
      </c>
      <c r="Q19" s="557">
        <f>'Falhas UM-3-1 Qty'!P50</f>
        <v>1691.2116002844073</v>
      </c>
      <c r="R19" s="478">
        <f t="shared" si="4"/>
        <v>20199.09329305655</v>
      </c>
    </row>
    <row r="20" spans="1:18">
      <c r="A20" s="247"/>
      <c r="B20" s="186"/>
      <c r="C20" s="187" t="s">
        <v>104</v>
      </c>
      <c r="D20" s="237" t="s">
        <v>180</v>
      </c>
      <c r="E20" s="522">
        <f>'[3]Prod &amp; Defects - Qty'!R20</f>
        <v>35634.622492857146</v>
      </c>
      <c r="F20" s="558">
        <f>'Falhas UM-3-1 Qty'!E55</f>
        <v>2541.5088122975135</v>
      </c>
      <c r="G20" s="558">
        <f>'Falhas UM-3-1 Qty'!F55</f>
        <v>2659.8573952666152</v>
      </c>
      <c r="H20" s="558">
        <f>'Falhas UM-3-1 Qty'!G55</f>
        <v>2559.805637664806</v>
      </c>
      <c r="I20" s="558">
        <f>'Falhas UM-3-1 Qty'!H55</f>
        <v>2576.3549124907113</v>
      </c>
      <c r="J20" s="558">
        <f>'Falhas UM-3-1 Qty'!I55</f>
        <v>2607.8285654987458</v>
      </c>
      <c r="K20" s="558">
        <f>'Falhas UM-3-1 Qty'!J55</f>
        <v>2965.0529408738116</v>
      </c>
      <c r="L20" s="558">
        <f>'Falhas UM-3-1 Qty'!K55</f>
        <v>2928.5824020642067</v>
      </c>
      <c r="M20" s="558">
        <f>'Falhas UM-3-1 Qty'!L55</f>
        <v>2930.118529689601</v>
      </c>
      <c r="N20" s="558">
        <f>'Falhas UM-3-1 Qty'!M55</f>
        <v>2787.9231675038518</v>
      </c>
      <c r="O20" s="558">
        <f>'Falhas UM-3-1 Qty'!N55</f>
        <v>2162.1158606577924</v>
      </c>
      <c r="P20" s="558">
        <f>'Falhas UM-3-1 Qty'!O55</f>
        <v>2075.2392916505851</v>
      </c>
      <c r="Q20" s="558">
        <f>'Falhas UM-3-1 Qty'!P55</f>
        <v>2631.1710328569634</v>
      </c>
      <c r="R20" s="479">
        <f t="shared" si="4"/>
        <v>31425.558548515204</v>
      </c>
    </row>
    <row r="21" spans="1:18">
      <c r="A21" s="248" t="s">
        <v>171</v>
      </c>
      <c r="B21" s="181"/>
      <c r="C21" s="182" t="s">
        <v>168</v>
      </c>
      <c r="D21" s="235" t="s">
        <v>180</v>
      </c>
      <c r="E21" s="523">
        <f>'[3]Prod &amp; Defects - Qty'!R21</f>
        <v>207188.16115225243</v>
      </c>
      <c r="F21" s="559">
        <f>'Falhas UM-3-2 Qty'!E18+'Falhas UM-3-2 Qty'!E36</f>
        <v>73890.581495564125</v>
      </c>
      <c r="G21" s="559">
        <f>'Falhas UM-3-2 Qty'!F18+'Falhas UM-3-2 Qty'!F36</f>
        <v>77331.390188593054</v>
      </c>
      <c r="H21" s="559">
        <f>'Falhas UM-3-2 Qty'!G18+'Falhas UM-3-2 Qty'!G36</f>
        <v>74422.534428156912</v>
      </c>
      <c r="I21" s="559">
        <f>'Falhas UM-3-2 Qty'!H18+'Falhas UM-3-2 Qty'!H36</f>
        <v>74903.679932866202</v>
      </c>
      <c r="J21" s="559">
        <f>'Falhas UM-3-2 Qty'!I18+'Falhas UM-3-2 Qty'!I36</f>
        <v>75818.729493702049</v>
      </c>
      <c r="K21" s="559">
        <f>'Falhas UM-3-2 Qty'!J18+'Falhas UM-3-2 Qty'!J36</f>
        <v>86204.495890865102</v>
      </c>
      <c r="L21" s="559">
        <f>'Falhas UM-3-2 Qty'!K18+'Falhas UM-3-2 Qty'!K36</f>
        <v>85144.169321443478</v>
      </c>
      <c r="M21" s="559">
        <f>'Falhas UM-3-2 Qty'!L18+'Falhas UM-3-2 Qty'!L36</f>
        <v>85188.829943095698</v>
      </c>
      <c r="N21" s="559">
        <f>'Falhas UM-3-2 Qty'!M18+'Falhas UM-3-2 Qty'!M36</f>
        <v>81054.711679551634</v>
      </c>
      <c r="O21" s="559">
        <f>'Falhas UM-3-2 Qty'!N18+'Falhas UM-3-2 Qty'!N36</f>
        <v>62860.296777945863</v>
      </c>
      <c r="P21" s="559">
        <f>'Falhas UM-3-2 Qty'!O18+'Falhas UM-3-2 Qty'!O36</f>
        <v>60334.489992928684</v>
      </c>
      <c r="Q21" s="559">
        <f>'Falhas UM-3-2 Qty'!P18+'Falhas UM-3-2 Qty'!P36</f>
        <v>76497.376948432182</v>
      </c>
      <c r="R21" s="480">
        <f>SUM(F21:Q21)</f>
        <v>913651.28609314491</v>
      </c>
    </row>
    <row r="22" spans="1:18">
      <c r="A22" s="246"/>
      <c r="B22" s="183"/>
      <c r="C22" s="184" t="s">
        <v>169</v>
      </c>
      <c r="D22" s="236" t="s">
        <v>180</v>
      </c>
      <c r="E22" s="521">
        <f>'[3]Prod &amp; Defects - Qty'!R22</f>
        <v>90859.544130666734</v>
      </c>
      <c r="F22" s="557">
        <f>'Falhas UM-3-2 Qty'!E49</f>
        <v>6480.2238928085062</v>
      </c>
      <c r="G22" s="557">
        <f>'Falhas UM-3-2 Qty'!F49</f>
        <v>6781.9837416532173</v>
      </c>
      <c r="H22" s="557">
        <f>'Falhas UM-3-2 Qty'!G49</f>
        <v>6526.8763082296018</v>
      </c>
      <c r="I22" s="557">
        <f>'Falhas UM-3-2 Qty'!H49</f>
        <v>6569.072898544996</v>
      </c>
      <c r="J22" s="557">
        <f>'Falhas UM-3-2 Qty'!I49</f>
        <v>6649.3229914149315</v>
      </c>
      <c r="K22" s="557">
        <f>'Falhas UM-3-2 Qty'!J49</f>
        <v>7560.157500899254</v>
      </c>
      <c r="L22" s="557">
        <f>'Falhas UM-3-2 Qty'!K49</f>
        <v>7467.166575259319</v>
      </c>
      <c r="M22" s="557">
        <f>'Falhas UM-3-2 Qty'!L49</f>
        <v>7471.0833238034584</v>
      </c>
      <c r="N22" s="557">
        <f>'Falhas UM-3-2 Qty'!M49</f>
        <v>7108.5200389452575</v>
      </c>
      <c r="O22" s="557">
        <f>'Falhas UM-3-2 Qty'!N49</f>
        <v>5512.8649530783932</v>
      </c>
      <c r="P22" s="557">
        <f>'Falhas UM-3-2 Qty'!O49</f>
        <v>5291.351017938111</v>
      </c>
      <c r="Q22" s="557">
        <f>'Falhas UM-3-2 Qty'!P49</f>
        <v>6708.8405559261773</v>
      </c>
      <c r="R22" s="478">
        <f t="shared" si="4"/>
        <v>80127.463798501223</v>
      </c>
    </row>
    <row r="23" spans="1:18">
      <c r="A23" s="247"/>
      <c r="B23" s="186"/>
      <c r="C23" s="187" t="s">
        <v>104</v>
      </c>
      <c r="D23" s="237" t="s">
        <v>180</v>
      </c>
      <c r="E23" s="522">
        <f>'[3]Prod &amp; Defects - Qty'!R23</f>
        <v>100527.96378195244</v>
      </c>
      <c r="F23" s="558">
        <f>'Falhas UM-3-2 Qty'!E54</f>
        <v>7169.7884798799296</v>
      </c>
      <c r="G23" s="558">
        <f>'Falhas UM-3-2 Qty'!F54</f>
        <v>7503.6587787654589</v>
      </c>
      <c r="H23" s="558">
        <f>'Falhas UM-3-2 Qty'!G54</f>
        <v>7221.405207353796</v>
      </c>
      <c r="I23" s="558">
        <f>'Falhas UM-3-2 Qty'!H54</f>
        <v>7268.0919626477425</v>
      </c>
      <c r="J23" s="558">
        <f>'Falhas UM-3-2 Qty'!I54</f>
        <v>7356.8815169726595</v>
      </c>
      <c r="K23" s="558">
        <f>'Falhas UM-3-2 Qty'!J54</f>
        <v>8364.6384835838089</v>
      </c>
      <c r="L23" s="558">
        <f>'Falhas UM-3-2 Qty'!K54</f>
        <v>8261.7523366828536</v>
      </c>
      <c r="M23" s="558">
        <f>'Falhas UM-3-2 Qty'!L54</f>
        <v>8266.0858688346543</v>
      </c>
      <c r="N23" s="558">
        <f>'Falhas UM-3-2 Qty'!M54</f>
        <v>7864.9420031283207</v>
      </c>
      <c r="O23" s="558">
        <f>'Falhas UM-3-2 Qty'!N54</f>
        <v>6099.4922838360153</v>
      </c>
      <c r="P23" s="558">
        <f>'Falhas UM-3-2 Qty'!O54</f>
        <v>5854.4069154023418</v>
      </c>
      <c r="Q23" s="558">
        <f>'Falhas UM-3-2 Qty'!P54</f>
        <v>7422.7323819183621</v>
      </c>
      <c r="R23" s="479">
        <f t="shared" si="4"/>
        <v>88653.876219005964</v>
      </c>
    </row>
    <row r="24" spans="1:18">
      <c r="A24" s="248" t="s">
        <v>119</v>
      </c>
      <c r="B24" s="181"/>
      <c r="C24" s="182" t="s">
        <v>168</v>
      </c>
      <c r="D24" s="235" t="s">
        <v>180</v>
      </c>
      <c r="E24" s="523">
        <f>'[3]Prod &amp; Defects - Qty'!R24</f>
        <v>248971.66914412598</v>
      </c>
      <c r="F24" s="559">
        <f>'Falhas UM-4 Qty'!E15+'Falhas UM-4 Qty'!E34</f>
        <v>16576.821022312462</v>
      </c>
      <c r="G24" s="559">
        <f>'Falhas UM-4 Qty'!F15+'Falhas UM-4 Qty'!F34</f>
        <v>18926.987876206291</v>
      </c>
      <c r="H24" s="559">
        <f>'Falhas UM-4 Qty'!G15+'Falhas UM-4 Qty'!G34</f>
        <v>17143.135093572735</v>
      </c>
      <c r="I24" s="559">
        <f>'Falhas UM-4 Qty'!H15+'Falhas UM-4 Qty'!H34</f>
        <v>17229.330554519343</v>
      </c>
      <c r="J24" s="559">
        <f>'Falhas UM-4 Qty'!I15+'Falhas UM-4 Qty'!I34</f>
        <v>18600.279603299321</v>
      </c>
      <c r="K24" s="559">
        <f>'Falhas UM-4 Qty'!J15+'Falhas UM-4 Qty'!J34</f>
        <v>19600.706244141435</v>
      </c>
      <c r="L24" s="559">
        <f>'Falhas UM-4 Qty'!K15+'Falhas UM-4 Qty'!K34</f>
        <v>19124.75542923433</v>
      </c>
      <c r="M24" s="559">
        <f>'Falhas UM-4 Qty'!L15+'Falhas UM-4 Qty'!L34</f>
        <v>19086.499962874506</v>
      </c>
      <c r="N24" s="559">
        <f>'Falhas UM-4 Qty'!M15+'Falhas UM-4 Qty'!M34</f>
        <v>19063.933427847966</v>
      </c>
      <c r="O24" s="559">
        <f>'Falhas UM-4 Qty'!N15+'Falhas UM-4 Qty'!N34</f>
        <v>14108.980499519357</v>
      </c>
      <c r="P24" s="559">
        <f>'Falhas UM-4 Qty'!O15+'Falhas UM-4 Qty'!O34</f>
        <v>14736.379566703101</v>
      </c>
      <c r="Q24" s="559">
        <f>'Falhas UM-4 Qty'!P15+'Falhas UM-4 Qty'!P34</f>
        <v>18228.911516459444</v>
      </c>
      <c r="R24" s="480">
        <f>SUM(F24:Q24)</f>
        <v>212426.72079669032</v>
      </c>
    </row>
    <row r="25" spans="1:18">
      <c r="A25" s="246"/>
      <c r="B25" s="183"/>
      <c r="C25" s="184" t="s">
        <v>169</v>
      </c>
      <c r="D25" s="236" t="s">
        <v>180</v>
      </c>
      <c r="E25" s="521">
        <f>'[3]Prod &amp; Defects - Qty'!R25</f>
        <v>988.34534134927833</v>
      </c>
      <c r="F25" s="557">
        <f>'Falhas UM-4 Qty'!E54</f>
        <v>67.993197230894353</v>
      </c>
      <c r="G25" s="557">
        <f>'Falhas UM-4 Qty'!F54</f>
        <v>77.632883767126401</v>
      </c>
      <c r="H25" s="557">
        <f>'Falhas UM-4 Qty'!G54</f>
        <v>70.316049380290309</v>
      </c>
      <c r="I25" s="557">
        <f>'Falhas UM-4 Qty'!H54</f>
        <v>70.669597564749907</v>
      </c>
      <c r="J25" s="557">
        <f>'Falhas UM-4 Qty'!I54</f>
        <v>76.292823449962526</v>
      </c>
      <c r="K25" s="557">
        <f>'Falhas UM-4 Qty'!J54</f>
        <v>80.39627644702756</v>
      </c>
      <c r="L25" s="557">
        <f>'Falhas UM-4 Qty'!K54</f>
        <v>78.444067541193036</v>
      </c>
      <c r="M25" s="557">
        <f>'Falhas UM-4 Qty'!L54</f>
        <v>78.287154978412588</v>
      </c>
      <c r="N25" s="557">
        <f>'Falhas UM-4 Qty'!M54</f>
        <v>78.194593753023725</v>
      </c>
      <c r="O25" s="557">
        <f>'Falhas UM-4 Qty'!N54</f>
        <v>57.870848248854259</v>
      </c>
      <c r="P25" s="557">
        <f>'Falhas UM-4 Qty'!O54</f>
        <v>60.444252911912685</v>
      </c>
      <c r="Q25" s="557">
        <f>'Falhas UM-4 Qty'!P54</f>
        <v>74.769581838089138</v>
      </c>
      <c r="R25" s="478">
        <f t="shared" ref="R25:R26" si="5">SUM(F25:Q25)</f>
        <v>871.31132711153657</v>
      </c>
    </row>
    <row r="26" spans="1:18" ht="13.5" thickBot="1">
      <c r="A26" s="249"/>
      <c r="B26" s="250"/>
      <c r="C26" s="251" t="s">
        <v>104</v>
      </c>
      <c r="D26" s="252" t="s">
        <v>180</v>
      </c>
      <c r="E26" s="524">
        <f>'[3]Prod &amp; Defects - Qty'!R26</f>
        <v>164396.42438611572</v>
      </c>
      <c r="F26" s="560">
        <f>'Falhas UM-4 Qty'!E61</f>
        <v>10668.890583957787</v>
      </c>
      <c r="G26" s="560">
        <f>'Falhas UM-4 Qty'!F61</f>
        <v>12181.464857667344</v>
      </c>
      <c r="H26" s="560">
        <f>'Falhas UM-4 Qty'!G61</f>
        <v>11033.37197965477</v>
      </c>
      <c r="I26" s="560">
        <f>'Falhas UM-4 Qty'!H61</f>
        <v>11088.847630893048</v>
      </c>
      <c r="J26" s="560">
        <f>'Falhas UM-4 Qty'!I61</f>
        <v>11971.194455892077</v>
      </c>
      <c r="K26" s="560">
        <f>'Falhas UM-4 Qty'!J61</f>
        <v>12615.071973424203</v>
      </c>
      <c r="L26" s="560">
        <f>'Falhas UM-4 Qty'!K61</f>
        <v>12308.748634301788</v>
      </c>
      <c r="M26" s="560">
        <f>'Falhas UM-4 Qty'!L61</f>
        <v>12284.127304055059</v>
      </c>
      <c r="N26" s="560">
        <f>'Falhas UM-4 Qty'!M61</f>
        <v>12269.603415986707</v>
      </c>
      <c r="O26" s="560">
        <f>'Falhas UM-4 Qty'!N61</f>
        <v>9080.5811921330369</v>
      </c>
      <c r="P26" s="560">
        <f>'Falhas UM-4 Qty'!O61</f>
        <v>9484.3770701998219</v>
      </c>
      <c r="Q26" s="560">
        <f>'Falhas UM-4 Qty'!P61</f>
        <v>11732.180867005802</v>
      </c>
      <c r="R26" s="481">
        <f t="shared" si="5"/>
        <v>136718.45996517144</v>
      </c>
    </row>
    <row r="27" spans="1:18">
      <c r="A27" s="241" t="s">
        <v>93</v>
      </c>
      <c r="B27" s="242"/>
      <c r="C27" s="243" t="s">
        <v>168</v>
      </c>
      <c r="D27" s="244" t="s">
        <v>180</v>
      </c>
      <c r="E27" s="520">
        <f>'[3]Prod &amp; Defects - Qty'!R27</f>
        <v>3882.040480970003</v>
      </c>
      <c r="F27" s="556" cm="1">
        <f t="array" ref="F27">INDEX('[5]BP - ORIGINAL'!$E$15:$V$15,1,MATCH(F4,'[5]BP - ORIGINAL'!$E$4:$V$4,0)+1)</f>
        <v>207.43291276354182</v>
      </c>
      <c r="G27" s="556" cm="1">
        <f t="array" ref="G27">INDEX('[5]BP - ORIGINAL'!$E$15:$V$15,1,MATCH(G4,'[5]BP - ORIGINAL'!$E$4:$V$4,0)+1)</f>
        <v>308.08754954112618</v>
      </c>
      <c r="H27" s="556" cm="1">
        <f t="array" ref="H27">INDEX('[5]BP - ORIGINAL'!$E$15:$V$15,1,MATCH(H4,'[5]BP - ORIGINAL'!$E$4:$V$4,0)+1)</f>
        <v>299.21390855616414</v>
      </c>
      <c r="I27" s="556" cm="1">
        <f t="array" ref="I27">INDEX('[5]BP - ORIGINAL'!$E$15:$V$15,1,MATCH(I4,'[5]BP - ORIGINAL'!$E$4:$V$4,0)+1)</f>
        <v>304.77013424147049</v>
      </c>
      <c r="J27" s="556" cm="1">
        <f t="array" ref="J27">INDEX('[5]BP - ORIGINAL'!$E$15:$V$15,1,MATCH(J4,'[5]BP - ORIGINAL'!$E$4:$V$4,0)+1)</f>
        <v>303.84409662725284</v>
      </c>
      <c r="K27" s="556" cm="1">
        <f t="array" ref="K27">INDEX('[5]BP - ORIGINAL'!$E$15:$V$15,1,MATCH(K4,'[5]BP - ORIGINAL'!$E$4:$V$4,0)+1)</f>
        <v>335.56682757392491</v>
      </c>
      <c r="L27" s="556" cm="1">
        <f t="array" ref="L27">INDEX('[5]BP - ORIGINAL'!$E$46:$V$46,1,MATCH(L4,'[5]BP - ORIGINAL'!$E$35:$V$35,0)+1)</f>
        <v>346.46109453253143</v>
      </c>
      <c r="M27" s="556" cm="1">
        <f t="array" ref="M27">INDEX('[5]BP - ORIGINAL'!$E$46:$V$46,1,MATCH(M4,'[5]BP - ORIGINAL'!$E$35:$V$35,0)+1)</f>
        <v>321.30300768801595</v>
      </c>
      <c r="N27" s="556" cm="1">
        <f t="array" ref="N27">INDEX('[5]BP - ORIGINAL'!$E$46:$V$46,1,MATCH(N4,'[5]BP - ORIGINAL'!$E$35:$V$35,0)+1)</f>
        <v>207.61113669092208</v>
      </c>
      <c r="O27" s="556" cm="1">
        <f t="array" ref="O27">INDEX('[5]BP - ORIGINAL'!$E$46:$V$46,1,MATCH(O4,'[5]BP - ORIGINAL'!$E$35:$V$35,0)+1)</f>
        <v>236.24009447446633</v>
      </c>
      <c r="P27" s="556" cm="1">
        <f t="array" ref="P27">INDEX('[5]BP - ORIGINAL'!$E$46:$V$46,1,MATCH(P4,'[5]BP - ORIGINAL'!$E$35:$V$35,0)+1)</f>
        <v>299.05900957084719</v>
      </c>
      <c r="Q27" s="556" cm="1">
        <f t="array" ref="Q27">INDEX('[5]BP - ORIGINAL'!$E$46:$V$46,1,MATCH(Q4,'[5]BP - ORIGINAL'!$E$35:$V$35,0)+1)</f>
        <v>280.26479811036836</v>
      </c>
      <c r="R27" s="477">
        <f>SUM(F27:Q27)</f>
        <v>3449.8545703706318</v>
      </c>
    </row>
    <row r="28" spans="1:18">
      <c r="A28" s="246"/>
      <c r="B28" s="183"/>
      <c r="C28" s="184" t="s">
        <v>169</v>
      </c>
      <c r="D28" s="236" t="s">
        <v>180</v>
      </c>
      <c r="E28" s="521">
        <f>'[3]Prod &amp; Defects - Qty'!R28</f>
        <v>19836.222900316789</v>
      </c>
      <c r="F28" s="557" cm="1">
        <f t="array" ref="F28">INDEX('[5]BP - ORIGINAL'!$E$21:$V$21,1,MATCH(F4,'[5]BP - ORIGINAL'!$E$4:$V$4,0)+1)-F29</f>
        <v>1087.6842620768166</v>
      </c>
      <c r="G28" s="557" cm="1">
        <f t="array" ref="G28">INDEX('[5]BP - ORIGINAL'!$E$21:$V$21,1,MATCH(G4,'[5]BP - ORIGINAL'!$E$4:$V$4,0)+1)-G29</f>
        <v>1615.4715976036366</v>
      </c>
      <c r="H28" s="557" cm="1">
        <f t="array" ref="H28">INDEX('[5]BP - ORIGINAL'!$E$21:$V$21,1,MATCH(H4,'[5]BP - ORIGINAL'!$E$4:$V$4,0)+1)-H29</f>
        <v>1568.942242555408</v>
      </c>
      <c r="I28" s="557" cm="1">
        <f t="array" ref="I28">INDEX('[5]BP - ORIGINAL'!$E$21:$V$21,1,MATCH(I4,'[5]BP - ORIGINAL'!$E$4:$V$4,0)+1)-I29</f>
        <v>1598.0765740071568</v>
      </c>
      <c r="J28" s="557" cm="1">
        <f t="array" ref="J28">INDEX('[5]BP - ORIGINAL'!$E$21:$V$21,1,MATCH(J4,'[5]BP - ORIGINAL'!$E$4:$V$4,0)+1)-J29</f>
        <v>1593.2208520985325</v>
      </c>
      <c r="K28" s="557" cm="1">
        <f t="array" ref="K28">INDEX('[5]BP - ORIGINAL'!$E$21:$V$21,1,MATCH(K4,'[5]BP - ORIGINAL'!$E$4:$V$4,0)+1)-K29</f>
        <v>1759.5604880854437</v>
      </c>
      <c r="L28" s="557" cm="1">
        <f t="array" ref="L28">INDEX('[5]BP - ORIGINAL'!$E$52:$V$52,1,MATCH(L4,'[5]BP - ORIGINAL'!$E$35:$V$35,0)+1)-L29</f>
        <v>1815.1255561302473</v>
      </c>
      <c r="M28" s="557" cm="1">
        <f t="array" ref="M28">INDEX('[5]BP - ORIGINAL'!$E$52:$V$52,1,MATCH(M4,'[5]BP - ORIGINAL'!$E$35:$V$35,0)+1)-M29</f>
        <v>1683.3211858980324</v>
      </c>
      <c r="N28" s="557" cm="1">
        <f t="array" ref="N28">INDEX('[5]BP - ORIGINAL'!$E$52:$V$52,1,MATCH(N4,'[5]BP - ORIGINAL'!$E$35:$V$35,0)+1)-N29</f>
        <v>1087.6842620768166</v>
      </c>
      <c r="O28" s="557" cm="1">
        <f t="array" ref="O28">INDEX('[5]BP - ORIGINAL'!$E$52:$V$52,1,MATCH(O4,'[5]BP - ORIGINAL'!$E$35:$V$35,0)+1)-O29</f>
        <v>1237.6726842643066</v>
      </c>
      <c r="P28" s="557" cm="1">
        <f t="array" ref="P28">INDEX('[5]BP - ORIGINAL'!$E$52:$V$52,1,MATCH(P4,'[5]BP - ORIGINAL'!$E$35:$V$35,0)+1)-P29</f>
        <v>1566.7838600910359</v>
      </c>
      <c r="Q28" s="557" cm="1">
        <f t="array" ref="Q28">INDEX('[5]BP - ORIGINAL'!$E$52:$V$52,1,MATCH(Q4,'[5]BP - ORIGINAL'!$E$35:$V$35,0)+1)-Q29</f>
        <v>1468.3201247176316</v>
      </c>
      <c r="R28" s="478">
        <f t="shared" si="4"/>
        <v>18081.863689605067</v>
      </c>
    </row>
    <row r="29" spans="1:18">
      <c r="A29" s="246"/>
      <c r="B29" s="183"/>
      <c r="C29" s="188" t="s">
        <v>104</v>
      </c>
      <c r="D29" s="238" t="s">
        <v>180</v>
      </c>
      <c r="E29" s="525">
        <f>'[3]Prod &amp; Defects - Qty'!R29</f>
        <v>11144.238014155619</v>
      </c>
      <c r="F29" s="561" cm="1">
        <f t="array" ref="F29">INDEX('[5]BP - ORIGINAL'!$E$16:$V$16,1,MATCH(F4,'[5]BP - ORIGINAL'!$E$4:$V$4,0)+1)+INDEX('[5]BP - ORIGINAL'!$E$17:$V$17,1,MATCH(F4,'[5]BP - ORIGINAL'!$E$4:$V$4,0)+1)</f>
        <v>755.17260945430451</v>
      </c>
      <c r="G29" s="561" cm="1">
        <f t="array" ref="G29">INDEX('[5]BP - ORIGINAL'!$E$16:$V$16,1,MATCH(G4,'[5]BP - ORIGINAL'!$E$4:$V$4,0)+1)+INDEX('[5]BP - ORIGINAL'!$E$17:$V$17,1,MATCH(G4,'[5]BP - ORIGINAL'!$E$4:$V$4,0)+1)</f>
        <v>1121.6121666891356</v>
      </c>
      <c r="H29" s="561" cm="1">
        <f t="array" ref="H29">INDEX('[5]BP - ORIGINAL'!$E$16:$V$16,1,MATCH(H4,'[5]BP - ORIGINAL'!$E$4:$V$4,0)+1)+INDEX('[5]BP - ORIGINAL'!$E$17:$V$17,1,MATCH(H4,'[5]BP - ORIGINAL'!$E$4:$V$4,0)+1)</f>
        <v>1089.3071166915338</v>
      </c>
      <c r="I29" s="561" cm="1">
        <f t="array" ref="I29">INDEX('[5]BP - ORIGINAL'!$E$16:$V$16,1,MATCH(I4,'[5]BP - ORIGINAL'!$E$4:$V$4,0)+1)+INDEX('[5]BP - ORIGINAL'!$E$17:$V$17,1,MATCH(I4,'[5]BP - ORIGINAL'!$E$4:$V$4,0)+1)</f>
        <v>1109.5349069374954</v>
      </c>
      <c r="J29" s="561" cm="1">
        <f t="array" ref="J29">INDEX('[5]BP - ORIGINAL'!$E$16:$V$16,1,MATCH(J4,'[5]BP - ORIGINAL'!$E$4:$V$4,0)+1)+INDEX('[5]BP - ORIGINAL'!$E$17:$V$17,1,MATCH(J4,'[5]BP - ORIGINAL'!$E$4:$V$4,0)+1)</f>
        <v>1106.1636085631687</v>
      </c>
      <c r="K29" s="561" cm="1">
        <f t="array" ref="K29">INDEX('[5]BP - ORIGINAL'!$E$16:$V$16,1,MATCH(K4,'[5]BP - ORIGINAL'!$E$4:$V$4,0)+1)+INDEX('[5]BP - ORIGINAL'!$E$17:$V$17,1,MATCH(K4,'[5]BP - ORIGINAL'!$E$4:$V$4,0)+1)</f>
        <v>1221.652212511585</v>
      </c>
      <c r="L29" s="561" cm="1">
        <f t="array" ref="L29">INDEX('[5]BP - ORIGINAL'!$E$47:$V$47,1,MATCH(L4,'[5]BP - ORIGINAL'!$E$35:$V$35,0)+1)+INDEX('[5]BP - ORIGINAL'!$E$48:$V$48,1,MATCH(L4,'[5]BP - ORIGINAL'!$E$35:$V$35,0)+1)</f>
        <v>1260.2307034330038</v>
      </c>
      <c r="M29" s="561" cm="1">
        <f t="array" ref="M29">INDEX('[5]BP - ORIGINAL'!$E$47:$V$47,1,MATCH(M4,'[5]BP - ORIGINAL'!$E$35:$V$35,0)+1)+INDEX('[5]BP - ORIGINAL'!$E$48:$V$48,1,MATCH(M4,'[5]BP - ORIGINAL'!$E$35:$V$35,0)+1)</f>
        <v>1168.7197257751202</v>
      </c>
      <c r="N29" s="561" cm="1">
        <f t="array" ref="N29">INDEX('[5]BP - ORIGINAL'!$E$47:$V$47,1,MATCH(N4,'[5]BP - ORIGINAL'!$E$35:$V$35,0)+1)+INDEX('[5]BP - ORIGINAL'!$E$48:$V$48,1,MATCH(N4,'[5]BP - ORIGINAL'!$E$35:$V$35,0)+1)</f>
        <v>755.17260945430451</v>
      </c>
      <c r="O29" s="561" cm="1">
        <f t="array" ref="O29">INDEX('[5]BP - ORIGINAL'!$E$47:$V$47,1,MATCH(O4,'[5]BP - ORIGINAL'!$E$35:$V$35,0)+1)+INDEX('[5]BP - ORIGINAL'!$E$48:$V$48,1,MATCH(O4,'[5]BP - ORIGINAL'!$E$35:$V$35,0)+1)</f>
        <v>859.30866448463928</v>
      </c>
      <c r="P29" s="561" cm="1">
        <f t="array" ref="P29">INDEX('[5]BP - ORIGINAL'!$E$47:$V$47,1,MATCH(P4,'[5]BP - ORIGINAL'!$E$35:$V$35,0)+1)+INDEX('[5]BP - ORIGINAL'!$E$48:$V$48,1,MATCH(P4,'[5]BP - ORIGINAL'!$E$35:$V$35,0)+1)</f>
        <v>1087.8085647912717</v>
      </c>
      <c r="Q29" s="561" cm="1">
        <f t="array" ref="Q29">INDEX('[5]BP - ORIGINAL'!$E$47:$V$47,1,MATCH(Q4,'[5]BP - ORIGINAL'!$E$35:$V$35,0)+1)+INDEX('[5]BP - ORIGINAL'!$E$48:$V$48,1,MATCH(Q4,'[5]BP - ORIGINAL'!$E$35:$V$35,0)+1)</f>
        <v>1019.4457884129737</v>
      </c>
      <c r="R29" s="482">
        <f t="shared" si="4"/>
        <v>12554.128677198536</v>
      </c>
    </row>
    <row r="30" spans="1:18">
      <c r="A30" s="967" t="s">
        <v>183</v>
      </c>
      <c r="B30" s="968"/>
      <c r="C30" s="182" t="s">
        <v>168</v>
      </c>
      <c r="D30" s="235" t="s">
        <v>180</v>
      </c>
      <c r="E30" s="523">
        <f>'[3]Prod &amp; Defects - Qty'!R30</f>
        <v>576420.21700307052</v>
      </c>
      <c r="F30" s="559">
        <f t="array" ref="F30">SUM(IF($C$15:$C$29=$C30,F$15:F$29))</f>
        <v>115393.12433534095</v>
      </c>
      <c r="G30" s="559">
        <f t="array" ref="G30">SUM(IF($C$15:$C$29=$C30,G$15:G$29))</f>
        <v>121378.95457142958</v>
      </c>
      <c r="H30" s="559">
        <f t="array" ref="H30">SUM(IF($C$15:$C$29=$C30,H$15:H$29))</f>
        <v>115782.06545691009</v>
      </c>
      <c r="I30" s="559">
        <f t="array" ref="I30">SUM(IF($C$15:$C$29=$C30,I$15:I$29))</f>
        <v>116514.29705699068</v>
      </c>
      <c r="J30" s="559">
        <f t="array" ref="J30">SUM(IF($C$15:$C$29=$C30,J$15:J$29))</f>
        <v>120013.3489362309</v>
      </c>
      <c r="K30" s="559">
        <f t="array" ref="K30">SUM(IF($C$15:$C$29=$C30,K$15:K$29))</f>
        <v>134941.28185481468</v>
      </c>
      <c r="L30" s="559">
        <f t="array" ref="L30">SUM(IF($C$15:$C$29=$C30,L$15:L$29))</f>
        <v>133108.73091710015</v>
      </c>
      <c r="M30" s="559">
        <f t="array" ref="M30">SUM(IF($C$15:$C$29=$C30,M$15:M$29))</f>
        <v>133106.43815209949</v>
      </c>
      <c r="N30" s="559">
        <f t="array" ref="N30">SUM(IF($C$15:$C$29=$C30,N$15:N$29))</f>
        <v>127086.5417447396</v>
      </c>
      <c r="O30" s="559">
        <f t="array" ref="O30">SUM(IF($C$15:$C$29=$C30,O$15:O$29))</f>
        <v>98255.277578488924</v>
      </c>
      <c r="P30" s="559">
        <f t="array" ref="P30">SUM(IF($C$15:$C$29=$C30,P$15:P$29))</f>
        <v>95668.307894877697</v>
      </c>
      <c r="Q30" s="559">
        <f t="array" ref="Q30">SUM(IF($C$15:$C$29=$C30,Q$15:Q$29))</f>
        <v>120675.06251639678</v>
      </c>
      <c r="R30" s="480">
        <f>SUM(F30:Q30)</f>
        <v>1431923.4310154193</v>
      </c>
    </row>
    <row r="31" spans="1:18">
      <c r="A31" s="969"/>
      <c r="B31" s="970"/>
      <c r="C31" s="184" t="s">
        <v>169</v>
      </c>
      <c r="D31" s="236" t="s">
        <v>180</v>
      </c>
      <c r="E31" s="521">
        <f>'[3]Prod &amp; Defects - Qty'!R31</f>
        <v>144633.80214206743</v>
      </c>
      <c r="F31" s="557">
        <f t="array" ref="F31">SUM(IF($C$15:$C$29=$C31,F$15:F$29))</f>
        <v>9922.806414993107</v>
      </c>
      <c r="G31" s="557">
        <f t="array" ref="G31">SUM(IF($C$15:$C$29=$C31,G$15:G$29))</f>
        <v>10541.248866703623</v>
      </c>
      <c r="H31" s="557">
        <f t="array" ref="H31">SUM(IF($C$15:$C$29=$C31,H$15:H$29))</f>
        <v>10166.350020309761</v>
      </c>
      <c r="I31" s="557">
        <f t="array" ref="I31">SUM(IF($C$15:$C$29=$C31,I$15:I$29))</f>
        <v>10252.423945650504</v>
      </c>
      <c r="J31" s="557">
        <f t="array" ref="J31">SUM(IF($C$15:$C$29=$C31,J$15:J$29))</f>
        <v>10642.873595515595</v>
      </c>
      <c r="K31" s="557">
        <f t="array" ref="K31">SUM(IF($C$15:$C$29=$C31,K$15:K$29))</f>
        <v>12056.647485288082</v>
      </c>
      <c r="L31" s="557">
        <f t="array" ref="L31">SUM(IF($C$15:$C$29=$C31,L$15:L$29))</f>
        <v>11999.172155001139</v>
      </c>
      <c r="M31" s="557">
        <f t="array" ref="M31">SUM(IF($C$15:$C$29=$C31,M$15:M$29))</f>
        <v>11872.980525681369</v>
      </c>
      <c r="N31" s="557">
        <f t="array" ref="N31">SUM(IF($C$15:$C$29=$C31,N$15:N$29))</f>
        <v>10673.239102516398</v>
      </c>
      <c r="O31" s="557">
        <f t="array" ref="O31">SUM(IF($C$15:$C$29=$C31,O$15:O$29))</f>
        <v>8760.5486606103914</v>
      </c>
      <c r="P31" s="557">
        <f t="array" ref="P31">SUM(IF($C$15:$C$29=$C31,P$15:P$29))</f>
        <v>8821.5174611045968</v>
      </c>
      <c r="Q31" s="557">
        <f t="array" ref="Q31">SUM(IF($C$15:$C$29=$C31,Q$15:Q$29))</f>
        <v>10643.723014819805</v>
      </c>
      <c r="R31" s="478">
        <f t="shared" ref="R31:R32" si="6">SUM(F31:Q31)</f>
        <v>126353.53124819437</v>
      </c>
    </row>
    <row r="32" spans="1:18">
      <c r="A32" s="969"/>
      <c r="B32" s="970"/>
      <c r="C32" s="187" t="s">
        <v>104</v>
      </c>
      <c r="D32" s="237" t="s">
        <v>180</v>
      </c>
      <c r="E32" s="522">
        <f>'[3]Prod &amp; Defects - Qty'!R32</f>
        <v>325416.24867508101</v>
      </c>
      <c r="F32" s="558">
        <f t="array" ref="F32">SUM(IF($C$15:$C$29=$C32,F$15:F$29))</f>
        <v>21649.841632226016</v>
      </c>
      <c r="G32" s="558">
        <f t="array" ref="G32">SUM(IF($C$15:$C$29=$C32,G$15:G$29))</f>
        <v>23747.338690945064</v>
      </c>
      <c r="H32" s="558">
        <f t="array" ref="H32">SUM(IF($C$15:$C$29=$C32,H$15:H$29))</f>
        <v>22183.347152218157</v>
      </c>
      <c r="I32" s="558">
        <f t="array" ref="I32">SUM(IF($C$15:$C$29=$C32,I$15:I$29))</f>
        <v>22325.241445566433</v>
      </c>
      <c r="J32" s="558">
        <f t="array" ref="J32">SUM(IF($C$15:$C$29=$C32,J$15:J$29))</f>
        <v>23552.22143582709</v>
      </c>
      <c r="K32" s="558">
        <f t="array" ref="K32">SUM(IF($C$15:$C$29=$C32,K$15:K$29))</f>
        <v>25757.590299645828</v>
      </c>
      <c r="L32" s="558">
        <f t="array" ref="L32">SUM(IF($C$15:$C$29=$C32,L$15:L$29))</f>
        <v>25354.697492980882</v>
      </c>
      <c r="M32" s="558">
        <f t="array" ref="M32">SUM(IF($C$15:$C$29=$C32,M$15:M$29))</f>
        <v>25245.116444312996</v>
      </c>
      <c r="N32" s="558">
        <f t="array" ref="N32">SUM(IF($C$15:$C$29=$C32,N$15:N$29))</f>
        <v>24155.543704905976</v>
      </c>
      <c r="O32" s="558">
        <f t="array" ref="O32">SUM(IF($C$15:$C$29=$C32,O$15:O$29))</f>
        <v>18644.392152308879</v>
      </c>
      <c r="P32" s="558">
        <f t="array" ref="P32">SUM(IF($C$15:$C$29=$C32,P$15:P$29))</f>
        <v>18949.95403727025</v>
      </c>
      <c r="Q32" s="558">
        <f t="array" ref="Q32">SUM(IF($C$15:$C$29=$C32,Q$15:Q$29))</f>
        <v>23357.224754329087</v>
      </c>
      <c r="R32" s="479">
        <f t="shared" si="6"/>
        <v>274922.50924253667</v>
      </c>
    </row>
    <row r="33" spans="1:26">
      <c r="A33" s="969"/>
      <c r="B33" s="970"/>
      <c r="C33" s="210" t="s">
        <v>1</v>
      </c>
      <c r="D33" s="225" t="s">
        <v>180</v>
      </c>
      <c r="E33" s="518">
        <f>'[3]Prod &amp; Defects - Qty'!R33</f>
        <v>1046470.267820219</v>
      </c>
      <c r="F33" s="562">
        <f t="shared" ref="F33:M33" si="7">SUM(F30:F32)</f>
        <v>146965.77238256007</v>
      </c>
      <c r="G33" s="562">
        <f t="shared" si="7"/>
        <v>155667.54212907827</v>
      </c>
      <c r="H33" s="562">
        <f t="shared" si="7"/>
        <v>148131.76262943802</v>
      </c>
      <c r="I33" s="562">
        <f t="shared" si="7"/>
        <v>149091.9624482076</v>
      </c>
      <c r="J33" s="562">
        <f t="shared" si="7"/>
        <v>154208.44396757361</v>
      </c>
      <c r="K33" s="562">
        <f t="shared" si="7"/>
        <v>172755.51963974859</v>
      </c>
      <c r="L33" s="562">
        <f t="shared" si="7"/>
        <v>170462.60056508219</v>
      </c>
      <c r="M33" s="562">
        <f t="shared" si="7"/>
        <v>170224.53512209386</v>
      </c>
      <c r="N33" s="562">
        <f t="shared" ref="N33:R33" si="8">SUM(N30:N32)</f>
        <v>161915.324552162</v>
      </c>
      <c r="O33" s="562">
        <f t="shared" si="8"/>
        <v>125660.2183914082</v>
      </c>
      <c r="P33" s="562">
        <f t="shared" si="8"/>
        <v>123439.77939325254</v>
      </c>
      <c r="Q33" s="562">
        <f t="shared" si="8"/>
        <v>154676.01028554566</v>
      </c>
      <c r="R33" s="483">
        <f t="shared" si="8"/>
        <v>1833199.4715061504</v>
      </c>
    </row>
    <row r="34" spans="1:26">
      <c r="A34" s="969"/>
      <c r="B34" s="970"/>
      <c r="C34" s="210" t="s">
        <v>178</v>
      </c>
      <c r="D34" s="225" t="s">
        <v>105</v>
      </c>
      <c r="E34" s="499">
        <f>'[3]Prod &amp; Defects - Qty'!R34</f>
        <v>3.0352586024335556E-3</v>
      </c>
      <c r="F34" s="569">
        <f t="shared" ref="F34:M34" si="9">IF(F10&gt;0,F33/F10,0)</f>
        <v>5.2117183353035277E-3</v>
      </c>
      <c r="G34" s="569">
        <f t="shared" si="9"/>
        <v>5.2039572483292638E-3</v>
      </c>
      <c r="H34" s="569">
        <f t="shared" si="9"/>
        <v>5.252009556455539E-3</v>
      </c>
      <c r="I34" s="569">
        <f t="shared" si="9"/>
        <v>5.2472894503906688E-3</v>
      </c>
      <c r="J34" s="569">
        <f t="shared" si="9"/>
        <v>5.1349809375698559E-3</v>
      </c>
      <c r="K34" s="569">
        <f t="shared" si="9"/>
        <v>5.2107975652907418E-3</v>
      </c>
      <c r="L34" s="569">
        <f t="shared" si="9"/>
        <v>5.2043567528307138E-3</v>
      </c>
      <c r="M34" s="569">
        <f t="shared" si="9"/>
        <v>5.1932569163356743E-3</v>
      </c>
      <c r="N34" s="569">
        <f t="shared" ref="N34:Q34" si="10">IF(N10&gt;0,N33/N10,0)</f>
        <v>5.1584589085014471E-3</v>
      </c>
      <c r="O34" s="569">
        <f t="shared" si="10"/>
        <v>5.2989986808035464E-3</v>
      </c>
      <c r="P34" s="569">
        <f t="shared" si="10"/>
        <v>5.1610145183874174E-3</v>
      </c>
      <c r="Q34" s="569">
        <f t="shared" si="10"/>
        <v>5.1552914418223801E-3</v>
      </c>
      <c r="R34" s="572">
        <f>R33/R10</f>
        <v>5.2010109833506143E-3</v>
      </c>
    </row>
    <row r="35" spans="1:26">
      <c r="A35" s="969"/>
      <c r="B35" s="970"/>
      <c r="C35" s="182" t="s">
        <v>176</v>
      </c>
      <c r="D35" s="235" t="s">
        <v>105</v>
      </c>
      <c r="E35" s="500">
        <f>'[3]Prod &amp; Defects - Qty'!R35</f>
        <v>2.5999999999999999E-3</v>
      </c>
      <c r="F35" s="570">
        <v>2.5999999999999999E-3</v>
      </c>
      <c r="G35" s="570">
        <v>2.5999999999999999E-3</v>
      </c>
      <c r="H35" s="570">
        <v>2.5999999999999999E-3</v>
      </c>
      <c r="I35" s="570">
        <v>2.5999999999999999E-3</v>
      </c>
      <c r="J35" s="570">
        <v>2.5999999999999999E-3</v>
      </c>
      <c r="K35" s="570">
        <v>2.5999999999999999E-3</v>
      </c>
      <c r="L35" s="570">
        <v>2.5999999999999999E-3</v>
      </c>
      <c r="M35" s="570">
        <v>2.5999999999999999E-3</v>
      </c>
      <c r="N35" s="570">
        <v>2.5999999999999999E-3</v>
      </c>
      <c r="O35" s="570">
        <v>2.5999999999999999E-3</v>
      </c>
      <c r="P35" s="570">
        <v>2.5999999999999999E-3</v>
      </c>
      <c r="Q35" s="570">
        <v>2.5999999999999999E-3</v>
      </c>
      <c r="R35" s="573">
        <v>2.5999999999999999E-3</v>
      </c>
    </row>
    <row r="36" spans="1:26" ht="13.5" thickBot="1">
      <c r="A36" s="971"/>
      <c r="B36" s="972"/>
      <c r="C36" s="251" t="s">
        <v>181</v>
      </c>
      <c r="D36" s="254" t="s">
        <v>105</v>
      </c>
      <c r="E36" s="526">
        <f>'[3]Prod &amp; Defects - Qty'!R36</f>
        <v>4.3525860243355573E-4</v>
      </c>
      <c r="F36" s="571">
        <f t="shared" ref="F36:M36" si="11">F34-F35</f>
        <v>2.6117183353035279E-3</v>
      </c>
      <c r="G36" s="571">
        <f t="shared" si="11"/>
        <v>2.6039572483292639E-3</v>
      </c>
      <c r="H36" s="571">
        <f t="shared" si="11"/>
        <v>2.6520095564555391E-3</v>
      </c>
      <c r="I36" s="571">
        <f t="shared" si="11"/>
        <v>2.6472894503906689E-3</v>
      </c>
      <c r="J36" s="571">
        <f t="shared" si="11"/>
        <v>2.534980937569856E-3</v>
      </c>
      <c r="K36" s="571">
        <f t="shared" si="11"/>
        <v>2.6107975652907419E-3</v>
      </c>
      <c r="L36" s="571">
        <f t="shared" si="11"/>
        <v>2.6043567528307139E-3</v>
      </c>
      <c r="M36" s="571">
        <f t="shared" si="11"/>
        <v>2.5932569163356744E-3</v>
      </c>
      <c r="N36" s="571">
        <f t="shared" ref="N36:R36" si="12">N34-N35</f>
        <v>2.5584589085014472E-3</v>
      </c>
      <c r="O36" s="571">
        <f t="shared" si="12"/>
        <v>2.6989986808035465E-3</v>
      </c>
      <c r="P36" s="571">
        <f t="shared" si="12"/>
        <v>2.5610145183874175E-3</v>
      </c>
      <c r="Q36" s="571">
        <f t="shared" si="12"/>
        <v>2.5552914418223802E-3</v>
      </c>
      <c r="R36" s="574">
        <f t="shared" si="12"/>
        <v>2.6010109833506144E-3</v>
      </c>
    </row>
    <row r="38" spans="1:26" ht="13.5" thickBot="1">
      <c r="C38" t="s">
        <v>1</v>
      </c>
      <c r="F38" s="201"/>
      <c r="G38" s="201"/>
      <c r="S38" s="1" t="s">
        <v>48</v>
      </c>
    </row>
    <row r="39" spans="1:26">
      <c r="A39" s="262"/>
      <c r="B39" s="263">
        <v>1</v>
      </c>
      <c r="C39" s="262" t="s">
        <v>98</v>
      </c>
      <c r="D39" s="244" t="s">
        <v>186</v>
      </c>
      <c r="E39" s="694">
        <f>'[3]Prod &amp; Defects - Qty'!R39</f>
        <v>55719.880248019312</v>
      </c>
      <c r="F39" s="245">
        <f t="shared" ref="F39" si="13">SUM(F15:F17)</f>
        <v>3277.7708394264828</v>
      </c>
      <c r="G39" s="245">
        <f t="shared" ref="G39:Q39" si="14">SUM(G15:G17)</f>
        <v>1788.6357834845096</v>
      </c>
      <c r="H39" s="245">
        <f t="shared" si="14"/>
        <v>1780.4281120712515</v>
      </c>
      <c r="I39" s="245">
        <f t="shared" si="14"/>
        <v>1799.2533471884353</v>
      </c>
      <c r="J39" s="245">
        <f t="shared" si="14"/>
        <v>3250.1979614364395</v>
      </c>
      <c r="K39" s="245">
        <f t="shared" si="14"/>
        <v>3766.3871069074185</v>
      </c>
      <c r="L39" s="245">
        <f t="shared" si="14"/>
        <v>3793.2010018970313</v>
      </c>
      <c r="M39" s="245">
        <f t="shared" si="14"/>
        <v>3797.5434872285614</v>
      </c>
      <c r="N39" s="245">
        <f t="shared" si="14"/>
        <v>3044.7275236067899</v>
      </c>
      <c r="O39" s="245">
        <f t="shared" si="14"/>
        <v>2821.688497699392</v>
      </c>
      <c r="P39" s="245">
        <f t="shared" si="14"/>
        <v>2854.9964826022297</v>
      </c>
      <c r="Q39" s="245">
        <f t="shared" si="14"/>
        <v>3514.8591153369862</v>
      </c>
      <c r="R39" s="946">
        <f>SUM(F39:Q39)</f>
        <v>35489.689258885533</v>
      </c>
      <c r="S39" s="950">
        <f>R39/R5*1000000</f>
        <v>2272.7291115106445</v>
      </c>
      <c r="U39" s="270"/>
      <c r="V39" s="270"/>
      <c r="Y39" s="270"/>
      <c r="Z39" s="271"/>
    </row>
    <row r="40" spans="1:26">
      <c r="A40" s="265"/>
      <c r="B40" s="266">
        <v>2</v>
      </c>
      <c r="C40" s="265" t="s">
        <v>184</v>
      </c>
      <c r="D40" s="267" t="s">
        <v>186</v>
      </c>
      <c r="E40" s="695">
        <f>'[3]Prod &amp; Defects - Qty'!R40</f>
        <v>142955.77824029466</v>
      </c>
      <c r="F40" s="185">
        <f t="shared" ref="F40" si="15">SUM(F18:F20)</f>
        <v>26783.41308708522</v>
      </c>
      <c r="G40" s="185">
        <f t="shared" ref="G40:Q40" si="16">SUM(G18:G20)</f>
        <v>28030.616705107368</v>
      </c>
      <c r="H40" s="185">
        <f t="shared" si="16"/>
        <v>26976.232183215547</v>
      </c>
      <c r="I40" s="185">
        <f t="shared" si="16"/>
        <v>27150.634908796983</v>
      </c>
      <c r="J40" s="185">
        <f t="shared" si="16"/>
        <v>27482.316564117205</v>
      </c>
      <c r="K40" s="185">
        <f t="shared" si="16"/>
        <v>31246.886635309376</v>
      </c>
      <c r="L40" s="185">
        <f t="shared" si="16"/>
        <v>30862.54584462638</v>
      </c>
      <c r="M40" s="185">
        <f t="shared" si="16"/>
        <v>30878.734157862338</v>
      </c>
      <c r="N40" s="185">
        <f t="shared" si="16"/>
        <v>29380.223861120241</v>
      </c>
      <c r="O40" s="185">
        <f t="shared" si="16"/>
        <v>22785.221895723862</v>
      </c>
      <c r="P40" s="185">
        <f t="shared" si="16"/>
        <v>21869.682660113176</v>
      </c>
      <c r="Q40" s="185">
        <f t="shared" si="16"/>
        <v>27728.308607387662</v>
      </c>
      <c r="R40" s="947">
        <f t="shared" ref="R40:R43" si="17">SUM(F40:Q40)</f>
        <v>331174.81711046532</v>
      </c>
      <c r="S40" s="951">
        <f>R40/R6*1000000</f>
        <v>8256.1673826830447</v>
      </c>
      <c r="U40" s="270"/>
      <c r="V40" s="270"/>
      <c r="Y40" s="270"/>
      <c r="Z40" s="271"/>
    </row>
    <row r="41" spans="1:26">
      <c r="A41" s="265"/>
      <c r="B41" s="266">
        <v>3</v>
      </c>
      <c r="C41" s="265" t="s">
        <v>185</v>
      </c>
      <c r="D41" s="267" t="s">
        <v>186</v>
      </c>
      <c r="E41" s="695">
        <f>'[3]Prod &amp; Defects - Qty'!R41</f>
        <v>398575.6690648715</v>
      </c>
      <c r="F41" s="185">
        <f t="shared" ref="F41" si="18">SUM(F21:F23)</f>
        <v>87540.593868252559</v>
      </c>
      <c r="G41" s="185">
        <f t="shared" ref="G41:Q41" si="19">SUM(G21:G23)</f>
        <v>91617.032709011735</v>
      </c>
      <c r="H41" s="185">
        <f t="shared" si="19"/>
        <v>88170.815943740308</v>
      </c>
      <c r="I41" s="185">
        <f t="shared" si="19"/>
        <v>88740.844794058939</v>
      </c>
      <c r="J41" s="185">
        <f t="shared" si="19"/>
        <v>89824.934002089634</v>
      </c>
      <c r="K41" s="185">
        <f t="shared" si="19"/>
        <v>102129.29187534816</v>
      </c>
      <c r="L41" s="185">
        <f t="shared" si="19"/>
        <v>100873.08823338566</v>
      </c>
      <c r="M41" s="185">
        <f t="shared" si="19"/>
        <v>100925.9991357338</v>
      </c>
      <c r="N41" s="185">
        <f t="shared" si="19"/>
        <v>96028.173721625208</v>
      </c>
      <c r="O41" s="185">
        <f t="shared" si="19"/>
        <v>74472.65401486028</v>
      </c>
      <c r="P41" s="185">
        <f t="shared" si="19"/>
        <v>71480.247926269134</v>
      </c>
      <c r="Q41" s="185">
        <f t="shared" si="19"/>
        <v>90628.949886276721</v>
      </c>
      <c r="R41" s="947">
        <f t="shared" si="17"/>
        <v>1082432.6261106522</v>
      </c>
      <c r="S41" s="951">
        <f>R41/R7*1000000</f>
        <v>8113.9482485200006</v>
      </c>
      <c r="U41" s="270"/>
      <c r="V41" s="270"/>
      <c r="Y41" s="270"/>
      <c r="Z41" s="271"/>
    </row>
    <row r="42" spans="1:26">
      <c r="A42" s="265"/>
      <c r="B42" s="266">
        <v>4</v>
      </c>
      <c r="C42" s="265" t="s">
        <v>119</v>
      </c>
      <c r="D42" s="267" t="s">
        <v>186</v>
      </c>
      <c r="E42" s="695">
        <f>'[3]Prod &amp; Defects - Qty'!R42</f>
        <v>414356.43887159094</v>
      </c>
      <c r="F42" s="185">
        <f t="shared" ref="F42" si="20">SUM(F24:F26)</f>
        <v>27313.704803501147</v>
      </c>
      <c r="G42" s="185">
        <f t="shared" ref="G42:Q42" si="21">SUM(G24:G26)</f>
        <v>31186.085617640761</v>
      </c>
      <c r="H42" s="185">
        <f t="shared" si="21"/>
        <v>28246.823122607795</v>
      </c>
      <c r="I42" s="185">
        <f t="shared" si="21"/>
        <v>28388.84778297714</v>
      </c>
      <c r="J42" s="185">
        <f t="shared" si="21"/>
        <v>30647.766882641361</v>
      </c>
      <c r="K42" s="185">
        <f t="shared" si="21"/>
        <v>32296.174494012666</v>
      </c>
      <c r="L42" s="185">
        <f t="shared" si="21"/>
        <v>31511.948131077312</v>
      </c>
      <c r="M42" s="185">
        <f t="shared" si="21"/>
        <v>31448.914421907979</v>
      </c>
      <c r="N42" s="185">
        <f t="shared" si="21"/>
        <v>31411.731437587696</v>
      </c>
      <c r="O42" s="185">
        <f t="shared" si="21"/>
        <v>23247.432539901249</v>
      </c>
      <c r="P42" s="185">
        <f t="shared" si="21"/>
        <v>24281.200889814834</v>
      </c>
      <c r="Q42" s="185">
        <f t="shared" si="21"/>
        <v>30035.861965303335</v>
      </c>
      <c r="R42" s="947">
        <f t="shared" si="17"/>
        <v>350016.49208897323</v>
      </c>
      <c r="S42" s="951">
        <f>R42/R8*1000000</f>
        <v>2770.9796012137581</v>
      </c>
      <c r="U42" s="270"/>
      <c r="V42" s="270"/>
      <c r="Y42" s="270"/>
      <c r="Z42" s="271"/>
    </row>
    <row r="43" spans="1:26" ht="13.5" thickBot="1">
      <c r="A43" s="268"/>
      <c r="B43" s="269">
        <v>5</v>
      </c>
      <c r="C43" s="268" t="s">
        <v>106</v>
      </c>
      <c r="D43" s="254" t="s">
        <v>186</v>
      </c>
      <c r="E43" s="696">
        <f>'[3]Prod &amp; Defects - Qty'!R43</f>
        <v>34862.501395442414</v>
      </c>
      <c r="F43" s="253">
        <f t="shared" ref="F43" si="22">SUM(F27:F29)</f>
        <v>2050.2897842946631</v>
      </c>
      <c r="G43" s="253">
        <f t="shared" ref="G43:Q43" si="23">SUM(G27:G29)</f>
        <v>3045.1713138338982</v>
      </c>
      <c r="H43" s="253">
        <f t="shared" si="23"/>
        <v>2957.4632678031057</v>
      </c>
      <c r="I43" s="253">
        <f t="shared" si="23"/>
        <v>3012.3816151861229</v>
      </c>
      <c r="J43" s="253">
        <f t="shared" si="23"/>
        <v>3003.2285572889541</v>
      </c>
      <c r="K43" s="253">
        <f t="shared" si="23"/>
        <v>3316.7795281709541</v>
      </c>
      <c r="L43" s="253">
        <f t="shared" si="23"/>
        <v>3421.8173540957828</v>
      </c>
      <c r="M43" s="253">
        <f t="shared" si="23"/>
        <v>3173.3439193611684</v>
      </c>
      <c r="N43" s="253">
        <f t="shared" si="23"/>
        <v>2050.4680082220434</v>
      </c>
      <c r="O43" s="253">
        <f t="shared" si="23"/>
        <v>2333.2214432234123</v>
      </c>
      <c r="P43" s="253">
        <f t="shared" si="23"/>
        <v>2953.6514344531547</v>
      </c>
      <c r="Q43" s="253">
        <f t="shared" si="23"/>
        <v>2768.0307112409737</v>
      </c>
      <c r="R43" s="948">
        <f t="shared" si="17"/>
        <v>34085.846937174232</v>
      </c>
      <c r="S43" s="952">
        <f>R43/R9*1000000</f>
        <v>920.66784828368043</v>
      </c>
      <c r="U43" s="270"/>
      <c r="V43" s="270"/>
      <c r="Y43" s="270"/>
      <c r="Z43" s="271"/>
    </row>
    <row r="44" spans="1:26" ht="13.5" thickBot="1">
      <c r="A44" s="941"/>
      <c r="B44" s="942"/>
      <c r="C44" s="926" t="s">
        <v>176</v>
      </c>
      <c r="D44" s="927"/>
      <c r="E44" s="927"/>
      <c r="F44" s="945">
        <f>SUM(F39:F42)</f>
        <v>144915.4825982654</v>
      </c>
      <c r="G44" s="945">
        <f t="shared" ref="G44:Q44" si="24">SUM(G39:G42)</f>
        <v>152622.37081524439</v>
      </c>
      <c r="H44" s="945">
        <f t="shared" si="24"/>
        <v>145174.29936163491</v>
      </c>
      <c r="I44" s="945">
        <f t="shared" si="24"/>
        <v>146079.58083302149</v>
      </c>
      <c r="J44" s="945">
        <f t="shared" si="24"/>
        <v>151205.21541028464</v>
      </c>
      <c r="K44" s="945">
        <f t="shared" si="24"/>
        <v>169438.74011157762</v>
      </c>
      <c r="L44" s="945">
        <f t="shared" si="24"/>
        <v>167040.78321098638</v>
      </c>
      <c r="M44" s="945">
        <f t="shared" si="24"/>
        <v>167051.19120273268</v>
      </c>
      <c r="N44" s="945">
        <f t="shared" si="24"/>
        <v>159864.85654393994</v>
      </c>
      <c r="O44" s="945">
        <f t="shared" si="24"/>
        <v>123326.99694818478</v>
      </c>
      <c r="P44" s="945">
        <f t="shared" si="24"/>
        <v>120486.12795879938</v>
      </c>
      <c r="Q44" s="945">
        <f t="shared" si="24"/>
        <v>151907.97957430471</v>
      </c>
      <c r="R44" s="949">
        <f>SUM(F44:Q44)</f>
        <v>1799113.6245689765</v>
      </c>
      <c r="S44" s="953">
        <f>R44/SUM(R5:R9)*1000000</f>
        <v>5104.3052690775257</v>
      </c>
    </row>
    <row r="45" spans="1:26">
      <c r="A45" s="246"/>
      <c r="B45" s="943"/>
      <c r="C45" s="262" t="s">
        <v>98</v>
      </c>
      <c r="D45" s="928" t="s">
        <v>105</v>
      </c>
      <c r="E45" s="928"/>
      <c r="F45" s="929">
        <f>F39/F5</f>
        <v>2.2727291115106451E-3</v>
      </c>
      <c r="G45" s="929">
        <f t="shared" ref="G45" si="25">G39/G5</f>
        <v>2.2727291115106443E-3</v>
      </c>
      <c r="H45" s="929">
        <f t="shared" ref="H45:I45" si="26">H39/H5</f>
        <v>2.2727291115106451E-3</v>
      </c>
      <c r="I45" s="929">
        <f t="shared" si="26"/>
        <v>2.2727291115106447E-3</v>
      </c>
      <c r="J45" s="929">
        <f t="shared" ref="J45:M45" si="27">J39/J5</f>
        <v>2.2727291115106447E-3</v>
      </c>
      <c r="K45" s="929">
        <f t="shared" si="27"/>
        <v>2.2727291115106447E-3</v>
      </c>
      <c r="L45" s="929">
        <f t="shared" si="27"/>
        <v>2.2727291115106447E-3</v>
      </c>
      <c r="M45" s="929">
        <f t="shared" si="27"/>
        <v>2.2727291115106447E-3</v>
      </c>
      <c r="N45" s="929">
        <f t="shared" ref="N45:P45" si="28">N39/N5</f>
        <v>2.2727291115106443E-3</v>
      </c>
      <c r="O45" s="929">
        <f t="shared" si="28"/>
        <v>2.2727291115106447E-3</v>
      </c>
      <c r="P45" s="929">
        <f t="shared" si="28"/>
        <v>2.2727291115106443E-3</v>
      </c>
      <c r="Q45" s="929">
        <f t="shared" ref="Q45" si="29">Q39/Q5</f>
        <v>2.2727291115106447E-3</v>
      </c>
      <c r="R45" s="930">
        <f t="shared" ref="R45" si="30">R39/R5</f>
        <v>2.2727291115106447E-3</v>
      </c>
    </row>
    <row r="46" spans="1:26">
      <c r="A46" s="246"/>
      <c r="B46" s="943"/>
      <c r="C46" s="265" t="s">
        <v>184</v>
      </c>
      <c r="D46" s="490" t="s">
        <v>105</v>
      </c>
      <c r="E46" s="490"/>
      <c r="F46" s="491">
        <f>F40/F6</f>
        <v>8.256167382683045E-3</v>
      </c>
      <c r="G46" s="491">
        <f t="shared" ref="G46" si="31">G40/G6</f>
        <v>8.256167382683045E-3</v>
      </c>
      <c r="H46" s="491">
        <f t="shared" ref="H46:I46" si="32">H40/H6</f>
        <v>8.256167382683045E-3</v>
      </c>
      <c r="I46" s="491">
        <f t="shared" si="32"/>
        <v>8.256167382683045E-3</v>
      </c>
      <c r="J46" s="491">
        <f t="shared" ref="J46:M46" si="33">J40/J6</f>
        <v>8.256167382683045E-3</v>
      </c>
      <c r="K46" s="491">
        <f t="shared" si="33"/>
        <v>8.256167382683045E-3</v>
      </c>
      <c r="L46" s="491">
        <f t="shared" si="33"/>
        <v>8.256167382683045E-3</v>
      </c>
      <c r="M46" s="491">
        <f t="shared" si="33"/>
        <v>8.256167382683045E-3</v>
      </c>
      <c r="N46" s="491">
        <f t="shared" ref="N46:P46" si="34">N40/N6</f>
        <v>8.256167382683045E-3</v>
      </c>
      <c r="O46" s="491">
        <f t="shared" si="34"/>
        <v>8.256167382683045E-3</v>
      </c>
      <c r="P46" s="491">
        <f t="shared" si="34"/>
        <v>8.256167382683045E-3</v>
      </c>
      <c r="Q46" s="491">
        <f t="shared" ref="Q46" si="35">Q40/Q6</f>
        <v>8.2561673826830467E-3</v>
      </c>
      <c r="R46" s="931">
        <f t="shared" ref="R46" si="36">R40/R6</f>
        <v>8.256167382683045E-3</v>
      </c>
    </row>
    <row r="47" spans="1:26">
      <c r="A47" s="246"/>
      <c r="B47" s="943"/>
      <c r="C47" s="265" t="s">
        <v>185</v>
      </c>
      <c r="D47" s="490" t="s">
        <v>105</v>
      </c>
      <c r="E47" s="490"/>
      <c r="F47" s="491">
        <f>F41/F7</f>
        <v>8.1139482485200025E-3</v>
      </c>
      <c r="G47" s="491">
        <f t="shared" ref="G47" si="37">G41/G7</f>
        <v>8.1139482485200025E-3</v>
      </c>
      <c r="H47" s="491">
        <f t="shared" ref="H47:I47" si="38">H41/H7</f>
        <v>8.1139482485200008E-3</v>
      </c>
      <c r="I47" s="491">
        <f t="shared" si="38"/>
        <v>8.1139482485200008E-3</v>
      </c>
      <c r="J47" s="491">
        <f t="shared" ref="J47:M47" si="39">J41/J7</f>
        <v>8.113948248519999E-3</v>
      </c>
      <c r="K47" s="491">
        <f t="shared" si="39"/>
        <v>8.1139482485200008E-3</v>
      </c>
      <c r="L47" s="491">
        <f t="shared" si="39"/>
        <v>8.1139482485200008E-3</v>
      </c>
      <c r="M47" s="491">
        <f t="shared" si="39"/>
        <v>8.1139482485200008E-3</v>
      </c>
      <c r="N47" s="491">
        <f t="shared" ref="N47:P47" si="40">N41/N7</f>
        <v>8.1139482485200008E-3</v>
      </c>
      <c r="O47" s="491">
        <f t="shared" si="40"/>
        <v>8.1139482485200025E-3</v>
      </c>
      <c r="P47" s="491">
        <f t="shared" si="40"/>
        <v>8.1139482485200025E-3</v>
      </c>
      <c r="Q47" s="491">
        <f t="shared" ref="Q47" si="41">Q41/Q7</f>
        <v>8.1139482485200008E-3</v>
      </c>
      <c r="R47" s="931">
        <f t="shared" ref="R47" si="42">R41/R7</f>
        <v>8.1139482485200008E-3</v>
      </c>
    </row>
    <row r="48" spans="1:26">
      <c r="A48" s="246"/>
      <c r="B48" s="943"/>
      <c r="C48" s="265" t="s">
        <v>119</v>
      </c>
      <c r="D48" s="490" t="s">
        <v>105</v>
      </c>
      <c r="E48" s="490"/>
      <c r="F48" s="491">
        <f>F42/F8</f>
        <v>2.7709796012137587E-3</v>
      </c>
      <c r="G48" s="491">
        <f t="shared" ref="G48" si="43">G42/G8</f>
        <v>2.7709796012137583E-3</v>
      </c>
      <c r="H48" s="491">
        <f t="shared" ref="H48:I48" si="44">H42/H8</f>
        <v>2.7709796012137583E-3</v>
      </c>
      <c r="I48" s="491">
        <f t="shared" si="44"/>
        <v>2.7709796012137583E-3</v>
      </c>
      <c r="J48" s="491">
        <f t="shared" ref="J48:M48" si="45">J42/J8</f>
        <v>2.7709796012137587E-3</v>
      </c>
      <c r="K48" s="491">
        <f t="shared" si="45"/>
        <v>2.7709796012137591E-3</v>
      </c>
      <c r="L48" s="491">
        <f t="shared" si="45"/>
        <v>2.7709796012137583E-3</v>
      </c>
      <c r="M48" s="491">
        <f t="shared" si="45"/>
        <v>2.7709796012137591E-3</v>
      </c>
      <c r="N48" s="491">
        <f t="shared" ref="N48:P48" si="46">N42/N8</f>
        <v>2.7709796012137587E-3</v>
      </c>
      <c r="O48" s="491">
        <f t="shared" si="46"/>
        <v>2.7709796012137591E-3</v>
      </c>
      <c r="P48" s="491">
        <f t="shared" si="46"/>
        <v>2.7709796012137587E-3</v>
      </c>
      <c r="Q48" s="491">
        <f t="shared" ref="Q48" si="47">Q42/Q8</f>
        <v>2.7709796012137587E-3</v>
      </c>
      <c r="R48" s="931">
        <f t="shared" ref="R48" si="48">R42/R8</f>
        <v>2.7709796012137583E-3</v>
      </c>
      <c r="S48" s="270"/>
    </row>
    <row r="49" spans="1:23">
      <c r="A49" s="246"/>
      <c r="B49" s="943"/>
      <c r="C49" s="508" t="s">
        <v>106</v>
      </c>
      <c r="D49" s="532" t="s">
        <v>105</v>
      </c>
      <c r="E49" s="532"/>
      <c r="F49" s="533">
        <f>F43/F9</f>
        <v>7.1516553410253415E-4</v>
      </c>
      <c r="G49" s="533">
        <f t="shared" ref="G49" si="49">G43/G9</f>
        <v>9.5599139740290312E-4</v>
      </c>
      <c r="H49" s="533">
        <f t="shared" ref="H49:I49" si="50">H43/H9</f>
        <v>9.5599139740290312E-4</v>
      </c>
      <c r="I49" s="533">
        <f t="shared" si="50"/>
        <v>9.5599139740290312E-4</v>
      </c>
      <c r="J49" s="533">
        <f t="shared" ref="J49:M49" si="51">J43/J9</f>
        <v>9.5599139740290323E-4</v>
      </c>
      <c r="K49" s="533">
        <f t="shared" si="51"/>
        <v>9.5599139740290323E-4</v>
      </c>
      <c r="L49" s="533">
        <f t="shared" si="51"/>
        <v>9.6593093624004831E-4</v>
      </c>
      <c r="M49" s="533">
        <f t="shared" si="51"/>
        <v>8.8664966042634251E-4</v>
      </c>
      <c r="N49" s="533">
        <f t="shared" ref="N49:P49" si="52">N43/N9</f>
        <v>6.177711025588152E-4</v>
      </c>
      <c r="O49" s="533">
        <f t="shared" si="52"/>
        <v>1.0879143255961325E-3</v>
      </c>
      <c r="P49" s="533">
        <f t="shared" si="52"/>
        <v>1.2103055288659522E-3</v>
      </c>
      <c r="Q49" s="533">
        <f t="shared" ref="Q49" si="53">Q43/Q9</f>
        <v>8.9599048220359925E-4</v>
      </c>
      <c r="R49" s="932">
        <f t="shared" ref="R49" si="54">R43/R9</f>
        <v>9.206678482836804E-4</v>
      </c>
    </row>
    <row r="50" spans="1:23">
      <c r="A50" s="452" t="s">
        <v>210</v>
      </c>
      <c r="B50" s="943"/>
      <c r="C50" s="933" t="s">
        <v>211</v>
      </c>
      <c r="D50" s="225" t="s">
        <v>48</v>
      </c>
      <c r="E50" s="490"/>
      <c r="F50" s="535">
        <f>F43/F9*1000000</f>
        <v>715.16553410253414</v>
      </c>
      <c r="G50" s="535">
        <f t="shared" ref="G50" si="55">G43/G9*1000000</f>
        <v>955.99139740290309</v>
      </c>
      <c r="H50" s="535">
        <f t="shared" ref="H50:I50" si="56">H43/H9*1000000</f>
        <v>955.99139740290309</v>
      </c>
      <c r="I50" s="535">
        <f t="shared" si="56"/>
        <v>955.99139740290309</v>
      </c>
      <c r="J50" s="535">
        <f t="shared" ref="J50:M50" si="57">J43/J9*1000000</f>
        <v>955.9913974029032</v>
      </c>
      <c r="K50" s="535">
        <f t="shared" si="57"/>
        <v>955.9913974029032</v>
      </c>
      <c r="L50" s="535">
        <f t="shared" si="57"/>
        <v>965.93093624004837</v>
      </c>
      <c r="M50" s="535">
        <f t="shared" si="57"/>
        <v>886.64966042634251</v>
      </c>
      <c r="N50" s="535">
        <f t="shared" ref="N50:P50" si="58">N43/N9*1000000</f>
        <v>617.77110255881519</v>
      </c>
      <c r="O50" s="535">
        <f t="shared" si="58"/>
        <v>1087.9143255961324</v>
      </c>
      <c r="P50" s="535">
        <f t="shared" si="58"/>
        <v>1210.3055288659523</v>
      </c>
      <c r="Q50" s="535">
        <f t="shared" ref="Q50" si="59">Q43/Q9*1000000</f>
        <v>895.9904822035993</v>
      </c>
      <c r="R50" s="934">
        <f>SUM($R$27:$R$29)/$R$9*1000000</f>
        <v>920.66784828368066</v>
      </c>
    </row>
    <row r="51" spans="1:23">
      <c r="A51" s="246"/>
      <c r="B51" s="943"/>
      <c r="C51" s="933" t="s">
        <v>212</v>
      </c>
      <c r="D51" s="225" t="s">
        <v>48</v>
      </c>
      <c r="E51" s="490"/>
      <c r="F51" s="535">
        <f>SUM(F39:F42)/SUM(F5:F8)*1000000</f>
        <v>5720.5978906864393</v>
      </c>
      <c r="G51" s="535">
        <f t="shared" ref="G51" si="60">SUM(G39:G42)/SUM(G5:G8)*1000000</f>
        <v>5710.216715923737</v>
      </c>
      <c r="H51" s="535">
        <f t="shared" ref="H51:I51" si="61">SUM(H39:H42)/SUM(H5:H8)*1000000</f>
        <v>5781.2640450553181</v>
      </c>
      <c r="I51" s="535">
        <f t="shared" si="61"/>
        <v>5782.5626732012552</v>
      </c>
      <c r="J51" s="535">
        <f t="shared" ref="J51:M51" si="62">SUM(J39:J42)/SUM(J5:J8)*1000000</f>
        <v>5623.2094933803828</v>
      </c>
      <c r="K51" s="535">
        <f t="shared" si="62"/>
        <v>5708.1008454586854</v>
      </c>
      <c r="L51" s="535">
        <f t="shared" si="62"/>
        <v>5718.3579816376732</v>
      </c>
      <c r="M51" s="535">
        <f t="shared" si="62"/>
        <v>5721.134123855345</v>
      </c>
      <c r="N51" s="535">
        <f t="shared" ref="N51:P51" si="63">SUM(N39:N42)/SUM(N5:N8)*1000000</f>
        <v>5695.3885865523616</v>
      </c>
      <c r="O51" s="535">
        <f t="shared" si="63"/>
        <v>5717.7146513406597</v>
      </c>
      <c r="P51" s="535">
        <f t="shared" si="63"/>
        <v>5609.9244686027596</v>
      </c>
      <c r="Q51" s="535">
        <f t="shared" ref="Q51" si="64">SUM(Q39:Q42)/SUM(Q5:Q8)*1000000</f>
        <v>5644.2000043128137</v>
      </c>
      <c r="R51" s="934">
        <f>SUM($R$39:$R$42)/SUM($R$5:$R$8)*1000000</f>
        <v>5703.3807199254734</v>
      </c>
    </row>
    <row r="52" spans="1:23">
      <c r="A52" s="452" t="s">
        <v>213</v>
      </c>
      <c r="B52" s="943"/>
      <c r="C52" s="933" t="s">
        <v>214</v>
      </c>
      <c r="D52" s="225" t="s">
        <v>48</v>
      </c>
      <c r="E52" s="490"/>
      <c r="F52" s="534"/>
      <c r="G52" s="534"/>
      <c r="H52" s="534"/>
      <c r="I52" s="534"/>
      <c r="J52" s="534"/>
      <c r="K52" s="580">
        <f>SUM(F27:K29)/SUM(F9:K9)*1000000</f>
        <v>919.47651570014739</v>
      </c>
      <c r="L52" s="534"/>
      <c r="M52" s="534"/>
      <c r="N52" s="534"/>
      <c r="O52" s="534"/>
      <c r="P52" s="534"/>
      <c r="Q52" s="580">
        <f>SUM(L27:Q29)/SUM(L9:Q9)*1000000</f>
        <v>921.91131376995315</v>
      </c>
      <c r="R52" s="934">
        <f>SUM($R$27:$R$29)/$R$9*1000000</f>
        <v>920.66784828368066</v>
      </c>
      <c r="S52" s="527"/>
      <c r="T52" s="527"/>
      <c r="U52" s="527"/>
      <c r="V52" s="527"/>
      <c r="W52" s="527"/>
    </row>
    <row r="53" spans="1:23" ht="13.5" thickBot="1">
      <c r="A53" s="249"/>
      <c r="B53" s="944"/>
      <c r="C53" s="935" t="s">
        <v>212</v>
      </c>
      <c r="D53" s="936" t="s">
        <v>48</v>
      </c>
      <c r="E53" s="937"/>
      <c r="F53" s="938"/>
      <c r="G53" s="938"/>
      <c r="H53" s="938"/>
      <c r="I53" s="938"/>
      <c r="J53" s="938"/>
      <c r="K53" s="939">
        <f>SUM(F39:K42)/SUM(F5:K8)*1000000</f>
        <v>5719.4759573805231</v>
      </c>
      <c r="L53" s="938"/>
      <c r="M53" s="938"/>
      <c r="N53" s="938"/>
      <c r="O53" s="938"/>
      <c r="P53" s="938"/>
      <c r="Q53" s="939">
        <f>SUM(L39:Q42)/SUM(L5:Q8)*1000000</f>
        <v>5687.0214022619784</v>
      </c>
      <c r="R53" s="940">
        <f>SUM($R$39:$R$42)/SUM($R$5:$R$8)*1000000</f>
        <v>5703.3807199254734</v>
      </c>
      <c r="S53" s="527"/>
      <c r="T53" s="527"/>
      <c r="U53" s="527"/>
      <c r="V53" s="527"/>
      <c r="W53" s="527"/>
    </row>
    <row r="54" spans="1:23">
      <c r="Q54" s="527"/>
      <c r="R54" s="527"/>
      <c r="S54" s="527"/>
      <c r="T54" s="527"/>
      <c r="U54" s="527"/>
      <c r="V54" s="527"/>
      <c r="W54" s="527"/>
    </row>
    <row r="55" spans="1:23">
      <c r="Q55" s="527"/>
      <c r="R55" s="527"/>
      <c r="S55" s="527"/>
      <c r="T55" s="527"/>
      <c r="U55" s="527"/>
      <c r="V55" s="527"/>
      <c r="W55" s="527"/>
    </row>
    <row r="56" spans="1:23">
      <c r="Q56" s="527"/>
      <c r="R56" s="527"/>
      <c r="S56" s="527"/>
      <c r="T56" s="527"/>
      <c r="U56" s="527"/>
      <c r="V56" s="527"/>
      <c r="W56" s="527"/>
    </row>
    <row r="57" spans="1:23">
      <c r="Q57" s="527"/>
      <c r="R57" s="527"/>
      <c r="S57" s="527"/>
      <c r="T57" s="527"/>
      <c r="U57" s="527"/>
      <c r="V57" s="527"/>
      <c r="W57" s="527"/>
    </row>
    <row r="58" spans="1:23">
      <c r="Q58" s="527"/>
      <c r="R58" s="527"/>
      <c r="S58" s="527"/>
      <c r="T58" s="527"/>
      <c r="U58" s="527"/>
      <c r="V58" s="527"/>
      <c r="W58" s="527"/>
    </row>
    <row r="59" spans="1:23">
      <c r="Q59" s="527"/>
      <c r="R59" s="527"/>
      <c r="S59" s="527"/>
      <c r="T59" s="527"/>
      <c r="U59" s="527"/>
      <c r="V59" s="527"/>
      <c r="W59" s="527"/>
    </row>
    <row r="60" spans="1:23">
      <c r="Q60" s="527"/>
      <c r="R60" s="527"/>
      <c r="S60" s="527"/>
      <c r="T60" s="527"/>
      <c r="U60" s="527"/>
      <c r="V60" s="527"/>
      <c r="W60" s="527"/>
    </row>
    <row r="61" spans="1:23">
      <c r="Q61" s="527"/>
      <c r="R61" s="527"/>
      <c r="S61" s="527"/>
      <c r="T61" s="527"/>
      <c r="U61" s="527"/>
      <c r="V61" s="527"/>
      <c r="W61" s="527"/>
    </row>
    <row r="62" spans="1:23">
      <c r="Q62" s="527"/>
      <c r="R62" s="527"/>
      <c r="S62" s="527"/>
      <c r="T62" s="527"/>
      <c r="U62" s="527"/>
      <c r="V62" s="527"/>
      <c r="W62" s="527"/>
    </row>
  </sheetData>
  <sheetProtection formatCells="0"/>
  <mergeCells count="1">
    <mergeCell ref="A30:B36"/>
  </mergeCells>
  <printOptions horizontalCentered="1" gridLinesSet="0"/>
  <pageMargins left="0.39370078740157483" right="0.39370078740157483" top="0.78740157480314965" bottom="0.39370078740157483" header="0.51181102362204722" footer="0.51181102362204722"/>
  <pageSetup paperSize="9" scale="37" orientation="landscape" r:id="rId1"/>
  <headerFooter alignWithMargins="0">
    <oddFooter>&amp;L&amp;A&amp;R&amp;F</oddFooter>
  </headerFooter>
  <ignoredErrors>
    <ignoredError sqref="G49:G50 Q52:Q53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indexed="42"/>
    <pageSetUpPr fitToPage="1"/>
  </sheetPr>
  <dimension ref="A2:W67"/>
  <sheetViews>
    <sheetView showGridLines="0" topLeftCell="A16" zoomScaleNormal="100" workbookViewId="0">
      <selection activeCell="U57" sqref="U57"/>
    </sheetView>
  </sheetViews>
  <sheetFormatPr defaultColWidth="11.42578125" defaultRowHeight="12.75"/>
  <cols>
    <col min="1" max="1" width="10.7109375" style="1" customWidth="1"/>
    <col min="2" max="2" width="6.7109375" style="1" customWidth="1"/>
    <col min="3" max="3" width="15.42578125" style="1" customWidth="1"/>
    <col min="4" max="4" width="4" style="448" bestFit="1" customWidth="1"/>
    <col min="5" max="6" width="12.7109375" style="448" bestFit="1" customWidth="1"/>
    <col min="7" max="18" width="11.7109375" style="1" bestFit="1" customWidth="1"/>
    <col min="19" max="19" width="16.42578125" style="1" bestFit="1" customWidth="1"/>
    <col min="20" max="20" width="13.42578125" style="1" bestFit="1" customWidth="1"/>
    <col min="21" max="16384" width="11.42578125" style="1"/>
  </cols>
  <sheetData>
    <row r="2" spans="1:19" ht="18">
      <c r="A2" s="240" t="s">
        <v>188</v>
      </c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447"/>
      <c r="N2" s="447"/>
      <c r="O2" s="447"/>
      <c r="P2" s="447"/>
      <c r="Q2" s="447"/>
      <c r="R2" s="447"/>
      <c r="S2" s="447"/>
    </row>
    <row r="3" spans="1:19" ht="18">
      <c r="A3" s="202" t="s">
        <v>253</v>
      </c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O3" s="979" t="s">
        <v>191</v>
      </c>
      <c r="P3" s="979"/>
      <c r="Q3" s="979"/>
      <c r="R3" s="979"/>
    </row>
    <row r="4" spans="1:19">
      <c r="A4" s="233" t="s">
        <v>107</v>
      </c>
      <c r="B4" s="233"/>
      <c r="C4" s="233"/>
      <c r="D4" s="225" t="s">
        <v>179</v>
      </c>
      <c r="E4" s="225" t="s">
        <v>250</v>
      </c>
      <c r="F4" s="225" t="s">
        <v>313</v>
      </c>
      <c r="G4" s="234">
        <f>'Prod &amp; Defects - Qty'!F4</f>
        <v>44652</v>
      </c>
      <c r="H4" s="234">
        <f>'Prod &amp; Defects - Qty'!G4</f>
        <v>44682</v>
      </c>
      <c r="I4" s="234">
        <f>'Prod &amp; Defects - Qty'!H4</f>
        <v>44713</v>
      </c>
      <c r="J4" s="234">
        <f>'Prod &amp; Defects - Qty'!I4</f>
        <v>44743</v>
      </c>
      <c r="K4" s="234">
        <f>'Prod &amp; Defects - Qty'!J4</f>
        <v>44774</v>
      </c>
      <c r="L4" s="234">
        <f>'Prod &amp; Defects - Qty'!K4</f>
        <v>44805</v>
      </c>
      <c r="M4" s="234">
        <f>'Prod &amp; Defects - Qty'!L4</f>
        <v>44835</v>
      </c>
      <c r="N4" s="234">
        <f>'Prod &amp; Defects - Qty'!M4</f>
        <v>44866</v>
      </c>
      <c r="O4" s="234">
        <f>'Prod &amp; Defects - Qty'!N4</f>
        <v>44896</v>
      </c>
      <c r="P4" s="234">
        <f>'Prod &amp; Defects - Qty'!O4</f>
        <v>44927</v>
      </c>
      <c r="Q4" s="234">
        <f>'Prod &amp; Defects - Qty'!P4</f>
        <v>44958</v>
      </c>
      <c r="R4" s="234">
        <f>'Prod &amp; Defects - Qty'!Q4</f>
        <v>44986</v>
      </c>
      <c r="S4" s="226" t="s">
        <v>1</v>
      </c>
    </row>
    <row r="5" spans="1:19">
      <c r="A5" s="233" t="s">
        <v>98</v>
      </c>
      <c r="B5" s="233"/>
      <c r="C5" s="233"/>
      <c r="D5" s="225" t="s">
        <v>81</v>
      </c>
      <c r="E5" s="492">
        <v>15765317.869210012</v>
      </c>
      <c r="F5" s="492">
        <f>'[3]Prod &amp; Defects - Costs'!S5</f>
        <v>12300713.617029399</v>
      </c>
      <c r="G5" s="924">
        <f>'Prod &amp; Defects - Qty'!F5*Custo_UM_1</f>
        <v>1241429643.1333854</v>
      </c>
      <c r="H5" s="924">
        <f>'Prod &amp; Defects - Qty'!G5*Custo_UM_1</f>
        <v>677431581.1459527</v>
      </c>
      <c r="I5" s="924">
        <f>'Prod &amp; Defects - Qty'!H5*Custo_UM_1</f>
        <v>674322990.85923791</v>
      </c>
      <c r="J5" s="924">
        <f>'Prod &amp; Defects - Qty'!I5*Custo_UM_1</f>
        <v>681452898.97615719</v>
      </c>
      <c r="K5" s="924">
        <f>'Prod &amp; Defects - Qty'!J5*Custo_UM_1</f>
        <v>1230986634.8328638</v>
      </c>
      <c r="L5" s="924">
        <f>'Prod &amp; Defects - Qty'!K5*Custo_UM_1</f>
        <v>1426489169.3430214</v>
      </c>
      <c r="M5" s="924">
        <f>'Prod &amp; Defects - Qty'!L5*Custo_UM_1</f>
        <v>1436644718.8669763</v>
      </c>
      <c r="N5" s="924">
        <f>'Prod &amp; Defects - Qty'!M5*Custo_UM_1</f>
        <v>1438289400.6582077</v>
      </c>
      <c r="O5" s="924">
        <f>'Prod &amp; Defects - Qty'!N5*Custo_UM_1</f>
        <v>1153166340.2469392</v>
      </c>
      <c r="P5" s="924">
        <f>'Prod &amp; Defects - Qty'!O5*Custo_UM_1</f>
        <v>1068692082.6183958</v>
      </c>
      <c r="Q5" s="924">
        <f>'Prod &amp; Defects - Qty'!P5*Custo_UM_1</f>
        <v>1081307217.061003</v>
      </c>
      <c r="R5" s="924">
        <f>'Prod &amp; Defects - Qty'!Q5*Custo_UM_1</f>
        <v>1331224942.4918318</v>
      </c>
      <c r="S5" s="925">
        <f>SUM(G5:R5)</f>
        <v>13441437620.233971</v>
      </c>
    </row>
    <row r="6" spans="1:19">
      <c r="A6" s="233" t="s">
        <v>170</v>
      </c>
      <c r="B6" s="233"/>
      <c r="C6" s="233"/>
      <c r="D6" s="225" t="s">
        <v>81</v>
      </c>
      <c r="E6" s="492">
        <v>6386001.4194882</v>
      </c>
      <c r="F6" s="492">
        <f>'[3]Prod &amp; Defects - Costs'!S6</f>
        <v>6638593.5580122992</v>
      </c>
      <c r="G6" s="924">
        <f>'Prod &amp; Defects - Qty'!F6*Custo_UM_3</f>
        <v>701278115.77653301</v>
      </c>
      <c r="H6" s="924">
        <f>'Prod &amp; Defects - Qty'!G6*Custo_UM_3</f>
        <v>733934021.14574027</v>
      </c>
      <c r="I6" s="924">
        <f>'Prod &amp; Defects - Qty'!H6*Custo_UM_3</f>
        <v>706326755.84269428</v>
      </c>
      <c r="J6" s="924">
        <f>'Prod &amp; Defects - Qty'!I6*Custo_UM_3</f>
        <v>710893194.57043862</v>
      </c>
      <c r="K6" s="924">
        <f>'Prod &amp; Defects - Qty'!J6*Custo_UM_3</f>
        <v>719577714.55765295</v>
      </c>
      <c r="L6" s="924">
        <f>'Prod &amp; Defects - Qty'!K6*Custo_UM_3</f>
        <v>818146578.7143786</v>
      </c>
      <c r="M6" s="924">
        <f>'Prod &amp; Defects - Qty'!L6*Custo_UM_3</f>
        <v>808083268.83561647</v>
      </c>
      <c r="N6" s="924">
        <f>'Prod &amp; Defects - Qty'!M6*Custo_UM_3</f>
        <v>808507132.28299713</v>
      </c>
      <c r="O6" s="924">
        <f>'Prod &amp; Defects - Qty'!N6*Custo_UM_3</f>
        <v>769271188.97905135</v>
      </c>
      <c r="P6" s="924">
        <f>'Prod &amp; Defects - Qty'!O6*Custo_UM_3</f>
        <v>596592279.95435309</v>
      </c>
      <c r="Q6" s="924">
        <f>'Prod &amp; Defects - Qty'!P6*Custo_UM_3</f>
        <v>572620442.31062353</v>
      </c>
      <c r="R6" s="924">
        <f>'Prod &amp; Defects - Qty'!Q6*Custo_UM_3</f>
        <v>726018597.80280972</v>
      </c>
      <c r="S6" s="925">
        <f t="shared" ref="S6:S10" si="0">SUM(G6:R6)</f>
        <v>8671249290.7728882</v>
      </c>
    </row>
    <row r="7" spans="1:19">
      <c r="A7" s="233" t="s">
        <v>171</v>
      </c>
      <c r="B7" s="233"/>
      <c r="C7" s="233"/>
      <c r="D7" s="225" t="s">
        <v>81</v>
      </c>
      <c r="E7" s="492">
        <v>20167287.7247613</v>
      </c>
      <c r="F7" s="492">
        <f>'[3]Prod &amp; Defects - Costs'!S7</f>
        <v>21742591.631734401</v>
      </c>
      <c r="G7" s="924">
        <f>'Prod &amp; Defects - Qty'!F7*Custo_UM_3</f>
        <v>2332276901.0942655</v>
      </c>
      <c r="H7" s="924">
        <f>'Prod &amp; Defects - Qty'!G7*Custo_UM_3</f>
        <v>2440882334.6070261</v>
      </c>
      <c r="I7" s="924">
        <f>'Prod &amp; Defects - Qty'!H7*Custo_UM_3</f>
        <v>2349067424.4876966</v>
      </c>
      <c r="J7" s="924">
        <f>'Prod &amp; Defects - Qty'!I7*Custo_UM_3</f>
        <v>2364254265.9495711</v>
      </c>
      <c r="K7" s="924">
        <f>'Prod &amp; Defects - Qty'!J7*Custo_UM_3</f>
        <v>2393136823.2511678</v>
      </c>
      <c r="L7" s="924">
        <f>'Prod &amp; Defects - Qty'!K7*Custo_UM_3</f>
        <v>2720952392.9488907</v>
      </c>
      <c r="M7" s="924">
        <f>'Prod &amp; Defects - Qty'!L7*Custo_UM_3</f>
        <v>2687484322.7913017</v>
      </c>
      <c r="N7" s="924">
        <f>'Prod &amp; Defects - Qty'!M7*Custo_UM_3</f>
        <v>2688893987.3812904</v>
      </c>
      <c r="O7" s="924">
        <f>'Prod &amp; Defects - Qty'!N7*Custo_UM_3</f>
        <v>2558404981.3767214</v>
      </c>
      <c r="P7" s="924">
        <f>'Prod &amp; Defects - Qty'!O7*Custo_UM_3</f>
        <v>1984117802.3471732</v>
      </c>
      <c r="Q7" s="924">
        <f>'Prod &amp; Defects - Qty'!P7*Custo_UM_3</f>
        <v>1904393422.0257599</v>
      </c>
      <c r="R7" s="924">
        <f>'Prod &amp; Defects - Qty'!Q7*Custo_UM_3</f>
        <v>2414557601.7944856</v>
      </c>
      <c r="S7" s="925">
        <f t="shared" si="0"/>
        <v>28838422260.055351</v>
      </c>
    </row>
    <row r="8" spans="1:19">
      <c r="A8" s="233" t="s">
        <v>119</v>
      </c>
      <c r="B8" s="233"/>
      <c r="C8" s="233"/>
      <c r="D8" s="225" t="s">
        <v>81</v>
      </c>
      <c r="E8" s="492">
        <v>9132011.4090231992</v>
      </c>
      <c r="F8" s="492">
        <f>'[3]Prod &amp; Defects - Costs'!S8</f>
        <v>10427614.7213146</v>
      </c>
      <c r="G8" s="924">
        <f>'Prod &amp; Defects - Qty'!F8*Custo_UM_4</f>
        <v>1577157759.0790725</v>
      </c>
      <c r="H8" s="924">
        <f>'Prod &amp; Defects - Qty'!G8*Custo_UM_4</f>
        <v>1800758163.7501507</v>
      </c>
      <c r="I8" s="924">
        <f>'Prod &amp; Defects - Qty'!H8*Custo_UM_4</f>
        <v>1631038212.4157882</v>
      </c>
      <c r="J8" s="924">
        <f>'Prod &amp; Defects - Qty'!I8*Custo_UM_4</f>
        <v>1639239051.397301</v>
      </c>
      <c r="K8" s="924">
        <f>'Prod &amp; Defects - Qty'!J8*Custo_UM_4</f>
        <v>1769674369.8865988</v>
      </c>
      <c r="L8" s="924">
        <f>'Prod &amp; Defects - Qty'!K8*Custo_UM_4</f>
        <v>1864857314.6062033</v>
      </c>
      <c r="M8" s="924">
        <f>'Prod &amp; Defects - Qty'!L8*Custo_UM_4</f>
        <v>1819574234.113245</v>
      </c>
      <c r="N8" s="924">
        <f>'Prod &amp; Defects - Qty'!M8*Custo_UM_4</f>
        <v>1815934519.024605</v>
      </c>
      <c r="O8" s="924">
        <f>'Prod &amp; Defects - Qty'!N8*Custo_UM_4</f>
        <v>1813787485.7807324</v>
      </c>
      <c r="P8" s="924">
        <f>'Prod &amp; Defects - Qty'!O8*Custo_UM_4</f>
        <v>1342361604.6503055</v>
      </c>
      <c r="Q8" s="924">
        <f>'Prod &amp; Defects - Qty'!P8*Custo_UM_4</f>
        <v>1402053828.2386484</v>
      </c>
      <c r="R8" s="924">
        <f>'Prod &amp; Defects - Qty'!Q8*Custo_UM_4</f>
        <v>1734341536.2361963</v>
      </c>
      <c r="S8" s="925">
        <f t="shared" si="0"/>
        <v>20210778079.178844</v>
      </c>
    </row>
    <row r="9" spans="1:19">
      <c r="A9" s="233" t="s">
        <v>106</v>
      </c>
      <c r="B9" s="233"/>
      <c r="C9" s="233"/>
      <c r="D9" s="225" t="s">
        <v>81</v>
      </c>
      <c r="E9" s="492">
        <v>13910109.259911535</v>
      </c>
      <c r="F9" s="492">
        <f>'[3]Prod &amp; Defects - Costs'!S9</f>
        <v>11583881.500655852</v>
      </c>
      <c r="G9" s="924">
        <f>'Prod &amp; Defects - Qty'!F9*Custo_LR6</f>
        <v>1341366161.1626809</v>
      </c>
      <c r="H9" s="924">
        <f>'Prod &amp; Defects - Qty'!G9*Custo_LR6</f>
        <v>1490377963.2978101</v>
      </c>
      <c r="I9" s="924">
        <f>'Prod &amp; Defects - Qty'!H9*Custo_LR6</f>
        <v>1447451597.0817735</v>
      </c>
      <c r="J9" s="924">
        <f>'Prod &amp; Defects - Qty'!I9*Custo_LR6</f>
        <v>1474329918.9510722</v>
      </c>
      <c r="K9" s="924">
        <f>'Prod &amp; Defects - Qty'!J9*Custo_LR6</f>
        <v>1469850198.6395226</v>
      </c>
      <c r="L9" s="924">
        <f>'Prod &amp; Defects - Qty'!K9*Custo_LR6</f>
        <v>1623309367.0121615</v>
      </c>
      <c r="M9" s="924">
        <f>'Prod &amp; Defects - Qty'!L9*Custo_LR6</f>
        <v>1657484301.0545228</v>
      </c>
      <c r="N9" s="924">
        <f>'Prod &amp; Defects - Qty'!M9*Custo_LR6</f>
        <v>1674571768.0757034</v>
      </c>
      <c r="O9" s="924">
        <f>'Prod &amp; Defects - Qty'!N9*Custo_LR6</f>
        <v>1552973635.8944676</v>
      </c>
      <c r="P9" s="924">
        <f>'Prod &amp; Defects - Qty'!O9*Custo_LR6</f>
        <v>1003459706.5214776</v>
      </c>
      <c r="Q9" s="924">
        <f>'Prod &amp; Defects - Qty'!P9*Custo_LR6</f>
        <v>1141833813.1969759</v>
      </c>
      <c r="R9" s="924">
        <f>'Prod &amp; Defects - Qty'!Q9*Custo_LR6</f>
        <v>1445460348.4172721</v>
      </c>
      <c r="S9" s="925">
        <f t="shared" si="0"/>
        <v>17322468779.305439</v>
      </c>
    </row>
    <row r="10" spans="1:19">
      <c r="A10" s="233" t="s">
        <v>1</v>
      </c>
      <c r="B10" s="233"/>
      <c r="C10" s="233"/>
      <c r="D10" s="225" t="s">
        <v>81</v>
      </c>
      <c r="E10" s="492">
        <v>65360727.682394259</v>
      </c>
      <c r="F10" s="492">
        <f>'[3]Prod &amp; Defects - Costs'!S10</f>
        <v>62693395.028746553</v>
      </c>
      <c r="G10" s="924">
        <f>SUM(G5:G9)</f>
        <v>7193508580.2459364</v>
      </c>
      <c r="H10" s="924">
        <f t="shared" ref="H10:R10" si="1">SUM(H5:H9)</f>
        <v>7143384063.9466801</v>
      </c>
      <c r="I10" s="924">
        <f t="shared" si="1"/>
        <v>6808206980.687191</v>
      </c>
      <c r="J10" s="924">
        <f t="shared" si="1"/>
        <v>6870169329.8445396</v>
      </c>
      <c r="K10" s="924">
        <f t="shared" si="1"/>
        <v>7583225741.1678057</v>
      </c>
      <c r="L10" s="924">
        <f t="shared" si="1"/>
        <v>8453754822.6246548</v>
      </c>
      <c r="M10" s="924">
        <f t="shared" si="1"/>
        <v>8409270845.6616621</v>
      </c>
      <c r="N10" s="924">
        <f t="shared" si="1"/>
        <v>8426196807.4228039</v>
      </c>
      <c r="O10" s="924">
        <f t="shared" si="1"/>
        <v>7847603632.2779112</v>
      </c>
      <c r="P10" s="924">
        <f t="shared" si="1"/>
        <v>5995223476.0917053</v>
      </c>
      <c r="Q10" s="924">
        <f t="shared" si="1"/>
        <v>6102208722.8330107</v>
      </c>
      <c r="R10" s="924">
        <f t="shared" si="1"/>
        <v>7651603026.7425957</v>
      </c>
      <c r="S10" s="925">
        <f t="shared" si="0"/>
        <v>88484356029.546494</v>
      </c>
    </row>
    <row r="11" spans="1:19" ht="13.5" thickBot="1">
      <c r="F11" s="697"/>
    </row>
    <row r="12" spans="1:19">
      <c r="A12" s="241" t="s">
        <v>182</v>
      </c>
      <c r="B12" s="449"/>
      <c r="C12" s="243" t="s">
        <v>168</v>
      </c>
      <c r="D12" s="244" t="s">
        <v>81</v>
      </c>
      <c r="E12" s="493">
        <v>64412.594918056522</v>
      </c>
      <c r="F12" s="493">
        <f>'[3]Prod &amp; Defects - Costs'!S12</f>
        <v>99666.244396077847</v>
      </c>
      <c r="G12" s="450">
        <f t="array" ref="G12">SUM(IF($C$15:$C$26=$C12,G$15:G$26))</f>
        <v>7766.391250884868</v>
      </c>
      <c r="H12" s="450">
        <f t="array" ref="H12">SUM(IF($C$15:$C$26=$C12,H$15:H$26))</f>
        <v>7330.4470847775829</v>
      </c>
      <c r="I12" s="450">
        <f t="array" ref="I12">SUM(IF($C$15:$C$26=$C12,I$15:I$26))</f>
        <v>7028.106904688555</v>
      </c>
      <c r="J12" s="450">
        <f t="array" ref="J12">SUM(IF($C$15:$C$26=$C12,J$15:J$26))</f>
        <v>7076.1385394201234</v>
      </c>
      <c r="K12" s="450">
        <f t="array" ref="K12">SUM(IF($C$15:$C$26=$C12,K$15:K$26))</f>
        <v>7994.8478403317304</v>
      </c>
      <c r="L12" s="450">
        <f t="array" ref="L12">SUM(IF($C$15:$C$26=$C12,L$15:L$26))</f>
        <v>9043.8892376005897</v>
      </c>
      <c r="M12" s="450">
        <f t="array" ref="M12">SUM(IF($C$15:$C$26=$C12,M$15:M$26))</f>
        <v>8959.21711055778</v>
      </c>
      <c r="N12" s="450">
        <f t="array" ref="N12">SUM(IF($C$15:$C$26=$C12,N$15:N$26))</f>
        <v>8962.5522230681236</v>
      </c>
      <c r="O12" s="451">
        <f t="array" ref="O12">SUM(IF($C$15:$C$26=$C12,O$15:O$26))</f>
        <v>8270.8678565682003</v>
      </c>
      <c r="P12" s="451">
        <f t="array" ref="P12">SUM(IF($C$15:$C$26=$C12,P$15:P$26))</f>
        <v>6625.2791765767743</v>
      </c>
      <c r="Q12" s="451">
        <f t="array" ref="Q12">SUM(IF($C$15:$C$26=$C12,Q$15:Q$26))</f>
        <v>6503.0742229724674</v>
      </c>
      <c r="R12" s="451">
        <f t="array" ref="R12">SUM(IF($C$15:$C$26=$C12,R$15:R$26))</f>
        <v>8163.8877485077928</v>
      </c>
      <c r="S12" s="264">
        <f t="array" ref="S12">SUM(IF($C$15:$C$26=$C12,S$15:S$26))</f>
        <v>93724.699195954585</v>
      </c>
    </row>
    <row r="13" spans="1:19">
      <c r="A13" s="452"/>
      <c r="B13" s="117"/>
      <c r="C13" s="184" t="s">
        <v>169</v>
      </c>
      <c r="D13" s="236" t="s">
        <v>81</v>
      </c>
      <c r="E13" s="494">
        <v>27017.94016948052</v>
      </c>
      <c r="F13" s="494">
        <f>'[3]Prod &amp; Defects - Costs'!S13</f>
        <v>38909.335096413422</v>
      </c>
      <c r="G13" s="453">
        <f t="array" ref="G13">SUM(IF($C$15:$C$26=$C13,G$15:G$26))</f>
        <v>2602.8228911576684</v>
      </c>
      <c r="H13" s="453">
        <f t="array" ref="H13">SUM(IF($C$15:$C$26=$C13,H$15:H$26))</f>
        <v>2311.082146937209</v>
      </c>
      <c r="I13" s="453">
        <f t="array" ref="I13">SUM(IF($C$15:$C$26=$C13,I$15:I$26))</f>
        <v>2237.7527540027968</v>
      </c>
      <c r="J13" s="453">
        <f t="array" ref="J13">SUM(IF($C$15:$C$26=$C13,J$15:J$26))</f>
        <v>2254.0379908999148</v>
      </c>
      <c r="K13" s="453">
        <f t="array" ref="K13">SUM(IF($C$15:$C$26=$C13,K$15:K$26))</f>
        <v>2644.1266225425056</v>
      </c>
      <c r="L13" s="453">
        <f t="array" ref="L13">SUM(IF($C$15:$C$26=$C13,L$15:L$26))</f>
        <v>3022.3452705591926</v>
      </c>
      <c r="M13" s="453">
        <f t="array" ref="M13">SUM(IF($C$15:$C$26=$C13,M$15:M$26))</f>
        <v>3003.3632825386035</v>
      </c>
      <c r="N13" s="453">
        <f t="array" ref="N13">SUM(IF($C$15:$C$26=$C13,N$15:N$26))</f>
        <v>3005.4735213282202</v>
      </c>
      <c r="O13" s="454">
        <f t="array" ref="O13">SUM(IF($C$15:$C$26=$C13,O$15:O$26))</f>
        <v>2717.0649883023398</v>
      </c>
      <c r="P13" s="454">
        <f t="array" ref="P13">SUM(IF($C$15:$C$26=$C13,P$15:P$26))</f>
        <v>2222.6801885307282</v>
      </c>
      <c r="Q13" s="454">
        <f t="array" ref="Q13">SUM(IF($C$15:$C$26=$C13,Q$15:Q$26))</f>
        <v>2171.9165203107036</v>
      </c>
      <c r="R13" s="454">
        <f t="array" ref="R13">SUM(IF($C$15:$C$26=$C13,R$15:R$26))</f>
        <v>2726.6602137264085</v>
      </c>
      <c r="S13" s="256">
        <f t="array" ref="S13">SUM(IF($C$15:$C$26=$C13,S$15:S$26))</f>
        <v>30919.32639083629</v>
      </c>
    </row>
    <row r="14" spans="1:19">
      <c r="A14" s="455"/>
      <c r="B14" s="456"/>
      <c r="C14" s="187" t="s">
        <v>104</v>
      </c>
      <c r="D14" s="237" t="s">
        <v>81</v>
      </c>
      <c r="E14" s="495">
        <v>40453.513161748109</v>
      </c>
      <c r="F14" s="495">
        <f>'[3]Prod &amp; Defects - Costs'!S14</f>
        <v>58719.100773316954</v>
      </c>
      <c r="G14" s="457">
        <f t="array" ref="G14">SUM(IF($C$15:$C$26=$C14,G$15:G$26))</f>
        <v>4685.4097295974643</v>
      </c>
      <c r="H14" s="457">
        <f t="array" ref="H14">SUM(IF($C$15:$C$26=$C14,H$15:H$26))</f>
        <v>4844.300349884702</v>
      </c>
      <c r="I14" s="457">
        <f t="array" ref="I14">SUM(IF($C$15:$C$26=$C14,I$15:I$26))</f>
        <v>4559.6779403030969</v>
      </c>
      <c r="J14" s="457">
        <f t="array" ref="J14">SUM(IF($C$15:$C$26=$C14,J$15:J$26))</f>
        <v>4587.6078133886895</v>
      </c>
      <c r="K14" s="457">
        <f t="array" ref="K14">SUM(IF($C$15:$C$26=$C14,K$15:K$26))</f>
        <v>3114.1650327651096</v>
      </c>
      <c r="L14" s="457">
        <f t="array" ref="L14">SUM(IF($C$15:$C$26=$C14,L$15:L$26))</f>
        <v>3544.2328920879422</v>
      </c>
      <c r="M14" s="457">
        <f t="array" ref="M14">SUM(IF($C$15:$C$26=$C14,M$15:M$26))</f>
        <v>3509.5938825649778</v>
      </c>
      <c r="N14" s="457">
        <f t="array" ref="N14">SUM(IF($C$15:$C$26=$C14,N$15:N$26))</f>
        <v>3511.5621822701173</v>
      </c>
      <c r="O14" s="458">
        <f t="array" ref="O14">SUM(IF($C$15:$C$26=$C14,O$15:O$26))</f>
        <v>3267.902172594203</v>
      </c>
      <c r="P14" s="458">
        <f t="array" ref="P14">SUM(IF($C$15:$C$26=$C14,P$15:P$26))</f>
        <v>2593.8940636852176</v>
      </c>
      <c r="Q14" s="458">
        <f t="array" ref="Q14">SUM(IF($C$15:$C$26=$C14,Q$15:Q$26))</f>
        <v>2514.1978560899497</v>
      </c>
      <c r="R14" s="458">
        <f t="array" ref="R14">SUM(IF($C$15:$C$26=$C14,R$15:R$26))</f>
        <v>3171.7453486419849</v>
      </c>
      <c r="S14" s="257">
        <f t="array" ref="S14">SUM(IF($C$15:$C$26=$C14,S$15:S$26))</f>
        <v>43904.289263873456</v>
      </c>
    </row>
    <row r="15" spans="1:19">
      <c r="A15" s="248" t="s">
        <v>98</v>
      </c>
      <c r="B15" s="459"/>
      <c r="C15" s="182" t="s">
        <v>168</v>
      </c>
      <c r="D15" s="235" t="s">
        <v>81</v>
      </c>
      <c r="E15" s="496">
        <v>21697.787747273909</v>
      </c>
      <c r="F15" s="496">
        <f>'[3]Prod &amp; Defects - Costs'!S15</f>
        <v>24889.151802359193</v>
      </c>
      <c r="G15" s="460">
        <f>'Falhas UM-1 - Cost'!F15+'Falhas UM-1 - Cost'!F22+'Falhas UM-1 - Cost'!F36</f>
        <v>1764.0444355289944</v>
      </c>
      <c r="H15" s="460">
        <f>'Falhas UM-1 - Cost'!G15+'Falhas UM-1 - Cost'!G22+'Falhas UM-1 - Cost'!G36</f>
        <v>962.61549559577202</v>
      </c>
      <c r="I15" s="460">
        <f>'Falhas UM-1 - Cost'!H15+'Falhas UM-1 - Cost'!H22+'Falhas UM-1 - Cost'!H36</f>
        <v>958.19825662620974</v>
      </c>
      <c r="J15" s="460">
        <f>'Falhas UM-1 - Cost'!I15+'Falhas UM-1 - Cost'!I22+'Falhas UM-1 - Cost'!I36</f>
        <v>968.3297004893825</v>
      </c>
      <c r="K15" s="460">
        <f>'Falhas UM-1 - Cost'!J15+'Falhas UM-1 - Cost'!J22+'Falhas UM-1 - Cost'!J36</f>
        <v>1749.2051485950838</v>
      </c>
      <c r="L15" s="460">
        <f>'Falhas UM-1 - Cost'!K15+'Falhas UM-1 - Cost'!K22+'Falhas UM-1 - Cost'!K36</f>
        <v>2027.0099843681278</v>
      </c>
      <c r="M15" s="460">
        <f>'Falhas UM-1 - Cost'!L15+'Falhas UM-1 - Cost'!L22+'Falhas UM-1 - Cost'!L36</f>
        <v>2041.4407986527415</v>
      </c>
      <c r="N15" s="460">
        <f>'Falhas UM-1 - Cost'!M15+'Falhas UM-1 - Cost'!M22+'Falhas UM-1 - Cost'!M36</f>
        <v>2043.7778555919606</v>
      </c>
      <c r="O15" s="461">
        <f>'Falhas UM-1 - Cost'!N15+'Falhas UM-1 - Cost'!N22+'Falhas UM-1 - Cost'!N36</f>
        <v>1638.6242079877411</v>
      </c>
      <c r="P15" s="461">
        <f>'Falhas UM-1 - Cost'!O15+'Falhas UM-1 - Cost'!O22+'Falhas UM-1 - Cost'!O36</f>
        <v>1518.5881310829275</v>
      </c>
      <c r="Q15" s="461">
        <f>'Falhas UM-1 - Cost'!P15+'Falhas UM-1 - Cost'!P22+'Falhas UM-1 - Cost'!P36</f>
        <v>1536.5139618700537</v>
      </c>
      <c r="R15" s="461">
        <f>'Falhas UM-1 - Cost'!Q15+'Falhas UM-1 - Cost'!Q22+'Falhas UM-1 - Cost'!Q36</f>
        <v>1891.6415966295754</v>
      </c>
      <c r="S15" s="255">
        <f>SUM(G15:R15)</f>
        <v>19099.989573018571</v>
      </c>
    </row>
    <row r="16" spans="1:19">
      <c r="A16" s="452"/>
      <c r="B16" s="117"/>
      <c r="C16" s="184" t="s">
        <v>169</v>
      </c>
      <c r="D16" s="236" t="s">
        <v>81</v>
      </c>
      <c r="E16" s="494">
        <v>12465.752286880519</v>
      </c>
      <c r="F16" s="494">
        <f>'[3]Prod &amp; Defects - Costs'!S16</f>
        <v>11838.940988391054</v>
      </c>
      <c r="G16" s="453">
        <f>'Falhas UM-1 - Cost'!F57</f>
        <v>828.33472422243995</v>
      </c>
      <c r="H16" s="453">
        <f>'Falhas UM-1 - Cost'!G57</f>
        <v>452.01119938765027</v>
      </c>
      <c r="I16" s="453">
        <f>'Falhas UM-1 - Cost'!H57</f>
        <v>449.93701556893041</v>
      </c>
      <c r="J16" s="453">
        <f>'Falhas UM-1 - Cost'!I57</f>
        <v>454.69439389192007</v>
      </c>
      <c r="K16" s="453">
        <f>'Falhas UM-1 - Cost'!J57</f>
        <v>821.36670436846589</v>
      </c>
      <c r="L16" s="453">
        <f>'Falhas UM-1 - Cost'!K57</f>
        <v>951.81432087576684</v>
      </c>
      <c r="M16" s="453">
        <f>'Falhas UM-1 - Cost'!L57</f>
        <v>958.59053599257368</v>
      </c>
      <c r="N16" s="453">
        <f>'Falhas UM-1 - Cost'!M57</f>
        <v>959.68793772251365</v>
      </c>
      <c r="O16" s="454">
        <f>'Falhas UM-1 - Cost'!N57</f>
        <v>769.44168984082842</v>
      </c>
      <c r="P16" s="454">
        <f>'Falhas UM-1 - Cost'!O57</f>
        <v>713.07686781191171</v>
      </c>
      <c r="Q16" s="454">
        <f>'Falhas UM-1 - Cost'!P57</f>
        <v>721.4942227279513</v>
      </c>
      <c r="R16" s="454">
        <f>'Falhas UM-1 - Cost'!Q57</f>
        <v>888.24997189029204</v>
      </c>
      <c r="S16" s="256">
        <f t="shared" ref="S16:S33" si="2">SUM(G16:R16)</f>
        <v>8968.6995843012446</v>
      </c>
    </row>
    <row r="17" spans="1:22">
      <c r="A17" s="455"/>
      <c r="B17" s="456"/>
      <c r="C17" s="187" t="s">
        <v>104</v>
      </c>
      <c r="D17" s="237" t="s">
        <v>81</v>
      </c>
      <c r="E17" s="495">
        <v>6192.9019079000009</v>
      </c>
      <c r="F17" s="495">
        <f>'[3]Prod &amp; Defects - Costs'!S17</f>
        <v>6201.4362431999998</v>
      </c>
      <c r="G17" s="457">
        <f>'Falhas UM-1 - Cost'!F59</f>
        <v>442.8540935979492</v>
      </c>
      <c r="H17" s="457">
        <f>'Falhas UM-1 - Cost'!G59</f>
        <v>241.65956605144686</v>
      </c>
      <c r="I17" s="457">
        <f>'Falhas UM-1 - Cost'!H59</f>
        <v>240.55064140041648</v>
      </c>
      <c r="J17" s="457">
        <f>'Falhas UM-1 - Cost'!I59</f>
        <v>243.09408718811758</v>
      </c>
      <c r="K17" s="457">
        <f>'Falhas UM-1 - Cost'!J59</f>
        <v>439.12876852540586</v>
      </c>
      <c r="L17" s="457">
        <f>'Falhas UM-1 - Cost'!K59</f>
        <v>508.87021395929349</v>
      </c>
      <c r="M17" s="457">
        <f>'Falhas UM-1 - Cost'!L59</f>
        <v>512.49299411787638</v>
      </c>
      <c r="N17" s="457">
        <f>'Falhas UM-1 - Cost'!M59</f>
        <v>513.07969999197996</v>
      </c>
      <c r="O17" s="458">
        <f>'Falhas UM-1 - Cost'!N59</f>
        <v>411.36800398027231</v>
      </c>
      <c r="P17" s="458">
        <f>'Falhas UM-1 - Cost'!O59</f>
        <v>381.23357711092075</v>
      </c>
      <c r="Q17" s="458">
        <f>'Falhas UM-1 - Cost'!P59</f>
        <v>385.73376281221937</v>
      </c>
      <c r="R17" s="458">
        <f>'Falhas UM-1 - Cost'!Q59</f>
        <v>474.88669095592013</v>
      </c>
      <c r="S17" s="257">
        <f t="shared" si="2"/>
        <v>4794.9520996918181</v>
      </c>
      <c r="U17" s="275"/>
      <c r="V17" s="275"/>
    </row>
    <row r="18" spans="1:22">
      <c r="A18" s="248" t="s">
        <v>170</v>
      </c>
      <c r="B18" s="459"/>
      <c r="C18" s="182" t="s">
        <v>168</v>
      </c>
      <c r="D18" s="235" t="s">
        <v>81</v>
      </c>
      <c r="E18" s="496">
        <v>10368.136190933436</v>
      </c>
      <c r="F18" s="496">
        <f>'[3]Prod &amp; Defects - Costs'!S18</f>
        <v>17539.55026354521</v>
      </c>
      <c r="G18" s="460">
        <f>'Falhas UM-3-1 Cost'!E18+'Falhas UM-3-1 Cost'!E36</f>
        <v>1409.5030231759838</v>
      </c>
      <c r="H18" s="460">
        <f>'Falhas UM-3-1 Cost'!F18+'Falhas UM-3-1 Cost'!F36</f>
        <v>1475.138320081661</v>
      </c>
      <c r="I18" s="460">
        <f>'Falhas UM-3-1 Cost'!G18+'Falhas UM-3-1 Cost'!G36</f>
        <v>1419.6503146372354</v>
      </c>
      <c r="J18" s="460">
        <f>'Falhas UM-3-1 Cost'!H18+'Falhas UM-3-1 Cost'!H36</f>
        <v>1428.828426782909</v>
      </c>
      <c r="K18" s="460">
        <f>'Falhas UM-3-1 Cost'!I18+'Falhas UM-3-1 Cost'!I36</f>
        <v>1446.2834947529914</v>
      </c>
      <c r="L18" s="460">
        <f>'Falhas UM-3-1 Cost'!J18+'Falhas UM-3-1 Cost'!J36</f>
        <v>1644.3976364813209</v>
      </c>
      <c r="M18" s="460">
        <f>'Falhas UM-3-1 Cost'!K18+'Falhas UM-3-1 Cost'!K36</f>
        <v>1624.1713305719086</v>
      </c>
      <c r="N18" s="460">
        <f>'Falhas UM-3-1 Cost'!L18+'Falhas UM-3-1 Cost'!L36</f>
        <v>1625.0232562160386</v>
      </c>
      <c r="O18" s="461">
        <f>'Falhas UM-3-1 Cost'!M18+'Falhas UM-3-1 Cost'!M36</f>
        <v>1546.1627022362024</v>
      </c>
      <c r="P18" s="461">
        <f>'Falhas UM-3-1 Cost'!N18+'Falhas UM-3-1 Cost'!N36</f>
        <v>1199.094344000707</v>
      </c>
      <c r="Q18" s="461">
        <f>'Falhas UM-3-1 Cost'!O18+'Falhas UM-3-1 Cost'!O36</f>
        <v>1150.9132060615793</v>
      </c>
      <c r="R18" s="461">
        <f>'Falhas UM-3-1 Cost'!P18+'Falhas UM-3-1 Cost'!P36</f>
        <v>1459.2290639954017</v>
      </c>
      <c r="S18" s="255">
        <f>SUM(G18:R18)</f>
        <v>17428.395118993936</v>
      </c>
    </row>
    <row r="19" spans="1:22">
      <c r="A19" s="452"/>
      <c r="B19" s="117"/>
      <c r="C19" s="184" t="s">
        <v>169</v>
      </c>
      <c r="D19" s="236" t="s">
        <v>81</v>
      </c>
      <c r="E19" s="494">
        <v>2955.3670046000002</v>
      </c>
      <c r="F19" s="494">
        <f>'[3]Prod &amp; Defects - Costs'!S19</f>
        <v>4512.6294169331704</v>
      </c>
      <c r="G19" s="453">
        <f>'Falhas UM-3-1 Cost'!E49</f>
        <v>353.13709937224343</v>
      </c>
      <c r="H19" s="453">
        <f>'Falhas UM-3-1 Cost'!F49</f>
        <v>369.58137652851383</v>
      </c>
      <c r="I19" s="453">
        <f>'Falhas UM-3-1 Cost'!G49</f>
        <v>355.67940330078477</v>
      </c>
      <c r="J19" s="453">
        <f>'Falhas UM-3-1 Cost'!H49</f>
        <v>357.97888889786645</v>
      </c>
      <c r="K19" s="453">
        <f>'Falhas UM-3-1 Cost'!I49</f>
        <v>362.35208425179411</v>
      </c>
      <c r="L19" s="453">
        <f>'Falhas UM-3-1 Cost'!J49</f>
        <v>411.98763111065932</v>
      </c>
      <c r="M19" s="453">
        <f>'Falhas UM-3-1 Cost'!K49</f>
        <v>406.92012938670348</v>
      </c>
      <c r="N19" s="453">
        <f>'Falhas UM-3-1 Cost'!L49</f>
        <v>407.133570965687</v>
      </c>
      <c r="O19" s="454">
        <f>'Falhas UM-3-1 Cost'!M49</f>
        <v>387.3758359133866</v>
      </c>
      <c r="P19" s="454">
        <f>'Falhas UM-3-1 Cost'!N49</f>
        <v>300.42127725270115</v>
      </c>
      <c r="Q19" s="454">
        <f>'Falhas UM-3-1 Cost'!O49</f>
        <v>288.34996770847664</v>
      </c>
      <c r="R19" s="454">
        <f>'Falhas UM-3-1 Cost'!P49</f>
        <v>365.59546911640149</v>
      </c>
      <c r="S19" s="256">
        <f t="shared" si="2"/>
        <v>4366.512733805218</v>
      </c>
    </row>
    <row r="20" spans="1:22">
      <c r="A20" s="455"/>
      <c r="B20" s="456"/>
      <c r="C20" s="187" t="s">
        <v>104</v>
      </c>
      <c r="D20" s="237" t="s">
        <v>81</v>
      </c>
      <c r="E20" s="495">
        <v>7869.0414574000006</v>
      </c>
      <c r="F20" s="495">
        <f>'[3]Prod &amp; Defects - Costs'!S20</f>
        <v>8463.4454197506802</v>
      </c>
      <c r="G20" s="457">
        <f>'Falhas UM-3-1 Cost'!E54</f>
        <v>649.65347548664045</v>
      </c>
      <c r="H20" s="457">
        <f>'Falhas UM-3-1 Cost'!F54</f>
        <v>679.90541397010043</v>
      </c>
      <c r="I20" s="457">
        <f>'Falhas UM-3-1 Cost'!G54</f>
        <v>654.33045954143438</v>
      </c>
      <c r="J20" s="457">
        <f>'Falhas UM-3-1 Cost'!H54</f>
        <v>658.56073954495469</v>
      </c>
      <c r="K20" s="457">
        <f>'Falhas UM-3-1 Cost'!I54</f>
        <v>666.60594795186398</v>
      </c>
      <c r="L20" s="457">
        <f>'Falhas UM-3-1 Cost'!J54</f>
        <v>757.91865789331155</v>
      </c>
      <c r="M20" s="457">
        <f>'Falhas UM-3-1 Cost'!K54</f>
        <v>748.59615931455903</v>
      </c>
      <c r="N20" s="457">
        <f>'Falhas UM-3-1 Cost'!L54</f>
        <v>748.98882002295397</v>
      </c>
      <c r="O20" s="458">
        <f>'Falhas UM-3-1 Cost'!M54</f>
        <v>712.6412335833287</v>
      </c>
      <c r="P20" s="458">
        <f>'Falhas UM-3-1 Cost'!N54</f>
        <v>552.67409520069589</v>
      </c>
      <c r="Q20" s="458">
        <f>'Falhas UM-3-1 Cost'!O54</f>
        <v>530.46694615568993</v>
      </c>
      <c r="R20" s="458">
        <f>'Falhas UM-3-1 Cost'!P54</f>
        <v>672.57268510119968</v>
      </c>
      <c r="S20" s="257">
        <f t="shared" si="2"/>
        <v>8032.9146337667325</v>
      </c>
      <c r="U20" s="275"/>
      <c r="V20" s="275"/>
    </row>
    <row r="21" spans="1:22">
      <c r="A21" s="248" t="s">
        <v>171</v>
      </c>
      <c r="B21" s="459"/>
      <c r="C21" s="182" t="s">
        <v>168</v>
      </c>
      <c r="D21" s="235" t="s">
        <v>81</v>
      </c>
      <c r="E21" s="496">
        <v>25976.70576147527</v>
      </c>
      <c r="F21" s="496">
        <f>'[3]Prod &amp; Defects - Costs'!S21</f>
        <v>45301.269727245468</v>
      </c>
      <c r="G21" s="460">
        <f>'Falhas UM-3-2 Cost'!E18+'Falhas UM-3-2 Cost'!E36</f>
        <v>3689.7908116539656</v>
      </c>
      <c r="H21" s="460">
        <f>'Falhas UM-3-2 Cost'!F18+'Falhas UM-3-2 Cost'!F36</f>
        <v>3861.6106030702695</v>
      </c>
      <c r="I21" s="460">
        <f>'Falhas UM-3-2 Cost'!G18+'Falhas UM-3-2 Cost'!G36</f>
        <v>3716.3543465888079</v>
      </c>
      <c r="J21" s="460">
        <f>'Falhas UM-3-2 Cost'!H18+'Falhas UM-3-2 Cost'!H36</f>
        <v>3740.3807681761327</v>
      </c>
      <c r="K21" s="460">
        <f>'Falhas UM-3-2 Cost'!I18+'Falhas UM-3-2 Cost'!I36</f>
        <v>3786.0745682984498</v>
      </c>
      <c r="L21" s="460">
        <f>'Falhas UM-3-2 Cost'!J18+'Falhas UM-3-2 Cost'!J36</f>
        <v>4304.6968967279163</v>
      </c>
      <c r="M21" s="460">
        <f>'Falhas UM-3-2 Cost'!K18+'Falhas UM-3-2 Cost'!K36</f>
        <v>4251.7485621226542</v>
      </c>
      <c r="N21" s="460">
        <f>'Falhas UM-3-2 Cost'!L18+'Falhas UM-3-2 Cost'!L36</f>
        <v>4253.9787293250201</v>
      </c>
      <c r="O21" s="461">
        <f>'Falhas UM-3-2 Cost'!M18+'Falhas UM-3-2 Cost'!M36</f>
        <v>4047.5379181367707</v>
      </c>
      <c r="P21" s="461">
        <f>'Falhas UM-3-2 Cost'!N18+'Falhas UM-3-2 Cost'!N36</f>
        <v>3138.983897197103</v>
      </c>
      <c r="Q21" s="461">
        <f>'Falhas UM-3-2 Cost'!O18+'Falhas UM-3-2 Cost'!O36</f>
        <v>3012.8555263176672</v>
      </c>
      <c r="R21" s="461">
        <f>'Falhas UM-3-2 Cost'!P18+'Falhas UM-3-2 Cost'!P36</f>
        <v>3819.9634224951906</v>
      </c>
      <c r="S21" s="255">
        <f>SUM(G21:R21)</f>
        <v>45623.976050109944</v>
      </c>
    </row>
    <row r="22" spans="1:22">
      <c r="A22" s="452"/>
      <c r="B22" s="117"/>
      <c r="C22" s="184" t="s">
        <v>169</v>
      </c>
      <c r="D22" s="236" t="s">
        <v>81</v>
      </c>
      <c r="E22" s="494">
        <v>11256.064444000001</v>
      </c>
      <c r="F22" s="494">
        <f>'[3]Prod &amp; Defects - Costs'!S22</f>
        <v>17697.89191175867</v>
      </c>
      <c r="G22" s="453">
        <f>'Falhas UM-3-2 Cost'!E49</f>
        <v>1400.8539757368185</v>
      </c>
      <c r="H22" s="453">
        <f>'Falhas UM-3-2 Cost'!F49</f>
        <v>1466.0865187730203</v>
      </c>
      <c r="I22" s="453">
        <f>'Falhas UM-3-2 Cost'!G49</f>
        <v>1410.9390009923336</v>
      </c>
      <c r="J22" s="453">
        <f>'Falhas UM-3-2 Cost'!H49</f>
        <v>1420.0607940481968</v>
      </c>
      <c r="K22" s="453">
        <f>'Falhas UM-3-2 Cost'!I49</f>
        <v>1437.408753549234</v>
      </c>
      <c r="L22" s="453">
        <f>'Falhas UM-3-2 Cost'!J49</f>
        <v>1634.3072195521454</v>
      </c>
      <c r="M22" s="453">
        <f>'Falhas UM-3-2 Cost'!K49</f>
        <v>1614.2050270901357</v>
      </c>
      <c r="N22" s="453">
        <f>'Falhas UM-3-2 Cost'!L49</f>
        <v>1615.051725114892</v>
      </c>
      <c r="O22" s="454">
        <f>'Falhas UM-3-2 Cost'!M49</f>
        <v>1536.6750783429407</v>
      </c>
      <c r="P22" s="454">
        <f>'Falhas UM-3-2 Cost'!N49</f>
        <v>1191.7364145072829</v>
      </c>
      <c r="Q22" s="454">
        <f>'Falhas UM-3-2 Cost'!O49</f>
        <v>1143.850927546448</v>
      </c>
      <c r="R22" s="454">
        <f>'Falhas UM-3-2 Cost'!P49</f>
        <v>1450.2748856846188</v>
      </c>
      <c r="S22" s="256">
        <f t="shared" si="2"/>
        <v>17321.450320938064</v>
      </c>
    </row>
    <row r="23" spans="1:22">
      <c r="A23" s="455"/>
      <c r="B23" s="456"/>
      <c r="C23" s="187" t="s">
        <v>104</v>
      </c>
      <c r="D23" s="237" t="s">
        <v>81</v>
      </c>
      <c r="E23" s="495">
        <v>19123.390533469999</v>
      </c>
      <c r="F23" s="495">
        <f>'[3]Prod &amp; Defects - Costs'!S23</f>
        <v>25127.046730314065</v>
      </c>
      <c r="G23" s="457">
        <f>'Falhas UM-3-2 Cost'!E54</f>
        <v>1885.848727296936</v>
      </c>
      <c r="H23" s="457">
        <f>'Falhas UM-3-2 Cost'!F54</f>
        <v>1973.6656663882923</v>
      </c>
      <c r="I23" s="457">
        <f>'Falhas UM-3-2 Cost'!G54</f>
        <v>1899.4253258377421</v>
      </c>
      <c r="J23" s="457">
        <f>'Falhas UM-3-2 Cost'!H54</f>
        <v>1911.7052080546002</v>
      </c>
      <c r="K23" s="457">
        <f>'Falhas UM-3-2 Cost'!I54</f>
        <v>1935.0592677302507</v>
      </c>
      <c r="L23" s="457">
        <f>'Falhas UM-3-2 Cost'!J54</f>
        <v>2200.1266680087151</v>
      </c>
      <c r="M23" s="457">
        <f>'Falhas UM-3-2 Cost'!K54</f>
        <v>2173.0648223581584</v>
      </c>
      <c r="N23" s="457">
        <f>'Falhas UM-3-2 Cost'!L54</f>
        <v>2174.204658786542</v>
      </c>
      <c r="O23" s="458">
        <f>'Falhas UM-3-2 Cost'!M54</f>
        <v>2068.6929479838923</v>
      </c>
      <c r="P23" s="458">
        <f>'Falhas UM-3-2 Cost'!N54</f>
        <v>1604.3318143776348</v>
      </c>
      <c r="Q23" s="458">
        <f>'Falhas UM-3-2 Cost'!O54</f>
        <v>1539.8677187579713</v>
      </c>
      <c r="R23" s="458">
        <f>'Falhas UM-3-2 Cost'!P54</f>
        <v>1952.3798302820956</v>
      </c>
      <c r="S23" s="257">
        <f t="shared" si="2"/>
        <v>23318.37265586283</v>
      </c>
      <c r="U23" s="275"/>
      <c r="V23" s="275"/>
    </row>
    <row r="24" spans="1:22">
      <c r="A24" s="248" t="s">
        <v>119</v>
      </c>
      <c r="B24" s="459"/>
      <c r="C24" s="182" t="s">
        <v>168</v>
      </c>
      <c r="D24" s="235" t="s">
        <v>81</v>
      </c>
      <c r="E24" s="496">
        <v>6369.9652183739126</v>
      </c>
      <c r="F24" s="496">
        <f>'[3]Prod &amp; Defects - Costs'!S24</f>
        <v>11936.272602927971</v>
      </c>
      <c r="G24" s="460">
        <f>'Falhas UM-4 Cost'!E15</f>
        <v>903.05298052592366</v>
      </c>
      <c r="H24" s="460">
        <f>'Falhas UM-4 Cost'!F15</f>
        <v>1031.082666029881</v>
      </c>
      <c r="I24" s="460">
        <f>'Falhas UM-4 Cost'!G15</f>
        <v>933.9039868363011</v>
      </c>
      <c r="J24" s="460">
        <f>'Falhas UM-4 Cost'!H15</f>
        <v>938.59964397169904</v>
      </c>
      <c r="K24" s="460">
        <f>'Falhas UM-4 Cost'!I15</f>
        <v>1013.2846286852056</v>
      </c>
      <c r="L24" s="460">
        <f>'Falhas UM-4 Cost'!J15</f>
        <v>1067.7847200232236</v>
      </c>
      <c r="M24" s="460">
        <f>'Falhas UM-4 Cost'!K15</f>
        <v>1041.8564192104759</v>
      </c>
      <c r="N24" s="460">
        <f>'Falhas UM-4 Cost'!L15</f>
        <v>1039.7723819351047</v>
      </c>
      <c r="O24" s="461">
        <f>'Falhas UM-4 Cost'!M15</f>
        <v>1038.5430282074856</v>
      </c>
      <c r="P24" s="461">
        <f>'Falhas UM-4 Cost'!N15</f>
        <v>768.61280429603733</v>
      </c>
      <c r="Q24" s="461">
        <f>'Falhas UM-4 Cost'!O15</f>
        <v>802.79152872316695</v>
      </c>
      <c r="R24" s="461">
        <f>'Falhas UM-4 Cost'!P15</f>
        <v>993.05366538762541</v>
      </c>
      <c r="S24" s="255">
        <f>SUM(G24:R24)</f>
        <v>11572.33845383213</v>
      </c>
    </row>
    <row r="25" spans="1:22">
      <c r="A25" s="452"/>
      <c r="B25" s="117"/>
      <c r="C25" s="184" t="s">
        <v>169</v>
      </c>
      <c r="D25" s="236" t="s">
        <v>81</v>
      </c>
      <c r="E25" s="494">
        <v>340.75643400000013</v>
      </c>
      <c r="F25" s="494">
        <f>'[3]Prod &amp; Defects - Costs'!S25</f>
        <v>4859.8727793305306</v>
      </c>
      <c r="G25" s="453">
        <f>'Falhas UM-4 Cost'!E33+'Falhas UM-4 Cost'!E50</f>
        <v>20.497091826166319</v>
      </c>
      <c r="H25" s="453">
        <f>'Falhas UM-4 Cost'!F33+'Falhas UM-4 Cost'!F50</f>
        <v>23.403052248024952</v>
      </c>
      <c r="I25" s="453">
        <f>'Falhas UM-4 Cost'!G33+'Falhas UM-4 Cost'!G50</f>
        <v>21.197334140748094</v>
      </c>
      <c r="J25" s="453">
        <f>'Falhas UM-4 Cost'!H33+'Falhas UM-4 Cost'!H50</f>
        <v>21.30391406193101</v>
      </c>
      <c r="K25" s="453">
        <f>'Falhas UM-4 Cost'!I33+'Falhas UM-4 Cost'!I50</f>
        <v>22.999080373011719</v>
      </c>
      <c r="L25" s="453">
        <f>'Falhas UM-4 Cost'!J33+'Falhas UM-4 Cost'!J50</f>
        <v>24.236099020621104</v>
      </c>
      <c r="M25" s="453">
        <f>'Falhas UM-4 Cost'!K33+'Falhas UM-4 Cost'!K50</f>
        <v>23.647590069190766</v>
      </c>
      <c r="N25" s="453">
        <f>'Falhas UM-4 Cost'!L33+'Falhas UM-4 Cost'!L50</f>
        <v>23.600287525127897</v>
      </c>
      <c r="O25" s="454">
        <f>'Falhas UM-4 Cost'!M33+'Falhas UM-4 Cost'!M50</f>
        <v>23.572384205184058</v>
      </c>
      <c r="P25" s="454">
        <f>'Falhas UM-4 Cost'!N33+'Falhas UM-4 Cost'!N50</f>
        <v>17.445628958832529</v>
      </c>
      <c r="Q25" s="454">
        <f>'Falhas UM-4 Cost'!O33+'Falhas UM-4 Cost'!O50</f>
        <v>18.221402327828123</v>
      </c>
      <c r="R25" s="454">
        <f>'Falhas UM-4 Cost'!P33+'Falhas UM-4 Cost'!P50</f>
        <v>22.539887035096143</v>
      </c>
      <c r="S25" s="256">
        <f t="shared" ref="S25:S26" si="3">SUM(G25:R25)</f>
        <v>262.66375179176271</v>
      </c>
    </row>
    <row r="26" spans="1:22" ht="13.5" thickBot="1">
      <c r="A26" s="462"/>
      <c r="B26" s="463"/>
      <c r="C26" s="251" t="s">
        <v>104</v>
      </c>
      <c r="D26" s="252" t="s">
        <v>81</v>
      </c>
      <c r="E26" s="497">
        <v>7268.1792629781085</v>
      </c>
      <c r="F26" s="497">
        <f>'[3]Prod &amp; Defects - Costs'!S26</f>
        <v>18927.172380052205</v>
      </c>
      <c r="G26" s="464">
        <f>'Falhas UM-4 Cost'!E61</f>
        <v>1707.0534332159391</v>
      </c>
      <c r="H26" s="464">
        <f>'Falhas UM-4 Cost'!F61</f>
        <v>1949.0697034748621</v>
      </c>
      <c r="I26" s="464">
        <f>'Falhas UM-4 Cost'!G61</f>
        <v>1765.3715135235041</v>
      </c>
      <c r="J26" s="464">
        <f>'Falhas UM-4 Cost'!H61</f>
        <v>1774.2477786010168</v>
      </c>
      <c r="K26" s="464">
        <f>'Falhas UM-4 Cost'!I60</f>
        <v>73.371048557589575</v>
      </c>
      <c r="L26" s="464">
        <f>'Falhas UM-4 Cost'!J60</f>
        <v>77.317352226622191</v>
      </c>
      <c r="M26" s="464">
        <f>'Falhas UM-4 Cost'!K60</f>
        <v>75.439906774383999</v>
      </c>
      <c r="N26" s="464">
        <f>'Falhas UM-4 Cost'!L60</f>
        <v>75.289003468641084</v>
      </c>
      <c r="O26" s="465">
        <f>'Falhas UM-4 Cost'!M60</f>
        <v>75.199987046709737</v>
      </c>
      <c r="P26" s="465">
        <f>'Falhas UM-4 Cost'!N60</f>
        <v>55.654576995966046</v>
      </c>
      <c r="Q26" s="465">
        <f>'Falhas UM-4 Cost'!O60</f>
        <v>58.129428364069135</v>
      </c>
      <c r="R26" s="465">
        <f>'Falhas UM-4 Cost'!P60</f>
        <v>71.906142302769908</v>
      </c>
      <c r="S26" s="258">
        <f t="shared" si="3"/>
        <v>7758.0498745520736</v>
      </c>
      <c r="U26" s="275"/>
      <c r="V26" s="275"/>
    </row>
    <row r="27" spans="1:22">
      <c r="A27" s="241" t="s">
        <v>93</v>
      </c>
      <c r="B27" s="449"/>
      <c r="C27" s="604" t="s">
        <v>168</v>
      </c>
      <c r="D27" s="244" t="s">
        <v>81</v>
      </c>
      <c r="E27" s="493">
        <v>1417.1818478225432</v>
      </c>
      <c r="F27" s="493">
        <f>'[3]Prod &amp; Defects - Costs'!S27</f>
        <v>2924.8316002481388</v>
      </c>
      <c r="G27" s="451" cm="1">
        <f t="array" ref="G27">INDEX('[5]BP - ORIGINAL'!$E$26:$V$26,1,MATCH(G4,'[5]BP - ORIGINAL'!$E$4:$V$4,0)+2)+INDEX('[5]BP - ORIGINAL'!$E$15:$V$15,1,MATCH(G4,'[5]BP - ORIGINAL'!$E$4:$V$4,0)+2)</f>
        <v>12.327000318805521</v>
      </c>
      <c r="H27" s="451" cm="1">
        <f t="array" ref="H27">INDEX('[5]BP - ORIGINAL'!$E$26:$V$26,1,MATCH(H4,'[5]BP - ORIGINAL'!$E$4:$V$4,0)+2)+INDEX('[5]BP - ORIGINAL'!$E$15:$V$15,1,MATCH(H4,'[5]BP - ORIGINAL'!$E$4:$V$4,0)+2)</f>
        <v>18.308499517163799</v>
      </c>
      <c r="I27" s="451" cm="1">
        <f t="array" ref="I27">INDEX('[5]BP - ORIGINAL'!$E$26:$V$26,1,MATCH(I4,'[5]BP - ORIGINAL'!$E$4:$V$4,0)+2)+INDEX('[5]BP - ORIGINAL'!$E$15:$V$15,1,MATCH(I4,'[5]BP - ORIGINAL'!$E$4:$V$4,0)+2)</f>
        <v>17.781171970397828</v>
      </c>
      <c r="J27" s="451" cm="1">
        <f t="array" ref="J27">INDEX('[5]BP - ORIGINAL'!$E$26:$V$26,1,MATCH(J4,'[5]BP - ORIGINAL'!$E$4:$V$4,0)+2)+INDEX('[5]BP - ORIGINAL'!$E$15:$V$15,1,MATCH(J4,'[5]BP - ORIGINAL'!$E$4:$V$4,0)+2)</f>
        <v>23.383982617994462</v>
      </c>
      <c r="K27" s="451" cm="1">
        <f t="array" ref="K27">INDEX('[5]BP - ORIGINAL'!$E$26:$V$26,1,MATCH(K4,'[5]BP - ORIGINAL'!$E$4:$V$4,0)+2)+INDEX('[5]BP - ORIGINAL'!$E$15:$V$15,1,MATCH(K4,'[5]BP - ORIGINAL'!$E$4:$V$4,0)+2)</f>
        <v>23.312930880827466</v>
      </c>
      <c r="L27" s="451" cm="1">
        <f t="array" ref="L27">INDEX('[5]BP - ORIGINAL'!$E$26:$V$26,1,MATCH(L4,'[5]BP - ORIGINAL'!$E$4:$V$4,0)+2)+INDEX('[5]BP - ORIGINAL'!$E$15:$V$15,1,MATCH(L4,'[5]BP - ORIGINAL'!$E$4:$V$4,0)+2)</f>
        <v>25.746908838997605</v>
      </c>
      <c r="M27" s="451" cm="1">
        <f t="array" ref="M27">INDEX('[5]BP - ORIGINAL'!$E$52:$V$57,1,MATCH(M4,'[5]BP - ORIGINAL'!$E$35:$V$35,0)+2)+INDEX('[5]BP - ORIGINAL'!$E$46:$V$46,1,MATCH(M4,'[5]BP - ORIGINAL'!$E$35:$V$35,0)+2)</f>
        <v>123.13893535264896</v>
      </c>
      <c r="N27" s="451" cm="1">
        <f t="array" ref="N27">INDEX('[5]BP - ORIGINAL'!$E$52:$V$57,1,MATCH(N4,'[5]BP - ORIGINAL'!$E$35:$V$35,0)+2)+INDEX('[5]BP - ORIGINAL'!$E$46:$V$46,1,MATCH(N4,'[5]BP - ORIGINAL'!$E$35:$V$35,0)+2)</f>
        <v>114.19726750471044</v>
      </c>
      <c r="O27" s="451" cm="1">
        <f t="array" ref="O27">INDEX('[5]BP - ORIGINAL'!$E$52:$V$57,1,MATCH(O4,'[5]BP - ORIGINAL'!$E$35:$V$35,0)+2)+INDEX('[5]BP - ORIGINAL'!$E$46:$V$46,1,MATCH(O4,'[5]BP - ORIGINAL'!$E$35:$V$35,0)+2)</f>
        <v>70.197248510250688</v>
      </c>
      <c r="P27" s="451" cm="1">
        <f t="array" ref="P27">INDEX('[5]BP - ORIGINAL'!$E$52:$V$57,1,MATCH(P4,'[5]BP - ORIGINAL'!$E$35:$V$35,0)+2)+INDEX('[5]BP - ORIGINAL'!$E$46:$V$46,1,MATCH(P4,'[5]BP - ORIGINAL'!$E$35:$V$35,0)+2)</f>
        <v>79.877240133786799</v>
      </c>
      <c r="Q27" s="451" cm="1">
        <f t="array" ref="Q27">INDEX('[5]BP - ORIGINAL'!$E$52:$V$57,1,MATCH(Q4,'[5]BP - ORIGINAL'!$E$35:$V$35,0)+2)+INDEX('[5]BP - ORIGINAL'!$E$46:$V$46,1,MATCH(Q4,'[5]BP - ORIGINAL'!$E$35:$V$35,0)+2)</f>
        <v>101.11750240704762</v>
      </c>
      <c r="R27" s="451" cm="1">
        <f t="array" ref="R27">INDEX('[5]BP - ORIGINAL'!$E$52:$V$57,1,MATCH(R4,'[5]BP - ORIGINAL'!$E$35:$V$35,0)+2)+INDEX('[5]BP - ORIGINAL'!$E$46:$V$46,1,MATCH(R4,'[5]BP - ORIGINAL'!$E$35:$V$35,0)+2)</f>
        <v>95.968060390975182</v>
      </c>
      <c r="S27" s="264">
        <f>SUM(G27:R27)</f>
        <v>705.35674844360642</v>
      </c>
    </row>
    <row r="28" spans="1:22">
      <c r="A28" s="452"/>
      <c r="B28" s="117"/>
      <c r="C28" s="605" t="s">
        <v>169</v>
      </c>
      <c r="D28" s="236" t="s">
        <v>81</v>
      </c>
      <c r="E28" s="494">
        <v>2124.1915384427198</v>
      </c>
      <c r="F28" s="494">
        <f>'[3]Prod &amp; Defects - Costs'!S28</f>
        <v>901.63510925115895</v>
      </c>
      <c r="G28" s="454" cm="1">
        <f t="array" ref="G28">INDEX('[5]BP - ORIGINAL'!$E$21:$V$21,1,MATCH(G4,'[5]BP - ORIGINAL'!$E$4:$V$4,0)+2)-G29</f>
        <v>7.6050318520102564</v>
      </c>
      <c r="H28" s="454" cm="1">
        <f t="array" ref="H28">INDEX('[5]BP - ORIGINAL'!$E$21:$V$21,1,MATCH(H4,'[5]BP - ORIGINAL'!$E$4:$V$4,0)+2)-H29</f>
        <v>11.295293481892728</v>
      </c>
      <c r="I28" s="454" cm="1">
        <f t="array" ref="I28">INDEX('[5]BP - ORIGINAL'!$E$21:$V$21,1,MATCH(I4,'[5]BP - ORIGINAL'!$E$4:$V$4,0)+2)-I29</f>
        <v>10.969962648733812</v>
      </c>
      <c r="J28" s="454" cm="1">
        <f t="array" ref="J28">INDEX('[5]BP - ORIGINAL'!$E$21:$V$21,1,MATCH(J4,'[5]BP - ORIGINAL'!$E$4:$V$4,0)+2)-J29</f>
        <v>11.173668380629323</v>
      </c>
      <c r="K28" s="454" cm="1">
        <f t="array" ref="K28">INDEX('[5]BP - ORIGINAL'!$E$21:$V$21,1,MATCH(K4,'[5]BP - ORIGINAL'!$E$4:$V$4,0)+2)-K29</f>
        <v>11.139717425313407</v>
      </c>
      <c r="L28" s="454" cm="1">
        <f t="array" ref="L28">INDEX('[5]BP - ORIGINAL'!$E$21:$V$21,1,MATCH(L4,'[5]BP - ORIGINAL'!$E$4:$V$4,0)+2)-L29</f>
        <v>9.5908458453019847</v>
      </c>
      <c r="M28" s="454" cm="1">
        <f t="array" ref="M28">INDEX('[5]BP - ORIGINAL'!$E$52:$V$52,1,MATCH(M4,'[5]BP - ORIGINAL'!$E$35:$V$35,0)+2)-M29</f>
        <v>12.691263587294117</v>
      </c>
      <c r="N28" s="454" cm="1">
        <f t="array" ref="N28">INDEX('[5]BP - ORIGINAL'!$E$52:$V$52,1,MATCH(N4,'[5]BP - ORIGINAL'!$E$35:$V$35,0)+2)-N29</f>
        <v>11.769694278259308</v>
      </c>
      <c r="O28" s="454" cm="1">
        <f t="array" ref="O28">INDEX('[5]BP - ORIGINAL'!$E$52:$V$52,1,MATCH(O4,'[5]BP - ORIGINAL'!$E$35:$V$35,0)+2)-O29</f>
        <v>7.6050318520102564</v>
      </c>
      <c r="P28" s="454" cm="1">
        <f t="array" ref="P28">INDEX('[5]BP - ORIGINAL'!$E$52:$V$52,1,MATCH(P4,'[5]BP - ORIGINAL'!$E$35:$V$35,0)+2)-P29</f>
        <v>8.6537431076007891</v>
      </c>
      <c r="Q28" s="454" cm="1">
        <f t="array" ref="Q28">INDEX('[5]BP - ORIGINAL'!$E$52:$V$52,1,MATCH(Q4,'[5]BP - ORIGINAL'!$E$35:$V$35,0)+2)-Q29</f>
        <v>10.954871350677323</v>
      </c>
      <c r="R28" s="454" cm="1">
        <f t="array" ref="R28">INDEX('[5]BP - ORIGINAL'!$E$52:$V$52,1,MATCH(R4,'[5]BP - ORIGINAL'!$E$35:$V$35,0)+2)-R29</f>
        <v>10.266418028430238</v>
      </c>
      <c r="S28" s="256">
        <f t="shared" si="2"/>
        <v>123.71554183815354</v>
      </c>
    </row>
    <row r="29" spans="1:22" ht="13.5" thickBot="1">
      <c r="A29" s="462"/>
      <c r="B29" s="463"/>
      <c r="C29" s="606" t="s">
        <v>104</v>
      </c>
      <c r="D29" s="252" t="s">
        <v>81</v>
      </c>
      <c r="E29" s="497">
        <v>857.56369269131756</v>
      </c>
      <c r="F29" s="497">
        <f>'[3]Prod &amp; Defects - Costs'!S29</f>
        <v>4589.5321609397997</v>
      </c>
      <c r="G29" s="465" cm="1">
        <f t="array" ref="G29">INDEX('[5]BP - ORIGINAL'!$E$16:$V$16,1,MATCH(G4,'[5]BP - ORIGINAL'!$E$4:$V$4,0)+2)+INDEX('[5]BP - ORIGINAL'!$E$17:$V$17,1,MATCH(G4,'[5]BP - ORIGINAL'!$E$4:$V$4,0)+2)</f>
        <v>51.681875812050485</v>
      </c>
      <c r="H29" s="465" cm="1">
        <f t="array" ref="H29">INDEX('[5]BP - ORIGINAL'!$E$16:$V$16,1,MATCH(H4,'[5]BP - ORIGINAL'!$E$4:$V$4,0)+2)+INDEX('[5]BP - ORIGINAL'!$E$17:$V$17,1,MATCH(H4,'[5]BP - ORIGINAL'!$E$4:$V$4,0)+2)</f>
        <v>76.759961871498959</v>
      </c>
      <c r="I29" s="465" cm="1">
        <f t="array" ref="I29">INDEX('[5]BP - ORIGINAL'!$E$16:$V$16,1,MATCH(I4,'[5]BP - ORIGINAL'!$E$4:$V$4,0)+2)+INDEX('[5]BP - ORIGINAL'!$E$17:$V$17,1,MATCH(I4,'[5]BP - ORIGINAL'!$E$4:$V$4,0)+2)</f>
        <v>74.549095691799181</v>
      </c>
      <c r="J29" s="465" cm="1">
        <f t="array" ref="J29">INDEX('[5]BP - ORIGINAL'!$E$16:$V$16,1,MATCH(J4,'[5]BP - ORIGINAL'!$E$4:$V$4,0)+2)+INDEX('[5]BP - ORIGINAL'!$E$17:$V$17,1,MATCH(J4,'[5]BP - ORIGINAL'!$E$4:$V$4,0)+2)</f>
        <v>75.933428399786862</v>
      </c>
      <c r="K29" s="465" cm="1">
        <f t="array" ref="K29">INDEX('[5]BP - ORIGINAL'!$E$16:$V$16,1,MATCH(K4,'[5]BP - ORIGINAL'!$E$4:$V$4,0)+2)+INDEX('[5]BP - ORIGINAL'!$E$17:$V$17,1,MATCH(K4,'[5]BP - ORIGINAL'!$E$4:$V$4,0)+2)</f>
        <v>75.702706281788934</v>
      </c>
      <c r="L29" s="465" cm="1">
        <f t="array" ref="L29">INDEX('[5]BP - ORIGINAL'!$E$16:$V$16,1,MATCH(L4,'[5]BP - ORIGINAL'!$E$4:$V$4,0)+2)+INDEX('[5]BP - ORIGINAL'!$E$17:$V$17,1,MATCH(L4,'[5]BP - ORIGINAL'!$E$4:$V$4,0)+2)</f>
        <v>83.606419435901017</v>
      </c>
      <c r="M29" s="465" cm="1">
        <f t="array" ref="M29">INDEX('[5]BP - ORIGINAL'!$E$47:$V$47,1,MATCH(M4,'[5]BP - ORIGINAL'!$E$35:$V$35,0)+2)+INDEX('[5]BP - ORIGINAL'!$E$48:$V$48,1,MATCH(M4,'[5]BP - ORIGINAL'!$E$35:$V$35,0)+2)</f>
        <v>86.246622154929483</v>
      </c>
      <c r="N29" s="465" cm="1">
        <f t="array" ref="N29">INDEX('[5]BP - ORIGINAL'!$E$47:$V$47,1,MATCH(N4,'[5]BP - ORIGINAL'!$E$35:$V$35,0)+2)+INDEX('[5]BP - ORIGINAL'!$E$48:$V$48,1,MATCH(N4,'[5]BP - ORIGINAL'!$E$35:$V$35,0)+2)</f>
        <v>79.983869873472116</v>
      </c>
      <c r="O29" s="465" cm="1">
        <f t="array" ref="O29">INDEX('[5]BP - ORIGINAL'!$E$47:$V$47,1,MATCH(O4,'[5]BP - ORIGINAL'!$E$35:$V$35,0)+2)+INDEX('[5]BP - ORIGINAL'!$E$48:$V$48,1,MATCH(O4,'[5]BP - ORIGINAL'!$E$35:$V$35,0)+2)</f>
        <v>51.681875812050485</v>
      </c>
      <c r="P29" s="465" cm="1">
        <f t="array" ref="P29">INDEX('[5]BP - ORIGINAL'!$E$47:$V$47,1,MATCH(P4,'[5]BP - ORIGINAL'!$E$35:$V$35,0)+2)+INDEX('[5]BP - ORIGINAL'!$E$48:$V$48,1,MATCH(P4,'[5]BP - ORIGINAL'!$E$35:$V$35,0)+2)</f>
        <v>58.808652652544836</v>
      </c>
      <c r="Q29" s="465" cm="1">
        <f t="array" ref="Q29">INDEX('[5]BP - ORIGINAL'!$E$47:$V$47,1,MATCH(Q4,'[5]BP - ORIGINAL'!$E$35:$V$35,0)+2)+INDEX('[5]BP - ORIGINAL'!$E$48:$V$48,1,MATCH(Q4,'[5]BP - ORIGINAL'!$E$35:$V$35,0)+2)</f>
        <v>74.446539041521291</v>
      </c>
      <c r="R29" s="465" cm="1">
        <f t="array" ref="R29">INDEX('[5]BP - ORIGINAL'!$E$47:$V$47,1,MATCH(R4,'[5]BP - ORIGINAL'!$E$35:$V$35,0)+2)+INDEX('[5]BP - ORIGINAL'!$E$48:$V$48,1,MATCH(R4,'[5]BP - ORIGINAL'!$E$35:$V$35,0)+2)</f>
        <v>69.767984132725999</v>
      </c>
      <c r="S29" s="258">
        <f t="shared" si="2"/>
        <v>859.16903116006984</v>
      </c>
      <c r="U29" s="275"/>
      <c r="V29" s="275"/>
    </row>
    <row r="30" spans="1:22">
      <c r="A30" s="452" t="s">
        <v>200</v>
      </c>
      <c r="B30" s="117"/>
      <c r="C30" s="484" t="s">
        <v>65</v>
      </c>
      <c r="D30" s="485" t="s">
        <v>81</v>
      </c>
      <c r="E30" s="498">
        <v>5232.2958726000006</v>
      </c>
      <c r="F30" s="498">
        <f>'[3]Prod &amp; Defects - Costs'!S30</f>
        <v>11524.330652679848</v>
      </c>
      <c r="G30" s="486">
        <f>'BLIND-PVC-PRE - Cost'!F22</f>
        <v>1089.2356924415797</v>
      </c>
      <c r="H30" s="486">
        <f>'BLIND-PVC-PRE - Cost'!G22</f>
        <v>1062.0952272759112</v>
      </c>
      <c r="I30" s="486">
        <f>'BLIND-PVC-PRE - Cost'!H22</f>
        <v>1024.9455938579854</v>
      </c>
      <c r="J30" s="486">
        <f>'BLIND-PVC-PRE - Cost'!I22</f>
        <v>1031.9188237191361</v>
      </c>
      <c r="K30" s="486">
        <f>'BLIND-PVC-PRE - Cost'!J22</f>
        <v>1112.294808632178</v>
      </c>
      <c r="L30" s="486">
        <f>'BLIND-PVC-PRE - Cost'!K22</f>
        <v>1268.0245667596744</v>
      </c>
      <c r="M30" s="486">
        <f>'BLIND-PVC-PRE - Cost'!L22</f>
        <v>1255.8964631450103</v>
      </c>
      <c r="N30" s="486">
        <f>'BLIND-PVC-PRE - Cost'!M22</f>
        <v>1256.666802979114</v>
      </c>
      <c r="O30" s="486">
        <f>'BLIND-PVC-PRE - Cost'!N22</f>
        <v>1168.719428738633</v>
      </c>
      <c r="P30" s="486">
        <f>'BLIND-PVC-PRE - Cost'!O22</f>
        <v>928.21150768903794</v>
      </c>
      <c r="Q30" s="486">
        <f>'BLIND-PVC-PRE - Cost'!P22</f>
        <v>897.87152913255591</v>
      </c>
      <c r="R30" s="486">
        <f>'BLIND-PVC-PRE - Cost'!Q22</f>
        <v>1133.4229027083406</v>
      </c>
      <c r="S30" s="487">
        <f t="shared" si="2"/>
        <v>13229.303347079156</v>
      </c>
      <c r="U30" s="275"/>
      <c r="V30" s="275"/>
    </row>
    <row r="31" spans="1:22">
      <c r="A31" s="452"/>
      <c r="B31" s="117"/>
      <c r="C31" s="184" t="s">
        <v>89</v>
      </c>
      <c r="D31" s="236" t="s">
        <v>81</v>
      </c>
      <c r="E31" s="494">
        <v>16700.835999999999</v>
      </c>
      <c r="F31" s="494">
        <f>'[3]Prod &amp; Defects - Costs'!S31</f>
        <v>27175.133229913728</v>
      </c>
      <c r="G31" s="454">
        <f>'BLIND-PVC-PRE - Cost'!F27</f>
        <v>2332.5903129317189</v>
      </c>
      <c r="H31" s="454">
        <f>'BLIND-PVC-PRE - Cost'!G27</f>
        <v>2121.3990542645734</v>
      </c>
      <c r="I31" s="454">
        <f>'BLIND-PVC-PRE - Cost'!H27</f>
        <v>2053.1088250103103</v>
      </c>
      <c r="J31" s="454">
        <f>'BLIND-PVC-PRE - Cost'!I27</f>
        <v>2067.807154476769</v>
      </c>
      <c r="K31" s="454">
        <f>'BLIND-PVC-PRE - Cost'!J27</f>
        <v>2371.4258965582917</v>
      </c>
      <c r="L31" s="454">
        <f>'BLIND-PVC-PRE - Cost'!K27</f>
        <v>2710.092593137218</v>
      </c>
      <c r="M31" s="454">
        <f>'BLIND-PVC-PRE - Cost'!L27</f>
        <v>2691.0057233436037</v>
      </c>
      <c r="N31" s="454">
        <f>'BLIND-PVC-PRE - Cost'!M27</f>
        <v>2692.875560698827</v>
      </c>
      <c r="O31" s="454">
        <f>'BLIND-PVC-PRE - Cost'!N27</f>
        <v>2451.4463916460554</v>
      </c>
      <c r="P31" s="454">
        <f>'BLIND-PVC-PRE - Cost'!O27</f>
        <v>1990.8553439550594</v>
      </c>
      <c r="Q31" s="454">
        <f>'BLIND-PVC-PRE - Cost'!P27</f>
        <v>1939.4344044827508</v>
      </c>
      <c r="R31" s="454">
        <f>'BLIND-PVC-PRE - Cost'!Q27</f>
        <v>2438.5404100720889</v>
      </c>
      <c r="S31" s="412">
        <f t="shared" si="2"/>
        <v>27860.581670577267</v>
      </c>
      <c r="U31" s="275"/>
      <c r="V31" s="275"/>
    </row>
    <row r="32" spans="1:22">
      <c r="A32" s="452"/>
      <c r="B32" s="117"/>
      <c r="C32" s="184" t="s">
        <v>199</v>
      </c>
      <c r="D32" s="236" t="s">
        <v>81</v>
      </c>
      <c r="E32" s="494">
        <v>8262.9934286094103</v>
      </c>
      <c r="F32" s="494">
        <f>'[3]Prod &amp; Defects - Costs'!S32</f>
        <v>11935.860337992555</v>
      </c>
      <c r="G32" s="454">
        <f>'BLIND-PVC-PRE - Cost'!F32</f>
        <v>815.12541204359036</v>
      </c>
      <c r="H32" s="454">
        <f>'BLIND-PVC-PRE - Cost'!G32</f>
        <v>796.44391639121727</v>
      </c>
      <c r="I32" s="454">
        <f>'BLIND-PVC-PRE - Cost'!H32</f>
        <v>748.62527620173546</v>
      </c>
      <c r="J32" s="454">
        <f>'BLIND-PVC-PRE - Cost'!I32</f>
        <v>753.37245424463549</v>
      </c>
      <c r="K32" s="454">
        <f>'BLIND-PVC-PRE - Cost'!J32</f>
        <v>861.54664594356109</v>
      </c>
      <c r="L32" s="454">
        <f>'BLIND-PVC-PRE - Cost'!K32</f>
        <v>953.0155259987805</v>
      </c>
      <c r="M32" s="454">
        <f>'BLIND-PVC-PRE - Cost'!L32</f>
        <v>940.59115802550718</v>
      </c>
      <c r="N32" s="454">
        <f>'BLIND-PVC-PRE - Cost'!M32</f>
        <v>940.26352788923123</v>
      </c>
      <c r="O32" s="454">
        <f>'BLIND-PVC-PRE - Cost'!N32</f>
        <v>882.02096822942622</v>
      </c>
      <c r="P32" s="454">
        <f>'BLIND-PVC-PRE - Cost'!O32</f>
        <v>695.34837399739786</v>
      </c>
      <c r="Q32" s="454">
        <f>'BLIND-PVC-PRE - Cost'!P32</f>
        <v>698.64348027984443</v>
      </c>
      <c r="R32" s="454">
        <f>'BLIND-PVC-PRE - Cost'!Q32</f>
        <v>871.28108642738994</v>
      </c>
      <c r="S32" s="412">
        <f t="shared" si="2"/>
        <v>9956.2778256723177</v>
      </c>
      <c r="U32" s="275"/>
      <c r="V32" s="275"/>
    </row>
    <row r="33" spans="1:23">
      <c r="A33" s="452"/>
      <c r="B33" s="117"/>
      <c r="C33" s="184" t="s">
        <v>165</v>
      </c>
      <c r="D33" s="236" t="s">
        <v>81</v>
      </c>
      <c r="E33" s="494">
        <v>2086.6965201490725</v>
      </c>
      <c r="F33" s="494">
        <f>'[3]Prod &amp; Defects - Costs'!S33</f>
        <v>2749.6506598189198</v>
      </c>
      <c r="G33" s="454">
        <f>'SM Cost'!F43</f>
        <v>473.84157738339468</v>
      </c>
      <c r="H33" s="454">
        <f>'SM Cost'!G43</f>
        <v>479.27901192554521</v>
      </c>
      <c r="I33" s="454">
        <f>'SM Cost'!H43</f>
        <v>474.4665952978541</v>
      </c>
      <c r="J33" s="454">
        <f>'SM Cost'!I43</f>
        <v>484.47017768022016</v>
      </c>
      <c r="K33" s="454">
        <f>'SM Cost'!J43</f>
        <v>485.30270142666939</v>
      </c>
      <c r="L33" s="454">
        <f>'SM Cost'!K43</f>
        <v>556.74591341413179</v>
      </c>
      <c r="M33" s="454">
        <f>'SM Cost'!L43</f>
        <v>563.68093431659429</v>
      </c>
      <c r="N33" s="454">
        <f>'SM Cost'!M43</f>
        <v>565.83198942381068</v>
      </c>
      <c r="O33" s="454">
        <f>'SM Cost'!N43</f>
        <v>548.1254061915505</v>
      </c>
      <c r="P33" s="454">
        <f>'SM Cost'!O43</f>
        <v>388.38457179501245</v>
      </c>
      <c r="Q33" s="454">
        <f>'SM Cost'!P43</f>
        <v>417.91277535243449</v>
      </c>
      <c r="R33" s="454">
        <f>'SM Cost'!Q43</f>
        <v>507.8574002611229</v>
      </c>
      <c r="S33" s="412">
        <f t="shared" si="2"/>
        <v>5945.8990544683402</v>
      </c>
      <c r="U33" s="275"/>
      <c r="V33" s="275"/>
    </row>
    <row r="34" spans="1:23">
      <c r="A34" s="967" t="s">
        <v>183</v>
      </c>
      <c r="B34" s="968"/>
      <c r="C34" s="182" t="s">
        <v>168</v>
      </c>
      <c r="D34" s="235" t="s">
        <v>81</v>
      </c>
      <c r="E34" s="496">
        <v>65829.776765879069</v>
      </c>
      <c r="F34" s="496">
        <f>'[3]Prod &amp; Defects - Costs'!S34</f>
        <v>102591.07599632599</v>
      </c>
      <c r="G34" s="460">
        <f t="array" ref="G34">SUM(IF($C$15:$C$29=$C34,G$15:G$29))</f>
        <v>7778.7182512036734</v>
      </c>
      <c r="H34" s="460">
        <f t="array" ref="H34">SUM(IF($C$15:$C$29=$C34,H$15:H$29))</f>
        <v>7348.7555842947468</v>
      </c>
      <c r="I34" s="460">
        <f t="array" ref="I34">SUM(IF($C$15:$C$29=$C34,I$15:I$29))</f>
        <v>7045.8880766589527</v>
      </c>
      <c r="J34" s="460">
        <f t="array" ref="J34">SUM(IF($C$15:$C$29=$C34,J$15:J$29))</f>
        <v>7099.522522038118</v>
      </c>
      <c r="K34" s="460">
        <f t="array" ref="K34">SUM(IF($C$15:$C$29=$C34,K$15:K$29))</f>
        <v>8018.1607712125578</v>
      </c>
      <c r="L34" s="460">
        <f t="array" ref="L34">SUM(IF($C$15:$C$29=$C34,L$15:L$29))</f>
        <v>9069.6361464395868</v>
      </c>
      <c r="M34" s="460">
        <f t="array" ref="M34">SUM(IF($C$15:$C$29=$C34,M$15:M$29))</f>
        <v>9082.3560459104283</v>
      </c>
      <c r="N34" s="460">
        <f t="array" ref="N34">SUM(IF($C$15:$C$29=$C34,N$15:N$29))</f>
        <v>9076.7494905728345</v>
      </c>
      <c r="O34" s="461">
        <f t="array" ref="O34">SUM(IF($C$15:$C$29=$C34,O$15:O$29))</f>
        <v>8341.0651050784509</v>
      </c>
      <c r="P34" s="461">
        <f t="array" ref="P34">SUM(IF($C$15:$C$29=$C34,P$15:P$29))</f>
        <v>6705.1564167105607</v>
      </c>
      <c r="Q34" s="461">
        <f t="array" ref="Q34">SUM(IF($C$15:$C$29=$C34,Q$15:Q$29))</f>
        <v>6604.1917253795154</v>
      </c>
      <c r="R34" s="461">
        <f t="array" ref="R34">SUM(IF($C$15:$C$29=$C34,R$15:R$29))</f>
        <v>8259.8558088987684</v>
      </c>
      <c r="S34" s="255">
        <f>SUM(G34:R34)</f>
        <v>94430.055944398191</v>
      </c>
      <c r="U34" s="275"/>
      <c r="V34" s="275"/>
    </row>
    <row r="35" spans="1:23">
      <c r="A35" s="969"/>
      <c r="B35" s="970"/>
      <c r="C35" s="184" t="s">
        <v>169</v>
      </c>
      <c r="D35" s="236" t="s">
        <v>81</v>
      </c>
      <c r="E35" s="494">
        <v>29142.131707923243</v>
      </c>
      <c r="F35" s="494">
        <f>'[3]Prod &amp; Defects - Costs'!S35</f>
        <v>39810.970205664584</v>
      </c>
      <c r="G35" s="453">
        <f t="array" ref="G35">SUM(IF($C$15:$C$29=$C35,G$15:G$29))</f>
        <v>2610.4279230096786</v>
      </c>
      <c r="H35" s="453">
        <f t="array" ref="H35">SUM(IF($C$15:$C$29=$C35,H$15:H$29))</f>
        <v>2322.3774404191017</v>
      </c>
      <c r="I35" s="453">
        <f t="array" ref="I35">SUM(IF($C$15:$C$29=$C35,I$15:I$29))</f>
        <v>2248.7227166515304</v>
      </c>
      <c r="J35" s="453">
        <f t="array" ref="J35">SUM(IF($C$15:$C$29=$C35,J$15:J$29))</f>
        <v>2265.2116592805442</v>
      </c>
      <c r="K35" s="453">
        <f t="array" ref="K35">SUM(IF($C$15:$C$29=$C35,K$15:K$29))</f>
        <v>2655.266339967819</v>
      </c>
      <c r="L35" s="453">
        <f t="array" ref="L35">SUM(IF($C$15:$C$29=$C35,L$15:L$29))</f>
        <v>3031.9361164044944</v>
      </c>
      <c r="M35" s="453">
        <f t="array" ref="M35">SUM(IF($C$15:$C$29=$C35,M$15:M$29))</f>
        <v>3016.0545461258976</v>
      </c>
      <c r="N35" s="453">
        <f t="array" ref="N35">SUM(IF($C$15:$C$29=$C35,N$15:N$29))</f>
        <v>3017.2432156064797</v>
      </c>
      <c r="O35" s="454">
        <f t="array" ref="O35">SUM(IF($C$15:$C$29=$C35,O$15:O$29))</f>
        <v>2724.6700201543499</v>
      </c>
      <c r="P35" s="454">
        <f t="array" ref="P35">SUM(IF($C$15:$C$29=$C35,P$15:P$29))</f>
        <v>2231.333931638329</v>
      </c>
      <c r="Q35" s="454">
        <f t="array" ref="Q35">SUM(IF($C$15:$C$29=$C35,Q$15:Q$29))</f>
        <v>2182.871391661381</v>
      </c>
      <c r="R35" s="454">
        <f t="array" ref="R35">SUM(IF($C$15:$C$29=$C35,R$15:R$29))</f>
        <v>2736.9266317548386</v>
      </c>
      <c r="S35" s="256">
        <f t="shared" ref="S35:S36" si="4">SUM(G35:R35)</f>
        <v>31043.041932674445</v>
      </c>
    </row>
    <row r="36" spans="1:23">
      <c r="A36" s="969"/>
      <c r="B36" s="970"/>
      <c r="C36" s="187" t="s">
        <v>104</v>
      </c>
      <c r="D36" s="237" t="s">
        <v>81</v>
      </c>
      <c r="E36" s="495">
        <v>41311.07685443943</v>
      </c>
      <c r="F36" s="495">
        <f>'[3]Prod &amp; Defects - Costs'!S36</f>
        <v>63308.632934256755</v>
      </c>
      <c r="G36" s="457">
        <f t="array" ref="G36">SUM(IF($C$15:$C$29=$C36,G$15:G$29))</f>
        <v>4737.0916054095151</v>
      </c>
      <c r="H36" s="457">
        <f t="array" ref="H36">SUM(IF($C$15:$C$29=$C36,H$15:H$29))</f>
        <v>4921.0603117562014</v>
      </c>
      <c r="I36" s="457">
        <f t="array" ref="I36">SUM(IF($C$15:$C$29=$C36,I$15:I$29))</f>
        <v>4634.2270359948961</v>
      </c>
      <c r="J36" s="457">
        <f t="array" ref="J36">SUM(IF($C$15:$C$29=$C36,J$15:J$29))</f>
        <v>4663.5412417884763</v>
      </c>
      <c r="K36" s="457">
        <f t="array" ref="K36">SUM(IF($C$15:$C$29=$C36,K$15:K$29))</f>
        <v>3189.8677390468984</v>
      </c>
      <c r="L36" s="457">
        <f t="array" ref="L36">SUM(IF($C$15:$C$29=$C36,L$15:L$29))</f>
        <v>3627.8393115238432</v>
      </c>
      <c r="M36" s="457">
        <f t="array" ref="M36">SUM(IF($C$15:$C$29=$C36,M$15:M$29))</f>
        <v>3595.8405047199071</v>
      </c>
      <c r="N36" s="457">
        <f t="array" ref="N36">SUM(IF($C$15:$C$29=$C36,N$15:N$29))</f>
        <v>3591.5460521435893</v>
      </c>
      <c r="O36" s="458">
        <f t="array" ref="O36">SUM(IF($C$15:$C$29=$C36,O$15:O$29))</f>
        <v>3319.5840484062533</v>
      </c>
      <c r="P36" s="458">
        <f t="array" ref="P36">SUM(IF($C$15:$C$29=$C36,P$15:P$29))</f>
        <v>2652.7027163377625</v>
      </c>
      <c r="Q36" s="458">
        <f t="array" ref="Q36">SUM(IF($C$15:$C$29=$C36,Q$15:Q$29))</f>
        <v>2588.6443951314709</v>
      </c>
      <c r="R36" s="458">
        <f t="array" ref="R36">SUM(IF($C$15:$C$29=$C36,R$15:R$29))</f>
        <v>3241.5133327747108</v>
      </c>
      <c r="S36" s="257">
        <f t="shared" si="4"/>
        <v>44763.458295033524</v>
      </c>
    </row>
    <row r="37" spans="1:23">
      <c r="A37" s="969"/>
      <c r="B37" s="970"/>
      <c r="C37" s="210" t="s">
        <v>1</v>
      </c>
      <c r="D37" s="225" t="s">
        <v>81</v>
      </c>
      <c r="E37" s="492">
        <v>168565.80714960021</v>
      </c>
      <c r="F37" s="492">
        <f>'[3]Prod &amp; Defects - Costs'!S37</f>
        <v>259095.65401665238</v>
      </c>
      <c r="G37" s="259">
        <f>SUM(G30:G36)</f>
        <v>19837.03077442315</v>
      </c>
      <c r="H37" s="259">
        <f t="shared" ref="H37:R37" si="5">SUM(H30:H36)</f>
        <v>19051.410546327297</v>
      </c>
      <c r="I37" s="259">
        <f t="shared" si="5"/>
        <v>18229.984119673263</v>
      </c>
      <c r="J37" s="259">
        <f t="shared" si="5"/>
        <v>18365.844033227899</v>
      </c>
      <c r="K37" s="259">
        <f t="shared" si="5"/>
        <v>18693.864902787973</v>
      </c>
      <c r="L37" s="259">
        <f t="shared" si="5"/>
        <v>21217.290173677728</v>
      </c>
      <c r="M37" s="259">
        <f t="shared" si="5"/>
        <v>21145.42537558695</v>
      </c>
      <c r="N37" s="259">
        <f t="shared" si="5"/>
        <v>21141.176639313886</v>
      </c>
      <c r="O37" s="259">
        <f t="shared" si="5"/>
        <v>19435.63136844472</v>
      </c>
      <c r="P37" s="259">
        <f t="shared" si="5"/>
        <v>15591.992862123161</v>
      </c>
      <c r="Q37" s="259">
        <f t="shared" si="5"/>
        <v>15329.569701419952</v>
      </c>
      <c r="R37" s="259">
        <f t="shared" si="5"/>
        <v>19189.397572897262</v>
      </c>
      <c r="S37" s="260">
        <f>SUM(S30:S36)</f>
        <v>227228.61806990323</v>
      </c>
      <c r="T37" s="275"/>
    </row>
    <row r="38" spans="1:23">
      <c r="A38" s="969"/>
      <c r="B38" s="970"/>
      <c r="C38" s="210" t="s">
        <v>178</v>
      </c>
      <c r="D38" s="225" t="s">
        <v>105</v>
      </c>
      <c r="E38" s="499">
        <v>2.5790075038440176E-3</v>
      </c>
      <c r="F38" s="499">
        <f>'[3]Prod &amp; Defects - Costs'!S38</f>
        <v>4.1327424347947705E-3</v>
      </c>
      <c r="G38" s="466">
        <f t="shared" ref="G38:H38" si="6">G37/G10</f>
        <v>2.7576294033898195E-6</v>
      </c>
      <c r="H38" s="466">
        <f t="shared" si="6"/>
        <v>2.6670007346352171E-6</v>
      </c>
      <c r="I38" s="466">
        <f>IF(ISERR(I37/I10),0,I37/I10)</f>
        <v>2.6776483399206538E-6</v>
      </c>
      <c r="J38" s="466">
        <f t="shared" ref="J38:R38" si="7">IF(ISERR(J37/J10),0,J37/J10)</f>
        <v>2.6732738527193604E-6</v>
      </c>
      <c r="K38" s="466">
        <f t="shared" si="7"/>
        <v>2.4651600177616688E-6</v>
      </c>
      <c r="L38" s="466">
        <f t="shared" si="7"/>
        <v>2.5098066621111624E-6</v>
      </c>
      <c r="M38" s="466">
        <f t="shared" si="7"/>
        <v>2.5145373200217307E-6</v>
      </c>
      <c r="N38" s="466">
        <f t="shared" si="7"/>
        <v>2.5089820618348489E-6</v>
      </c>
      <c r="O38" s="466">
        <f t="shared" si="7"/>
        <v>2.4766326485328837E-6</v>
      </c>
      <c r="P38" s="466">
        <f t="shared" si="7"/>
        <v>2.6007358898800554E-6</v>
      </c>
      <c r="Q38" s="466">
        <f t="shared" si="7"/>
        <v>2.5121346053045279E-6</v>
      </c>
      <c r="R38" s="466">
        <f t="shared" si="7"/>
        <v>2.5078924646024771E-6</v>
      </c>
      <c r="S38" s="467">
        <f>S37/S10</f>
        <v>2.5680089483165541E-6</v>
      </c>
    </row>
    <row r="39" spans="1:23">
      <c r="A39" s="969"/>
      <c r="B39" s="970"/>
      <c r="C39" s="182" t="s">
        <v>176</v>
      </c>
      <c r="D39" s="235" t="s">
        <v>105</v>
      </c>
      <c r="E39" s="500">
        <v>1.2099999999999999E-3</v>
      </c>
      <c r="F39" s="500">
        <f>'[3]Prod &amp; Defects - Costs'!S39</f>
        <v>9.2000000000000003E-4</v>
      </c>
      <c r="G39" s="468">
        <v>9.2000000000000003E-4</v>
      </c>
      <c r="H39" s="468">
        <f>G39</f>
        <v>9.2000000000000003E-4</v>
      </c>
      <c r="I39" s="468">
        <f t="shared" ref="I39:R39" si="8">H39</f>
        <v>9.2000000000000003E-4</v>
      </c>
      <c r="J39" s="468">
        <f t="shared" si="8"/>
        <v>9.2000000000000003E-4</v>
      </c>
      <c r="K39" s="468">
        <f t="shared" si="8"/>
        <v>9.2000000000000003E-4</v>
      </c>
      <c r="L39" s="468">
        <f t="shared" si="8"/>
        <v>9.2000000000000003E-4</v>
      </c>
      <c r="M39" s="468">
        <f t="shared" si="8"/>
        <v>9.2000000000000003E-4</v>
      </c>
      <c r="N39" s="468">
        <f t="shared" si="8"/>
        <v>9.2000000000000003E-4</v>
      </c>
      <c r="O39" s="468">
        <f t="shared" si="8"/>
        <v>9.2000000000000003E-4</v>
      </c>
      <c r="P39" s="468">
        <f t="shared" si="8"/>
        <v>9.2000000000000003E-4</v>
      </c>
      <c r="Q39" s="468">
        <f t="shared" si="8"/>
        <v>9.2000000000000003E-4</v>
      </c>
      <c r="R39" s="468">
        <f t="shared" si="8"/>
        <v>9.2000000000000003E-4</v>
      </c>
      <c r="S39" s="469">
        <f>R39</f>
        <v>9.2000000000000003E-4</v>
      </c>
    </row>
    <row r="40" spans="1:23" ht="13.5" thickBot="1">
      <c r="A40" s="971"/>
      <c r="B40" s="972"/>
      <c r="C40" s="251" t="s">
        <v>181</v>
      </c>
      <c r="D40" s="252"/>
      <c r="E40" s="501">
        <v>1.3690075038440177E-3</v>
      </c>
      <c r="F40" s="501">
        <f>'[3]Prod &amp; Defects - Costs'!S40</f>
        <v>3.2127424347947707E-3</v>
      </c>
      <c r="G40" s="470">
        <f>G38-G39</f>
        <v>-9.1724237059661023E-4</v>
      </c>
      <c r="H40" s="470">
        <f t="shared" ref="H40:S40" si="9">H38-H39</f>
        <v>-9.1733299926536477E-4</v>
      </c>
      <c r="I40" s="470">
        <f t="shared" si="9"/>
        <v>-9.1732235166007935E-4</v>
      </c>
      <c r="J40" s="470">
        <f t="shared" si="9"/>
        <v>-9.1732672614728064E-4</v>
      </c>
      <c r="K40" s="470">
        <f t="shared" si="9"/>
        <v>-9.175348399822384E-4</v>
      </c>
      <c r="L40" s="470">
        <f t="shared" si="9"/>
        <v>-9.1749019333788886E-4</v>
      </c>
      <c r="M40" s="470">
        <f t="shared" si="9"/>
        <v>-9.1748546267997832E-4</v>
      </c>
      <c r="N40" s="470">
        <f t="shared" si="9"/>
        <v>-9.1749101793816516E-4</v>
      </c>
      <c r="O40" s="471">
        <f t="shared" si="9"/>
        <v>-9.1752336735146712E-4</v>
      </c>
      <c r="P40" s="471">
        <f t="shared" si="9"/>
        <v>-9.1739926411012001E-4</v>
      </c>
      <c r="Q40" s="471">
        <f t="shared" si="9"/>
        <v>-9.174878653946955E-4</v>
      </c>
      <c r="R40" s="471">
        <f t="shared" si="9"/>
        <v>-9.1749210753539758E-4</v>
      </c>
      <c r="S40" s="472">
        <f t="shared" si="9"/>
        <v>-9.1743199105168345E-4</v>
      </c>
    </row>
    <row r="41" spans="1:23">
      <c r="F41" s="697"/>
    </row>
    <row r="42" spans="1:23">
      <c r="F42" s="697"/>
    </row>
    <row r="43" spans="1:23" ht="13.5" thickBot="1">
      <c r="A43" s="1" t="s">
        <v>1</v>
      </c>
      <c r="F43" s="697"/>
      <c r="T43" s="1" t="s">
        <v>55</v>
      </c>
      <c r="U43" s="1" t="s">
        <v>54</v>
      </c>
      <c r="V43" s="1" t="s">
        <v>203</v>
      </c>
    </row>
    <row r="44" spans="1:23">
      <c r="A44" s="980" t="s">
        <v>98</v>
      </c>
      <c r="B44" s="981"/>
      <c r="C44" s="262"/>
      <c r="D44" s="502"/>
      <c r="E44" s="503">
        <v>40356.441942054429</v>
      </c>
      <c r="F44" s="503">
        <f>'[3]Prod &amp; Defects - Costs'!S44</f>
        <v>42929.529033950239</v>
      </c>
      <c r="G44" s="504">
        <f t="shared" ref="G44:R44" si="10">SUM(G15:G17)</f>
        <v>3035.2332533493836</v>
      </c>
      <c r="H44" s="504">
        <f t="shared" si="10"/>
        <v>1656.2862610348693</v>
      </c>
      <c r="I44" s="504">
        <f>SUM(I15:I17)</f>
        <v>1648.6859135955567</v>
      </c>
      <c r="J44" s="504">
        <f>SUM(J15:J17)</f>
        <v>1666.1181815694201</v>
      </c>
      <c r="K44" s="504">
        <f t="shared" si="10"/>
        <v>3009.7006214889557</v>
      </c>
      <c r="L44" s="504">
        <f t="shared" si="10"/>
        <v>3487.6945192031881</v>
      </c>
      <c r="M44" s="504">
        <f t="shared" si="10"/>
        <v>3512.5243287631911</v>
      </c>
      <c r="N44" s="504">
        <f t="shared" si="10"/>
        <v>3516.5454933064543</v>
      </c>
      <c r="O44" s="504">
        <f t="shared" si="10"/>
        <v>2819.4339018088422</v>
      </c>
      <c r="P44" s="504">
        <f>SUM(P15:P17)</f>
        <v>2612.8985760057599</v>
      </c>
      <c r="Q44" s="504">
        <f t="shared" si="10"/>
        <v>2643.7419474102244</v>
      </c>
      <c r="R44" s="504">
        <f t="shared" si="10"/>
        <v>3254.7782594757873</v>
      </c>
      <c r="S44" s="264">
        <f>SUM(G44:R44)</f>
        <v>32863.64125701163</v>
      </c>
      <c r="T44" s="488">
        <f>SUM(G44:L44)/SUM(G5:L5)*1000</f>
        <v>2.4449498770533727E-3</v>
      </c>
      <c r="U44" s="488">
        <f>SUM(M44:R44)/SUM(M5:R5)*1000</f>
        <v>2.4449498770533727E-3</v>
      </c>
      <c r="V44" s="488">
        <f>SUM(G44:R44)/SUM(G5:R5)*1000</f>
        <v>2.4449498770533727E-3</v>
      </c>
    </row>
    <row r="45" spans="1:23">
      <c r="A45" s="973" t="s">
        <v>184</v>
      </c>
      <c r="B45" s="974"/>
      <c r="C45" s="265"/>
      <c r="D45" s="267"/>
      <c r="E45" s="505">
        <v>21192.544652933433</v>
      </c>
      <c r="F45" s="505">
        <f>'[3]Prod &amp; Defects - Costs'!S45</f>
        <v>30515.625100229066</v>
      </c>
      <c r="G45" s="506">
        <f t="shared" ref="G45:R45" si="11">SUM(G18:G20)</f>
        <v>2412.2935980348675</v>
      </c>
      <c r="H45" s="506">
        <f t="shared" si="11"/>
        <v>2524.6251105802753</v>
      </c>
      <c r="I45" s="506">
        <f>SUM(I18:I20)</f>
        <v>2429.6601774794544</v>
      </c>
      <c r="J45" s="506">
        <f>SUM(J18:J20)</f>
        <v>2445.3680552257301</v>
      </c>
      <c r="K45" s="506">
        <f t="shared" si="11"/>
        <v>2475.2415269566495</v>
      </c>
      <c r="L45" s="506">
        <f t="shared" si="11"/>
        <v>2814.303925485292</v>
      </c>
      <c r="M45" s="506">
        <f t="shared" si="11"/>
        <v>2779.6876192731711</v>
      </c>
      <c r="N45" s="506">
        <f t="shared" si="11"/>
        <v>2781.1456472046793</v>
      </c>
      <c r="O45" s="506">
        <f t="shared" si="11"/>
        <v>2646.1797717329177</v>
      </c>
      <c r="P45" s="506">
        <f t="shared" si="11"/>
        <v>2052.1897164541042</v>
      </c>
      <c r="Q45" s="506">
        <f t="shared" si="11"/>
        <v>1969.7301199257458</v>
      </c>
      <c r="R45" s="506">
        <f t="shared" si="11"/>
        <v>2497.3972182130028</v>
      </c>
      <c r="S45" s="256">
        <f>SUM(G45:R45)</f>
        <v>29827.822486565892</v>
      </c>
      <c r="T45" s="488">
        <f>SUM(G45:L45)/SUM(G6:L6)*1000</f>
        <v>3.439852953865113E-3</v>
      </c>
      <c r="U45" s="488">
        <f>SUM(M45:R45)/SUM(M6:R6)*1000</f>
        <v>3.4398529538651121E-3</v>
      </c>
      <c r="V45" s="488">
        <f>SUM(G45:R45)/SUM(G6:R6)*1000</f>
        <v>3.4398529538651138E-3</v>
      </c>
    </row>
    <row r="46" spans="1:23">
      <c r="A46" s="973" t="s">
        <v>185</v>
      </c>
      <c r="B46" s="974"/>
      <c r="C46" s="265"/>
      <c r="D46" s="267"/>
      <c r="E46" s="505">
        <v>56356.160738945277</v>
      </c>
      <c r="F46" s="505">
        <f>'[3]Prod &amp; Defects - Costs'!S46</f>
        <v>88126.208369318221</v>
      </c>
      <c r="G46" s="506">
        <f t="shared" ref="G46:R46" si="12">SUM(G21:G23)</f>
        <v>6976.4935146877197</v>
      </c>
      <c r="H46" s="506">
        <f t="shared" si="12"/>
        <v>7301.3627882315823</v>
      </c>
      <c r="I46" s="506">
        <f t="shared" si="12"/>
        <v>7026.7186734188836</v>
      </c>
      <c r="J46" s="506">
        <f t="shared" si="12"/>
        <v>7072.1467702789296</v>
      </c>
      <c r="K46" s="506">
        <f t="shared" si="12"/>
        <v>7158.5425895779335</v>
      </c>
      <c r="L46" s="506">
        <f t="shared" si="12"/>
        <v>8139.1307842887763</v>
      </c>
      <c r="M46" s="506">
        <f t="shared" si="12"/>
        <v>8039.018411570948</v>
      </c>
      <c r="N46" s="506">
        <f t="shared" si="12"/>
        <v>8043.2351132264539</v>
      </c>
      <c r="O46" s="506">
        <f t="shared" si="12"/>
        <v>7652.9059444636041</v>
      </c>
      <c r="P46" s="506">
        <f t="shared" si="12"/>
        <v>5935.0521260820215</v>
      </c>
      <c r="Q46" s="506">
        <f t="shared" si="12"/>
        <v>5696.5741726220867</v>
      </c>
      <c r="R46" s="506">
        <f t="shared" si="12"/>
        <v>7222.6181384619049</v>
      </c>
      <c r="S46" s="256">
        <f>SUM(G46:R46)</f>
        <v>86263.799026910856</v>
      </c>
      <c r="T46" s="488">
        <f>SUM(G46:L46)/SUM(G7:L7)*1000</f>
        <v>2.9912801140441194E-3</v>
      </c>
      <c r="U46" s="488">
        <f>SUM(M46:R46)/SUM(M7:R7)*1000</f>
        <v>2.9912801140441199E-3</v>
      </c>
      <c r="V46" s="488">
        <f>SUM(G46:R46)/SUM(G7:R7)*1000</f>
        <v>2.9912801140441199E-3</v>
      </c>
      <c r="W46" s="530">
        <f>(S45+S46)/(S6+S7)*1000</f>
        <v>3.0949783539470466E-3</v>
      </c>
    </row>
    <row r="47" spans="1:23">
      <c r="A47" s="973" t="s">
        <v>119</v>
      </c>
      <c r="B47" s="974"/>
      <c r="C47" s="265"/>
      <c r="D47" s="267"/>
      <c r="E47" s="505">
        <v>13978.90091535202</v>
      </c>
      <c r="F47" s="505">
        <f>'[3]Prod &amp; Defects - Costs'!S47</f>
        <v>35723.317762310711</v>
      </c>
      <c r="G47" s="506">
        <f t="shared" ref="G47:R47" si="13">SUM(G24:G26)</f>
        <v>2630.603505568029</v>
      </c>
      <c r="H47" s="506">
        <f t="shared" si="13"/>
        <v>3003.5554217527679</v>
      </c>
      <c r="I47" s="506">
        <f t="shared" si="13"/>
        <v>2720.4728345005533</v>
      </c>
      <c r="J47" s="506">
        <f t="shared" si="13"/>
        <v>2734.1513366346467</v>
      </c>
      <c r="K47" s="506">
        <f t="shared" si="13"/>
        <v>1109.6547576158068</v>
      </c>
      <c r="L47" s="506">
        <f t="shared" si="13"/>
        <v>1169.338171270467</v>
      </c>
      <c r="M47" s="506">
        <f t="shared" si="13"/>
        <v>1140.9439160540508</v>
      </c>
      <c r="N47" s="506">
        <f t="shared" si="13"/>
        <v>1138.6616729288737</v>
      </c>
      <c r="O47" s="506">
        <f t="shared" si="13"/>
        <v>1137.3153994593795</v>
      </c>
      <c r="P47" s="506">
        <f t="shared" si="13"/>
        <v>841.71301025083596</v>
      </c>
      <c r="Q47" s="506">
        <f t="shared" si="13"/>
        <v>879.14235941506422</v>
      </c>
      <c r="R47" s="506">
        <f t="shared" si="13"/>
        <v>1087.4996947254915</v>
      </c>
      <c r="S47" s="256">
        <f>SUM(G47:R47)</f>
        <v>19593.052080175967</v>
      </c>
      <c r="T47" s="488">
        <f>SUM(G47:L47)/SUM(G8:L8)*1000</f>
        <v>1.3000227269395564E-3</v>
      </c>
      <c r="U47" s="488">
        <f>SUM(M47:R47)/SUM(M8:R8)*1000</f>
        <v>6.2703894936722959E-4</v>
      </c>
      <c r="V47" s="488">
        <f>SUM(G47:R47)/SUM(G8:R8)*1000</f>
        <v>9.6943581308038507E-4</v>
      </c>
    </row>
    <row r="48" spans="1:23">
      <c r="A48" s="973" t="s">
        <v>106</v>
      </c>
      <c r="B48" s="974"/>
      <c r="C48" s="265"/>
      <c r="D48" s="267"/>
      <c r="E48" s="505">
        <v>4398.9370789565801</v>
      </c>
      <c r="F48" s="505">
        <f>'[3]Prod &amp; Defects - Costs'!S48</f>
        <v>8415.9988704390998</v>
      </c>
      <c r="G48" s="506">
        <f t="shared" ref="G48:R48" si="14">SUM(G27:G29)</f>
        <v>71.613907982866266</v>
      </c>
      <c r="H48" s="506">
        <f t="shared" si="14"/>
        <v>106.36375487055548</v>
      </c>
      <c r="I48" s="506">
        <f t="shared" si="14"/>
        <v>103.30023031093083</v>
      </c>
      <c r="J48" s="506">
        <f t="shared" si="14"/>
        <v>110.49107939841065</v>
      </c>
      <c r="K48" s="506">
        <f t="shared" si="14"/>
        <v>110.15535458792981</v>
      </c>
      <c r="L48" s="506">
        <f t="shared" si="14"/>
        <v>118.94417412020061</v>
      </c>
      <c r="M48" s="506">
        <f t="shared" si="14"/>
        <v>222.07682109487257</v>
      </c>
      <c r="N48" s="506">
        <f t="shared" si="14"/>
        <v>205.95083165644186</v>
      </c>
      <c r="O48" s="506">
        <f t="shared" si="14"/>
        <v>129.48415617431144</v>
      </c>
      <c r="P48" s="506">
        <f t="shared" si="14"/>
        <v>147.33963589393244</v>
      </c>
      <c r="Q48" s="506">
        <f t="shared" si="14"/>
        <v>186.51891279924624</v>
      </c>
      <c r="R48" s="506">
        <f t="shared" si="14"/>
        <v>176.00246255213142</v>
      </c>
      <c r="S48" s="256">
        <f>SUM(G48:R48)</f>
        <v>1688.2413214418295</v>
      </c>
      <c r="T48" s="488">
        <f>SUM(G48:L48)/SUM(G9:L9)*1000</f>
        <v>7.0180919384317005E-5</v>
      </c>
      <c r="U48" s="488">
        <f>SUM(M48:R48)/SUM(M9:R9)*1000</f>
        <v>1.2593205229436243E-4</v>
      </c>
      <c r="V48" s="488">
        <f>SUM(G48:R48)/SUM(G9:R9)*1000</f>
        <v>9.745962558516565E-5</v>
      </c>
    </row>
    <row r="49" spans="1:22">
      <c r="A49" s="975" t="s">
        <v>207</v>
      </c>
      <c r="B49" s="507" t="s">
        <v>98</v>
      </c>
      <c r="C49" s="508"/>
      <c r="D49" s="509"/>
      <c r="E49" s="510">
        <v>10479.028397874523</v>
      </c>
      <c r="F49" s="510">
        <f>'[3]Prod &amp; Defects - Costs'!S49</f>
        <v>8120.162911693199</v>
      </c>
      <c r="G49" s="511">
        <f>'BLIND-PVC-PRE - Cost'!F10+'BLIND-PVC-PRE - Cost'!F24+'BLIND-PVC-PRE - Cost'!F29</f>
        <v>968.79250509076212</v>
      </c>
      <c r="H49" s="511">
        <f>'BLIND-PVC-PRE - Cost'!G10+'BLIND-PVC-PRE - Cost'!G24+'BLIND-PVC-PRE - Cost'!G29</f>
        <v>528.65713506687075</v>
      </c>
      <c r="I49" s="511">
        <f>'BLIND-PVC-PRE - Cost'!H10+'BLIND-PVC-PRE - Cost'!H24+'BLIND-PVC-PRE - Cost'!H29</f>
        <v>526.23123925567847</v>
      </c>
      <c r="J49" s="511">
        <f>'BLIND-PVC-PRE - Cost'!I10+'BLIND-PVC-PRE - Cost'!I24+'BLIND-PVC-PRE - Cost'!I29</f>
        <v>531.79530934524303</v>
      </c>
      <c r="K49" s="511">
        <f>'BLIND-PVC-PRE - Cost'!J10+'BLIND-PVC-PRE - Cost'!J24+'BLIND-PVC-PRE - Cost'!J29</f>
        <v>960.64294282752314</v>
      </c>
      <c r="L49" s="511">
        <f>'BLIND-PVC-PRE - Cost'!K10+'BLIND-PVC-PRE - Cost'!K24+'BLIND-PVC-PRE - Cost'!K29</f>
        <v>1113.2100989344428</v>
      </c>
      <c r="M49" s="511">
        <f>'BLIND-PVC-PRE - Cost'!L10+'BLIND-PVC-PRE - Cost'!L24+'BLIND-PVC-PRE - Cost'!L29</f>
        <v>1121.1353328116143</v>
      </c>
      <c r="N49" s="511">
        <f>'BLIND-PVC-PRE - Cost'!M10+'BLIND-PVC-PRE - Cost'!M24+'BLIND-PVC-PRE - Cost'!M29</f>
        <v>1122.4188170601315</v>
      </c>
      <c r="O49" s="511">
        <f>'[6]BLIND-PVC-PRE - Cost'!N10+'[6]BLIND-PVC-PRE - Cost'!N24+'[6]BLIND-PVC-PRE - Cost'!N29</f>
        <v>0</v>
      </c>
      <c r="P49" s="511">
        <f>'[6]BLIND-PVC-PRE - Cost'!O10+'[6]BLIND-PVC-PRE - Cost'!O24+'[6]BLIND-PVC-PRE - Cost'!O29</f>
        <v>0</v>
      </c>
      <c r="Q49" s="511">
        <f>'[6]BLIND-PVC-PRE - Cost'!P10+'[6]BLIND-PVC-PRE - Cost'!P24+'[6]BLIND-PVC-PRE - Cost'!P29</f>
        <v>0</v>
      </c>
      <c r="R49" s="511">
        <f>'[6]BLIND-PVC-PRE - Cost'!Q10+'[6]BLIND-PVC-PRE - Cost'!Q24+'[6]BLIND-PVC-PRE - Cost'!Q29</f>
        <v>0</v>
      </c>
      <c r="S49" s="412">
        <f t="shared" ref="S49:S56" si="15">SUM(G49:R49)</f>
        <v>6872.8833803922662</v>
      </c>
      <c r="T49" s="488" cm="1">
        <f t="array" ref="T49">SUM(G49:L49/SUM('BLIND-PVC-PRE - Cost'!F36:K39))</f>
        <v>2.520601063439154E-3</v>
      </c>
      <c r="U49" s="488"/>
      <c r="V49" s="488"/>
    </row>
    <row r="50" spans="1:22">
      <c r="A50" s="976"/>
      <c r="B50" s="507" t="s">
        <v>96</v>
      </c>
      <c r="C50" s="508"/>
      <c r="D50" s="509"/>
      <c r="E50" s="510">
        <v>16482.335665288734</v>
      </c>
      <c r="F50" s="510">
        <f>'[3]Prod &amp; Defects - Costs'!S50</f>
        <v>23388.137766394648</v>
      </c>
      <c r="G50" s="511">
        <f>'BLIND-PVC-PRE - Cost'!F22+'BLIND-PVC-PRE - Cost'!F25+'BLIND-PVC-PRE - Cost'!F30</f>
        <v>3098.6770810250805</v>
      </c>
      <c r="H50" s="511">
        <f>'BLIND-PVC-PRE - Cost'!G22+'BLIND-PVC-PRE - Cost'!G25+'BLIND-PVC-PRE - Cost'!G30</f>
        <v>3165.1088040602222</v>
      </c>
      <c r="I50" s="511">
        <f>'BLIND-PVC-PRE - Cost'!H22+'BLIND-PVC-PRE - Cost'!H25+'BLIND-PVC-PRE - Cost'!H30</f>
        <v>3048.8533490323957</v>
      </c>
      <c r="J50" s="511">
        <f>'BLIND-PVC-PRE - Cost'!I22+'BLIND-PVC-PRE - Cost'!I25+'BLIND-PVC-PRE - Cost'!I30</f>
        <v>3068.9112464049508</v>
      </c>
      <c r="K50" s="511">
        <f>'BLIND-PVC-PRE - Cost'!J22+'BLIND-PVC-PRE - Cost'!J25+'BLIND-PVC-PRE - Cost'!J30</f>
        <v>3174.1718434421928</v>
      </c>
      <c r="L50" s="511">
        <f>'BLIND-PVC-PRE - Cost'!K22+'BLIND-PVC-PRE - Cost'!K25+'BLIND-PVC-PRE - Cost'!K30</f>
        <v>3612.3406949996415</v>
      </c>
      <c r="M50" s="511">
        <f>'BLIND-PVC-PRE - Cost'!L22+'BLIND-PVC-PRE - Cost'!L25+'BLIND-PVC-PRE - Cost'!L30</f>
        <v>3571.3771965229348</v>
      </c>
      <c r="N50" s="511">
        <f>'BLIND-PVC-PRE - Cost'!M22+'BLIND-PVC-PRE - Cost'!M25+'BLIND-PVC-PRE - Cost'!M30</f>
        <v>3573.3620741204641</v>
      </c>
      <c r="O50" s="511">
        <f>'[6]BLIND-PVC-PRE - Cost'!N16+'[6]BLIND-PVC-PRE - Cost'!N21+'[6]BLIND-PVC-PRE - Cost'!N25+'[6]BLIND-PVC-PRE - Cost'!N30</f>
        <v>0</v>
      </c>
      <c r="P50" s="511">
        <f>'[6]BLIND-PVC-PRE - Cost'!O16+'[6]BLIND-PVC-PRE - Cost'!O21+'[6]BLIND-PVC-PRE - Cost'!O25+'[6]BLIND-PVC-PRE - Cost'!O30</f>
        <v>0</v>
      </c>
      <c r="Q50" s="511">
        <f>'[6]BLIND-PVC-PRE - Cost'!P16+'[6]BLIND-PVC-PRE - Cost'!P21+'[6]BLIND-PVC-PRE - Cost'!P25+'[6]BLIND-PVC-PRE - Cost'!P30</f>
        <v>0</v>
      </c>
      <c r="R50" s="511">
        <f>'[6]BLIND-PVC-PRE - Cost'!Q16+'[6]BLIND-PVC-PRE - Cost'!Q21+'[6]BLIND-PVC-PRE - Cost'!Q25+'[6]BLIND-PVC-PRE - Cost'!Q30</f>
        <v>0</v>
      </c>
      <c r="S50" s="412">
        <f>SUM(G50:R50)</f>
        <v>26312.802289607884</v>
      </c>
      <c r="T50" s="488">
        <f>SUM(G50:L50)/SUM('BLIND-PVC-PRE - Cost'!F51:K51)</f>
        <v>4.5919408398435524E-3</v>
      </c>
      <c r="U50" s="488"/>
      <c r="V50" s="488"/>
    </row>
    <row r="51" spans="1:22">
      <c r="A51" s="977"/>
      <c r="B51" s="512" t="s">
        <v>119</v>
      </c>
      <c r="C51" s="508"/>
      <c r="D51" s="509"/>
      <c r="E51" s="510">
        <v>3234.7612380461533</v>
      </c>
      <c r="F51" s="510">
        <f>'[3]Prod &amp; Defects - Costs'!S51</f>
        <v>2869.2472979353843</v>
      </c>
      <c r="G51" s="511">
        <f>'BLIND-PVC-PRE - Cost'!F31</f>
        <v>324.93257075733891</v>
      </c>
      <c r="H51" s="511">
        <f>'BLIND-PVC-PRE - Cost'!G31</f>
        <v>370.99965180481712</v>
      </c>
      <c r="I51" s="511">
        <f>'BLIND-PVC-PRE - Cost'!H31</f>
        <v>336.03324481197052</v>
      </c>
      <c r="J51" s="511">
        <f>'BLIND-PVC-PRE - Cost'!I31</f>
        <v>337.72281560936864</v>
      </c>
      <c r="K51" s="511">
        <f>'BLIND-PVC-PRE - Cost'!J31</f>
        <v>364.59563991010805</v>
      </c>
      <c r="L51" s="511">
        <f>'BLIND-PVC-PRE - Cost'!K31</f>
        <v>384.20562422648618</v>
      </c>
      <c r="M51" s="511">
        <f>'BLIND-PVC-PRE - Cost'!L31</f>
        <v>374.87621651715205</v>
      </c>
      <c r="N51" s="511">
        <f>'BLIND-PVC-PRE - Cost'!M31</f>
        <v>374.12634734663447</v>
      </c>
      <c r="O51" s="511">
        <f>'[6]BLIND-PVC-PRE - Cost'!N31</f>
        <v>0</v>
      </c>
      <c r="P51" s="511">
        <f>'[6]BLIND-PVC-PRE - Cost'!O31</f>
        <v>0</v>
      </c>
      <c r="Q51" s="511">
        <f>'[6]BLIND-PVC-PRE - Cost'!P31</f>
        <v>0</v>
      </c>
      <c r="R51" s="511">
        <f>'[6]BLIND-PVC-PRE - Cost'!Q31</f>
        <v>0</v>
      </c>
      <c r="S51" s="412">
        <f t="shared" si="15"/>
        <v>2867.492110983876</v>
      </c>
      <c r="T51" s="593">
        <f>SUM(G51:L51)/SUM('BLIND-PVC-PRE - Cost'!F56:K56)</f>
        <v>6.5868659306387466E-5</v>
      </c>
      <c r="U51" s="488"/>
      <c r="V51" s="488"/>
    </row>
    <row r="52" spans="1:22">
      <c r="A52" s="975" t="s">
        <v>208</v>
      </c>
      <c r="B52" s="512" t="s">
        <v>98</v>
      </c>
      <c r="C52" s="508"/>
      <c r="D52" s="509"/>
      <c r="E52" s="510">
        <v>218.87017816885</v>
      </c>
      <c r="F52" s="510">
        <f>'[3]Prod &amp; Defects - Costs'!S52</f>
        <v>175.96739457779935</v>
      </c>
      <c r="G52" s="511">
        <f>'SM Cost'!F9</f>
        <v>36.853008667774773</v>
      </c>
      <c r="H52" s="511">
        <f>'SM Cost'!G9</f>
        <v>36.423180154271819</v>
      </c>
      <c r="I52" s="511">
        <f>'SM Cost'!H9</f>
        <v>35.967676442356662</v>
      </c>
      <c r="J52" s="511">
        <f>'SM Cost'!I9</f>
        <v>36.676607208641627</v>
      </c>
      <c r="K52" s="511">
        <f>'SM Cost'!J9</f>
        <v>36.448855352684035</v>
      </c>
      <c r="L52" s="511">
        <f>'SM Cost'!K9</f>
        <v>42.176885349506577</v>
      </c>
      <c r="M52" s="511">
        <f>'SM Cost'!L9</f>
        <v>42.430312403876357</v>
      </c>
      <c r="N52" s="511">
        <f>'SM Cost'!M9</f>
        <v>42.447429202817844</v>
      </c>
      <c r="O52" s="511">
        <f>'SM Cost'!N9</f>
        <v>42.396078805993412</v>
      </c>
      <c r="P52" s="511">
        <f>'SM Cost'!O9</f>
        <v>31.361288926380563</v>
      </c>
      <c r="Q52" s="511">
        <f>'SM Cost'!P9</f>
        <v>32.76203366000901</v>
      </c>
      <c r="R52" s="511">
        <f>'SM Cost'!Q9</f>
        <v>39.560355740853552</v>
      </c>
      <c r="S52" s="412">
        <f t="shared" si="15"/>
        <v>455.50371191516621</v>
      </c>
      <c r="T52" s="488"/>
      <c r="U52" s="488"/>
      <c r="V52" s="488"/>
    </row>
    <row r="53" spans="1:22">
      <c r="A53" s="976"/>
      <c r="B53" s="512" t="s">
        <v>96</v>
      </c>
      <c r="C53" s="508"/>
      <c r="D53" s="509"/>
      <c r="E53" s="510">
        <v>469.67747323451425</v>
      </c>
      <c r="F53" s="510">
        <f>'[3]Prod &amp; Defects - Costs'!S53</f>
        <v>542.40266824242576</v>
      </c>
      <c r="G53" s="511">
        <f>'SM Cost'!F17</f>
        <v>128.28346171382637</v>
      </c>
      <c r="H53" s="511">
        <f>'SM Cost'!G17</f>
        <v>126.75880937655188</v>
      </c>
      <c r="I53" s="511">
        <f>'SM Cost'!H17</f>
        <v>125.17382146287497</v>
      </c>
      <c r="J53" s="511">
        <f>'SM Cost'!I17</f>
        <v>127.61163890979279</v>
      </c>
      <c r="K53" s="511">
        <f>'SM Cost'!J17</f>
        <v>126.81914495295436</v>
      </c>
      <c r="L53" s="511">
        <f>'SM Cost'!K17</f>
        <v>146.71194130911908</v>
      </c>
      <c r="M53" s="511">
        <f>'SM Cost'!L17</f>
        <v>147.56477084236002</v>
      </c>
      <c r="N53" s="511">
        <f>'SM Cost'!M17</f>
        <v>147.60499455996165</v>
      </c>
      <c r="O53" s="511">
        <f>'SM Cost'!N17</f>
        <v>147.48432340715675</v>
      </c>
      <c r="P53" s="511">
        <f>'SM Cost'!O17</f>
        <v>109.20327117330086</v>
      </c>
      <c r="Q53" s="511">
        <f>'SM Cost'!P17</f>
        <v>114.03868234953491</v>
      </c>
      <c r="R53" s="511">
        <f>'SM Cost'!Q17</f>
        <v>137.73305361948539</v>
      </c>
      <c r="S53" s="412">
        <f t="shared" si="15"/>
        <v>1584.9879136769191</v>
      </c>
      <c r="T53" s="488"/>
      <c r="U53" s="488"/>
      <c r="V53" s="488"/>
    </row>
    <row r="54" spans="1:22">
      <c r="A54" s="976"/>
      <c r="B54" s="512" t="s">
        <v>119</v>
      </c>
      <c r="C54" s="508"/>
      <c r="D54" s="509"/>
      <c r="E54" s="510">
        <v>274.17615313711474</v>
      </c>
      <c r="F54" s="510">
        <f>'[3]Prod &amp; Defects - Costs'!S54</f>
        <v>146.1645931840433</v>
      </c>
      <c r="G54" s="511">
        <f>'Falhas UM-4 Cost'!E54</f>
        <v>10.808359396662507</v>
      </c>
      <c r="H54" s="511">
        <f>'Falhas UM-4 Cost'!F54</f>
        <v>12.340706760781218</v>
      </c>
      <c r="I54" s="511">
        <f>'Falhas UM-4 Cost'!G54</f>
        <v>11.177605466541007</v>
      </c>
      <c r="J54" s="511">
        <f>'Falhas UM-4 Cost'!H54</f>
        <v>11.233806321880998</v>
      </c>
      <c r="K54" s="511">
        <f>'Falhas UM-4 Cost'!I54</f>
        <v>12.127687604292259</v>
      </c>
      <c r="L54" s="511">
        <f>'Falhas UM-4 Cost'!J54</f>
        <v>12.779982195014028</v>
      </c>
      <c r="M54" s="511">
        <f>'Falhas UM-4 Cost'!K54</f>
        <v>12.469654451490335</v>
      </c>
      <c r="N54" s="511">
        <f>'Falhas UM-4 Cost'!L54</f>
        <v>12.444711259502714</v>
      </c>
      <c r="O54" s="511">
        <f>'Falhas UM-4 Cost'!M54</f>
        <v>12.429997508260792</v>
      </c>
      <c r="P54" s="511">
        <f>'Falhas UM-4 Cost'!N54</f>
        <v>9.1992868689388221</v>
      </c>
      <c r="Q54" s="511">
        <f>'Falhas UM-4 Cost'!O54</f>
        <v>9.6083613588018242</v>
      </c>
      <c r="R54" s="511">
        <f>'Falhas UM-4 Cost'!P54</f>
        <v>11.885549516077775</v>
      </c>
      <c r="S54" s="412">
        <f t="shared" si="15"/>
        <v>138.5057087082443</v>
      </c>
      <c r="T54" s="488"/>
      <c r="U54" s="488"/>
      <c r="V54" s="488"/>
    </row>
    <row r="55" spans="1:22">
      <c r="A55" s="976"/>
      <c r="B55" s="512" t="s">
        <v>106</v>
      </c>
      <c r="C55" s="508"/>
      <c r="D55" s="509"/>
      <c r="E55" s="510">
        <v>238.12868966996558</v>
      </c>
      <c r="F55" s="510">
        <f>'[3]Prod &amp; Defects - Costs'!S55</f>
        <v>218.49056193697447</v>
      </c>
      <c r="G55" s="511">
        <f>'SM Cost'!F29</f>
        <v>126.09240263247403</v>
      </c>
      <c r="H55" s="511">
        <f>'SM Cost'!G29</f>
        <v>140.09995455664586</v>
      </c>
      <c r="I55" s="511">
        <f>'SM Cost'!H29</f>
        <v>136.06474865300962</v>
      </c>
      <c r="J55" s="511">
        <f>'SM Cost'!I29</f>
        <v>138.59139072983908</v>
      </c>
      <c r="K55" s="511">
        <f>'SM Cost'!J29</f>
        <v>138.17028371703415</v>
      </c>
      <c r="L55" s="511">
        <f>'SM Cost'!K29</f>
        <v>152.59590127496858</v>
      </c>
      <c r="M55" s="511">
        <f>'SM Cost'!L29</f>
        <v>155.80844656496788</v>
      </c>
      <c r="N55" s="511">
        <f>'SM Cost'!M29</f>
        <v>157.41471920996759</v>
      </c>
      <c r="O55" s="511">
        <f>'SM Cost'!N29</f>
        <v>145.98413367241156</v>
      </c>
      <c r="P55" s="511">
        <f>'SM Cost'!O29</f>
        <v>94.328192408325549</v>
      </c>
      <c r="Q55" s="511">
        <f>'SM Cost'!P29</f>
        <v>107.33576936830505</v>
      </c>
      <c r="R55" s="511">
        <f>'SM Cost'!Q29</f>
        <v>135.87756536509363</v>
      </c>
      <c r="S55" s="412">
        <f t="shared" si="15"/>
        <v>1628.3635081530429</v>
      </c>
      <c r="T55" s="488"/>
      <c r="U55" s="488"/>
      <c r="V55" s="488"/>
    </row>
    <row r="56" spans="1:22" ht="13.5" thickBot="1">
      <c r="A56" s="978"/>
      <c r="B56" s="513" t="s">
        <v>209</v>
      </c>
      <c r="C56" s="268"/>
      <c r="D56" s="254"/>
      <c r="E56" s="514">
        <v>1074.0017378904929</v>
      </c>
      <c r="F56" s="514">
        <f>'[3]Prod &amp; Defects - Costs'!S56</f>
        <v>1758.8183139489199</v>
      </c>
      <c r="G56" s="515">
        <f>'SM Cost'!F21+'SM Cost'!F25+'SM Cost'!F34</f>
        <v>86.706964468193917</v>
      </c>
      <c r="H56" s="515">
        <f>'SM Cost'!G21+'SM Cost'!G25+'SM Cost'!G34</f>
        <v>81.274376582163669</v>
      </c>
      <c r="I56" s="515">
        <f>'SM Cost'!H21+'SM Cost'!H25+'SM Cost'!H34</f>
        <v>83.721699401672765</v>
      </c>
      <c r="J56" s="515">
        <f>'SM Cost'!I21+'SM Cost'!I25+'SM Cost'!I34</f>
        <v>86.274835344290565</v>
      </c>
      <c r="K56" s="515">
        <f>'SM Cost'!J21+'SM Cost'!J25+'SM Cost'!J34</f>
        <v>89.140732875326663</v>
      </c>
      <c r="L56" s="515">
        <f>'SM Cost'!K21+'SM Cost'!K25+'SM Cost'!K34</f>
        <v>105.73565261354106</v>
      </c>
      <c r="M56" s="515">
        <f>'SM Cost'!L21+'SM Cost'!L25+'SM Cost'!L34</f>
        <v>107.75885740664943</v>
      </c>
      <c r="N56" s="515">
        <f>'SM Cost'!M21+'SM Cost'!M25+'SM Cost'!M34</f>
        <v>108.24563717048413</v>
      </c>
      <c r="O56" s="515">
        <f>'SM Cost'!N21+'SM Cost'!N25+'SM Cost'!N34</f>
        <v>102.14364757092581</v>
      </c>
      <c r="P56" s="515">
        <f>'SM Cost'!O21+'SM Cost'!O25+'SM Cost'!O34</f>
        <v>71.795575674300707</v>
      </c>
      <c r="Q56" s="515">
        <f>'SM Cost'!P21+'SM Cost'!P25+'SM Cost'!P34</f>
        <v>78.526596244287433</v>
      </c>
      <c r="R56" s="515">
        <f>'SM Cost'!Q21+'SM Cost'!Q25+'SM Cost'!Q34</f>
        <v>91.677427399491634</v>
      </c>
      <c r="S56" s="258">
        <f t="shared" si="15"/>
        <v>1093.0020027513278</v>
      </c>
      <c r="T56" s="593">
        <f>SUM(S52:S56)</f>
        <v>4900.3628452046996</v>
      </c>
      <c r="U56" s="488"/>
      <c r="V56" s="488"/>
    </row>
    <row r="57" spans="1:22">
      <c r="A57"/>
      <c r="B57"/>
      <c r="C57"/>
      <c r="D57" s="201"/>
      <c r="E57" s="517">
        <v>4398.9370789565801</v>
      </c>
      <c r="F57" s="517">
        <f>'[3]Prod &amp; Defects - Costs'!S57</f>
        <v>8415.9988704390998</v>
      </c>
      <c r="G57" s="516">
        <f>SUM(G44:G56)</f>
        <v>19907.384133374977</v>
      </c>
      <c r="H57" s="516">
        <f>SUM(H44:H56)</f>
        <v>19053.855954832372</v>
      </c>
      <c r="I57" s="516">
        <f>SUM(I44:I56)</f>
        <v>18232.061213831883</v>
      </c>
      <c r="J57" s="516">
        <f>SUM(J44:J56)</f>
        <v>18367.093072981148</v>
      </c>
      <c r="K57" s="516">
        <f t="shared" ref="K57:N57" si="16">SUM(K44:K56)</f>
        <v>18765.411980909394</v>
      </c>
      <c r="L57" s="516">
        <f t="shared" si="16"/>
        <v>21299.168355270649</v>
      </c>
      <c r="M57" s="516">
        <f t="shared" si="16"/>
        <v>21227.671884277283</v>
      </c>
      <c r="N57" s="516">
        <f t="shared" si="16"/>
        <v>21223.603488252869</v>
      </c>
      <c r="O57" s="516">
        <f t="shared" ref="O57:S57" si="17">SUM(O48)</f>
        <v>129.48415617431144</v>
      </c>
      <c r="P57" s="516">
        <f t="shared" si="17"/>
        <v>147.33963589393244</v>
      </c>
      <c r="Q57" s="516">
        <f t="shared" si="17"/>
        <v>186.51891279924624</v>
      </c>
      <c r="R57" s="516">
        <f t="shared" si="17"/>
        <v>176.00246255213142</v>
      </c>
      <c r="S57" s="516">
        <f t="shared" si="17"/>
        <v>1688.2413214418295</v>
      </c>
      <c r="T57" s="488">
        <f>SUM(G57:L57)/SUM(G10:L10)*1000</f>
        <v>2.6247235039063991E-3</v>
      </c>
      <c r="U57" s="488">
        <f>SUM(M57:R57)/SUM(M10:R10)*1000</f>
        <v>9.6980818429693617E-4</v>
      </c>
      <c r="V57" s="488">
        <f>S57/S10*1000</f>
        <v>1.9079545777313403E-5</v>
      </c>
    </row>
    <row r="59" spans="1:22">
      <c r="G59" s="531"/>
      <c r="H59" s="531"/>
      <c r="I59" s="531"/>
      <c r="J59" s="531"/>
      <c r="K59" s="531"/>
      <c r="L59" s="531"/>
      <c r="M59" s="531"/>
      <c r="N59" s="531"/>
      <c r="O59" s="531"/>
      <c r="P59" s="531"/>
      <c r="Q59" s="531"/>
      <c r="R59" s="531"/>
    </row>
    <row r="60" spans="1:22">
      <c r="G60" s="531"/>
      <c r="H60" s="531"/>
      <c r="I60" s="531"/>
      <c r="J60" s="531"/>
      <c r="K60" s="531"/>
      <c r="L60" s="531"/>
      <c r="M60" s="531"/>
      <c r="N60" s="531"/>
      <c r="O60" s="531"/>
      <c r="P60" s="531"/>
      <c r="Q60" s="531"/>
      <c r="R60" s="531"/>
    </row>
    <row r="61" spans="1:22">
      <c r="G61" s="531"/>
      <c r="H61" s="531"/>
      <c r="I61" s="531"/>
      <c r="J61" s="531"/>
      <c r="K61" s="531"/>
      <c r="L61" s="531"/>
      <c r="M61" s="531"/>
      <c r="N61" s="531"/>
      <c r="O61" s="531"/>
      <c r="P61" s="531"/>
      <c r="Q61" s="531"/>
      <c r="R61" s="531"/>
    </row>
    <row r="62" spans="1:22">
      <c r="G62" s="531"/>
      <c r="H62" s="531"/>
      <c r="I62" s="531"/>
      <c r="J62" s="531"/>
      <c r="K62" s="531"/>
      <c r="L62" s="531"/>
      <c r="M62" s="531"/>
      <c r="N62" s="531"/>
      <c r="O62" s="531"/>
      <c r="P62" s="531"/>
      <c r="Q62" s="531"/>
      <c r="R62" s="531"/>
    </row>
    <row r="63" spans="1:22">
      <c r="G63" s="531"/>
      <c r="H63" s="531"/>
      <c r="I63" s="531"/>
      <c r="J63" s="531"/>
      <c r="K63" s="531"/>
      <c r="L63" s="531"/>
      <c r="M63" s="531"/>
      <c r="N63" s="531"/>
      <c r="O63" s="531"/>
      <c r="P63" s="531"/>
      <c r="Q63" s="531"/>
      <c r="R63" s="531"/>
    </row>
    <row r="64" spans="1:22">
      <c r="G64" s="531"/>
      <c r="H64" s="531"/>
      <c r="I64" s="531"/>
      <c r="J64" s="531"/>
      <c r="K64" s="531"/>
      <c r="L64" s="531"/>
      <c r="M64" s="531"/>
      <c r="N64" s="531"/>
      <c r="O64" s="531"/>
      <c r="P64" s="531"/>
      <c r="Q64" s="531"/>
      <c r="R64" s="531"/>
    </row>
    <row r="66" spans="7:18">
      <c r="G66" s="603"/>
      <c r="H66" s="603"/>
      <c r="I66" s="603"/>
      <c r="J66" s="603"/>
      <c r="K66" s="603"/>
      <c r="L66" s="603"/>
      <c r="M66" s="603"/>
      <c r="N66" s="603"/>
      <c r="O66" s="603"/>
      <c r="P66" s="603"/>
      <c r="Q66" s="603"/>
      <c r="R66" s="603"/>
    </row>
    <row r="67" spans="7:18">
      <c r="G67" s="603"/>
      <c r="H67" s="603"/>
      <c r="I67" s="603"/>
      <c r="J67" s="603"/>
      <c r="K67" s="603"/>
      <c r="L67" s="603"/>
      <c r="M67" s="603"/>
      <c r="N67" s="603"/>
      <c r="O67" s="603"/>
      <c r="P67" s="603"/>
      <c r="Q67" s="603"/>
      <c r="R67" s="603"/>
    </row>
  </sheetData>
  <sheetProtection formatCells="0"/>
  <dataConsolidate/>
  <mergeCells count="9">
    <mergeCell ref="A48:B48"/>
    <mergeCell ref="A49:A51"/>
    <mergeCell ref="A52:A56"/>
    <mergeCell ref="A34:B40"/>
    <mergeCell ref="O3:R3"/>
    <mergeCell ref="A44:B44"/>
    <mergeCell ref="A45:B45"/>
    <mergeCell ref="A46:B46"/>
    <mergeCell ref="A47:B47"/>
  </mergeCells>
  <phoneticPr fontId="20" type="noConversion"/>
  <printOptions horizontalCentered="1" gridLinesSet="0"/>
  <pageMargins left="0.39370078740157483" right="0.39370078740157483" top="0.78740157480314965" bottom="0.39370078740157483" header="0.51181102362204722" footer="0.51181102362204722"/>
  <pageSetup paperSize="9" scale="49" orientation="landscape" r:id="rId1"/>
  <headerFooter alignWithMargins="0">
    <oddFooter>&amp;L&amp;A&amp;R&amp;F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56"/>
    <pageSetUpPr fitToPage="1"/>
  </sheetPr>
  <dimension ref="A1:AA80"/>
  <sheetViews>
    <sheetView showGridLines="0" tabSelected="1" topLeftCell="B1" zoomScaleNormal="100" zoomScaleSheetLayoutView="100" workbookViewId="0">
      <selection activeCell="E6" sqref="E6"/>
    </sheetView>
  </sheetViews>
  <sheetFormatPr defaultColWidth="11.42578125" defaultRowHeight="12.75"/>
  <cols>
    <col min="1" max="1" width="3.28515625" style="1" bestFit="1" customWidth="1"/>
    <col min="2" max="2" width="2.7109375" style="1" customWidth="1"/>
    <col min="3" max="3" width="5" style="1" customWidth="1"/>
    <col min="4" max="4" width="18" style="1" bestFit="1" customWidth="1"/>
    <col min="5" max="5" width="8.7109375" style="1" bestFit="1" customWidth="1"/>
    <col min="6" max="14" width="7" style="224" bestFit="1" customWidth="1"/>
    <col min="15" max="17" width="6.42578125" style="224" bestFit="1" customWidth="1"/>
    <col min="18" max="18" width="7" style="1" bestFit="1" customWidth="1"/>
    <col min="19" max="19" width="6" style="1" bestFit="1" customWidth="1"/>
    <col min="20" max="20" width="7" style="1" bestFit="1" customWidth="1"/>
    <col min="21" max="21" width="6" style="1" bestFit="1" customWidth="1"/>
    <col min="22" max="22" width="7" style="1" bestFit="1" customWidth="1"/>
    <col min="23" max="23" width="6" style="1" bestFit="1" customWidth="1"/>
    <col min="24" max="24" width="6.85546875" style="1" bestFit="1" customWidth="1"/>
    <col min="25" max="25" width="7.42578125" style="1" bestFit="1" customWidth="1"/>
    <col min="26" max="26" width="6.7109375" style="1" bestFit="1" customWidth="1"/>
    <col min="27" max="27" width="6" style="1" bestFit="1" customWidth="1"/>
    <col min="28" max="16384" width="11.42578125" style="1"/>
  </cols>
  <sheetData>
    <row r="1" spans="1:27" ht="18" customHeight="1">
      <c r="A1" s="997" t="s">
        <v>58</v>
      </c>
      <c r="B1" s="997"/>
      <c r="C1" s="997"/>
      <c r="D1" s="997"/>
      <c r="E1" s="997"/>
      <c r="F1" s="997"/>
    </row>
    <row r="2" spans="1:27" ht="18" customHeight="1">
      <c r="A2" s="17"/>
      <c r="B2" s="17"/>
      <c r="C2" s="17"/>
      <c r="D2" s="17"/>
      <c r="E2" s="17"/>
      <c r="F2" s="212"/>
    </row>
    <row r="3" spans="1:27" ht="9.9499999999999993" customHeight="1" thickBot="1">
      <c r="A3" s="17"/>
      <c r="B3" s="17"/>
      <c r="C3" s="17"/>
      <c r="D3" s="17"/>
      <c r="E3" s="17"/>
      <c r="F3" s="212"/>
    </row>
    <row r="4" spans="1:27" ht="25.5">
      <c r="A4" s="16"/>
      <c r="B4" s="15"/>
      <c r="C4" s="1008" t="s">
        <v>57</v>
      </c>
      <c r="D4" s="1009"/>
      <c r="E4" s="473" t="s">
        <v>201</v>
      </c>
      <c r="F4" s="608" t="s">
        <v>56</v>
      </c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1" t="s">
        <v>55</v>
      </c>
      <c r="S4" s="13"/>
      <c r="T4" s="12" t="s">
        <v>54</v>
      </c>
      <c r="U4" s="13"/>
      <c r="V4" s="12" t="s">
        <v>1</v>
      </c>
      <c r="W4" s="11"/>
      <c r="X4" s="61" t="s">
        <v>55</v>
      </c>
      <c r="Y4" s="11" t="s">
        <v>54</v>
      </c>
      <c r="Z4" s="61" t="s">
        <v>53</v>
      </c>
      <c r="AA4" s="11" t="s">
        <v>52</v>
      </c>
    </row>
    <row r="5" spans="1:27" ht="18" customHeight="1" thickBot="1">
      <c r="A5" s="10"/>
      <c r="B5" s="9"/>
      <c r="C5" s="8" t="s">
        <v>51</v>
      </c>
      <c r="D5" s="24" t="s">
        <v>50</v>
      </c>
      <c r="E5" s="25">
        <v>2022</v>
      </c>
      <c r="F5" s="213">
        <v>44652</v>
      </c>
      <c r="G5" s="699">
        <v>44682</v>
      </c>
      <c r="H5" s="699">
        <v>44713</v>
      </c>
      <c r="I5" s="699">
        <v>44743</v>
      </c>
      <c r="J5" s="699">
        <v>44774</v>
      </c>
      <c r="K5" s="699">
        <v>44805</v>
      </c>
      <c r="L5" s="699">
        <v>44835</v>
      </c>
      <c r="M5" s="699">
        <v>44866</v>
      </c>
      <c r="N5" s="699">
        <v>44896</v>
      </c>
      <c r="O5" s="699">
        <v>44927</v>
      </c>
      <c r="P5" s="699">
        <v>44958</v>
      </c>
      <c r="Q5" s="774">
        <v>44986</v>
      </c>
      <c r="R5" s="62" t="s">
        <v>49</v>
      </c>
      <c r="S5" s="7" t="s">
        <v>48</v>
      </c>
      <c r="T5" s="6" t="s">
        <v>49</v>
      </c>
      <c r="U5" s="7" t="s">
        <v>48</v>
      </c>
      <c r="V5" s="6" t="s">
        <v>49</v>
      </c>
      <c r="W5" s="5" t="s">
        <v>48</v>
      </c>
      <c r="X5" s="62"/>
      <c r="Y5" s="5"/>
      <c r="Z5" s="62"/>
      <c r="AA5" s="417">
        <v>2023</v>
      </c>
    </row>
    <row r="6" spans="1:27" ht="18" customHeight="1" thickTop="1">
      <c r="A6" s="1002" t="s">
        <v>47</v>
      </c>
      <c r="B6" s="998" t="s">
        <v>20</v>
      </c>
      <c r="C6" s="27">
        <v>1010</v>
      </c>
      <c r="D6" s="28" t="s">
        <v>46</v>
      </c>
      <c r="E6" s="48">
        <f>'[3]Falhas UM-1 - Qty'!AA6</f>
        <v>39</v>
      </c>
      <c r="F6" s="700">
        <f>'Prod &amp; Defects - Qty'!F$5*'Falhas UM-1 - Qty'!$E6/1000000</f>
        <v>56.246502097500006</v>
      </c>
      <c r="G6" s="701">
        <f>'Prod &amp; Defects - Qty'!G$5*'Falhas UM-1 - Qty'!$E6/1000000</f>
        <v>30.692965212000001</v>
      </c>
      <c r="H6" s="701">
        <f>'Prod &amp; Defects - Qty'!H$5*'Falhas UM-1 - Qty'!$E6/1000000</f>
        <v>30.552121684500001</v>
      </c>
      <c r="I6" s="701">
        <f>'Prod &amp; Defects - Qty'!I$5*'Falhas UM-1 - Qty'!$E6/1000000</f>
        <v>30.875162457750005</v>
      </c>
      <c r="J6" s="701">
        <f>'Prod &amp; Defects - Qty'!J$5*'Falhas UM-1 - Qty'!$E6/1000000</f>
        <v>55.773351894000001</v>
      </c>
      <c r="K6" s="701">
        <f>'Prod &amp; Defects - Qty'!K$5*'Falhas UM-1 - Qty'!$E6/1000000</f>
        <v>64.631150463750004</v>
      </c>
      <c r="L6" s="701">
        <f>'Prod &amp; Defects - Qty'!L$5*'Falhas UM-1 - Qty'!$E6/1000000</f>
        <v>65.091276529500007</v>
      </c>
      <c r="M6" s="701">
        <f>'Prod &amp; Defects - Qty'!M$5*'Falhas UM-1 - Qty'!$E6/1000000</f>
        <v>65.165793517499992</v>
      </c>
      <c r="N6" s="701">
        <f>'Prod &amp; Defects - Qty'!N$5*'Falhas UM-1 - Qty'!$E6/1000000</f>
        <v>52.247482033499992</v>
      </c>
      <c r="O6" s="701">
        <f>'Prod &amp; Defects - Qty'!O$5*'Falhas UM-1 - Qty'!$E6/1000000</f>
        <v>48.420135445500001</v>
      </c>
      <c r="P6" s="701">
        <f>'Prod &amp; Defects - Qty'!P$5*'Falhas UM-1 - Qty'!$E6/1000000</f>
        <v>48.991700004000002</v>
      </c>
      <c r="Q6" s="548">
        <f>'Prod &amp; Defects - Qty'!Q$5*'Falhas UM-1 - Qty'!$E6/1000000</f>
        <v>60.3149336205</v>
      </c>
      <c r="R6" s="276">
        <f t="shared" ref="R6" si="0">SUM(F6:K6)</f>
        <v>268.77125380950002</v>
      </c>
      <c r="S6" s="214">
        <f>R6/SUM('Prod &amp; Defects - Qty'!$F$5:$K$5)*1000000</f>
        <v>39</v>
      </c>
      <c r="T6" s="214">
        <f t="shared" ref="T6" si="1">SUM(L6:Q6)</f>
        <v>340.23132115049998</v>
      </c>
      <c r="U6" s="214">
        <f>T6/SUM('Prod &amp; Defects - Qty'!$L$5:$Q$5)*1000000</f>
        <v>39.000000000000007</v>
      </c>
      <c r="V6" s="214">
        <f t="shared" ref="V6" si="2">R6+T6</f>
        <v>609.00257495999995</v>
      </c>
      <c r="W6" s="277">
        <f>V6/'Prod &amp; Defects - Qty'!$R$5*1000000</f>
        <v>38.999999999999993</v>
      </c>
      <c r="X6" s="290">
        <f t="shared" ref="X6:X37" si="3">INT(W6*Redutor)</f>
        <v>35</v>
      </c>
      <c r="Y6" s="291">
        <f t="shared" ref="Y6:Y37" si="4">INT(W6*Redutor)</f>
        <v>35</v>
      </c>
      <c r="Z6" s="276">
        <f t="shared" ref="Z6:Z37" si="5">(X6+Y6)/2</f>
        <v>35</v>
      </c>
      <c r="AA6" s="277">
        <f t="shared" ref="AA6:AA14" si="6">Z6*1</f>
        <v>35</v>
      </c>
    </row>
    <row r="7" spans="1:27" ht="18" customHeight="1">
      <c r="A7" s="1003"/>
      <c r="B7" s="998"/>
      <c r="C7" s="27">
        <v>1020</v>
      </c>
      <c r="D7" s="28" t="s">
        <v>45</v>
      </c>
      <c r="E7" s="48">
        <f>'[3]Falhas UM-1 - Qty'!AA7</f>
        <v>73</v>
      </c>
      <c r="F7" s="700">
        <f>'Prod &amp; Defects - Qty'!F$5*'Falhas UM-1 - Qty'!$E7/1000000</f>
        <v>105.28191418250002</v>
      </c>
      <c r="G7" s="701">
        <f>'Prod &amp; Defects - Qty'!G$5*'Falhas UM-1 - Qty'!$E7/1000000</f>
        <v>57.450934884000006</v>
      </c>
      <c r="H7" s="701">
        <f>'Prod &amp; Defects - Qty'!H$5*'Falhas UM-1 - Qty'!$E7/1000000</f>
        <v>57.18730469150001</v>
      </c>
      <c r="I7" s="701">
        <f>'Prod &amp; Defects - Qty'!I$5*'Falhas UM-1 - Qty'!$E7/1000000</f>
        <v>57.791970754250002</v>
      </c>
      <c r="J7" s="701">
        <f>'Prod &amp; Defects - Qty'!J$5*'Falhas UM-1 - Qty'!$E7/1000000</f>
        <v>104.396274058</v>
      </c>
      <c r="K7" s="701">
        <f>'Prod &amp; Defects - Qty'!K$5*'Falhas UM-1 - Qty'!$E7/1000000</f>
        <v>120.97625599624999</v>
      </c>
      <c r="L7" s="701">
        <f>'Prod &amp; Defects - Qty'!L$5*'Falhas UM-1 - Qty'!$E7/1000000</f>
        <v>121.8375176065</v>
      </c>
      <c r="M7" s="701">
        <f>'Prod &amp; Defects - Qty'!M$5*'Falhas UM-1 - Qty'!$E7/1000000</f>
        <v>121.97699812250001</v>
      </c>
      <c r="N7" s="701">
        <f>'Prod &amp; Defects - Qty'!N$5*'Falhas UM-1 - Qty'!$E7/1000000</f>
        <v>97.796568934499987</v>
      </c>
      <c r="O7" s="701">
        <f>'Prod &amp; Defects - Qty'!O$5*'Falhas UM-1 - Qty'!$E7/1000000</f>
        <v>90.632561218500001</v>
      </c>
      <c r="P7" s="701">
        <f>'Prod &amp; Defects - Qty'!P$5*'Falhas UM-1 - Qty'!$E7/1000000</f>
        <v>91.702412827999993</v>
      </c>
      <c r="Q7" s="548">
        <f>'Prod &amp; Defects - Qty'!Q$5*'Falhas UM-1 - Qty'!$E7/1000000</f>
        <v>112.8971834435</v>
      </c>
      <c r="R7" s="276">
        <f t="shared" ref="R7:R56" si="7">SUM(F7:K7)</f>
        <v>503.08465456650003</v>
      </c>
      <c r="S7" s="214">
        <f>R7/SUM('Prod &amp; Defects - Qty'!$F$5:$K$5)*1000000</f>
        <v>73</v>
      </c>
      <c r="T7" s="214">
        <f t="shared" ref="T7:T56" si="8">SUM(L7:Q7)</f>
        <v>636.8432421535</v>
      </c>
      <c r="U7" s="214">
        <f>T7/SUM('Prod &amp; Defects - Qty'!$L$5:$Q$5)*1000000</f>
        <v>73.000000000000014</v>
      </c>
      <c r="V7" s="214">
        <f t="shared" ref="V7:V56" si="9">R7+T7</f>
        <v>1139.92789672</v>
      </c>
      <c r="W7" s="277">
        <f>V7/'Prod &amp; Defects - Qty'!$R$5*1000000</f>
        <v>72.999999999999986</v>
      </c>
      <c r="X7" s="290">
        <f t="shared" si="3"/>
        <v>65</v>
      </c>
      <c r="Y7" s="291">
        <f t="shared" si="4"/>
        <v>65</v>
      </c>
      <c r="Z7" s="276">
        <f t="shared" si="5"/>
        <v>65</v>
      </c>
      <c r="AA7" s="277">
        <f t="shared" si="6"/>
        <v>65</v>
      </c>
    </row>
    <row r="8" spans="1:27" ht="18" customHeight="1">
      <c r="A8" s="1003"/>
      <c r="B8" s="998"/>
      <c r="C8" s="27">
        <v>1030</v>
      </c>
      <c r="D8" s="28" t="s">
        <v>44</v>
      </c>
      <c r="E8" s="48">
        <f>'[3]Falhas UM-1 - Qty'!AA8</f>
        <v>812</v>
      </c>
      <c r="F8" s="700">
        <f>'Prod &amp; Defects - Qty'!F$5*'Falhas UM-1 - Qty'!$E8/1000000</f>
        <v>1171.0810180300002</v>
      </c>
      <c r="G8" s="701">
        <f>'Prod &amp; Defects - Qty'!G$5*'Falhas UM-1 - Qty'!$E8/1000000</f>
        <v>639.04327569600002</v>
      </c>
      <c r="H8" s="701">
        <f>'Prod &amp; Defects - Qty'!H$5*'Falhas UM-1 - Qty'!$E8/1000000</f>
        <v>636.11084122600005</v>
      </c>
      <c r="I8" s="701">
        <f>'Prod &amp; Defects - Qty'!I$5*'Falhas UM-1 - Qty'!$E8/1000000</f>
        <v>642.83671578700012</v>
      </c>
      <c r="J8" s="701">
        <f>'Prod &amp; Defects - Qty'!J$5*'Falhas UM-1 - Qty'!$E8/1000000</f>
        <v>1161.2297881519999</v>
      </c>
      <c r="K8" s="701">
        <f>'Prod &amp; Defects - Qty'!K$5*'Falhas UM-1 - Qty'!$E8/1000000</f>
        <v>1345.6536968349999</v>
      </c>
      <c r="L8" s="701">
        <f>'Prod &amp; Defects - Qty'!L$5*'Falhas UM-1 - Qty'!$E8/1000000</f>
        <v>1355.2337574860001</v>
      </c>
      <c r="M8" s="701">
        <f>'Prod &amp; Defects - Qty'!M$5*'Falhas UM-1 - Qty'!$E8/1000000</f>
        <v>1356.7852393899998</v>
      </c>
      <c r="N8" s="701">
        <f>'Prod &amp; Defects - Qty'!N$5*'Falhas UM-1 - Qty'!$E8/1000000</f>
        <v>1087.8193695179998</v>
      </c>
      <c r="O8" s="701">
        <f>'Prod &amp; Defects - Qty'!O$5*'Falhas UM-1 - Qty'!$E8/1000000</f>
        <v>1008.132050814</v>
      </c>
      <c r="P8" s="701">
        <f>'Prod &amp; Defects - Qty'!P$5*'Falhas UM-1 - Qty'!$E8/1000000</f>
        <v>1020.0323180319999</v>
      </c>
      <c r="Q8" s="548">
        <f>'Prod &amp; Defects - Qty'!Q$5*'Falhas UM-1 - Qty'!$E8/1000000</f>
        <v>1255.7878487139999</v>
      </c>
      <c r="R8" s="276">
        <f t="shared" si="7"/>
        <v>5595.9553357260002</v>
      </c>
      <c r="S8" s="214">
        <f>R8/SUM('Prod &amp; Defects - Qty'!$F$5:$K$5)*1000000</f>
        <v>812</v>
      </c>
      <c r="T8" s="214">
        <f t="shared" si="8"/>
        <v>7083.790583953999</v>
      </c>
      <c r="U8" s="214">
        <f>T8/SUM('Prod &amp; Defects - Qty'!$L$5:$Q$5)*1000000</f>
        <v>812</v>
      </c>
      <c r="V8" s="214">
        <f t="shared" si="9"/>
        <v>12679.745919679999</v>
      </c>
      <c r="W8" s="277">
        <f>V8/'Prod &amp; Defects - Qty'!$R$5*1000000</f>
        <v>811.99999999999977</v>
      </c>
      <c r="X8" s="290">
        <f t="shared" si="3"/>
        <v>730</v>
      </c>
      <c r="Y8" s="291">
        <f t="shared" si="4"/>
        <v>730</v>
      </c>
      <c r="Z8" s="276">
        <f t="shared" si="5"/>
        <v>730</v>
      </c>
      <c r="AA8" s="277">
        <f t="shared" si="6"/>
        <v>730</v>
      </c>
    </row>
    <row r="9" spans="1:27" ht="18" customHeight="1">
      <c r="A9" s="1003"/>
      <c r="B9" s="998"/>
      <c r="C9" s="27">
        <v>1040</v>
      </c>
      <c r="D9" s="28" t="s">
        <v>43</v>
      </c>
      <c r="E9" s="48">
        <f>'[3]Falhas UM-1 - Qty'!AA9</f>
        <v>3</v>
      </c>
      <c r="F9" s="700">
        <f>'Prod &amp; Defects - Qty'!F$5*'Falhas UM-1 - Qty'!$E9/1000000</f>
        <v>4.3266540075000002</v>
      </c>
      <c r="G9" s="701">
        <f>'Prod &amp; Defects - Qty'!G$5*'Falhas UM-1 - Qty'!$E9/1000000</f>
        <v>2.360997324</v>
      </c>
      <c r="H9" s="701">
        <f>'Prod &amp; Defects - Qty'!H$5*'Falhas UM-1 - Qty'!$E9/1000000</f>
        <v>2.3501632065000004</v>
      </c>
      <c r="I9" s="701">
        <f>'Prod &amp; Defects - Qty'!I$5*'Falhas UM-1 - Qty'!$E9/1000000</f>
        <v>2.3750124967500006</v>
      </c>
      <c r="J9" s="701">
        <f>'Prod &amp; Defects - Qty'!J$5*'Falhas UM-1 - Qty'!$E9/1000000</f>
        <v>4.2902578379999996</v>
      </c>
      <c r="K9" s="701">
        <f>'Prod &amp; Defects - Qty'!K$5*'Falhas UM-1 - Qty'!$E9/1000000</f>
        <v>4.971626958749999</v>
      </c>
      <c r="L9" s="701">
        <f>'Prod &amp; Defects - Qty'!L$5*'Falhas UM-1 - Qty'!$E9/1000000</f>
        <v>5.0070212715000002</v>
      </c>
      <c r="M9" s="701">
        <f>'Prod &amp; Defects - Qty'!M$5*'Falhas UM-1 - Qty'!$E9/1000000</f>
        <v>5.0127533475000003</v>
      </c>
      <c r="N9" s="701">
        <f>'Prod &amp; Defects - Qty'!N$5*'Falhas UM-1 - Qty'!$E9/1000000</f>
        <v>4.0190370795000003</v>
      </c>
      <c r="O9" s="701">
        <f>'Prod &amp; Defects - Qty'!O$5*'Falhas UM-1 - Qty'!$E9/1000000</f>
        <v>3.7246258034999999</v>
      </c>
      <c r="P9" s="701">
        <f>'Prod &amp; Defects - Qty'!P$5*'Falhas UM-1 - Qty'!$E9/1000000</f>
        <v>3.7685923080000001</v>
      </c>
      <c r="Q9" s="548">
        <f>'Prod &amp; Defects - Qty'!Q$5*'Falhas UM-1 - Qty'!$E9/1000000</f>
        <v>4.6396102785000002</v>
      </c>
      <c r="R9" s="276">
        <f t="shared" si="7"/>
        <v>20.674711831499998</v>
      </c>
      <c r="S9" s="214">
        <f>R9/SUM('Prod &amp; Defects - Qty'!$F$5:$K$5)*1000000</f>
        <v>2.9999999999999996</v>
      </c>
      <c r="T9" s="214">
        <f t="shared" si="8"/>
        <v>26.171640088499998</v>
      </c>
      <c r="U9" s="214">
        <f>T9/SUM('Prod &amp; Defects - Qty'!$L$5:$Q$5)*1000000</f>
        <v>3.0000000000000004</v>
      </c>
      <c r="V9" s="214">
        <f t="shared" si="9"/>
        <v>46.846351919999996</v>
      </c>
      <c r="W9" s="277">
        <f>V9/'Prod &amp; Defects - Qty'!$R$5*1000000</f>
        <v>2.9999999999999991</v>
      </c>
      <c r="X9" s="290">
        <f t="shared" si="3"/>
        <v>2</v>
      </c>
      <c r="Y9" s="291">
        <f t="shared" si="4"/>
        <v>2</v>
      </c>
      <c r="Z9" s="276">
        <f t="shared" si="5"/>
        <v>2</v>
      </c>
      <c r="AA9" s="277">
        <f t="shared" si="6"/>
        <v>2</v>
      </c>
    </row>
    <row r="10" spans="1:27" ht="18" customHeight="1">
      <c r="A10" s="1003"/>
      <c r="B10" s="998"/>
      <c r="C10" s="27">
        <v>1050</v>
      </c>
      <c r="D10" s="28" t="s">
        <v>42</v>
      </c>
      <c r="E10" s="48">
        <f>'[3]Falhas UM-1 - Qty'!AA10</f>
        <v>2</v>
      </c>
      <c r="F10" s="700">
        <f>'Prod &amp; Defects - Qty'!F$5*'Falhas UM-1 - Qty'!$E10/1000000</f>
        <v>2.8844360050000004</v>
      </c>
      <c r="G10" s="701">
        <f>'Prod &amp; Defects - Qty'!G$5*'Falhas UM-1 - Qty'!$E10/1000000</f>
        <v>1.5739982160000001</v>
      </c>
      <c r="H10" s="701">
        <f>'Prod &amp; Defects - Qty'!H$5*'Falhas UM-1 - Qty'!$E10/1000000</f>
        <v>1.5667754710000001</v>
      </c>
      <c r="I10" s="701">
        <f>'Prod &amp; Defects - Qty'!I$5*'Falhas UM-1 - Qty'!$E10/1000000</f>
        <v>1.5833416645000002</v>
      </c>
      <c r="J10" s="701">
        <f>'Prod &amp; Defects - Qty'!J$5*'Falhas UM-1 - Qty'!$E10/1000000</f>
        <v>2.8601718919999999</v>
      </c>
      <c r="K10" s="701">
        <f>'Prod &amp; Defects - Qty'!K$5*'Falhas UM-1 - Qty'!$E10/1000000</f>
        <v>3.3144179724999998</v>
      </c>
      <c r="L10" s="701">
        <f>'Prod &amp; Defects - Qty'!L$5*'Falhas UM-1 - Qty'!$E10/1000000</f>
        <v>3.3380141809999997</v>
      </c>
      <c r="M10" s="701">
        <f>'Prod &amp; Defects - Qty'!M$5*'Falhas UM-1 - Qty'!$E10/1000000</f>
        <v>3.3418355649999998</v>
      </c>
      <c r="N10" s="701">
        <f>'Prod &amp; Defects - Qty'!N$5*'Falhas UM-1 - Qty'!$E10/1000000</f>
        <v>2.6793580529999996</v>
      </c>
      <c r="O10" s="701">
        <f>'Prod &amp; Defects - Qty'!O$5*'Falhas UM-1 - Qty'!$E10/1000000</f>
        <v>2.4830838690000001</v>
      </c>
      <c r="P10" s="701">
        <f>'Prod &amp; Defects - Qty'!P$5*'Falhas UM-1 - Qty'!$E10/1000000</f>
        <v>2.5123948719999998</v>
      </c>
      <c r="Q10" s="548">
        <f>'Prod &amp; Defects - Qty'!Q$5*'Falhas UM-1 - Qty'!$E10/1000000</f>
        <v>3.0930735189999998</v>
      </c>
      <c r="R10" s="276">
        <f t="shared" si="7"/>
        <v>13.783141221000001</v>
      </c>
      <c r="S10" s="214">
        <f>R10/SUM('Prod &amp; Defects - Qty'!$F$5:$K$5)*1000000</f>
        <v>2</v>
      </c>
      <c r="T10" s="214">
        <f t="shared" si="8"/>
        <v>17.447760059</v>
      </c>
      <c r="U10" s="214">
        <f>T10/SUM('Prod &amp; Defects - Qty'!$L$5:$Q$5)*1000000</f>
        <v>2.0000000000000004</v>
      </c>
      <c r="V10" s="214">
        <f t="shared" si="9"/>
        <v>31.230901280000001</v>
      </c>
      <c r="W10" s="277">
        <f>V10/'Prod &amp; Defects - Qty'!$R$5*1000000</f>
        <v>2</v>
      </c>
      <c r="X10" s="290">
        <f t="shared" si="3"/>
        <v>1</v>
      </c>
      <c r="Y10" s="291">
        <f t="shared" si="4"/>
        <v>1</v>
      </c>
      <c r="Z10" s="276">
        <f t="shared" si="5"/>
        <v>1</v>
      </c>
      <c r="AA10" s="277">
        <f t="shared" si="6"/>
        <v>1</v>
      </c>
    </row>
    <row r="11" spans="1:27" ht="18" customHeight="1">
      <c r="A11" s="1003"/>
      <c r="B11" s="998"/>
      <c r="C11" s="27">
        <v>1060</v>
      </c>
      <c r="D11" s="28" t="s">
        <v>41</v>
      </c>
      <c r="E11" s="48">
        <f>'[3]Falhas UM-1 - Qty'!AA11</f>
        <v>10</v>
      </c>
      <c r="F11" s="700">
        <f>'Prod &amp; Defects - Qty'!F$5*'Falhas UM-1 - Qty'!$E11/1000000</f>
        <v>14.422180025000003</v>
      </c>
      <c r="G11" s="701">
        <f>'Prod &amp; Defects - Qty'!G$5*'Falhas UM-1 - Qty'!$E11/1000000</f>
        <v>7.8699910800000001</v>
      </c>
      <c r="H11" s="701">
        <f>'Prod &amp; Defects - Qty'!H$5*'Falhas UM-1 - Qty'!$E11/1000000</f>
        <v>7.8338773550000003</v>
      </c>
      <c r="I11" s="701">
        <f>'Prod &amp; Defects - Qty'!I$5*'Falhas UM-1 - Qty'!$E11/1000000</f>
        <v>7.9167083225000008</v>
      </c>
      <c r="J11" s="701">
        <f>'Prod &amp; Defects - Qty'!J$5*'Falhas UM-1 - Qty'!$E11/1000000</f>
        <v>14.300859460000002</v>
      </c>
      <c r="K11" s="701">
        <f>'Prod &amp; Defects - Qty'!K$5*'Falhas UM-1 - Qty'!$E11/1000000</f>
        <v>16.5720898625</v>
      </c>
      <c r="L11" s="701">
        <f>'Prod &amp; Defects - Qty'!L$5*'Falhas UM-1 - Qty'!$E11/1000000</f>
        <v>16.690070904999999</v>
      </c>
      <c r="M11" s="701">
        <f>'Prod &amp; Defects - Qty'!M$5*'Falhas UM-1 - Qty'!$E11/1000000</f>
        <v>16.709177824999998</v>
      </c>
      <c r="N11" s="701">
        <f>'Prod &amp; Defects - Qty'!N$5*'Falhas UM-1 - Qty'!$E11/1000000</f>
        <v>13.396790264999998</v>
      </c>
      <c r="O11" s="701">
        <f>'Prod &amp; Defects - Qty'!O$5*'Falhas UM-1 - Qty'!$E11/1000000</f>
        <v>12.415419344999998</v>
      </c>
      <c r="P11" s="701">
        <f>'Prod &amp; Defects - Qty'!P$5*'Falhas UM-1 - Qty'!$E11/1000000</f>
        <v>12.561974359999999</v>
      </c>
      <c r="Q11" s="548">
        <f>'Prod &amp; Defects - Qty'!Q$5*'Falhas UM-1 - Qty'!$E11/1000000</f>
        <v>15.465367594999998</v>
      </c>
      <c r="R11" s="276">
        <f t="shared" si="7"/>
        <v>68.915706104999998</v>
      </c>
      <c r="S11" s="214">
        <f>R11/SUM('Prod &amp; Defects - Qty'!$F$5:$K$5)*1000000</f>
        <v>10</v>
      </c>
      <c r="T11" s="214">
        <f t="shared" si="8"/>
        <v>87.23880029499999</v>
      </c>
      <c r="U11" s="214">
        <f>T11/SUM('Prod &amp; Defects - Qty'!$L$5:$Q$5)*1000000</f>
        <v>10</v>
      </c>
      <c r="V11" s="214">
        <f t="shared" si="9"/>
        <v>156.1545064</v>
      </c>
      <c r="W11" s="277">
        <f>V11/'Prod &amp; Defects - Qty'!$R$5*1000000</f>
        <v>10</v>
      </c>
      <c r="X11" s="290">
        <f t="shared" si="3"/>
        <v>9</v>
      </c>
      <c r="Y11" s="291">
        <f t="shared" si="4"/>
        <v>9</v>
      </c>
      <c r="Z11" s="276">
        <f t="shared" si="5"/>
        <v>9</v>
      </c>
      <c r="AA11" s="277">
        <f t="shared" si="6"/>
        <v>9</v>
      </c>
    </row>
    <row r="12" spans="1:27" ht="18" customHeight="1">
      <c r="A12" s="1003"/>
      <c r="B12" s="998"/>
      <c r="C12" s="27">
        <v>1070</v>
      </c>
      <c r="D12" s="28" t="s">
        <v>40</v>
      </c>
      <c r="E12" s="48">
        <f>'[3]Falhas UM-1 - Qty'!AA12</f>
        <v>28</v>
      </c>
      <c r="F12" s="700">
        <f>'Prod &amp; Defects - Qty'!F$5*'Falhas UM-1 - Qty'!$E12/1000000</f>
        <v>40.382104070000011</v>
      </c>
      <c r="G12" s="701">
        <f>'Prod &amp; Defects - Qty'!G$5*'Falhas UM-1 - Qty'!$E12/1000000</f>
        <v>22.035975023999999</v>
      </c>
      <c r="H12" s="701">
        <f>'Prod &amp; Defects - Qty'!H$5*'Falhas UM-1 - Qty'!$E12/1000000</f>
        <v>21.934856593999999</v>
      </c>
      <c r="I12" s="701">
        <f>'Prod &amp; Defects - Qty'!I$5*'Falhas UM-1 - Qty'!$E12/1000000</f>
        <v>22.166783303000003</v>
      </c>
      <c r="J12" s="701">
        <f>'Prod &amp; Defects - Qty'!J$5*'Falhas UM-1 - Qty'!$E12/1000000</f>
        <v>40.042406487999997</v>
      </c>
      <c r="K12" s="701">
        <f>'Prod &amp; Defects - Qty'!K$5*'Falhas UM-1 - Qty'!$E12/1000000</f>
        <v>46.401851614999991</v>
      </c>
      <c r="L12" s="701">
        <f>'Prod &amp; Defects - Qty'!L$5*'Falhas UM-1 - Qty'!$E12/1000000</f>
        <v>46.732198533999991</v>
      </c>
      <c r="M12" s="701">
        <f>'Prod &amp; Defects - Qty'!M$5*'Falhas UM-1 - Qty'!$E12/1000000</f>
        <v>46.785697909999996</v>
      </c>
      <c r="N12" s="701">
        <f>'Prod &amp; Defects - Qty'!N$5*'Falhas UM-1 - Qty'!$E12/1000000</f>
        <v>37.511012741999998</v>
      </c>
      <c r="O12" s="701">
        <f>'Prod &amp; Defects - Qty'!O$5*'Falhas UM-1 - Qty'!$E12/1000000</f>
        <v>34.763174165999999</v>
      </c>
      <c r="P12" s="701">
        <f>'Prod &amp; Defects - Qty'!P$5*'Falhas UM-1 - Qty'!$E12/1000000</f>
        <v>35.173528207999993</v>
      </c>
      <c r="Q12" s="548">
        <f>'Prod &amp; Defects - Qty'!Q$5*'Falhas UM-1 - Qty'!$E12/1000000</f>
        <v>43.303029265999996</v>
      </c>
      <c r="R12" s="276">
        <f t="shared" si="7"/>
        <v>192.963977094</v>
      </c>
      <c r="S12" s="214">
        <f>R12/SUM('Prod &amp; Defects - Qty'!$F$5:$K$5)*1000000</f>
        <v>28</v>
      </c>
      <c r="T12" s="214">
        <f t="shared" si="8"/>
        <v>244.26864082599997</v>
      </c>
      <c r="U12" s="214">
        <f>T12/SUM('Prod &amp; Defects - Qty'!$L$5:$Q$5)*1000000</f>
        <v>28.000000000000004</v>
      </c>
      <c r="V12" s="214">
        <f t="shared" si="9"/>
        <v>437.23261791999994</v>
      </c>
      <c r="W12" s="277">
        <f>V12/'Prod &amp; Defects - Qty'!$R$5*1000000</f>
        <v>27.999999999999993</v>
      </c>
      <c r="X12" s="290">
        <f t="shared" si="3"/>
        <v>25</v>
      </c>
      <c r="Y12" s="291">
        <f t="shared" si="4"/>
        <v>25</v>
      </c>
      <c r="Z12" s="276">
        <f t="shared" si="5"/>
        <v>25</v>
      </c>
      <c r="AA12" s="277">
        <f t="shared" si="6"/>
        <v>25</v>
      </c>
    </row>
    <row r="13" spans="1:27" ht="18" customHeight="1">
      <c r="A13" s="1003"/>
      <c r="B13" s="998"/>
      <c r="C13" s="27">
        <v>1080</v>
      </c>
      <c r="D13" s="28" t="s">
        <v>39</v>
      </c>
      <c r="E13" s="48">
        <f>'[3]Falhas UM-1 - Qty'!AA13</f>
        <v>4</v>
      </c>
      <c r="F13" s="700">
        <f>'Prod &amp; Defects - Qty'!F$5*'Falhas UM-1 - Qty'!$E13/1000000</f>
        <v>5.7688720100000008</v>
      </c>
      <c r="G13" s="701">
        <f>'Prod &amp; Defects - Qty'!G$5*'Falhas UM-1 - Qty'!$E13/1000000</f>
        <v>3.1479964320000002</v>
      </c>
      <c r="H13" s="701">
        <f>'Prod &amp; Defects - Qty'!H$5*'Falhas UM-1 - Qty'!$E13/1000000</f>
        <v>3.1335509420000003</v>
      </c>
      <c r="I13" s="701">
        <f>'Prod &amp; Defects - Qty'!I$5*'Falhas UM-1 - Qty'!$E13/1000000</f>
        <v>3.1666833290000005</v>
      </c>
      <c r="J13" s="701">
        <f>'Prod &amp; Defects - Qty'!J$5*'Falhas UM-1 - Qty'!$E13/1000000</f>
        <v>5.7203437839999998</v>
      </c>
      <c r="K13" s="701">
        <f>'Prod &amp; Defects - Qty'!K$5*'Falhas UM-1 - Qty'!$E13/1000000</f>
        <v>6.6288359449999996</v>
      </c>
      <c r="L13" s="701">
        <f>'Prod &amp; Defects - Qty'!L$5*'Falhas UM-1 - Qty'!$E13/1000000</f>
        <v>6.6760283619999994</v>
      </c>
      <c r="M13" s="701">
        <f>'Prod &amp; Defects - Qty'!M$5*'Falhas UM-1 - Qty'!$E13/1000000</f>
        <v>6.6836711299999996</v>
      </c>
      <c r="N13" s="701">
        <f>'Prod &amp; Defects - Qty'!N$5*'Falhas UM-1 - Qty'!$E13/1000000</f>
        <v>5.3587161059999993</v>
      </c>
      <c r="O13" s="701">
        <f>'Prod &amp; Defects - Qty'!O$5*'Falhas UM-1 - Qty'!$E13/1000000</f>
        <v>4.9661677380000002</v>
      </c>
      <c r="P13" s="701">
        <f>'Prod &amp; Defects - Qty'!P$5*'Falhas UM-1 - Qty'!$E13/1000000</f>
        <v>5.0247897439999996</v>
      </c>
      <c r="Q13" s="548">
        <f>'Prod &amp; Defects - Qty'!Q$5*'Falhas UM-1 - Qty'!$E13/1000000</f>
        <v>6.1861470379999997</v>
      </c>
      <c r="R13" s="276">
        <f t="shared" si="7"/>
        <v>27.566282442000002</v>
      </c>
      <c r="S13" s="214">
        <f>R13/SUM('Prod &amp; Defects - Qty'!$F$5:$K$5)*1000000</f>
        <v>4</v>
      </c>
      <c r="T13" s="214">
        <f t="shared" si="8"/>
        <v>34.895520118</v>
      </c>
      <c r="U13" s="214">
        <f>T13/SUM('Prod &amp; Defects - Qty'!$L$5:$Q$5)*1000000</f>
        <v>4.0000000000000009</v>
      </c>
      <c r="V13" s="214">
        <f t="shared" si="9"/>
        <v>62.461802560000002</v>
      </c>
      <c r="W13" s="277">
        <f>V13/'Prod &amp; Defects - Qty'!$R$5*1000000</f>
        <v>4</v>
      </c>
      <c r="X13" s="290">
        <f t="shared" si="3"/>
        <v>3</v>
      </c>
      <c r="Y13" s="291">
        <f t="shared" si="4"/>
        <v>3</v>
      </c>
      <c r="Z13" s="276">
        <f t="shared" si="5"/>
        <v>3</v>
      </c>
      <c r="AA13" s="277">
        <f t="shared" si="6"/>
        <v>3</v>
      </c>
    </row>
    <row r="14" spans="1:27" ht="18" customHeight="1">
      <c r="A14" s="1003"/>
      <c r="B14" s="998"/>
      <c r="C14" s="27">
        <v>1090</v>
      </c>
      <c r="D14" s="28" t="s">
        <v>38</v>
      </c>
      <c r="E14" s="48">
        <f>'[3]Falhas UM-1 - Qty'!AA14</f>
        <v>20</v>
      </c>
      <c r="F14" s="700">
        <f>'Prod &amp; Defects - Qty'!F$5*'Falhas UM-1 - Qty'!$E14/1000000</f>
        <v>28.844360050000006</v>
      </c>
      <c r="G14" s="701">
        <f>'Prod &amp; Defects - Qty'!G$5*'Falhas UM-1 - Qty'!$E14/1000000</f>
        <v>15.73998216</v>
      </c>
      <c r="H14" s="701">
        <f>'Prod &amp; Defects - Qty'!H$5*'Falhas UM-1 - Qty'!$E14/1000000</f>
        <v>15.667754710000001</v>
      </c>
      <c r="I14" s="701">
        <f>'Prod &amp; Defects - Qty'!I$5*'Falhas UM-1 - Qty'!$E14/1000000</f>
        <v>15.833416645000002</v>
      </c>
      <c r="J14" s="701">
        <f>'Prod &amp; Defects - Qty'!J$5*'Falhas UM-1 - Qty'!$E14/1000000</f>
        <v>28.601718920000003</v>
      </c>
      <c r="K14" s="701">
        <f>'Prod &amp; Defects - Qty'!K$5*'Falhas UM-1 - Qty'!$E14/1000000</f>
        <v>33.144179725000001</v>
      </c>
      <c r="L14" s="701">
        <f>'Prod &amp; Defects - Qty'!L$5*'Falhas UM-1 - Qty'!$E14/1000000</f>
        <v>33.380141809999998</v>
      </c>
      <c r="M14" s="701">
        <f>'Prod &amp; Defects - Qty'!M$5*'Falhas UM-1 - Qty'!$E14/1000000</f>
        <v>33.418355649999995</v>
      </c>
      <c r="N14" s="701">
        <f>'Prod &amp; Defects - Qty'!N$5*'Falhas UM-1 - Qty'!$E14/1000000</f>
        <v>26.793580529999996</v>
      </c>
      <c r="O14" s="701">
        <f>'Prod &amp; Defects - Qty'!O$5*'Falhas UM-1 - Qty'!$E14/1000000</f>
        <v>24.830838689999997</v>
      </c>
      <c r="P14" s="701">
        <f>'Prod &amp; Defects - Qty'!P$5*'Falhas UM-1 - Qty'!$E14/1000000</f>
        <v>25.123948719999998</v>
      </c>
      <c r="Q14" s="548">
        <f>'Prod &amp; Defects - Qty'!Q$5*'Falhas UM-1 - Qty'!$E14/1000000</f>
        <v>30.930735189999996</v>
      </c>
      <c r="R14" s="276">
        <f t="shared" si="7"/>
        <v>137.83141221</v>
      </c>
      <c r="S14" s="214">
        <f>R14/SUM('Prod &amp; Defects - Qty'!$F$5:$K$5)*1000000</f>
        <v>20</v>
      </c>
      <c r="T14" s="214">
        <f t="shared" si="8"/>
        <v>174.47760058999998</v>
      </c>
      <c r="U14" s="214">
        <f>T14/SUM('Prod &amp; Defects - Qty'!$L$5:$Q$5)*1000000</f>
        <v>20</v>
      </c>
      <c r="V14" s="214">
        <f t="shared" si="9"/>
        <v>312.3090128</v>
      </c>
      <c r="W14" s="277">
        <f>V14/'Prod &amp; Defects - Qty'!$R$5*1000000</f>
        <v>20</v>
      </c>
      <c r="X14" s="290">
        <f t="shared" si="3"/>
        <v>18</v>
      </c>
      <c r="Y14" s="291">
        <f t="shared" si="4"/>
        <v>18</v>
      </c>
      <c r="Z14" s="276">
        <f t="shared" si="5"/>
        <v>18</v>
      </c>
      <c r="AA14" s="277">
        <f t="shared" si="6"/>
        <v>18</v>
      </c>
    </row>
    <row r="15" spans="1:27" ht="18" customHeight="1" thickBot="1">
      <c r="A15" s="1003"/>
      <c r="B15" s="999"/>
      <c r="C15" s="29"/>
      <c r="D15" s="30" t="s">
        <v>1</v>
      </c>
      <c r="E15" s="49">
        <f>'[3]Falhas UM-1 - Qty'!AA15</f>
        <v>996</v>
      </c>
      <c r="F15" s="702">
        <f>SUBTOTAL(109,F6:F14)</f>
        <v>1429.2380404775004</v>
      </c>
      <c r="G15" s="703">
        <f t="shared" ref="G15:Q15" si="10">SUBTOTAL(109,G6:G14)</f>
        <v>779.91611602799992</v>
      </c>
      <c r="H15" s="703">
        <f t="shared" si="10"/>
        <v>776.33724588050029</v>
      </c>
      <c r="I15" s="703">
        <f t="shared" si="10"/>
        <v>784.54579475975015</v>
      </c>
      <c r="J15" s="703">
        <f t="shared" si="10"/>
        <v>1417.2151724859998</v>
      </c>
      <c r="K15" s="703">
        <f t="shared" si="10"/>
        <v>1642.2941053737497</v>
      </c>
      <c r="L15" s="703">
        <f t="shared" si="10"/>
        <v>1653.9860266855001</v>
      </c>
      <c r="M15" s="703">
        <f t="shared" si="10"/>
        <v>1655.8795224574999</v>
      </c>
      <c r="N15" s="703">
        <f t="shared" si="10"/>
        <v>1327.6219152614999</v>
      </c>
      <c r="O15" s="703">
        <f t="shared" si="10"/>
        <v>1230.3680570894999</v>
      </c>
      <c r="P15" s="703">
        <f t="shared" si="10"/>
        <v>1244.891659076</v>
      </c>
      <c r="Q15" s="775">
        <f t="shared" si="10"/>
        <v>1532.6179286644999</v>
      </c>
      <c r="R15" s="167">
        <f>SUBTOTAL(109,R6:R14)</f>
        <v>6829.5464750054998</v>
      </c>
      <c r="S15" s="215">
        <f>R15/SUM('Prod &amp; Defects - Qty'!$F$5:$K$5)*1000000</f>
        <v>990.99999999999989</v>
      </c>
      <c r="T15" s="215">
        <f>SUBTOTAL(109,T6:T14)</f>
        <v>8645.365109234499</v>
      </c>
      <c r="U15" s="215">
        <f>T15/SUM('Prod &amp; Defects - Qty'!$L$5:$Q$5)*1000000</f>
        <v>991.00000000000011</v>
      </c>
      <c r="V15" s="215">
        <f t="shared" si="9"/>
        <v>15474.911584239999</v>
      </c>
      <c r="W15" s="278">
        <f>V15/'Prod &amp; Defects - Qty'!$R$5*1000000</f>
        <v>990.99999999999966</v>
      </c>
      <c r="X15" s="292">
        <f t="shared" si="3"/>
        <v>891</v>
      </c>
      <c r="Y15" s="293">
        <f t="shared" si="4"/>
        <v>891</v>
      </c>
      <c r="Z15" s="167">
        <f t="shared" si="5"/>
        <v>891</v>
      </c>
      <c r="AA15" s="278">
        <f>SUM(AA6:AA14)</f>
        <v>888</v>
      </c>
    </row>
    <row r="16" spans="1:27" ht="18" customHeight="1" thickTop="1">
      <c r="A16" s="1003"/>
      <c r="B16" s="1000" t="s">
        <v>37</v>
      </c>
      <c r="C16" s="31">
        <v>1100</v>
      </c>
      <c r="D16" s="32" t="s">
        <v>36</v>
      </c>
      <c r="E16" s="48">
        <f>'[3]Falhas UM-1 - Qty'!AA16</f>
        <v>9004</v>
      </c>
      <c r="F16" s="701">
        <f>'Prod &amp; Defects - Qty'!F$5*'Falhas UM-1 - Qty'!$E16/1000000</f>
        <v>12985.730894510001</v>
      </c>
      <c r="G16" s="701">
        <f>'Prod &amp; Defects - Qty'!G$5*'Falhas UM-1 - Qty'!$E16/1000000</f>
        <v>7086.1399684320004</v>
      </c>
      <c r="H16" s="701">
        <f>'Prod &amp; Defects - Qty'!H$5*'Falhas UM-1 - Qty'!$E16/1000000</f>
        <v>7053.6231704420006</v>
      </c>
      <c r="I16" s="701">
        <f>'Prod &amp; Defects - Qty'!I$5*'Falhas UM-1 - Qty'!$E16/1000000</f>
        <v>7128.2041735790008</v>
      </c>
      <c r="J16" s="701">
        <f>'Prod &amp; Defects - Qty'!J$5*'Falhas UM-1 - Qty'!$E16/1000000</f>
        <v>12876.493857784</v>
      </c>
      <c r="K16" s="701">
        <f>'Prod &amp; Defects - Qty'!K$5*'Falhas UM-1 - Qty'!$E16/1000000</f>
        <v>14921.509712194998</v>
      </c>
      <c r="L16" s="701">
        <f>'Prod &amp; Defects - Qty'!L$5*'Falhas UM-1 - Qty'!$E16/1000000</f>
        <v>15027.739842862</v>
      </c>
      <c r="M16" s="701">
        <f>'Prod &amp; Defects - Qty'!M$5*'Falhas UM-1 - Qty'!$E16/1000000</f>
        <v>15044.943713629998</v>
      </c>
      <c r="N16" s="701">
        <f>'Prod &amp; Defects - Qty'!N$5*'Falhas UM-1 - Qty'!$E16/1000000</f>
        <v>12062.469954605998</v>
      </c>
      <c r="O16" s="701">
        <f>'Prod &amp; Defects - Qty'!O$5*'Falhas UM-1 - Qty'!$E16/1000000</f>
        <v>11178.843578237998</v>
      </c>
      <c r="P16" s="701">
        <f>'Prod &amp; Defects - Qty'!P$5*'Falhas UM-1 - Qty'!$E16/1000000</f>
        <v>11310.801713744</v>
      </c>
      <c r="Q16" s="548">
        <f>'Prod &amp; Defects - Qty'!Q$5*'Falhas UM-1 - Qty'!$E16/1000000</f>
        <v>13925.016982538</v>
      </c>
      <c r="R16" s="276">
        <f t="shared" si="7"/>
        <v>62051.701776942005</v>
      </c>
      <c r="S16" s="216">
        <f>R16/SUM('Prod &amp; Defects - Qty'!$F$5:$K$5)*1000000</f>
        <v>9004</v>
      </c>
      <c r="T16" s="216">
        <f t="shared" si="8"/>
        <v>78549.81578561799</v>
      </c>
      <c r="U16" s="216">
        <f>T16/SUM('Prod &amp; Defects - Qty'!$L$5:$Q$5)*1000000</f>
        <v>9004</v>
      </c>
      <c r="V16" s="216">
        <f t="shared" si="9"/>
        <v>140601.51756255998</v>
      </c>
      <c r="W16" s="279">
        <f>V16/'Prod &amp; Defects - Qty'!$R$5*1000000</f>
        <v>9003.9999999999982</v>
      </c>
      <c r="X16" s="290">
        <f t="shared" si="3"/>
        <v>8103</v>
      </c>
      <c r="Y16" s="294">
        <f t="shared" si="4"/>
        <v>8103</v>
      </c>
      <c r="Z16" s="276">
        <f t="shared" si="5"/>
        <v>8103</v>
      </c>
      <c r="AA16" s="279">
        <f t="shared" ref="AA16:AA21" si="11">Z16*1</f>
        <v>8103</v>
      </c>
    </row>
    <row r="17" spans="1:27" ht="18" customHeight="1">
      <c r="A17" s="1003"/>
      <c r="B17" s="1000"/>
      <c r="C17" s="31">
        <v>1110</v>
      </c>
      <c r="D17" s="32" t="s">
        <v>35</v>
      </c>
      <c r="E17" s="48">
        <f>'[3]Falhas UM-1 - Qty'!AA17</f>
        <v>35</v>
      </c>
      <c r="F17" s="701">
        <f>'Prod &amp; Defects - Qty'!F$5*'Falhas UM-1 - Qty'!$E17/1000000</f>
        <v>50.477630087500003</v>
      </c>
      <c r="G17" s="701">
        <f>'Prod &amp; Defects - Qty'!G$5*'Falhas UM-1 - Qty'!$E17/1000000</f>
        <v>27.544968780000001</v>
      </c>
      <c r="H17" s="701">
        <f>'Prod &amp; Defects - Qty'!H$5*'Falhas UM-1 - Qty'!$E17/1000000</f>
        <v>27.418570742500002</v>
      </c>
      <c r="I17" s="701">
        <f>'Prod &amp; Defects - Qty'!I$5*'Falhas UM-1 - Qty'!$E17/1000000</f>
        <v>27.708479128750003</v>
      </c>
      <c r="J17" s="701">
        <f>'Prod &amp; Defects - Qty'!J$5*'Falhas UM-1 - Qty'!$E17/1000000</f>
        <v>50.05300811</v>
      </c>
      <c r="K17" s="701">
        <f>'Prod &amp; Defects - Qty'!K$5*'Falhas UM-1 - Qty'!$E17/1000000</f>
        <v>58.002314518749998</v>
      </c>
      <c r="L17" s="701">
        <f>'Prod &amp; Defects - Qty'!L$5*'Falhas UM-1 - Qty'!$E17/1000000</f>
        <v>58.415248167499996</v>
      </c>
      <c r="M17" s="701">
        <f>'Prod &amp; Defects - Qty'!M$5*'Falhas UM-1 - Qty'!$E17/1000000</f>
        <v>58.482122387499999</v>
      </c>
      <c r="N17" s="701">
        <f>'Prod &amp; Defects - Qty'!N$5*'Falhas UM-1 - Qty'!$E17/1000000</f>
        <v>46.888765927499996</v>
      </c>
      <c r="O17" s="701">
        <f>'Prod &amp; Defects - Qty'!O$5*'Falhas UM-1 - Qty'!$E17/1000000</f>
        <v>43.453967707499999</v>
      </c>
      <c r="P17" s="701">
        <f>'Prod &amp; Defects - Qty'!P$5*'Falhas UM-1 - Qty'!$E17/1000000</f>
        <v>43.966910259999999</v>
      </c>
      <c r="Q17" s="548">
        <f>'Prod &amp; Defects - Qty'!Q$5*'Falhas UM-1 - Qty'!$E17/1000000</f>
        <v>54.128786582499998</v>
      </c>
      <c r="R17" s="276">
        <f t="shared" si="7"/>
        <v>241.20497136750004</v>
      </c>
      <c r="S17" s="216">
        <f>R17/SUM('Prod &amp; Defects - Qty'!$F$5:$K$5)*1000000</f>
        <v>35.000000000000007</v>
      </c>
      <c r="T17" s="216">
        <f t="shared" si="8"/>
        <v>305.33580103249994</v>
      </c>
      <c r="U17" s="216">
        <f>T17/SUM('Prod &amp; Defects - Qty'!$L$5:$Q$5)*1000000</f>
        <v>35.000000000000007</v>
      </c>
      <c r="V17" s="216">
        <f t="shared" si="9"/>
        <v>546.54077239999992</v>
      </c>
      <c r="W17" s="279">
        <f>V17/'Prod &amp; Defects - Qty'!$R$5*1000000</f>
        <v>34.999999999999993</v>
      </c>
      <c r="X17" s="290">
        <f t="shared" si="3"/>
        <v>31</v>
      </c>
      <c r="Y17" s="294">
        <f t="shared" si="4"/>
        <v>31</v>
      </c>
      <c r="Z17" s="276">
        <f t="shared" si="5"/>
        <v>31</v>
      </c>
      <c r="AA17" s="279">
        <f t="shared" si="11"/>
        <v>31</v>
      </c>
    </row>
    <row r="18" spans="1:27" ht="18" customHeight="1">
      <c r="A18" s="1003"/>
      <c r="B18" s="1000"/>
      <c r="C18" s="31">
        <f>C17+10</f>
        <v>1120</v>
      </c>
      <c r="D18" s="32" t="s">
        <v>34</v>
      </c>
      <c r="E18" s="48">
        <f>'[3]Falhas UM-1 - Qty'!AA18</f>
        <v>8</v>
      </c>
      <c r="F18" s="701">
        <f>'Prod &amp; Defects - Qty'!F$5*'Falhas UM-1 - Qty'!$E18/1000000</f>
        <v>11.537744020000002</v>
      </c>
      <c r="G18" s="701">
        <f>'Prod &amp; Defects - Qty'!G$5*'Falhas UM-1 - Qty'!$E18/1000000</f>
        <v>6.2959928640000005</v>
      </c>
      <c r="H18" s="701">
        <f>'Prod &amp; Defects - Qty'!H$5*'Falhas UM-1 - Qty'!$E18/1000000</f>
        <v>6.2671018840000006</v>
      </c>
      <c r="I18" s="701">
        <f>'Prod &amp; Defects - Qty'!I$5*'Falhas UM-1 - Qty'!$E18/1000000</f>
        <v>6.333366658000001</v>
      </c>
      <c r="J18" s="701">
        <f>'Prod &amp; Defects - Qty'!J$5*'Falhas UM-1 - Qty'!$E18/1000000</f>
        <v>11.440687568</v>
      </c>
      <c r="K18" s="701">
        <f>'Prod &amp; Defects - Qty'!K$5*'Falhas UM-1 - Qty'!$E18/1000000</f>
        <v>13.257671889999999</v>
      </c>
      <c r="L18" s="701">
        <f>'Prod &amp; Defects - Qty'!L$5*'Falhas UM-1 - Qty'!$E18/1000000</f>
        <v>13.352056723999999</v>
      </c>
      <c r="M18" s="701">
        <f>'Prod &amp; Defects - Qty'!M$5*'Falhas UM-1 - Qty'!$E18/1000000</f>
        <v>13.367342259999999</v>
      </c>
      <c r="N18" s="701">
        <f>'Prod &amp; Defects - Qty'!N$5*'Falhas UM-1 - Qty'!$E18/1000000</f>
        <v>10.717432211999999</v>
      </c>
      <c r="O18" s="701">
        <f>'Prod &amp; Defects - Qty'!O$5*'Falhas UM-1 - Qty'!$E18/1000000</f>
        <v>9.9323354760000004</v>
      </c>
      <c r="P18" s="701">
        <f>'Prod &amp; Defects - Qty'!P$5*'Falhas UM-1 - Qty'!$E18/1000000</f>
        <v>10.049579487999999</v>
      </c>
      <c r="Q18" s="548">
        <f>'Prod &amp; Defects - Qty'!Q$5*'Falhas UM-1 - Qty'!$E18/1000000</f>
        <v>12.372294075999999</v>
      </c>
      <c r="R18" s="276">
        <f t="shared" si="7"/>
        <v>55.132564884000004</v>
      </c>
      <c r="S18" s="216">
        <f>R18/SUM('Prod &amp; Defects - Qty'!$F$5:$K$5)*1000000</f>
        <v>8</v>
      </c>
      <c r="T18" s="216">
        <f t="shared" si="8"/>
        <v>69.791040236000001</v>
      </c>
      <c r="U18" s="216">
        <f>T18/SUM('Prod &amp; Defects - Qty'!$L$5:$Q$5)*1000000</f>
        <v>8.0000000000000018</v>
      </c>
      <c r="V18" s="216">
        <f t="shared" si="9"/>
        <v>124.92360512</v>
      </c>
      <c r="W18" s="279">
        <f>V18/'Prod &amp; Defects - Qty'!$R$5*1000000</f>
        <v>8</v>
      </c>
      <c r="X18" s="290">
        <f t="shared" si="3"/>
        <v>7</v>
      </c>
      <c r="Y18" s="294">
        <f t="shared" si="4"/>
        <v>7</v>
      </c>
      <c r="Z18" s="276">
        <f t="shared" si="5"/>
        <v>7</v>
      </c>
      <c r="AA18" s="279">
        <f t="shared" si="11"/>
        <v>7</v>
      </c>
    </row>
    <row r="19" spans="1:27" ht="18" customHeight="1">
      <c r="A19" s="1003"/>
      <c r="B19" s="1000"/>
      <c r="C19" s="31">
        <f>C18+10</f>
        <v>1130</v>
      </c>
      <c r="D19" s="32" t="s">
        <v>33</v>
      </c>
      <c r="E19" s="48">
        <f>'[3]Falhas UM-1 - Qty'!AA19</f>
        <v>1443</v>
      </c>
      <c r="F19" s="701">
        <f>'Prod &amp; Defects - Qty'!F$5*'Falhas UM-1 - Qty'!$E19/1000000</f>
        <v>2081.1205776075003</v>
      </c>
      <c r="G19" s="701">
        <f>'Prod &amp; Defects - Qty'!G$5*'Falhas UM-1 - Qty'!$E19/1000000</f>
        <v>1135.6397128440001</v>
      </c>
      <c r="H19" s="701">
        <f>'Prod &amp; Defects - Qty'!H$5*'Falhas UM-1 - Qty'!$E19/1000000</f>
        <v>1130.4285023265002</v>
      </c>
      <c r="I19" s="701">
        <f>'Prod &amp; Defects - Qty'!I$5*'Falhas UM-1 - Qty'!$E19/1000000</f>
        <v>1142.3810109367503</v>
      </c>
      <c r="J19" s="701">
        <f>'Prod &amp; Defects - Qty'!J$5*'Falhas UM-1 - Qty'!$E19/1000000</f>
        <v>2063.6140200780001</v>
      </c>
      <c r="K19" s="701">
        <f>'Prod &amp; Defects - Qty'!K$5*'Falhas UM-1 - Qty'!$E19/1000000</f>
        <v>2391.3525671587495</v>
      </c>
      <c r="L19" s="701">
        <f>'Prod &amp; Defects - Qty'!L$5*'Falhas UM-1 - Qty'!$E19/1000000</f>
        <v>2408.3772315914998</v>
      </c>
      <c r="M19" s="701">
        <f>'Prod &amp; Defects - Qty'!M$5*'Falhas UM-1 - Qty'!$E19/1000000</f>
        <v>2411.1343601475</v>
      </c>
      <c r="N19" s="701">
        <f>'Prod &amp; Defects - Qty'!N$5*'Falhas UM-1 - Qty'!$E19/1000000</f>
        <v>1933.1568352394997</v>
      </c>
      <c r="O19" s="701">
        <f>'Prod &amp; Defects - Qty'!O$5*'Falhas UM-1 - Qty'!$E19/1000000</f>
        <v>1791.5450114835</v>
      </c>
      <c r="P19" s="701">
        <f>'Prod &amp; Defects - Qty'!P$5*'Falhas UM-1 - Qty'!$E19/1000000</f>
        <v>1812.692900148</v>
      </c>
      <c r="Q19" s="548">
        <f>'Prod &amp; Defects - Qty'!Q$5*'Falhas UM-1 - Qty'!$E19/1000000</f>
        <v>2231.6525439584998</v>
      </c>
      <c r="R19" s="276">
        <f t="shared" si="7"/>
        <v>9944.5363909514999</v>
      </c>
      <c r="S19" s="216">
        <f>R19/SUM('Prod &amp; Defects - Qty'!$F$5:$K$5)*1000000</f>
        <v>1442.9999999999998</v>
      </c>
      <c r="T19" s="216">
        <f t="shared" si="8"/>
        <v>12588.558882568499</v>
      </c>
      <c r="U19" s="216">
        <f>T19/SUM('Prod &amp; Defects - Qty'!$L$5:$Q$5)*1000000</f>
        <v>1443.0000000000002</v>
      </c>
      <c r="V19" s="216">
        <f t="shared" si="9"/>
        <v>22533.095273519997</v>
      </c>
      <c r="W19" s="279">
        <f>V19/'Prod &amp; Defects - Qty'!$R$5*1000000</f>
        <v>1442.9999999999995</v>
      </c>
      <c r="X19" s="290">
        <f t="shared" si="3"/>
        <v>1298</v>
      </c>
      <c r="Y19" s="294">
        <f t="shared" si="4"/>
        <v>1298</v>
      </c>
      <c r="Z19" s="276">
        <f t="shared" si="5"/>
        <v>1298</v>
      </c>
      <c r="AA19" s="279">
        <f t="shared" si="11"/>
        <v>1298</v>
      </c>
    </row>
    <row r="20" spans="1:27" ht="18" customHeight="1">
      <c r="A20" s="1003"/>
      <c r="B20" s="1000"/>
      <c r="C20" s="31">
        <f>C19+10</f>
        <v>1140</v>
      </c>
      <c r="D20" s="32" t="s">
        <v>32</v>
      </c>
      <c r="E20" s="48">
        <f>'[3]Falhas UM-1 - Qty'!AA20</f>
        <v>0</v>
      </c>
      <c r="F20" s="701">
        <f>'Prod &amp; Defects - Qty'!F$5*'Falhas UM-1 - Qty'!$E20/1000000</f>
        <v>0</v>
      </c>
      <c r="G20" s="701">
        <f>'Prod &amp; Defects - Qty'!G$5*'Falhas UM-1 - Qty'!$E20/1000000</f>
        <v>0</v>
      </c>
      <c r="H20" s="701">
        <f>'Prod &amp; Defects - Qty'!H$5*'Falhas UM-1 - Qty'!$E20/1000000</f>
        <v>0</v>
      </c>
      <c r="I20" s="701">
        <f>'Prod &amp; Defects - Qty'!I$5*'Falhas UM-1 - Qty'!$E20/1000000</f>
        <v>0</v>
      </c>
      <c r="J20" s="701">
        <f>'Prod &amp; Defects - Qty'!J$5*'Falhas UM-1 - Qty'!$E20/1000000</f>
        <v>0</v>
      </c>
      <c r="K20" s="701">
        <f>'Prod &amp; Defects - Qty'!K$5*'Falhas UM-1 - Qty'!$E20/1000000</f>
        <v>0</v>
      </c>
      <c r="L20" s="701">
        <f>'Prod &amp; Defects - Qty'!L$5*'Falhas UM-1 - Qty'!$E20/1000000</f>
        <v>0</v>
      </c>
      <c r="M20" s="701">
        <f>'Prod &amp; Defects - Qty'!M$5*'Falhas UM-1 - Qty'!$E20/1000000</f>
        <v>0</v>
      </c>
      <c r="N20" s="701">
        <f>'Prod &amp; Defects - Qty'!N$5*'Falhas UM-1 - Qty'!$E20/1000000</f>
        <v>0</v>
      </c>
      <c r="O20" s="701">
        <f>'Prod &amp; Defects - Qty'!O$5*'Falhas UM-1 - Qty'!$E20/1000000</f>
        <v>0</v>
      </c>
      <c r="P20" s="701">
        <f>'Prod &amp; Defects - Qty'!P$5*'Falhas UM-1 - Qty'!$E20/1000000</f>
        <v>0</v>
      </c>
      <c r="Q20" s="548">
        <f>'Prod &amp; Defects - Qty'!Q$5*'Falhas UM-1 - Qty'!$E20/1000000</f>
        <v>0</v>
      </c>
      <c r="R20" s="276">
        <f t="shared" si="7"/>
        <v>0</v>
      </c>
      <c r="S20" s="216">
        <f>R20/SUM('Prod &amp; Defects - Qty'!$F$5:$K$5)*1000000</f>
        <v>0</v>
      </c>
      <c r="T20" s="216">
        <f t="shared" si="8"/>
        <v>0</v>
      </c>
      <c r="U20" s="216">
        <f>T20/SUM('Prod &amp; Defects - Qty'!$L$5:$Q$5)*1000000</f>
        <v>0</v>
      </c>
      <c r="V20" s="216">
        <f t="shared" si="9"/>
        <v>0</v>
      </c>
      <c r="W20" s="279">
        <f>V20/'Prod &amp; Defects - Qty'!$R$5*1000000</f>
        <v>0</v>
      </c>
      <c r="X20" s="290">
        <f t="shared" si="3"/>
        <v>0</v>
      </c>
      <c r="Y20" s="294">
        <f t="shared" si="4"/>
        <v>0</v>
      </c>
      <c r="Z20" s="276">
        <f t="shared" si="5"/>
        <v>0</v>
      </c>
      <c r="AA20" s="279">
        <f t="shared" si="11"/>
        <v>0</v>
      </c>
    </row>
    <row r="21" spans="1:27" ht="18" customHeight="1">
      <c r="A21" s="1003"/>
      <c r="B21" s="1000"/>
      <c r="C21" s="31">
        <f>C20+10</f>
        <v>1150</v>
      </c>
      <c r="D21" s="32" t="s">
        <v>31</v>
      </c>
      <c r="E21" s="48">
        <f>'[3]Falhas UM-1 - Qty'!AA21</f>
        <v>3018</v>
      </c>
      <c r="F21" s="701">
        <f>'Prod &amp; Defects - Qty'!F$5*'Falhas UM-1 - Qty'!$E21/1000000</f>
        <v>4352.613931545</v>
      </c>
      <c r="G21" s="701">
        <f>'Prod &amp; Defects - Qty'!G$5*'Falhas UM-1 - Qty'!$E21/1000000</f>
        <v>2375.1633079440003</v>
      </c>
      <c r="H21" s="701">
        <f>'Prod &amp; Defects - Qty'!H$5*'Falhas UM-1 - Qty'!$E21/1000000</f>
        <v>2364.2641857390004</v>
      </c>
      <c r="I21" s="701">
        <f>'Prod &amp; Defects - Qty'!I$5*'Falhas UM-1 - Qty'!$E21/1000000</f>
        <v>2389.2625717305004</v>
      </c>
      <c r="J21" s="701">
        <f>'Prod &amp; Defects - Qty'!J$5*'Falhas UM-1 - Qty'!$E21/1000000</f>
        <v>4315.9993850279998</v>
      </c>
      <c r="K21" s="701">
        <f>'Prod &amp; Defects - Qty'!K$5*'Falhas UM-1 - Qty'!$E21/1000000</f>
        <v>5001.4567205024996</v>
      </c>
      <c r="L21" s="701">
        <f>'Prod &amp; Defects - Qty'!L$5*'Falhas UM-1 - Qty'!$E21/1000000</f>
        <v>5037.0633991289997</v>
      </c>
      <c r="M21" s="701">
        <f>'Prod &amp; Defects - Qty'!M$5*'Falhas UM-1 - Qty'!$E21/1000000</f>
        <v>5042.8298675850001</v>
      </c>
      <c r="N21" s="701">
        <f>'Prod &amp; Defects - Qty'!N$5*'Falhas UM-1 - Qty'!$E21/1000000</f>
        <v>4043.1513019769995</v>
      </c>
      <c r="O21" s="701">
        <f>'Prod &amp; Defects - Qty'!O$5*'Falhas UM-1 - Qty'!$E21/1000000</f>
        <v>3746.9735583209999</v>
      </c>
      <c r="P21" s="701">
        <f>'Prod &amp; Defects - Qty'!P$5*'Falhas UM-1 - Qty'!$E21/1000000</f>
        <v>3791.2038618480001</v>
      </c>
      <c r="Q21" s="548">
        <f>'Prod &amp; Defects - Qty'!Q$5*'Falhas UM-1 - Qty'!$E21/1000000</f>
        <v>4667.4479401709996</v>
      </c>
      <c r="R21" s="276">
        <f t="shared" si="7"/>
        <v>20798.760102489003</v>
      </c>
      <c r="S21" s="216">
        <f>R21/SUM('Prod &amp; Defects - Qty'!$F$5:$K$5)*1000000</f>
        <v>3018.0000000000005</v>
      </c>
      <c r="T21" s="216">
        <f t="shared" si="8"/>
        <v>26328.669929030999</v>
      </c>
      <c r="U21" s="216">
        <f>T21/SUM('Prod &amp; Defects - Qty'!$L$5:$Q$5)*1000000</f>
        <v>3018.0000000000005</v>
      </c>
      <c r="V21" s="216">
        <f t="shared" si="9"/>
        <v>47127.430031520002</v>
      </c>
      <c r="W21" s="279">
        <f>V21/'Prod &amp; Defects - Qty'!$R$5*1000000</f>
        <v>3017.9999999999995</v>
      </c>
      <c r="X21" s="290">
        <f t="shared" si="3"/>
        <v>2716</v>
      </c>
      <c r="Y21" s="294">
        <f t="shared" si="4"/>
        <v>2716</v>
      </c>
      <c r="Z21" s="276">
        <f t="shared" si="5"/>
        <v>2716</v>
      </c>
      <c r="AA21" s="279">
        <f t="shared" si="11"/>
        <v>2716</v>
      </c>
    </row>
    <row r="22" spans="1:27" ht="18" customHeight="1" thickBot="1">
      <c r="A22" s="1003"/>
      <c r="B22" s="1001"/>
      <c r="C22" s="33"/>
      <c r="D22" s="34" t="s">
        <v>120</v>
      </c>
      <c r="E22" s="50">
        <f>'[3]Falhas UM-1 - Qty'!AA22</f>
        <v>9040</v>
      </c>
      <c r="F22" s="704">
        <f>SUBTOTAL(109,F16:F21)</f>
        <v>19481.480777770004</v>
      </c>
      <c r="G22" s="704">
        <f t="shared" ref="G22:Q22" si="12">SUBTOTAL(109,G16:G21)</f>
        <v>10630.783950864001</v>
      </c>
      <c r="H22" s="704">
        <f t="shared" si="12"/>
        <v>10582.001531134003</v>
      </c>
      <c r="I22" s="704">
        <f t="shared" si="12"/>
        <v>10693.889602033001</v>
      </c>
      <c r="J22" s="704">
        <f t="shared" si="12"/>
        <v>19317.600958568</v>
      </c>
      <c r="K22" s="704">
        <f t="shared" si="12"/>
        <v>22385.578986264998</v>
      </c>
      <c r="L22" s="704">
        <f t="shared" si="12"/>
        <v>22544.947778474001</v>
      </c>
      <c r="M22" s="704">
        <f t="shared" si="12"/>
        <v>22570.757406010001</v>
      </c>
      <c r="N22" s="704">
        <f t="shared" si="12"/>
        <v>18096.384289961999</v>
      </c>
      <c r="O22" s="704">
        <f t="shared" si="12"/>
        <v>16770.748451225998</v>
      </c>
      <c r="P22" s="704">
        <f t="shared" si="12"/>
        <v>16968.714965488001</v>
      </c>
      <c r="Q22" s="776">
        <f t="shared" si="12"/>
        <v>20890.618547325997</v>
      </c>
      <c r="R22" s="280">
        <f>SUBTOTAL(109,R16:R21)</f>
        <v>93091.335806634015</v>
      </c>
      <c r="S22" s="217">
        <f>R22/SUM('Prod &amp; Defects - Qty'!$F$5:$K$5)*1000000</f>
        <v>13508</v>
      </c>
      <c r="T22" s="217">
        <f>SUBTOTAL(109,T16:T21)</f>
        <v>117842.171438486</v>
      </c>
      <c r="U22" s="217">
        <f>T22/SUM('Prod &amp; Defects - Qty'!$L$5:$Q$5)*1000000</f>
        <v>13508.000000000002</v>
      </c>
      <c r="V22" s="217">
        <f>SUBTOTAL(109,V16:V21)</f>
        <v>210933.50724511998</v>
      </c>
      <c r="W22" s="227">
        <f>V22/'Prod &amp; Defects - Qty'!$R$5*1000000</f>
        <v>13507.999999999998</v>
      </c>
      <c r="X22" s="295">
        <f t="shared" si="3"/>
        <v>12157</v>
      </c>
      <c r="Y22" s="296">
        <f t="shared" si="4"/>
        <v>12157</v>
      </c>
      <c r="Z22" s="280">
        <f t="shared" si="5"/>
        <v>12157</v>
      </c>
      <c r="AA22" s="227">
        <f>SUM(AA16:AA17)</f>
        <v>8134</v>
      </c>
    </row>
    <row r="23" spans="1:27" ht="18" customHeight="1" thickTop="1">
      <c r="A23" s="1003"/>
      <c r="B23" s="1005" t="s">
        <v>30</v>
      </c>
      <c r="C23" s="31">
        <f>C21+10</f>
        <v>1160</v>
      </c>
      <c r="D23" s="32" t="s">
        <v>29</v>
      </c>
      <c r="E23" s="48">
        <f>'[3]Falhas UM-1 - Qty'!AA23</f>
        <v>1</v>
      </c>
      <c r="F23" s="701">
        <f>'Prod &amp; Defects - Qty'!F$5*'Falhas UM-1 - Qty'!$E23/1000000</f>
        <v>1.4422180025000002</v>
      </c>
      <c r="G23" s="701">
        <f>'Prod &amp; Defects - Qty'!G$5*'Falhas UM-1 - Qty'!$E23/1000000</f>
        <v>0.78699910800000006</v>
      </c>
      <c r="H23" s="701">
        <f>'Prod &amp; Defects - Qty'!H$5*'Falhas UM-1 - Qty'!$E23/1000000</f>
        <v>0.78338773550000007</v>
      </c>
      <c r="I23" s="701">
        <f>'Prod &amp; Defects - Qty'!I$5*'Falhas UM-1 - Qty'!$E23/1000000</f>
        <v>0.79167083225000012</v>
      </c>
      <c r="J23" s="701">
        <f>'Prod &amp; Defects - Qty'!J$5*'Falhas UM-1 - Qty'!$E23/1000000</f>
        <v>1.4300859459999999</v>
      </c>
      <c r="K23" s="701">
        <f>'Prod &amp; Defects - Qty'!K$5*'Falhas UM-1 - Qty'!$E23/1000000</f>
        <v>1.6572089862499999</v>
      </c>
      <c r="L23" s="701">
        <f>'Prod &amp; Defects - Qty'!L$5*'Falhas UM-1 - Qty'!$E23/1000000</f>
        <v>1.6690070904999998</v>
      </c>
      <c r="M23" s="701">
        <f>'Prod &amp; Defects - Qty'!M$5*'Falhas UM-1 - Qty'!$E23/1000000</f>
        <v>1.6709177824999999</v>
      </c>
      <c r="N23" s="701">
        <f>'Prod &amp; Defects - Qty'!N$5*'Falhas UM-1 - Qty'!$E23/1000000</f>
        <v>1.3396790264999998</v>
      </c>
      <c r="O23" s="701">
        <f>'Prod &amp; Defects - Qty'!O$5*'Falhas UM-1 - Qty'!$E23/1000000</f>
        <v>1.2415419345000001</v>
      </c>
      <c r="P23" s="701">
        <f>'Prod &amp; Defects - Qty'!P$5*'Falhas UM-1 - Qty'!$E23/1000000</f>
        <v>1.2561974359999999</v>
      </c>
      <c r="Q23" s="548">
        <f>'Prod &amp; Defects - Qty'!Q$5*'Falhas UM-1 - Qty'!$E23/1000000</f>
        <v>1.5465367594999999</v>
      </c>
      <c r="R23" s="276">
        <f t="shared" si="7"/>
        <v>6.8915706105000005</v>
      </c>
      <c r="S23" s="216">
        <f>R23/SUM('Prod &amp; Defects - Qty'!$F$5:$K$5)*1000000</f>
        <v>1</v>
      </c>
      <c r="T23" s="216">
        <f t="shared" si="8"/>
        <v>8.7238800295000001</v>
      </c>
      <c r="U23" s="216">
        <f>T23/SUM('Prod &amp; Defects - Qty'!$L$5:$Q$5)*1000000</f>
        <v>1.0000000000000002</v>
      </c>
      <c r="V23" s="216">
        <f t="shared" si="9"/>
        <v>15.615450640000001</v>
      </c>
      <c r="W23" s="279">
        <f>V23/'Prod &amp; Defects - Qty'!$R$5*1000000</f>
        <v>1</v>
      </c>
      <c r="X23" s="290">
        <f t="shared" si="3"/>
        <v>0</v>
      </c>
      <c r="Y23" s="294">
        <f t="shared" si="4"/>
        <v>0</v>
      </c>
      <c r="Z23" s="276">
        <f t="shared" si="5"/>
        <v>0</v>
      </c>
      <c r="AA23" s="279">
        <f t="shared" ref="AA23:AA35" si="13">Z23*1</f>
        <v>0</v>
      </c>
    </row>
    <row r="24" spans="1:27" ht="18" customHeight="1">
      <c r="A24" s="1003"/>
      <c r="B24" s="1006"/>
      <c r="C24" s="31">
        <f>C23+10</f>
        <v>1170</v>
      </c>
      <c r="D24" s="32" t="s">
        <v>28</v>
      </c>
      <c r="E24" s="48">
        <f>'[3]Falhas UM-1 - Qty'!AA24</f>
        <v>30</v>
      </c>
      <c r="F24" s="701">
        <f>'Prod &amp; Defects - Qty'!F$5*'Falhas UM-1 - Qty'!$E24/1000000</f>
        <v>43.266540075000002</v>
      </c>
      <c r="G24" s="701">
        <f>'Prod &amp; Defects - Qty'!G$5*'Falhas UM-1 - Qty'!$E24/1000000</f>
        <v>23.609973240000002</v>
      </c>
      <c r="H24" s="701">
        <f>'Prod &amp; Defects - Qty'!H$5*'Falhas UM-1 - Qty'!$E24/1000000</f>
        <v>23.501632065000003</v>
      </c>
      <c r="I24" s="701">
        <f>'Prod &amp; Defects - Qty'!I$5*'Falhas UM-1 - Qty'!$E24/1000000</f>
        <v>23.7501249675</v>
      </c>
      <c r="J24" s="701">
        <f>'Prod &amp; Defects - Qty'!J$5*'Falhas UM-1 - Qty'!$E24/1000000</f>
        <v>42.902578380000001</v>
      </c>
      <c r="K24" s="701">
        <f>'Prod &amp; Defects - Qty'!K$5*'Falhas UM-1 - Qty'!$E24/1000000</f>
        <v>49.716269587500001</v>
      </c>
      <c r="L24" s="701">
        <f>'Prod &amp; Defects - Qty'!L$5*'Falhas UM-1 - Qty'!$E24/1000000</f>
        <v>50.070212714999997</v>
      </c>
      <c r="M24" s="701">
        <f>'Prod &amp; Defects - Qty'!M$5*'Falhas UM-1 - Qty'!$E24/1000000</f>
        <v>50.127533475</v>
      </c>
      <c r="N24" s="701">
        <f>'Prod &amp; Defects - Qty'!N$5*'Falhas UM-1 - Qty'!$E24/1000000</f>
        <v>40.190370794999993</v>
      </c>
      <c r="O24" s="701">
        <f>'Prod &amp; Defects - Qty'!O$5*'Falhas UM-1 - Qty'!$E24/1000000</f>
        <v>37.246258034999997</v>
      </c>
      <c r="P24" s="701">
        <f>'Prod &amp; Defects - Qty'!P$5*'Falhas UM-1 - Qty'!$E24/1000000</f>
        <v>37.685923079999995</v>
      </c>
      <c r="Q24" s="548">
        <f>'Prod &amp; Defects - Qty'!Q$5*'Falhas UM-1 - Qty'!$E24/1000000</f>
        <v>46.396102784999997</v>
      </c>
      <c r="R24" s="276">
        <f t="shared" si="7"/>
        <v>206.74711831499999</v>
      </c>
      <c r="S24" s="216">
        <f>R24/SUM('Prod &amp; Defects - Qty'!$F$5:$K$5)*1000000</f>
        <v>29.999999999999996</v>
      </c>
      <c r="T24" s="216">
        <f t="shared" si="8"/>
        <v>261.71640088499998</v>
      </c>
      <c r="U24" s="216">
        <f>T24/SUM('Prod &amp; Defects - Qty'!$L$5:$Q$5)*1000000</f>
        <v>30.000000000000004</v>
      </c>
      <c r="V24" s="216">
        <f t="shared" si="9"/>
        <v>468.46351919999995</v>
      </c>
      <c r="W24" s="279">
        <f>V24/'Prod &amp; Defects - Qty'!$R$5*1000000</f>
        <v>29.999999999999989</v>
      </c>
      <c r="X24" s="290">
        <f t="shared" si="3"/>
        <v>27</v>
      </c>
      <c r="Y24" s="294">
        <f t="shared" si="4"/>
        <v>27</v>
      </c>
      <c r="Z24" s="276">
        <f t="shared" si="5"/>
        <v>27</v>
      </c>
      <c r="AA24" s="279">
        <f t="shared" si="13"/>
        <v>27</v>
      </c>
    </row>
    <row r="25" spans="1:27" ht="18" customHeight="1">
      <c r="A25" s="1003"/>
      <c r="B25" s="1006"/>
      <c r="C25" s="31">
        <f t="shared" ref="C25:C33" si="14">C24+10</f>
        <v>1180</v>
      </c>
      <c r="D25" s="32" t="s">
        <v>27</v>
      </c>
      <c r="E25" s="48">
        <f>'[3]Falhas UM-1 - Qty'!AA25</f>
        <v>134</v>
      </c>
      <c r="F25" s="701">
        <f>'Prod &amp; Defects - Qty'!F$5*'Falhas UM-1 - Qty'!$E25/1000000</f>
        <v>193.25721233500005</v>
      </c>
      <c r="G25" s="701">
        <f>'Prod &amp; Defects - Qty'!G$5*'Falhas UM-1 - Qty'!$E25/1000000</f>
        <v>105.457880472</v>
      </c>
      <c r="H25" s="701">
        <f>'Prod &amp; Defects - Qty'!H$5*'Falhas UM-1 - Qty'!$E25/1000000</f>
        <v>104.97395655700001</v>
      </c>
      <c r="I25" s="701">
        <f>'Prod &amp; Defects - Qty'!I$5*'Falhas UM-1 - Qty'!$E25/1000000</f>
        <v>106.08389152150001</v>
      </c>
      <c r="J25" s="701">
        <f>'Prod &amp; Defects - Qty'!J$5*'Falhas UM-1 - Qty'!$E25/1000000</f>
        <v>191.631516764</v>
      </c>
      <c r="K25" s="701">
        <f>'Prod &amp; Defects - Qty'!K$5*'Falhas UM-1 - Qty'!$E25/1000000</f>
        <v>222.06600415749998</v>
      </c>
      <c r="L25" s="701">
        <f>'Prod &amp; Defects - Qty'!L$5*'Falhas UM-1 - Qty'!$E25/1000000</f>
        <v>223.646950127</v>
      </c>
      <c r="M25" s="701">
        <f>'Prod &amp; Defects - Qty'!M$5*'Falhas UM-1 - Qty'!$E25/1000000</f>
        <v>223.90298285499998</v>
      </c>
      <c r="N25" s="701">
        <f>'Prod &amp; Defects - Qty'!N$5*'Falhas UM-1 - Qty'!$E25/1000000</f>
        <v>179.51698955099999</v>
      </c>
      <c r="O25" s="701">
        <f>'Prod &amp; Defects - Qty'!O$5*'Falhas UM-1 - Qty'!$E25/1000000</f>
        <v>166.36661922299999</v>
      </c>
      <c r="P25" s="701">
        <f>'Prod &amp; Defects - Qty'!P$5*'Falhas UM-1 - Qty'!$E25/1000000</f>
        <v>168.330456424</v>
      </c>
      <c r="Q25" s="548">
        <f>'Prod &amp; Defects - Qty'!Q$5*'Falhas UM-1 - Qty'!$E25/1000000</f>
        <v>207.23592577299999</v>
      </c>
      <c r="R25" s="276">
        <f t="shared" si="7"/>
        <v>923.47046180699999</v>
      </c>
      <c r="S25" s="216">
        <f>R25/SUM('Prod &amp; Defects - Qty'!$F$5:$K$5)*1000000</f>
        <v>133.99999999999997</v>
      </c>
      <c r="T25" s="216">
        <f t="shared" si="8"/>
        <v>1168.999923953</v>
      </c>
      <c r="U25" s="216">
        <f>T25/SUM('Prod &amp; Defects - Qty'!$L$5:$Q$5)*1000000</f>
        <v>134.00000000000003</v>
      </c>
      <c r="V25" s="216">
        <f t="shared" si="9"/>
        <v>2092.4703857599998</v>
      </c>
      <c r="W25" s="279">
        <f>V25/'Prod &amp; Defects - Qty'!$R$5*1000000</f>
        <v>133.99999999999997</v>
      </c>
      <c r="X25" s="290">
        <f t="shared" si="3"/>
        <v>120</v>
      </c>
      <c r="Y25" s="294">
        <f t="shared" si="4"/>
        <v>120</v>
      </c>
      <c r="Z25" s="276">
        <f t="shared" si="5"/>
        <v>120</v>
      </c>
      <c r="AA25" s="279">
        <f t="shared" si="13"/>
        <v>120</v>
      </c>
    </row>
    <row r="26" spans="1:27" ht="18" customHeight="1">
      <c r="A26" s="1003"/>
      <c r="B26" s="1006"/>
      <c r="C26" s="31">
        <f t="shared" si="14"/>
        <v>1190</v>
      </c>
      <c r="D26" s="32" t="s">
        <v>26</v>
      </c>
      <c r="E26" s="48">
        <f>'[3]Falhas UM-1 - Qty'!AA26</f>
        <v>25</v>
      </c>
      <c r="F26" s="701">
        <f>'Prod &amp; Defects - Qty'!F$5*'Falhas UM-1 - Qty'!$E26/1000000</f>
        <v>36.055450062500007</v>
      </c>
      <c r="G26" s="701">
        <f>'Prod &amp; Defects - Qty'!G$5*'Falhas UM-1 - Qty'!$E26/1000000</f>
        <v>19.674977699999999</v>
      </c>
      <c r="H26" s="701">
        <f>'Prod &amp; Defects - Qty'!H$5*'Falhas UM-1 - Qty'!$E26/1000000</f>
        <v>19.584693387500003</v>
      </c>
      <c r="I26" s="701">
        <f>'Prod &amp; Defects - Qty'!I$5*'Falhas UM-1 - Qty'!$E26/1000000</f>
        <v>19.791770806250003</v>
      </c>
      <c r="J26" s="701">
        <f>'Prod &amp; Defects - Qty'!J$5*'Falhas UM-1 - Qty'!$E26/1000000</f>
        <v>35.752148649999995</v>
      </c>
      <c r="K26" s="701">
        <f>'Prod &amp; Defects - Qty'!K$5*'Falhas UM-1 - Qty'!$E26/1000000</f>
        <v>41.43022465624999</v>
      </c>
      <c r="L26" s="701">
        <f>'Prod &amp; Defects - Qty'!L$5*'Falhas UM-1 - Qty'!$E26/1000000</f>
        <v>41.725177262499997</v>
      </c>
      <c r="M26" s="701">
        <f>'Prod &amp; Defects - Qty'!M$5*'Falhas UM-1 - Qty'!$E26/1000000</f>
        <v>41.772944562500001</v>
      </c>
      <c r="N26" s="701">
        <f>'Prod &amp; Defects - Qty'!N$5*'Falhas UM-1 - Qty'!$E26/1000000</f>
        <v>33.491975662499996</v>
      </c>
      <c r="O26" s="701">
        <f>'Prod &amp; Defects - Qty'!O$5*'Falhas UM-1 - Qty'!$E26/1000000</f>
        <v>31.038548362500002</v>
      </c>
      <c r="P26" s="701">
        <f>'Prod &amp; Defects - Qty'!P$5*'Falhas UM-1 - Qty'!$E26/1000000</f>
        <v>31.404935899999998</v>
      </c>
      <c r="Q26" s="548">
        <f>'Prod &amp; Defects - Qty'!Q$5*'Falhas UM-1 - Qty'!$E26/1000000</f>
        <v>38.663418987499995</v>
      </c>
      <c r="R26" s="276">
        <f t="shared" si="7"/>
        <v>172.28926526250001</v>
      </c>
      <c r="S26" s="216">
        <f>R26/SUM('Prod &amp; Defects - Qty'!$F$5:$K$5)*1000000</f>
        <v>25</v>
      </c>
      <c r="T26" s="216">
        <f t="shared" si="8"/>
        <v>218.0970007375</v>
      </c>
      <c r="U26" s="216">
        <f>T26/SUM('Prod &amp; Defects - Qty'!$L$5:$Q$5)*1000000</f>
        <v>25.000000000000004</v>
      </c>
      <c r="V26" s="216">
        <f t="shared" si="9"/>
        <v>390.38626599999998</v>
      </c>
      <c r="W26" s="279">
        <f>V26/'Prod &amp; Defects - Qty'!$R$5*1000000</f>
        <v>24.999999999999993</v>
      </c>
      <c r="X26" s="290">
        <f t="shared" si="3"/>
        <v>22</v>
      </c>
      <c r="Y26" s="294">
        <f t="shared" si="4"/>
        <v>22</v>
      </c>
      <c r="Z26" s="276">
        <f t="shared" si="5"/>
        <v>22</v>
      </c>
      <c r="AA26" s="279">
        <f t="shared" si="13"/>
        <v>22</v>
      </c>
    </row>
    <row r="27" spans="1:27" ht="18" customHeight="1">
      <c r="A27" s="1003"/>
      <c r="B27" s="1006"/>
      <c r="C27" s="31">
        <f t="shared" si="14"/>
        <v>1200</v>
      </c>
      <c r="D27" s="32" t="s">
        <v>25</v>
      </c>
      <c r="E27" s="48">
        <f>'[3]Falhas UM-1 - Qty'!AA27</f>
        <v>28</v>
      </c>
      <c r="F27" s="701">
        <f>'Prod &amp; Defects - Qty'!F$5*'Falhas UM-1 - Qty'!$E27/1000000</f>
        <v>40.382104070000011</v>
      </c>
      <c r="G27" s="701">
        <f>'Prod &amp; Defects - Qty'!G$5*'Falhas UM-1 - Qty'!$E27/1000000</f>
        <v>22.035975023999999</v>
      </c>
      <c r="H27" s="701">
        <f>'Prod &amp; Defects - Qty'!H$5*'Falhas UM-1 - Qty'!$E27/1000000</f>
        <v>21.934856593999999</v>
      </c>
      <c r="I27" s="701">
        <f>'Prod &amp; Defects - Qty'!I$5*'Falhas UM-1 - Qty'!$E27/1000000</f>
        <v>22.166783303000003</v>
      </c>
      <c r="J27" s="701">
        <f>'Prod &amp; Defects - Qty'!J$5*'Falhas UM-1 - Qty'!$E27/1000000</f>
        <v>40.042406487999997</v>
      </c>
      <c r="K27" s="701">
        <f>'Prod &amp; Defects - Qty'!K$5*'Falhas UM-1 - Qty'!$E27/1000000</f>
        <v>46.401851614999991</v>
      </c>
      <c r="L27" s="701">
        <f>'Prod &amp; Defects - Qty'!L$5*'Falhas UM-1 - Qty'!$E27/1000000</f>
        <v>46.732198533999991</v>
      </c>
      <c r="M27" s="701">
        <f>'Prod &amp; Defects - Qty'!M$5*'Falhas UM-1 - Qty'!$E27/1000000</f>
        <v>46.785697909999996</v>
      </c>
      <c r="N27" s="701">
        <f>'Prod &amp; Defects - Qty'!N$5*'Falhas UM-1 - Qty'!$E27/1000000</f>
        <v>37.511012741999998</v>
      </c>
      <c r="O27" s="701">
        <f>'Prod &amp; Defects - Qty'!O$5*'Falhas UM-1 - Qty'!$E27/1000000</f>
        <v>34.763174165999999</v>
      </c>
      <c r="P27" s="701">
        <f>'Prod &amp; Defects - Qty'!P$5*'Falhas UM-1 - Qty'!$E27/1000000</f>
        <v>35.173528207999993</v>
      </c>
      <c r="Q27" s="548">
        <f>'Prod &amp; Defects - Qty'!Q$5*'Falhas UM-1 - Qty'!$E27/1000000</f>
        <v>43.303029265999996</v>
      </c>
      <c r="R27" s="276">
        <f t="shared" si="7"/>
        <v>192.963977094</v>
      </c>
      <c r="S27" s="216">
        <f>R27/SUM('Prod &amp; Defects - Qty'!$F$5:$K$5)*1000000</f>
        <v>28</v>
      </c>
      <c r="T27" s="216">
        <f t="shared" si="8"/>
        <v>244.26864082599997</v>
      </c>
      <c r="U27" s="216">
        <f>T27/SUM('Prod &amp; Defects - Qty'!$L$5:$Q$5)*1000000</f>
        <v>28.000000000000004</v>
      </c>
      <c r="V27" s="216">
        <f t="shared" si="9"/>
        <v>437.23261791999994</v>
      </c>
      <c r="W27" s="279">
        <f>V27/'Prod &amp; Defects - Qty'!$R$5*1000000</f>
        <v>27.999999999999993</v>
      </c>
      <c r="X27" s="290">
        <f t="shared" si="3"/>
        <v>25</v>
      </c>
      <c r="Y27" s="294">
        <f t="shared" si="4"/>
        <v>25</v>
      </c>
      <c r="Z27" s="276">
        <f t="shared" si="5"/>
        <v>25</v>
      </c>
      <c r="AA27" s="279">
        <f t="shared" si="13"/>
        <v>25</v>
      </c>
    </row>
    <row r="28" spans="1:27" ht="18" customHeight="1">
      <c r="A28" s="1003"/>
      <c r="B28" s="1006"/>
      <c r="C28" s="31">
        <f t="shared" si="14"/>
        <v>1210</v>
      </c>
      <c r="D28" s="32" t="s">
        <v>121</v>
      </c>
      <c r="E28" s="48">
        <f>'[3]Falhas UM-1 - Qty'!AA28</f>
        <v>53</v>
      </c>
      <c r="F28" s="701">
        <f>'Prod &amp; Defects - Qty'!F$5*'Falhas UM-1 - Qty'!$E28/1000000</f>
        <v>76.437554132500011</v>
      </c>
      <c r="G28" s="701">
        <f>'Prod &amp; Defects - Qty'!G$5*'Falhas UM-1 - Qty'!$E28/1000000</f>
        <v>41.710952724000002</v>
      </c>
      <c r="H28" s="701">
        <f>'Prod &amp; Defects - Qty'!H$5*'Falhas UM-1 - Qty'!$E28/1000000</f>
        <v>41.519549981500006</v>
      </c>
      <c r="I28" s="701">
        <f>'Prod &amp; Defects - Qty'!I$5*'Falhas UM-1 - Qty'!$E28/1000000</f>
        <v>41.958554109250002</v>
      </c>
      <c r="J28" s="701">
        <f>'Prod &amp; Defects - Qty'!J$5*'Falhas UM-1 - Qty'!$E28/1000000</f>
        <v>75.794555137999993</v>
      </c>
      <c r="K28" s="701">
        <f>'Prod &amp; Defects - Qty'!K$5*'Falhas UM-1 - Qty'!$E28/1000000</f>
        <v>87.832076271249989</v>
      </c>
      <c r="L28" s="701">
        <f>'Prod &amp; Defects - Qty'!L$5*'Falhas UM-1 - Qty'!$E28/1000000</f>
        <v>88.457375796500003</v>
      </c>
      <c r="M28" s="701">
        <f>'Prod &amp; Defects - Qty'!M$5*'Falhas UM-1 - Qty'!$E28/1000000</f>
        <v>88.558642472499997</v>
      </c>
      <c r="N28" s="701">
        <f>'Prod &amp; Defects - Qty'!N$5*'Falhas UM-1 - Qty'!$E28/1000000</f>
        <v>71.002988404499987</v>
      </c>
      <c r="O28" s="701">
        <f>'Prod &amp; Defects - Qty'!O$5*'Falhas UM-1 - Qty'!$E28/1000000</f>
        <v>65.801722528499994</v>
      </c>
      <c r="P28" s="701">
        <f>'Prod &amp; Defects - Qty'!P$5*'Falhas UM-1 - Qty'!$E28/1000000</f>
        <v>66.578464108000006</v>
      </c>
      <c r="Q28" s="548">
        <f>'Prod &amp; Defects - Qty'!Q$5*'Falhas UM-1 - Qty'!$E28/1000000</f>
        <v>81.966448253500005</v>
      </c>
      <c r="R28" s="276">
        <f t="shared" si="7"/>
        <v>365.25324235649998</v>
      </c>
      <c r="S28" s="216">
        <f>R28/SUM('Prod &amp; Defects - Qty'!$F$5:$K$5)*1000000</f>
        <v>52.999999999999993</v>
      </c>
      <c r="T28" s="216">
        <f t="shared" si="8"/>
        <v>462.36564156349993</v>
      </c>
      <c r="U28" s="216">
        <f>T28/SUM('Prod &amp; Defects - Qty'!$L$5:$Q$5)*1000000</f>
        <v>53</v>
      </c>
      <c r="V28" s="216">
        <f t="shared" si="9"/>
        <v>827.61888391999992</v>
      </c>
      <c r="W28" s="279">
        <f>V28/'Prod &amp; Defects - Qty'!$R$5*1000000</f>
        <v>52.999999999999986</v>
      </c>
      <c r="X28" s="290">
        <f t="shared" si="3"/>
        <v>47</v>
      </c>
      <c r="Y28" s="294">
        <f t="shared" si="4"/>
        <v>47</v>
      </c>
      <c r="Z28" s="276">
        <f t="shared" si="5"/>
        <v>47</v>
      </c>
      <c r="AA28" s="279">
        <f t="shared" si="13"/>
        <v>47</v>
      </c>
    </row>
    <row r="29" spans="1:27" ht="18" customHeight="1">
      <c r="A29" s="1003"/>
      <c r="B29" s="1006"/>
      <c r="C29" s="31">
        <v>1212</v>
      </c>
      <c r="D29" s="35" t="s">
        <v>122</v>
      </c>
      <c r="E29" s="48">
        <f>'[3]Falhas UM-1 - Qty'!AA29</f>
        <v>9</v>
      </c>
      <c r="F29" s="705">
        <f>'Prod &amp; Defects - Qty'!F$5*'Falhas UM-1 - Qty'!$E29/1000000</f>
        <v>12.979962022500001</v>
      </c>
      <c r="G29" s="705">
        <f>'Prod &amp; Defects - Qty'!G$5*'Falhas UM-1 - Qty'!$E29/1000000</f>
        <v>7.0829919720000003</v>
      </c>
      <c r="H29" s="705">
        <f>'Prod &amp; Defects - Qty'!H$5*'Falhas UM-1 - Qty'!$E29/1000000</f>
        <v>7.0504896195000013</v>
      </c>
      <c r="I29" s="705">
        <f>'Prod &amp; Defects - Qty'!I$5*'Falhas UM-1 - Qty'!$E29/1000000</f>
        <v>7.1250374902500004</v>
      </c>
      <c r="J29" s="705">
        <f>'Prod &amp; Defects - Qty'!J$5*'Falhas UM-1 - Qty'!$E29/1000000</f>
        <v>12.870773514</v>
      </c>
      <c r="K29" s="705">
        <f>'Prod &amp; Defects - Qty'!K$5*'Falhas UM-1 - Qty'!$E29/1000000</f>
        <v>14.914880876249999</v>
      </c>
      <c r="L29" s="705">
        <f>'Prod &amp; Defects - Qty'!L$5*'Falhas UM-1 - Qty'!$E29/1000000</f>
        <v>15.0210638145</v>
      </c>
      <c r="M29" s="705">
        <f>'Prod &amp; Defects - Qty'!M$5*'Falhas UM-1 - Qty'!$E29/1000000</f>
        <v>15.038260042500001</v>
      </c>
      <c r="N29" s="705">
        <f>'Prod &amp; Defects - Qty'!N$5*'Falhas UM-1 - Qty'!$E29/1000000</f>
        <v>12.057111238499999</v>
      </c>
      <c r="O29" s="705">
        <f>'Prod &amp; Defects - Qty'!O$5*'Falhas UM-1 - Qty'!$E29/1000000</f>
        <v>11.173877410499999</v>
      </c>
      <c r="P29" s="705">
        <f>'Prod &amp; Defects - Qty'!P$5*'Falhas UM-1 - Qty'!$E29/1000000</f>
        <v>11.305776924</v>
      </c>
      <c r="Q29" s="549">
        <f>'Prod &amp; Defects - Qty'!Q$5*'Falhas UM-1 - Qty'!$E29/1000000</f>
        <v>13.9188308355</v>
      </c>
      <c r="R29" s="281">
        <f t="shared" si="7"/>
        <v>62.024135494500001</v>
      </c>
      <c r="S29" s="218">
        <f>R29/SUM('Prod &amp; Defects - Qty'!$F$5:$K$5)*1000000</f>
        <v>9</v>
      </c>
      <c r="T29" s="218">
        <f t="shared" si="8"/>
        <v>78.51492026550001</v>
      </c>
      <c r="U29" s="218">
        <f>T29/SUM('Prod &amp; Defects - Qty'!$L$5:$Q$5)*1000000</f>
        <v>9.0000000000000036</v>
      </c>
      <c r="V29" s="218">
        <f t="shared" si="9"/>
        <v>140.53905576</v>
      </c>
      <c r="W29" s="282">
        <f>V29/'Prod &amp; Defects - Qty'!$R$5*1000000</f>
        <v>8.9999999999999982</v>
      </c>
      <c r="X29" s="297">
        <f t="shared" si="3"/>
        <v>8</v>
      </c>
      <c r="Y29" s="298">
        <f t="shared" si="4"/>
        <v>8</v>
      </c>
      <c r="Z29" s="281">
        <f t="shared" si="5"/>
        <v>8</v>
      </c>
      <c r="AA29" s="282">
        <f t="shared" si="13"/>
        <v>8</v>
      </c>
    </row>
    <row r="30" spans="1:27" ht="18" customHeight="1">
      <c r="A30" s="1003"/>
      <c r="B30" s="1006"/>
      <c r="C30" s="31">
        <v>1214</v>
      </c>
      <c r="D30" s="32" t="s">
        <v>123</v>
      </c>
      <c r="E30" s="48">
        <f>'[3]Falhas UM-1 - Qty'!AA30</f>
        <v>6</v>
      </c>
      <c r="F30" s="701">
        <f>'Prod &amp; Defects - Qty'!F$5*'Falhas UM-1 - Qty'!$E30/1000000</f>
        <v>8.6533080150000004</v>
      </c>
      <c r="G30" s="701">
        <f>'Prod &amp; Defects - Qty'!G$5*'Falhas UM-1 - Qty'!$E30/1000000</f>
        <v>4.7219946479999999</v>
      </c>
      <c r="H30" s="701">
        <f>'Prod &amp; Defects - Qty'!H$5*'Falhas UM-1 - Qty'!$E30/1000000</f>
        <v>4.7003264130000009</v>
      </c>
      <c r="I30" s="701">
        <f>'Prod &amp; Defects - Qty'!I$5*'Falhas UM-1 - Qty'!$E30/1000000</f>
        <v>4.7500249935000012</v>
      </c>
      <c r="J30" s="701">
        <f>'Prod &amp; Defects - Qty'!J$5*'Falhas UM-1 - Qty'!$E30/1000000</f>
        <v>8.5805156759999992</v>
      </c>
      <c r="K30" s="701">
        <f>'Prod &amp; Defects - Qty'!K$5*'Falhas UM-1 - Qty'!$E30/1000000</f>
        <v>9.9432539174999981</v>
      </c>
      <c r="L30" s="701">
        <f>'Prod &amp; Defects - Qty'!L$5*'Falhas UM-1 - Qty'!$E30/1000000</f>
        <v>10.014042543</v>
      </c>
      <c r="M30" s="701">
        <f>'Prod &amp; Defects - Qty'!M$5*'Falhas UM-1 - Qty'!$E30/1000000</f>
        <v>10.025506695000001</v>
      </c>
      <c r="N30" s="701">
        <f>'Prod &amp; Defects - Qty'!N$5*'Falhas UM-1 - Qty'!$E30/1000000</f>
        <v>8.0380741590000007</v>
      </c>
      <c r="O30" s="701">
        <f>'Prod &amp; Defects - Qty'!O$5*'Falhas UM-1 - Qty'!$E30/1000000</f>
        <v>7.4492516069999999</v>
      </c>
      <c r="P30" s="701">
        <f>'Prod &amp; Defects - Qty'!P$5*'Falhas UM-1 - Qty'!$E30/1000000</f>
        <v>7.5371846160000002</v>
      </c>
      <c r="Q30" s="548">
        <f>'Prod &amp; Defects - Qty'!Q$5*'Falhas UM-1 - Qty'!$E30/1000000</f>
        <v>9.2792205570000004</v>
      </c>
      <c r="R30" s="276">
        <f t="shared" si="7"/>
        <v>41.349423662999996</v>
      </c>
      <c r="S30" s="216">
        <f>R30/SUM('Prod &amp; Defects - Qty'!$F$5:$K$5)*1000000</f>
        <v>5.9999999999999991</v>
      </c>
      <c r="T30" s="216">
        <f t="shared" si="8"/>
        <v>52.343280176999997</v>
      </c>
      <c r="U30" s="216">
        <f>T30/SUM('Prod &amp; Defects - Qty'!$L$5:$Q$5)*1000000</f>
        <v>6.0000000000000009</v>
      </c>
      <c r="V30" s="216">
        <f t="shared" si="9"/>
        <v>93.692703839999993</v>
      </c>
      <c r="W30" s="279">
        <f>V30/'Prod &amp; Defects - Qty'!$R$5*1000000</f>
        <v>5.9999999999999982</v>
      </c>
      <c r="X30" s="290">
        <f t="shared" si="3"/>
        <v>5</v>
      </c>
      <c r="Y30" s="294">
        <f t="shared" si="4"/>
        <v>5</v>
      </c>
      <c r="Z30" s="276">
        <f t="shared" si="5"/>
        <v>5</v>
      </c>
      <c r="AA30" s="279">
        <f t="shared" si="13"/>
        <v>5</v>
      </c>
    </row>
    <row r="31" spans="1:27" ht="18" customHeight="1">
      <c r="A31" s="1003"/>
      <c r="B31" s="1006"/>
      <c r="C31" s="31">
        <f>C28+10</f>
        <v>1220</v>
      </c>
      <c r="D31" s="32" t="s">
        <v>24</v>
      </c>
      <c r="E31" s="48">
        <f>'[3]Falhas UM-1 - Qty'!AA31</f>
        <v>62</v>
      </c>
      <c r="F31" s="701">
        <f>'Prod &amp; Defects - Qty'!F$5*'Falhas UM-1 - Qty'!$E31/1000000</f>
        <v>89.417516155000015</v>
      </c>
      <c r="G31" s="701">
        <f>'Prod &amp; Defects - Qty'!G$5*'Falhas UM-1 - Qty'!$E31/1000000</f>
        <v>48.793944696000004</v>
      </c>
      <c r="H31" s="701">
        <f>'Prod &amp; Defects - Qty'!H$5*'Falhas UM-1 - Qty'!$E31/1000000</f>
        <v>48.570039601000005</v>
      </c>
      <c r="I31" s="701">
        <f>'Prod &amp; Defects - Qty'!I$5*'Falhas UM-1 - Qty'!$E31/1000000</f>
        <v>49.083591599500011</v>
      </c>
      <c r="J31" s="701">
        <f>'Prod &amp; Defects - Qty'!J$5*'Falhas UM-1 - Qty'!$E31/1000000</f>
        <v>88.665328651999999</v>
      </c>
      <c r="K31" s="701">
        <f>'Prod &amp; Defects - Qty'!K$5*'Falhas UM-1 - Qty'!$E31/1000000</f>
        <v>102.7469571475</v>
      </c>
      <c r="L31" s="701">
        <f>'Prod &amp; Defects - Qty'!L$5*'Falhas UM-1 - Qty'!$E31/1000000</f>
        <v>103.478439611</v>
      </c>
      <c r="M31" s="701">
        <f>'Prod &amp; Defects - Qty'!M$5*'Falhas UM-1 - Qty'!$E31/1000000</f>
        <v>103.596902515</v>
      </c>
      <c r="N31" s="701">
        <f>'Prod &amp; Defects - Qty'!N$5*'Falhas UM-1 - Qty'!$E31/1000000</f>
        <v>83.060099642999987</v>
      </c>
      <c r="O31" s="701">
        <f>'Prod &amp; Defects - Qty'!O$5*'Falhas UM-1 - Qty'!$E31/1000000</f>
        <v>76.975599938999991</v>
      </c>
      <c r="P31" s="701">
        <f>'Prod &amp; Defects - Qty'!P$5*'Falhas UM-1 - Qty'!$E31/1000000</f>
        <v>77.884241032000006</v>
      </c>
      <c r="Q31" s="548">
        <f>'Prod &amp; Defects - Qty'!Q$5*'Falhas UM-1 - Qty'!$E31/1000000</f>
        <v>95.885279089000008</v>
      </c>
      <c r="R31" s="276">
        <f t="shared" si="7"/>
        <v>427.27737785100004</v>
      </c>
      <c r="S31" s="216">
        <f>R31/SUM('Prod &amp; Defects - Qty'!$F$5:$K$5)*1000000</f>
        <v>62</v>
      </c>
      <c r="T31" s="216">
        <f t="shared" si="8"/>
        <v>540.88056182900004</v>
      </c>
      <c r="U31" s="216">
        <f>T31/SUM('Prod &amp; Defects - Qty'!$L$5:$Q$5)*1000000</f>
        <v>62.000000000000014</v>
      </c>
      <c r="V31" s="216">
        <f t="shared" si="9"/>
        <v>968.15793968000003</v>
      </c>
      <c r="W31" s="279">
        <f>V31/'Prod &amp; Defects - Qty'!$R$5*1000000</f>
        <v>61.999999999999986</v>
      </c>
      <c r="X31" s="290">
        <f t="shared" si="3"/>
        <v>55</v>
      </c>
      <c r="Y31" s="294">
        <f t="shared" si="4"/>
        <v>55</v>
      </c>
      <c r="Z31" s="276">
        <f t="shared" si="5"/>
        <v>55</v>
      </c>
      <c r="AA31" s="279">
        <f t="shared" si="13"/>
        <v>55</v>
      </c>
    </row>
    <row r="32" spans="1:27" ht="18" customHeight="1">
      <c r="A32" s="1003"/>
      <c r="B32" s="1006"/>
      <c r="C32" s="31">
        <f t="shared" si="14"/>
        <v>1230</v>
      </c>
      <c r="D32" s="32" t="s">
        <v>23</v>
      </c>
      <c r="E32" s="48">
        <f>'[3]Falhas UM-1 - Qty'!AA32</f>
        <v>18</v>
      </c>
      <c r="F32" s="701">
        <f>'Prod &amp; Defects - Qty'!F$5*'Falhas UM-1 - Qty'!$E32/1000000</f>
        <v>25.959924045000001</v>
      </c>
      <c r="G32" s="701">
        <f>'Prod &amp; Defects - Qty'!G$5*'Falhas UM-1 - Qty'!$E32/1000000</f>
        <v>14.165983944000001</v>
      </c>
      <c r="H32" s="701">
        <f>'Prod &amp; Defects - Qty'!H$5*'Falhas UM-1 - Qty'!$E32/1000000</f>
        <v>14.100979239000003</v>
      </c>
      <c r="I32" s="701">
        <f>'Prod &amp; Defects - Qty'!I$5*'Falhas UM-1 - Qty'!$E32/1000000</f>
        <v>14.250074980500001</v>
      </c>
      <c r="J32" s="701">
        <f>'Prod &amp; Defects - Qty'!J$5*'Falhas UM-1 - Qty'!$E32/1000000</f>
        <v>25.741547027999999</v>
      </c>
      <c r="K32" s="701">
        <f>'Prod &amp; Defects - Qty'!K$5*'Falhas UM-1 - Qty'!$E32/1000000</f>
        <v>29.829761752499998</v>
      </c>
      <c r="L32" s="701">
        <f>'Prod &amp; Defects - Qty'!L$5*'Falhas UM-1 - Qty'!$E32/1000000</f>
        <v>30.042127628999999</v>
      </c>
      <c r="M32" s="701">
        <f>'Prod &amp; Defects - Qty'!M$5*'Falhas UM-1 - Qty'!$E32/1000000</f>
        <v>30.076520085000002</v>
      </c>
      <c r="N32" s="701">
        <f>'Prod &amp; Defects - Qty'!N$5*'Falhas UM-1 - Qty'!$E32/1000000</f>
        <v>24.114222476999998</v>
      </c>
      <c r="O32" s="701">
        <f>'Prod &amp; Defects - Qty'!O$5*'Falhas UM-1 - Qty'!$E32/1000000</f>
        <v>22.347754820999999</v>
      </c>
      <c r="P32" s="701">
        <f>'Prod &amp; Defects - Qty'!P$5*'Falhas UM-1 - Qty'!$E32/1000000</f>
        <v>22.611553848</v>
      </c>
      <c r="Q32" s="548">
        <f>'Prod &amp; Defects - Qty'!Q$5*'Falhas UM-1 - Qty'!$E32/1000000</f>
        <v>27.837661670999999</v>
      </c>
      <c r="R32" s="276">
        <f t="shared" si="7"/>
        <v>124.048270989</v>
      </c>
      <c r="S32" s="216">
        <f>R32/SUM('Prod &amp; Defects - Qty'!$F$5:$K$5)*1000000</f>
        <v>18</v>
      </c>
      <c r="T32" s="216">
        <f t="shared" si="8"/>
        <v>157.02984053100002</v>
      </c>
      <c r="U32" s="216">
        <f>T32/SUM('Prod &amp; Defects - Qty'!$L$5:$Q$5)*1000000</f>
        <v>18.000000000000007</v>
      </c>
      <c r="V32" s="216">
        <f t="shared" si="9"/>
        <v>281.07811151999999</v>
      </c>
      <c r="W32" s="279">
        <f>V32/'Prod &amp; Defects - Qty'!$R$5*1000000</f>
        <v>17.999999999999996</v>
      </c>
      <c r="X32" s="290">
        <f t="shared" si="3"/>
        <v>16</v>
      </c>
      <c r="Y32" s="294">
        <f t="shared" si="4"/>
        <v>16</v>
      </c>
      <c r="Z32" s="276">
        <f t="shared" si="5"/>
        <v>16</v>
      </c>
      <c r="AA32" s="279">
        <f t="shared" si="13"/>
        <v>16</v>
      </c>
    </row>
    <row r="33" spans="1:27" ht="18" customHeight="1">
      <c r="A33" s="1003"/>
      <c r="B33" s="1006"/>
      <c r="C33" s="31">
        <f t="shared" si="14"/>
        <v>1240</v>
      </c>
      <c r="D33" s="32" t="s">
        <v>22</v>
      </c>
      <c r="E33" s="48">
        <f>'[3]Falhas UM-1 - Qty'!AA33</f>
        <v>15</v>
      </c>
      <c r="F33" s="701">
        <f>'Prod &amp; Defects - Qty'!F$5*'Falhas UM-1 - Qty'!$E33/1000000</f>
        <v>21.633270037500001</v>
      </c>
      <c r="G33" s="701">
        <f>'Prod &amp; Defects - Qty'!G$5*'Falhas UM-1 - Qty'!$E33/1000000</f>
        <v>11.804986620000001</v>
      </c>
      <c r="H33" s="701">
        <f>'Prod &amp; Defects - Qty'!H$5*'Falhas UM-1 - Qty'!$E33/1000000</f>
        <v>11.750816032500001</v>
      </c>
      <c r="I33" s="701">
        <f>'Prod &amp; Defects - Qty'!I$5*'Falhas UM-1 - Qty'!$E33/1000000</f>
        <v>11.87506248375</v>
      </c>
      <c r="J33" s="701">
        <f>'Prod &amp; Defects - Qty'!J$5*'Falhas UM-1 - Qty'!$E33/1000000</f>
        <v>21.451289190000001</v>
      </c>
      <c r="K33" s="701">
        <f>'Prod &amp; Defects - Qty'!K$5*'Falhas UM-1 - Qty'!$E33/1000000</f>
        <v>24.858134793750001</v>
      </c>
      <c r="L33" s="701">
        <f>'Prod &amp; Defects - Qty'!L$5*'Falhas UM-1 - Qty'!$E33/1000000</f>
        <v>25.035106357499998</v>
      </c>
      <c r="M33" s="701">
        <f>'Prod &amp; Defects - Qty'!M$5*'Falhas UM-1 - Qty'!$E33/1000000</f>
        <v>25.0637667375</v>
      </c>
      <c r="N33" s="701">
        <f>'Prod &amp; Defects - Qty'!N$5*'Falhas UM-1 - Qty'!$E33/1000000</f>
        <v>20.095185397499996</v>
      </c>
      <c r="O33" s="701">
        <f>'Prod &amp; Defects - Qty'!O$5*'Falhas UM-1 - Qty'!$E33/1000000</f>
        <v>18.623129017499998</v>
      </c>
      <c r="P33" s="701">
        <f>'Prod &amp; Defects - Qty'!P$5*'Falhas UM-1 - Qty'!$E33/1000000</f>
        <v>18.842961539999997</v>
      </c>
      <c r="Q33" s="548">
        <f>'Prod &amp; Defects - Qty'!Q$5*'Falhas UM-1 - Qty'!$E33/1000000</f>
        <v>23.198051392499998</v>
      </c>
      <c r="R33" s="276">
        <f t="shared" si="7"/>
        <v>103.3735591575</v>
      </c>
      <c r="S33" s="216">
        <f>R33/SUM('Prod &amp; Defects - Qty'!$F$5:$K$5)*1000000</f>
        <v>14.999999999999998</v>
      </c>
      <c r="T33" s="216">
        <f t="shared" si="8"/>
        <v>130.85820044249999</v>
      </c>
      <c r="U33" s="216">
        <f>T33/SUM('Prod &amp; Defects - Qty'!$L$5:$Q$5)*1000000</f>
        <v>15.000000000000002</v>
      </c>
      <c r="V33" s="216">
        <f t="shared" si="9"/>
        <v>234.23175959999998</v>
      </c>
      <c r="W33" s="279">
        <f>V33/'Prod &amp; Defects - Qty'!$R$5*1000000</f>
        <v>14.999999999999995</v>
      </c>
      <c r="X33" s="290">
        <f t="shared" si="3"/>
        <v>13</v>
      </c>
      <c r="Y33" s="294">
        <f t="shared" si="4"/>
        <v>13</v>
      </c>
      <c r="Z33" s="276">
        <f t="shared" si="5"/>
        <v>13</v>
      </c>
      <c r="AA33" s="279">
        <f t="shared" si="13"/>
        <v>13</v>
      </c>
    </row>
    <row r="34" spans="1:27" ht="18" customHeight="1">
      <c r="A34" s="1003"/>
      <c r="B34" s="1006"/>
      <c r="C34" s="36">
        <v>1250</v>
      </c>
      <c r="D34" s="37" t="s">
        <v>116</v>
      </c>
      <c r="E34" s="51">
        <f>'[3]Falhas UM-1 - Qty'!AA34</f>
        <v>55</v>
      </c>
      <c r="F34" s="706">
        <f>'Prod &amp; Defects - Qty'!F$5*'Falhas UM-1 - Qty'!$E34/1000000</f>
        <v>79.321990137500009</v>
      </c>
      <c r="G34" s="706">
        <f>'Prod &amp; Defects - Qty'!G$5*'Falhas UM-1 - Qty'!$E34/1000000</f>
        <v>43.284950939999995</v>
      </c>
      <c r="H34" s="706">
        <f>'Prod &amp; Defects - Qty'!H$5*'Falhas UM-1 - Qty'!$E34/1000000</f>
        <v>43.086325452499999</v>
      </c>
      <c r="I34" s="706">
        <f>'Prod &amp; Defects - Qty'!I$5*'Falhas UM-1 - Qty'!$E34/1000000</f>
        <v>43.541895773750007</v>
      </c>
      <c r="J34" s="706">
        <f>'Prod &amp; Defects - Qty'!J$5*'Falhas UM-1 - Qty'!$E34/1000000</f>
        <v>78.654727030000004</v>
      </c>
      <c r="K34" s="706">
        <f>'Prod &amp; Defects - Qty'!K$5*'Falhas UM-1 - Qty'!$E34/1000000</f>
        <v>91.146494243749984</v>
      </c>
      <c r="L34" s="706">
        <f>'Prod &amp; Defects - Qty'!L$5*'Falhas UM-1 - Qty'!$E34/1000000</f>
        <v>91.795389977499994</v>
      </c>
      <c r="M34" s="706">
        <f>'Prod &amp; Defects - Qty'!M$5*'Falhas UM-1 - Qty'!$E34/1000000</f>
        <v>91.900478037499994</v>
      </c>
      <c r="N34" s="706">
        <f>'Prod &amp; Defects - Qty'!N$5*'Falhas UM-1 - Qty'!$E34/1000000</f>
        <v>73.682346457499989</v>
      </c>
      <c r="O34" s="706">
        <f>'Prod &amp; Defects - Qty'!O$5*'Falhas UM-1 - Qty'!$E34/1000000</f>
        <v>68.284806397499992</v>
      </c>
      <c r="P34" s="706">
        <f>'Prod &amp; Defects - Qty'!P$5*'Falhas UM-1 - Qty'!$E34/1000000</f>
        <v>69.090858980000007</v>
      </c>
      <c r="Q34" s="777">
        <f>'Prod &amp; Defects - Qty'!Q$5*'Falhas UM-1 - Qty'!$E34/1000000</f>
        <v>85.059521772499991</v>
      </c>
      <c r="R34" s="283">
        <f t="shared" si="7"/>
        <v>379.03638357750003</v>
      </c>
      <c r="S34" s="219">
        <f>R34/SUM('Prod &amp; Defects - Qty'!$F$5:$K$5)*1000000</f>
        <v>55</v>
      </c>
      <c r="T34" s="219">
        <f t="shared" si="8"/>
        <v>479.81340162249995</v>
      </c>
      <c r="U34" s="219">
        <f>T34/SUM('Prod &amp; Defects - Qty'!$L$5:$Q$5)*1000000</f>
        <v>55</v>
      </c>
      <c r="V34" s="219">
        <f t="shared" si="9"/>
        <v>858.84978520000004</v>
      </c>
      <c r="W34" s="284">
        <f>V34/'Prod &amp; Defects - Qty'!$R$5*1000000</f>
        <v>54.999999999999993</v>
      </c>
      <c r="X34" s="299">
        <f t="shared" si="3"/>
        <v>49</v>
      </c>
      <c r="Y34" s="300">
        <f t="shared" si="4"/>
        <v>49</v>
      </c>
      <c r="Z34" s="283">
        <f t="shared" si="5"/>
        <v>49</v>
      </c>
      <c r="AA34" s="284">
        <f t="shared" si="13"/>
        <v>49</v>
      </c>
    </row>
    <row r="35" spans="1:27" ht="18" customHeight="1" thickBot="1">
      <c r="A35" s="1004"/>
      <c r="B35" s="1007"/>
      <c r="C35" s="38">
        <v>1260</v>
      </c>
      <c r="D35" s="39" t="s">
        <v>124</v>
      </c>
      <c r="E35" s="52">
        <f>'[3]Falhas UM-1 - Qty'!AA35</f>
        <v>1</v>
      </c>
      <c r="F35" s="707">
        <f>'Prod &amp; Defects - Qty'!F$5*'Falhas UM-1 - Qty'!$E35/1000000</f>
        <v>1.4422180025000002</v>
      </c>
      <c r="G35" s="707">
        <f>'Prod &amp; Defects - Qty'!G$5*'Falhas UM-1 - Qty'!$E35/1000000</f>
        <v>0.78699910800000006</v>
      </c>
      <c r="H35" s="707">
        <f>'Prod &amp; Defects - Qty'!H$5*'Falhas UM-1 - Qty'!$E35/1000000</f>
        <v>0.78338773550000007</v>
      </c>
      <c r="I35" s="707">
        <f>'Prod &amp; Defects - Qty'!I$5*'Falhas UM-1 - Qty'!$E35/1000000</f>
        <v>0.79167083225000012</v>
      </c>
      <c r="J35" s="707">
        <f>'Prod &amp; Defects - Qty'!J$5*'Falhas UM-1 - Qty'!$E35/1000000</f>
        <v>1.4300859459999999</v>
      </c>
      <c r="K35" s="707">
        <f>'Prod &amp; Defects - Qty'!K$5*'Falhas UM-1 - Qty'!$E35/1000000</f>
        <v>1.6572089862499999</v>
      </c>
      <c r="L35" s="707">
        <f>'Prod &amp; Defects - Qty'!L$5*'Falhas UM-1 - Qty'!$E35/1000000</f>
        <v>1.6690070904999998</v>
      </c>
      <c r="M35" s="707">
        <f>'Prod &amp; Defects - Qty'!M$5*'Falhas UM-1 - Qty'!$E35/1000000</f>
        <v>1.6709177824999999</v>
      </c>
      <c r="N35" s="707">
        <f>'Prod &amp; Defects - Qty'!N$5*'Falhas UM-1 - Qty'!$E35/1000000</f>
        <v>1.3396790264999998</v>
      </c>
      <c r="O35" s="707">
        <f>'Prod &amp; Defects - Qty'!O$5*'Falhas UM-1 - Qty'!$E35/1000000</f>
        <v>1.2415419345000001</v>
      </c>
      <c r="P35" s="707">
        <f>'Prod &amp; Defects - Qty'!P$5*'Falhas UM-1 - Qty'!$E35/1000000</f>
        <v>1.2561974359999999</v>
      </c>
      <c r="Q35" s="550">
        <f>'Prod &amp; Defects - Qty'!Q$5*'Falhas UM-1 - Qty'!$E35/1000000</f>
        <v>1.5465367594999999</v>
      </c>
      <c r="R35" s="285">
        <f t="shared" si="7"/>
        <v>6.8915706105000005</v>
      </c>
      <c r="S35" s="220">
        <f>R35/SUM('Prod &amp; Defects - Qty'!$F$5:$K$5)*1000000</f>
        <v>1</v>
      </c>
      <c r="T35" s="220">
        <f t="shared" si="8"/>
        <v>8.7238800295000001</v>
      </c>
      <c r="U35" s="220">
        <f>T35/SUM('Prod &amp; Defects - Qty'!$L$5:$Q$5)*1000000</f>
        <v>1.0000000000000002</v>
      </c>
      <c r="V35" s="220">
        <f t="shared" si="9"/>
        <v>15.615450640000001</v>
      </c>
      <c r="W35" s="286">
        <f>V35/'Prod &amp; Defects - Qty'!$R$5*1000000</f>
        <v>1</v>
      </c>
      <c r="X35" s="301">
        <f t="shared" si="3"/>
        <v>0</v>
      </c>
      <c r="Y35" s="302">
        <f t="shared" si="4"/>
        <v>0</v>
      </c>
      <c r="Z35" s="285">
        <f t="shared" si="5"/>
        <v>0</v>
      </c>
      <c r="AA35" s="286">
        <f t="shared" si="13"/>
        <v>0</v>
      </c>
    </row>
    <row r="36" spans="1:27" ht="18" customHeight="1" thickTop="1" thickBot="1">
      <c r="A36" s="1018" t="s">
        <v>21</v>
      </c>
      <c r="B36" s="1020" t="s">
        <v>20</v>
      </c>
      <c r="C36" s="40"/>
      <c r="D36" s="41" t="s">
        <v>1</v>
      </c>
      <c r="E36" s="49">
        <f>'[3]Falhas UM-1 - Qty'!AA36</f>
        <v>444</v>
      </c>
      <c r="F36" s="703">
        <f>SUBTOTAL(109,F23:F35)</f>
        <v>630.24926709250008</v>
      </c>
      <c r="G36" s="703">
        <f t="shared" ref="G36:Q36" si="15">SUBTOTAL(109,G23:G35)</f>
        <v>343.91861019599997</v>
      </c>
      <c r="H36" s="703">
        <f t="shared" si="15"/>
        <v>342.34044041350006</v>
      </c>
      <c r="I36" s="703">
        <f t="shared" si="15"/>
        <v>345.96015369325011</v>
      </c>
      <c r="J36" s="703">
        <f t="shared" si="15"/>
        <v>624.94755840199991</v>
      </c>
      <c r="K36" s="703">
        <f t="shared" si="15"/>
        <v>724.20032699124988</v>
      </c>
      <c r="L36" s="703">
        <f t="shared" si="15"/>
        <v>729.35609854849997</v>
      </c>
      <c r="M36" s="703">
        <f t="shared" si="15"/>
        <v>730.1910709524999</v>
      </c>
      <c r="N36" s="703">
        <f t="shared" si="15"/>
        <v>585.43973458049993</v>
      </c>
      <c r="O36" s="703">
        <f t="shared" si="15"/>
        <v>542.55382537649996</v>
      </c>
      <c r="P36" s="703">
        <f t="shared" si="15"/>
        <v>548.95827953199989</v>
      </c>
      <c r="Q36" s="775">
        <f t="shared" si="15"/>
        <v>675.83656390149997</v>
      </c>
      <c r="R36" s="167">
        <f>SUBTOTAL(109,R23:R35)</f>
        <v>3011.6163567885005</v>
      </c>
      <c r="S36" s="168">
        <f>R36/SUM('Prod &amp; Defects - Qty'!$F$5:$K$5)*1000000</f>
        <v>437.00000000000006</v>
      </c>
      <c r="T36" s="168">
        <f>SUBTOTAL(109,T23:T35)</f>
        <v>3812.3355728914999</v>
      </c>
      <c r="U36" s="168">
        <f>T36/SUM('Prod &amp; Defects - Qty'!$L$5:$Q$5)*1000000</f>
        <v>437.00000000000006</v>
      </c>
      <c r="V36" s="168">
        <f>SUBTOTAL(109,V23:V35)</f>
        <v>6823.951929679999</v>
      </c>
      <c r="W36" s="169">
        <f>V36/'Prod &amp; Defects - Qty'!$R$5*1000000</f>
        <v>436.99999999999989</v>
      </c>
      <c r="X36" s="292">
        <f t="shared" si="3"/>
        <v>393</v>
      </c>
      <c r="Y36" s="303">
        <f t="shared" si="4"/>
        <v>393</v>
      </c>
      <c r="Z36" s="167">
        <f t="shared" si="5"/>
        <v>393</v>
      </c>
      <c r="AA36" s="169">
        <f>SUM(AA23:AA35)</f>
        <v>387</v>
      </c>
    </row>
    <row r="37" spans="1:27" ht="18" customHeight="1" thickTop="1">
      <c r="A37" s="1018"/>
      <c r="B37" s="998"/>
      <c r="C37" s="42">
        <v>1280</v>
      </c>
      <c r="D37" s="43" t="s">
        <v>19</v>
      </c>
      <c r="E37" s="48">
        <f>'[3]Falhas UM-1 - Qty'!AA37</f>
        <v>6</v>
      </c>
      <c r="F37" s="701">
        <f>'Prod &amp; Defects - Qty'!F$5*'Falhas UM-1 - Qty'!$E37/1000000</f>
        <v>8.6533080150000004</v>
      </c>
      <c r="G37" s="701">
        <f>'Prod &amp; Defects - Qty'!G$5*'Falhas UM-1 - Qty'!$E37/1000000</f>
        <v>4.7219946479999999</v>
      </c>
      <c r="H37" s="701">
        <f>'Prod &amp; Defects - Qty'!H$5*'Falhas UM-1 - Qty'!$E37/1000000</f>
        <v>4.7003264130000009</v>
      </c>
      <c r="I37" s="701">
        <f>'Prod &amp; Defects - Qty'!I$5*'Falhas UM-1 - Qty'!$E37/1000000</f>
        <v>4.7500249935000012</v>
      </c>
      <c r="J37" s="701">
        <f>'Prod &amp; Defects - Qty'!J$5*'Falhas UM-1 - Qty'!$E37/1000000</f>
        <v>8.5805156759999992</v>
      </c>
      <c r="K37" s="701">
        <f>'Prod &amp; Defects - Qty'!K$5*'Falhas UM-1 - Qty'!$E37/1000000</f>
        <v>9.9432539174999981</v>
      </c>
      <c r="L37" s="701">
        <f>'Prod &amp; Defects - Qty'!L$5*'Falhas UM-1 - Qty'!$E37/1000000</f>
        <v>10.014042543</v>
      </c>
      <c r="M37" s="701">
        <f>'Prod &amp; Defects - Qty'!M$5*'Falhas UM-1 - Qty'!$E37/1000000</f>
        <v>10.025506695000001</v>
      </c>
      <c r="N37" s="701">
        <f>'Prod &amp; Defects - Qty'!N$5*'Falhas UM-1 - Qty'!$E37/1000000</f>
        <v>8.0380741590000007</v>
      </c>
      <c r="O37" s="701">
        <f>'Prod &amp; Defects - Qty'!O$5*'Falhas UM-1 - Qty'!$E37/1000000</f>
        <v>7.4492516069999999</v>
      </c>
      <c r="P37" s="701">
        <f>'Prod &amp; Defects - Qty'!P$5*'Falhas UM-1 - Qty'!$E37/1000000</f>
        <v>7.5371846160000002</v>
      </c>
      <c r="Q37" s="548">
        <f>'Prod &amp; Defects - Qty'!Q$5*'Falhas UM-1 - Qty'!$E37/1000000</f>
        <v>9.2792205570000004</v>
      </c>
      <c r="R37" s="287">
        <f t="shared" si="7"/>
        <v>41.349423662999996</v>
      </c>
      <c r="S37" s="221">
        <f>R37/SUM('Prod &amp; Defects - Qty'!$F$5:$K$5)*1000000</f>
        <v>5.9999999999999991</v>
      </c>
      <c r="T37" s="221">
        <f t="shared" si="8"/>
        <v>52.343280176999997</v>
      </c>
      <c r="U37" s="221">
        <f>T37/SUM('Prod &amp; Defects - Qty'!$L$5:$Q$5)*1000000</f>
        <v>6.0000000000000009</v>
      </c>
      <c r="V37" s="221">
        <f t="shared" si="9"/>
        <v>93.692703839999993</v>
      </c>
      <c r="W37" s="279">
        <f>V37/'Prod &amp; Defects - Qty'!$R$5*1000000</f>
        <v>5.9999999999999982</v>
      </c>
      <c r="X37" s="304">
        <f t="shared" si="3"/>
        <v>5</v>
      </c>
      <c r="Y37" s="294">
        <f t="shared" si="4"/>
        <v>5</v>
      </c>
      <c r="Z37" s="287">
        <f t="shared" si="5"/>
        <v>5</v>
      </c>
      <c r="AA37" s="279">
        <f t="shared" ref="AA37:AA56" si="16">Z37*1</f>
        <v>5</v>
      </c>
    </row>
    <row r="38" spans="1:27" ht="18" customHeight="1">
      <c r="A38" s="1018"/>
      <c r="B38" s="998"/>
      <c r="C38" s="42">
        <f>C37+10</f>
        <v>1290</v>
      </c>
      <c r="D38" s="43" t="s">
        <v>18</v>
      </c>
      <c r="E38" s="48">
        <f>'[3]Falhas UM-1 - Qty'!AA38</f>
        <v>3</v>
      </c>
      <c r="F38" s="701">
        <f>'Prod &amp; Defects - Qty'!F$5*'Falhas UM-1 - Qty'!$E38/1000000</f>
        <v>4.3266540075000002</v>
      </c>
      <c r="G38" s="701">
        <f>'Prod &amp; Defects - Qty'!G$5*'Falhas UM-1 - Qty'!$E38/1000000</f>
        <v>2.360997324</v>
      </c>
      <c r="H38" s="701">
        <f>'Prod &amp; Defects - Qty'!H$5*'Falhas UM-1 - Qty'!$E38/1000000</f>
        <v>2.3501632065000004</v>
      </c>
      <c r="I38" s="701">
        <f>'Prod &amp; Defects - Qty'!I$5*'Falhas UM-1 - Qty'!$E38/1000000</f>
        <v>2.3750124967500006</v>
      </c>
      <c r="J38" s="701">
        <f>'Prod &amp; Defects - Qty'!J$5*'Falhas UM-1 - Qty'!$E38/1000000</f>
        <v>4.2902578379999996</v>
      </c>
      <c r="K38" s="701">
        <f>'Prod &amp; Defects - Qty'!K$5*'Falhas UM-1 - Qty'!$E38/1000000</f>
        <v>4.971626958749999</v>
      </c>
      <c r="L38" s="701">
        <f>'Prod &amp; Defects - Qty'!L$5*'Falhas UM-1 - Qty'!$E38/1000000</f>
        <v>5.0070212715000002</v>
      </c>
      <c r="M38" s="701">
        <f>'Prod &amp; Defects - Qty'!M$5*'Falhas UM-1 - Qty'!$E38/1000000</f>
        <v>5.0127533475000003</v>
      </c>
      <c r="N38" s="701">
        <f>'Prod &amp; Defects - Qty'!N$5*'Falhas UM-1 - Qty'!$E38/1000000</f>
        <v>4.0190370795000003</v>
      </c>
      <c r="O38" s="701">
        <f>'Prod &amp; Defects - Qty'!O$5*'Falhas UM-1 - Qty'!$E38/1000000</f>
        <v>3.7246258034999999</v>
      </c>
      <c r="P38" s="701">
        <f>'Prod &amp; Defects - Qty'!P$5*'Falhas UM-1 - Qty'!$E38/1000000</f>
        <v>3.7685923080000001</v>
      </c>
      <c r="Q38" s="548">
        <f>'Prod &amp; Defects - Qty'!Q$5*'Falhas UM-1 - Qty'!$E38/1000000</f>
        <v>4.6396102785000002</v>
      </c>
      <c r="R38" s="287">
        <f t="shared" si="7"/>
        <v>20.674711831499998</v>
      </c>
      <c r="S38" s="221">
        <f>R38/SUM('Prod &amp; Defects - Qty'!$F$5:$K$5)*1000000</f>
        <v>2.9999999999999996</v>
      </c>
      <c r="T38" s="221">
        <f t="shared" si="8"/>
        <v>26.171640088499998</v>
      </c>
      <c r="U38" s="221">
        <f>T38/SUM('Prod &amp; Defects - Qty'!$L$5:$Q$5)*1000000</f>
        <v>3.0000000000000004</v>
      </c>
      <c r="V38" s="221">
        <f t="shared" si="9"/>
        <v>46.846351919999996</v>
      </c>
      <c r="W38" s="279">
        <f>V38/'Prod &amp; Defects - Qty'!$R$5*1000000</f>
        <v>2.9999999999999991</v>
      </c>
      <c r="X38" s="304">
        <f t="shared" ref="X38:X61" si="17">INT(W38*Redutor)</f>
        <v>2</v>
      </c>
      <c r="Y38" s="294">
        <f t="shared" ref="Y38:Y61" si="18">INT(W38*Redutor)</f>
        <v>2</v>
      </c>
      <c r="Z38" s="287">
        <f t="shared" ref="Z38:Z61" si="19">(X38+Y38)/2</f>
        <v>2</v>
      </c>
      <c r="AA38" s="279">
        <f t="shared" si="16"/>
        <v>2</v>
      </c>
    </row>
    <row r="39" spans="1:27" ht="18" customHeight="1">
      <c r="A39" s="1018"/>
      <c r="B39" s="998"/>
      <c r="C39" s="42">
        <f t="shared" ref="C39:C56" si="20">C38+10</f>
        <v>1300</v>
      </c>
      <c r="D39" s="43" t="s">
        <v>17</v>
      </c>
      <c r="E39" s="48">
        <f>'[3]Falhas UM-1 - Qty'!AA39</f>
        <v>2</v>
      </c>
      <c r="F39" s="701">
        <f>'Prod &amp; Defects - Qty'!F$5*'Falhas UM-1 - Qty'!$E39/1000000</f>
        <v>2.8844360050000004</v>
      </c>
      <c r="G39" s="701">
        <f>'Prod &amp; Defects - Qty'!G$5*'Falhas UM-1 - Qty'!$E39/1000000</f>
        <v>1.5739982160000001</v>
      </c>
      <c r="H39" s="701">
        <f>'Prod &amp; Defects - Qty'!H$5*'Falhas UM-1 - Qty'!$E39/1000000</f>
        <v>1.5667754710000001</v>
      </c>
      <c r="I39" s="701">
        <f>'Prod &amp; Defects - Qty'!I$5*'Falhas UM-1 - Qty'!$E39/1000000</f>
        <v>1.5833416645000002</v>
      </c>
      <c r="J39" s="701">
        <f>'Prod &amp; Defects - Qty'!J$5*'Falhas UM-1 - Qty'!$E39/1000000</f>
        <v>2.8601718919999999</v>
      </c>
      <c r="K39" s="701">
        <f>'Prod &amp; Defects - Qty'!K$5*'Falhas UM-1 - Qty'!$E39/1000000</f>
        <v>3.3144179724999998</v>
      </c>
      <c r="L39" s="701">
        <f>'Prod &amp; Defects - Qty'!L$5*'Falhas UM-1 - Qty'!$E39/1000000</f>
        <v>3.3380141809999997</v>
      </c>
      <c r="M39" s="701">
        <f>'Prod &amp; Defects - Qty'!M$5*'Falhas UM-1 - Qty'!$E39/1000000</f>
        <v>3.3418355649999998</v>
      </c>
      <c r="N39" s="701">
        <f>'Prod &amp; Defects - Qty'!N$5*'Falhas UM-1 - Qty'!$E39/1000000</f>
        <v>2.6793580529999996</v>
      </c>
      <c r="O39" s="701">
        <f>'Prod &amp; Defects - Qty'!O$5*'Falhas UM-1 - Qty'!$E39/1000000</f>
        <v>2.4830838690000001</v>
      </c>
      <c r="P39" s="701">
        <f>'Prod &amp; Defects - Qty'!P$5*'Falhas UM-1 - Qty'!$E39/1000000</f>
        <v>2.5123948719999998</v>
      </c>
      <c r="Q39" s="548">
        <f>'Prod &amp; Defects - Qty'!Q$5*'Falhas UM-1 - Qty'!$E39/1000000</f>
        <v>3.0930735189999998</v>
      </c>
      <c r="R39" s="287">
        <f t="shared" si="7"/>
        <v>13.783141221000001</v>
      </c>
      <c r="S39" s="221">
        <f>R39/SUM('Prod &amp; Defects - Qty'!$F$5:$K$5)*1000000</f>
        <v>2</v>
      </c>
      <c r="T39" s="221">
        <f t="shared" si="8"/>
        <v>17.447760059</v>
      </c>
      <c r="U39" s="221">
        <f>T39/SUM('Prod &amp; Defects - Qty'!$L$5:$Q$5)*1000000</f>
        <v>2.0000000000000004</v>
      </c>
      <c r="V39" s="221">
        <f t="shared" si="9"/>
        <v>31.230901280000001</v>
      </c>
      <c r="W39" s="279">
        <f>V39/'Prod &amp; Defects - Qty'!$R$5*1000000</f>
        <v>2</v>
      </c>
      <c r="X39" s="304">
        <f t="shared" si="17"/>
        <v>1</v>
      </c>
      <c r="Y39" s="294">
        <f t="shared" si="18"/>
        <v>1</v>
      </c>
      <c r="Z39" s="287">
        <f t="shared" si="19"/>
        <v>1</v>
      </c>
      <c r="AA39" s="279">
        <f t="shared" si="16"/>
        <v>1</v>
      </c>
    </row>
    <row r="40" spans="1:27" ht="18" customHeight="1">
      <c r="A40" s="1018"/>
      <c r="B40" s="998"/>
      <c r="C40" s="42">
        <f t="shared" si="20"/>
        <v>1310</v>
      </c>
      <c r="D40" s="43" t="s">
        <v>16</v>
      </c>
      <c r="E40" s="48">
        <f>'[3]Falhas UM-1 - Qty'!AA40</f>
        <v>2</v>
      </c>
      <c r="F40" s="701">
        <f>'Prod &amp; Defects - Qty'!F$5*'Falhas UM-1 - Qty'!$E40/1000000</f>
        <v>2.8844360050000004</v>
      </c>
      <c r="G40" s="701">
        <f>'Prod &amp; Defects - Qty'!G$5*'Falhas UM-1 - Qty'!$E40/1000000</f>
        <v>1.5739982160000001</v>
      </c>
      <c r="H40" s="701">
        <f>'Prod &amp; Defects - Qty'!H$5*'Falhas UM-1 - Qty'!$E40/1000000</f>
        <v>1.5667754710000001</v>
      </c>
      <c r="I40" s="701">
        <f>'Prod &amp; Defects - Qty'!I$5*'Falhas UM-1 - Qty'!$E40/1000000</f>
        <v>1.5833416645000002</v>
      </c>
      <c r="J40" s="701">
        <f>'Prod &amp; Defects - Qty'!J$5*'Falhas UM-1 - Qty'!$E40/1000000</f>
        <v>2.8601718919999999</v>
      </c>
      <c r="K40" s="701">
        <f>'Prod &amp; Defects - Qty'!K$5*'Falhas UM-1 - Qty'!$E40/1000000</f>
        <v>3.3144179724999998</v>
      </c>
      <c r="L40" s="701">
        <f>'Prod &amp; Defects - Qty'!L$5*'Falhas UM-1 - Qty'!$E40/1000000</f>
        <v>3.3380141809999997</v>
      </c>
      <c r="M40" s="701">
        <f>'Prod &amp; Defects - Qty'!M$5*'Falhas UM-1 - Qty'!$E40/1000000</f>
        <v>3.3418355649999998</v>
      </c>
      <c r="N40" s="701">
        <f>'Prod &amp; Defects - Qty'!N$5*'Falhas UM-1 - Qty'!$E40/1000000</f>
        <v>2.6793580529999996</v>
      </c>
      <c r="O40" s="701">
        <f>'Prod &amp; Defects - Qty'!O$5*'Falhas UM-1 - Qty'!$E40/1000000</f>
        <v>2.4830838690000001</v>
      </c>
      <c r="P40" s="701">
        <f>'Prod &amp; Defects - Qty'!P$5*'Falhas UM-1 - Qty'!$E40/1000000</f>
        <v>2.5123948719999998</v>
      </c>
      <c r="Q40" s="548">
        <f>'Prod &amp; Defects - Qty'!Q$5*'Falhas UM-1 - Qty'!$E40/1000000</f>
        <v>3.0930735189999998</v>
      </c>
      <c r="R40" s="287">
        <f t="shared" si="7"/>
        <v>13.783141221000001</v>
      </c>
      <c r="S40" s="221">
        <f>R40/SUM('Prod &amp; Defects - Qty'!$F$5:$K$5)*1000000</f>
        <v>2</v>
      </c>
      <c r="T40" s="221">
        <f t="shared" si="8"/>
        <v>17.447760059</v>
      </c>
      <c r="U40" s="221">
        <f>T40/SUM('Prod &amp; Defects - Qty'!$L$5:$Q$5)*1000000</f>
        <v>2.0000000000000004</v>
      </c>
      <c r="V40" s="221">
        <f t="shared" si="9"/>
        <v>31.230901280000001</v>
      </c>
      <c r="W40" s="279">
        <f>V40/'Prod &amp; Defects - Qty'!$R$5*1000000</f>
        <v>2</v>
      </c>
      <c r="X40" s="304">
        <f t="shared" si="17"/>
        <v>1</v>
      </c>
      <c r="Y40" s="294">
        <f t="shared" si="18"/>
        <v>1</v>
      </c>
      <c r="Z40" s="287">
        <f t="shared" si="19"/>
        <v>1</v>
      </c>
      <c r="AA40" s="279">
        <f t="shared" si="16"/>
        <v>1</v>
      </c>
    </row>
    <row r="41" spans="1:27" ht="18" customHeight="1">
      <c r="A41" s="1018"/>
      <c r="B41" s="998"/>
      <c r="C41" s="42">
        <f t="shared" si="20"/>
        <v>1320</v>
      </c>
      <c r="D41" s="43" t="s">
        <v>15</v>
      </c>
      <c r="E41" s="48">
        <f>'[3]Falhas UM-1 - Qty'!AA41</f>
        <v>18</v>
      </c>
      <c r="F41" s="701">
        <f>'Prod &amp; Defects - Qty'!F$5*'Falhas UM-1 - Qty'!$E41/1000000</f>
        <v>25.959924045000001</v>
      </c>
      <c r="G41" s="701">
        <f>'Prod &amp; Defects - Qty'!G$5*'Falhas UM-1 - Qty'!$E41/1000000</f>
        <v>14.165983944000001</v>
      </c>
      <c r="H41" s="701">
        <f>'Prod &amp; Defects - Qty'!H$5*'Falhas UM-1 - Qty'!$E41/1000000</f>
        <v>14.100979239000003</v>
      </c>
      <c r="I41" s="701">
        <f>'Prod &amp; Defects - Qty'!I$5*'Falhas UM-1 - Qty'!$E41/1000000</f>
        <v>14.250074980500001</v>
      </c>
      <c r="J41" s="701">
        <f>'Prod &amp; Defects - Qty'!J$5*'Falhas UM-1 - Qty'!$E41/1000000</f>
        <v>25.741547027999999</v>
      </c>
      <c r="K41" s="701">
        <f>'Prod &amp; Defects - Qty'!K$5*'Falhas UM-1 - Qty'!$E41/1000000</f>
        <v>29.829761752499998</v>
      </c>
      <c r="L41" s="701">
        <f>'Prod &amp; Defects - Qty'!L$5*'Falhas UM-1 - Qty'!$E41/1000000</f>
        <v>30.042127628999999</v>
      </c>
      <c r="M41" s="701">
        <f>'Prod &amp; Defects - Qty'!M$5*'Falhas UM-1 - Qty'!$E41/1000000</f>
        <v>30.076520085000002</v>
      </c>
      <c r="N41" s="701">
        <f>'Prod &amp; Defects - Qty'!N$5*'Falhas UM-1 - Qty'!$E41/1000000</f>
        <v>24.114222476999998</v>
      </c>
      <c r="O41" s="701">
        <f>'Prod &amp; Defects - Qty'!O$5*'Falhas UM-1 - Qty'!$E41/1000000</f>
        <v>22.347754820999999</v>
      </c>
      <c r="P41" s="701">
        <f>'Prod &amp; Defects - Qty'!P$5*'Falhas UM-1 - Qty'!$E41/1000000</f>
        <v>22.611553848</v>
      </c>
      <c r="Q41" s="548">
        <f>'Prod &amp; Defects - Qty'!Q$5*'Falhas UM-1 - Qty'!$E41/1000000</f>
        <v>27.837661670999999</v>
      </c>
      <c r="R41" s="287">
        <f t="shared" si="7"/>
        <v>124.048270989</v>
      </c>
      <c r="S41" s="221">
        <f>R41/SUM('Prod &amp; Defects - Qty'!$F$5:$K$5)*1000000</f>
        <v>18</v>
      </c>
      <c r="T41" s="221">
        <f t="shared" si="8"/>
        <v>157.02984053100002</v>
      </c>
      <c r="U41" s="221">
        <f>T41/SUM('Prod &amp; Defects - Qty'!$L$5:$Q$5)*1000000</f>
        <v>18.000000000000007</v>
      </c>
      <c r="V41" s="221">
        <f t="shared" si="9"/>
        <v>281.07811151999999</v>
      </c>
      <c r="W41" s="279">
        <f>V41/'Prod &amp; Defects - Qty'!$R$5*1000000</f>
        <v>17.999999999999996</v>
      </c>
      <c r="X41" s="304">
        <f t="shared" si="17"/>
        <v>16</v>
      </c>
      <c r="Y41" s="294">
        <f t="shared" si="18"/>
        <v>16</v>
      </c>
      <c r="Z41" s="287">
        <f t="shared" si="19"/>
        <v>16</v>
      </c>
      <c r="AA41" s="279">
        <f t="shared" si="16"/>
        <v>16</v>
      </c>
    </row>
    <row r="42" spans="1:27" ht="18" customHeight="1">
      <c r="A42" s="1018"/>
      <c r="B42" s="998"/>
      <c r="C42" s="42">
        <f t="shared" si="20"/>
        <v>1330</v>
      </c>
      <c r="D42" s="43" t="s">
        <v>14</v>
      </c>
      <c r="E42" s="48">
        <f>'[3]Falhas UM-1 - Qty'!AA42</f>
        <v>16</v>
      </c>
      <c r="F42" s="701">
        <f>'Prod &amp; Defects - Qty'!F$5*'Falhas UM-1 - Qty'!$E42/1000000</f>
        <v>23.075488040000003</v>
      </c>
      <c r="G42" s="701">
        <f>'Prod &amp; Defects - Qty'!G$5*'Falhas UM-1 - Qty'!$E42/1000000</f>
        <v>12.591985728000001</v>
      </c>
      <c r="H42" s="701">
        <f>'Prod &amp; Defects - Qty'!H$5*'Falhas UM-1 - Qty'!$E42/1000000</f>
        <v>12.534203768000001</v>
      </c>
      <c r="I42" s="701">
        <f>'Prod &amp; Defects - Qty'!I$5*'Falhas UM-1 - Qty'!$E42/1000000</f>
        <v>12.666733316000002</v>
      </c>
      <c r="J42" s="701">
        <f>'Prod &amp; Defects - Qty'!J$5*'Falhas UM-1 - Qty'!$E42/1000000</f>
        <v>22.881375135999999</v>
      </c>
      <c r="K42" s="701">
        <f>'Prod &amp; Defects - Qty'!K$5*'Falhas UM-1 - Qty'!$E42/1000000</f>
        <v>26.515343779999998</v>
      </c>
      <c r="L42" s="701">
        <f>'Prod &amp; Defects - Qty'!L$5*'Falhas UM-1 - Qty'!$E42/1000000</f>
        <v>26.704113447999998</v>
      </c>
      <c r="M42" s="701">
        <f>'Prod &amp; Defects - Qty'!M$5*'Falhas UM-1 - Qty'!$E42/1000000</f>
        <v>26.734684519999998</v>
      </c>
      <c r="N42" s="701">
        <f>'Prod &amp; Defects - Qty'!N$5*'Falhas UM-1 - Qty'!$E42/1000000</f>
        <v>21.434864423999997</v>
      </c>
      <c r="O42" s="701">
        <f>'Prod &amp; Defects - Qty'!O$5*'Falhas UM-1 - Qty'!$E42/1000000</f>
        <v>19.864670952000001</v>
      </c>
      <c r="P42" s="701">
        <f>'Prod &amp; Defects - Qty'!P$5*'Falhas UM-1 - Qty'!$E42/1000000</f>
        <v>20.099158975999998</v>
      </c>
      <c r="Q42" s="548">
        <f>'Prod &amp; Defects - Qty'!Q$5*'Falhas UM-1 - Qty'!$E42/1000000</f>
        <v>24.744588151999999</v>
      </c>
      <c r="R42" s="287">
        <f t="shared" si="7"/>
        <v>110.26512976800001</v>
      </c>
      <c r="S42" s="221">
        <f>R42/SUM('Prod &amp; Defects - Qty'!$F$5:$K$5)*1000000</f>
        <v>16</v>
      </c>
      <c r="T42" s="221">
        <f t="shared" si="8"/>
        <v>139.582080472</v>
      </c>
      <c r="U42" s="221">
        <f>T42/SUM('Prod &amp; Defects - Qty'!$L$5:$Q$5)*1000000</f>
        <v>16.000000000000004</v>
      </c>
      <c r="V42" s="221">
        <f t="shared" si="9"/>
        <v>249.84721024000001</v>
      </c>
      <c r="W42" s="279">
        <f>V42/'Prod &amp; Defects - Qty'!$R$5*1000000</f>
        <v>16</v>
      </c>
      <c r="X42" s="304">
        <f t="shared" si="17"/>
        <v>14</v>
      </c>
      <c r="Y42" s="294">
        <f t="shared" si="18"/>
        <v>14</v>
      </c>
      <c r="Z42" s="287">
        <f t="shared" si="19"/>
        <v>14</v>
      </c>
      <c r="AA42" s="279">
        <f t="shared" si="16"/>
        <v>14</v>
      </c>
    </row>
    <row r="43" spans="1:27" ht="18" customHeight="1">
      <c r="A43" s="1018"/>
      <c r="B43" s="998"/>
      <c r="C43" s="42">
        <f t="shared" si="20"/>
        <v>1340</v>
      </c>
      <c r="D43" s="43" t="s">
        <v>121</v>
      </c>
      <c r="E43" s="48">
        <f>'[3]Falhas UM-1 - Qty'!AA43</f>
        <v>12</v>
      </c>
      <c r="F43" s="701">
        <f>'Prod &amp; Defects - Qty'!F$5*'Falhas UM-1 - Qty'!$E43/1000000</f>
        <v>17.306616030000001</v>
      </c>
      <c r="G43" s="701">
        <f>'Prod &amp; Defects - Qty'!G$5*'Falhas UM-1 - Qty'!$E43/1000000</f>
        <v>9.4439892959999998</v>
      </c>
      <c r="H43" s="701">
        <f>'Prod &amp; Defects - Qty'!H$5*'Falhas UM-1 - Qty'!$E43/1000000</f>
        <v>9.4006528260000017</v>
      </c>
      <c r="I43" s="701">
        <f>'Prod &amp; Defects - Qty'!I$5*'Falhas UM-1 - Qty'!$E43/1000000</f>
        <v>9.5000499870000024</v>
      </c>
      <c r="J43" s="701">
        <f>'Prod &amp; Defects - Qty'!J$5*'Falhas UM-1 - Qty'!$E43/1000000</f>
        <v>17.161031351999998</v>
      </c>
      <c r="K43" s="701">
        <f>'Prod &amp; Defects - Qty'!K$5*'Falhas UM-1 - Qty'!$E43/1000000</f>
        <v>19.886507834999996</v>
      </c>
      <c r="L43" s="701">
        <f>'Prod &amp; Defects - Qty'!L$5*'Falhas UM-1 - Qty'!$E43/1000000</f>
        <v>20.028085086000001</v>
      </c>
      <c r="M43" s="701">
        <f>'Prod &amp; Defects - Qty'!M$5*'Falhas UM-1 - Qty'!$E43/1000000</f>
        <v>20.051013390000001</v>
      </c>
      <c r="N43" s="701">
        <f>'Prod &amp; Defects - Qty'!N$5*'Falhas UM-1 - Qty'!$E43/1000000</f>
        <v>16.076148318000001</v>
      </c>
      <c r="O43" s="701">
        <f>'Prod &amp; Defects - Qty'!O$5*'Falhas UM-1 - Qty'!$E43/1000000</f>
        <v>14.898503214</v>
      </c>
      <c r="P43" s="701">
        <f>'Prod &amp; Defects - Qty'!P$5*'Falhas UM-1 - Qty'!$E43/1000000</f>
        <v>15.074369232</v>
      </c>
      <c r="Q43" s="548">
        <f>'Prod &amp; Defects - Qty'!Q$5*'Falhas UM-1 - Qty'!$E43/1000000</f>
        <v>18.558441114000001</v>
      </c>
      <c r="R43" s="287">
        <f t="shared" si="7"/>
        <v>82.698847325999992</v>
      </c>
      <c r="S43" s="221">
        <f>R43/SUM('Prod &amp; Defects - Qty'!$F$5:$K$5)*1000000</f>
        <v>11.999999999999998</v>
      </c>
      <c r="T43" s="221">
        <f t="shared" si="8"/>
        <v>104.68656035399999</v>
      </c>
      <c r="U43" s="221">
        <f>T43/SUM('Prod &amp; Defects - Qty'!$L$5:$Q$5)*1000000</f>
        <v>12.000000000000002</v>
      </c>
      <c r="V43" s="221">
        <f t="shared" si="9"/>
        <v>187.38540767999999</v>
      </c>
      <c r="W43" s="279">
        <f>V43/'Prod &amp; Defects - Qty'!$R$5*1000000</f>
        <v>11.999999999999996</v>
      </c>
      <c r="X43" s="304">
        <f t="shared" si="17"/>
        <v>10</v>
      </c>
      <c r="Y43" s="294">
        <f t="shared" si="18"/>
        <v>10</v>
      </c>
      <c r="Z43" s="287">
        <f t="shared" si="19"/>
        <v>10</v>
      </c>
      <c r="AA43" s="279">
        <f t="shared" si="16"/>
        <v>10</v>
      </c>
    </row>
    <row r="44" spans="1:27" ht="18" customHeight="1">
      <c r="A44" s="1018"/>
      <c r="B44" s="998"/>
      <c r="C44" s="42">
        <v>1342</v>
      </c>
      <c r="D44" s="44" t="s">
        <v>122</v>
      </c>
      <c r="E44" s="48">
        <f>'[3]Falhas UM-1 - Qty'!AA44</f>
        <v>6</v>
      </c>
      <c r="F44" s="705">
        <f>'Prod &amp; Defects - Qty'!F$5*'Falhas UM-1 - Qty'!$E44/1000000</f>
        <v>8.6533080150000004</v>
      </c>
      <c r="G44" s="705">
        <f>'Prod &amp; Defects - Qty'!G$5*'Falhas UM-1 - Qty'!$E44/1000000</f>
        <v>4.7219946479999999</v>
      </c>
      <c r="H44" s="705">
        <f>'Prod &amp; Defects - Qty'!H$5*'Falhas UM-1 - Qty'!$E44/1000000</f>
        <v>4.7003264130000009</v>
      </c>
      <c r="I44" s="705">
        <f>'Prod &amp; Defects - Qty'!I$5*'Falhas UM-1 - Qty'!$E44/1000000</f>
        <v>4.7500249935000012</v>
      </c>
      <c r="J44" s="705">
        <f>'Prod &amp; Defects - Qty'!J$5*'Falhas UM-1 - Qty'!$E44/1000000</f>
        <v>8.5805156759999992</v>
      </c>
      <c r="K44" s="705">
        <f>'Prod &amp; Defects - Qty'!K$5*'Falhas UM-1 - Qty'!$E44/1000000</f>
        <v>9.9432539174999981</v>
      </c>
      <c r="L44" s="705">
        <f>'Prod &amp; Defects - Qty'!L$5*'Falhas UM-1 - Qty'!$E44/1000000</f>
        <v>10.014042543</v>
      </c>
      <c r="M44" s="705">
        <f>'Prod &amp; Defects - Qty'!M$5*'Falhas UM-1 - Qty'!$E44/1000000</f>
        <v>10.025506695000001</v>
      </c>
      <c r="N44" s="705">
        <f>'Prod &amp; Defects - Qty'!N$5*'Falhas UM-1 - Qty'!$E44/1000000</f>
        <v>8.0380741590000007</v>
      </c>
      <c r="O44" s="705">
        <f>'Prod &amp; Defects - Qty'!O$5*'Falhas UM-1 - Qty'!$E44/1000000</f>
        <v>7.4492516069999999</v>
      </c>
      <c r="P44" s="705">
        <f>'Prod &amp; Defects - Qty'!P$5*'Falhas UM-1 - Qty'!$E44/1000000</f>
        <v>7.5371846160000002</v>
      </c>
      <c r="Q44" s="549">
        <f>'Prod &amp; Defects - Qty'!Q$5*'Falhas UM-1 - Qty'!$E44/1000000</f>
        <v>9.2792205570000004</v>
      </c>
      <c r="R44" s="288">
        <f t="shared" si="7"/>
        <v>41.349423662999996</v>
      </c>
      <c r="S44" s="222">
        <f>R44/SUM('Prod &amp; Defects - Qty'!$F$5:$K$5)*1000000</f>
        <v>5.9999999999999991</v>
      </c>
      <c r="T44" s="222">
        <f t="shared" si="8"/>
        <v>52.343280176999997</v>
      </c>
      <c r="U44" s="222">
        <f>T44/SUM('Prod &amp; Defects - Qty'!$L$5:$Q$5)*1000000</f>
        <v>6.0000000000000009</v>
      </c>
      <c r="V44" s="222">
        <f t="shared" si="9"/>
        <v>93.692703839999993</v>
      </c>
      <c r="W44" s="282">
        <f>V44/'Prod &amp; Defects - Qty'!$R$5*1000000</f>
        <v>5.9999999999999982</v>
      </c>
      <c r="X44" s="305">
        <f t="shared" si="17"/>
        <v>5</v>
      </c>
      <c r="Y44" s="298">
        <f t="shared" si="18"/>
        <v>5</v>
      </c>
      <c r="Z44" s="288">
        <f t="shared" si="19"/>
        <v>5</v>
      </c>
      <c r="AA44" s="282">
        <f t="shared" si="16"/>
        <v>5</v>
      </c>
    </row>
    <row r="45" spans="1:27" ht="18" customHeight="1">
      <c r="A45" s="1018"/>
      <c r="B45" s="998"/>
      <c r="C45" s="42">
        <v>1344</v>
      </c>
      <c r="D45" s="43" t="s">
        <v>125</v>
      </c>
      <c r="E45" s="48">
        <f>'[3]Falhas UM-1 - Qty'!AA45</f>
        <v>3</v>
      </c>
      <c r="F45" s="701">
        <f>'Prod &amp; Defects - Qty'!F$5*'Falhas UM-1 - Qty'!$E45/1000000</f>
        <v>4.3266540075000002</v>
      </c>
      <c r="G45" s="701">
        <f>'Prod &amp; Defects - Qty'!G$5*'Falhas UM-1 - Qty'!$E45/1000000</f>
        <v>2.360997324</v>
      </c>
      <c r="H45" s="701">
        <f>'Prod &amp; Defects - Qty'!H$5*'Falhas UM-1 - Qty'!$E45/1000000</f>
        <v>2.3501632065000004</v>
      </c>
      <c r="I45" s="701">
        <f>'Prod &amp; Defects - Qty'!I$5*'Falhas UM-1 - Qty'!$E45/1000000</f>
        <v>2.3750124967500006</v>
      </c>
      <c r="J45" s="701">
        <f>'Prod &amp; Defects - Qty'!J$5*'Falhas UM-1 - Qty'!$E45/1000000</f>
        <v>4.2902578379999996</v>
      </c>
      <c r="K45" s="701">
        <f>'Prod &amp; Defects - Qty'!K$5*'Falhas UM-1 - Qty'!$E45/1000000</f>
        <v>4.971626958749999</v>
      </c>
      <c r="L45" s="701">
        <f>'Prod &amp; Defects - Qty'!L$5*'Falhas UM-1 - Qty'!$E45/1000000</f>
        <v>5.0070212715000002</v>
      </c>
      <c r="M45" s="701">
        <f>'Prod &amp; Defects - Qty'!M$5*'Falhas UM-1 - Qty'!$E45/1000000</f>
        <v>5.0127533475000003</v>
      </c>
      <c r="N45" s="701">
        <f>'Prod &amp; Defects - Qty'!N$5*'Falhas UM-1 - Qty'!$E45/1000000</f>
        <v>4.0190370795000003</v>
      </c>
      <c r="O45" s="701">
        <f>'Prod &amp; Defects - Qty'!O$5*'Falhas UM-1 - Qty'!$E45/1000000</f>
        <v>3.7246258034999999</v>
      </c>
      <c r="P45" s="701">
        <f>'Prod &amp; Defects - Qty'!P$5*'Falhas UM-1 - Qty'!$E45/1000000</f>
        <v>3.7685923080000001</v>
      </c>
      <c r="Q45" s="548">
        <f>'Prod &amp; Defects - Qty'!Q$5*'Falhas UM-1 - Qty'!$E45/1000000</f>
        <v>4.6396102785000002</v>
      </c>
      <c r="R45" s="287">
        <f t="shared" si="7"/>
        <v>20.674711831499998</v>
      </c>
      <c r="S45" s="221">
        <f>R45/SUM('Prod &amp; Defects - Qty'!$F$5:$K$5)*1000000</f>
        <v>2.9999999999999996</v>
      </c>
      <c r="T45" s="221">
        <f t="shared" si="8"/>
        <v>26.171640088499998</v>
      </c>
      <c r="U45" s="221">
        <f>T45/SUM('Prod &amp; Defects - Qty'!$L$5:$Q$5)*1000000</f>
        <v>3.0000000000000004</v>
      </c>
      <c r="V45" s="221">
        <f t="shared" si="9"/>
        <v>46.846351919999996</v>
      </c>
      <c r="W45" s="279">
        <f>V45/'Prod &amp; Defects - Qty'!$R$5*1000000</f>
        <v>2.9999999999999991</v>
      </c>
      <c r="X45" s="304">
        <f t="shared" si="17"/>
        <v>2</v>
      </c>
      <c r="Y45" s="294">
        <f t="shared" si="18"/>
        <v>2</v>
      </c>
      <c r="Z45" s="287">
        <f t="shared" si="19"/>
        <v>2</v>
      </c>
      <c r="AA45" s="279">
        <f t="shared" si="16"/>
        <v>2</v>
      </c>
    </row>
    <row r="46" spans="1:27" ht="18" customHeight="1">
      <c r="A46" s="1018"/>
      <c r="B46" s="998"/>
      <c r="C46" s="42">
        <f>C43+10</f>
        <v>1350</v>
      </c>
      <c r="D46" s="43" t="s">
        <v>13</v>
      </c>
      <c r="E46" s="48">
        <f>'[3]Falhas UM-1 - Qty'!AA46</f>
        <v>47</v>
      </c>
      <c r="F46" s="701">
        <f>'Prod &amp; Defects - Qty'!F$5*'Falhas UM-1 - Qty'!$E46/1000000</f>
        <v>67.784246117500004</v>
      </c>
      <c r="G46" s="701">
        <f>'Prod &amp; Defects - Qty'!G$5*'Falhas UM-1 - Qty'!$E46/1000000</f>
        <v>36.988958075999996</v>
      </c>
      <c r="H46" s="701">
        <f>'Prod &amp; Defects - Qty'!H$5*'Falhas UM-1 - Qty'!$E46/1000000</f>
        <v>36.819223568500007</v>
      </c>
      <c r="I46" s="701">
        <f>'Prod &amp; Defects - Qty'!I$5*'Falhas UM-1 - Qty'!$E46/1000000</f>
        <v>37.208529115750011</v>
      </c>
      <c r="J46" s="701">
        <f>'Prod &amp; Defects - Qty'!J$5*'Falhas UM-1 - Qty'!$E46/1000000</f>
        <v>67.214039462000002</v>
      </c>
      <c r="K46" s="701">
        <f>'Prod &amp; Defects - Qty'!K$5*'Falhas UM-1 - Qty'!$E46/1000000</f>
        <v>77.888822353749987</v>
      </c>
      <c r="L46" s="701">
        <f>'Prod &amp; Defects - Qty'!L$5*'Falhas UM-1 - Qty'!$E46/1000000</f>
        <v>78.443333253500001</v>
      </c>
      <c r="M46" s="701">
        <f>'Prod &amp; Defects - Qty'!M$5*'Falhas UM-1 - Qty'!$E46/1000000</f>
        <v>78.533135777500007</v>
      </c>
      <c r="N46" s="701">
        <f>'Prod &amp; Defects - Qty'!N$5*'Falhas UM-1 - Qty'!$E46/1000000</f>
        <v>62.964914245499997</v>
      </c>
      <c r="O46" s="701">
        <f>'Prod &amp; Defects - Qty'!O$5*'Falhas UM-1 - Qty'!$E46/1000000</f>
        <v>58.3524709215</v>
      </c>
      <c r="P46" s="701">
        <f>'Prod &amp; Defects - Qty'!P$5*'Falhas UM-1 - Qty'!$E46/1000000</f>
        <v>59.041279492000001</v>
      </c>
      <c r="Q46" s="548">
        <f>'Prod &amp; Defects - Qty'!Q$5*'Falhas UM-1 - Qty'!$E46/1000000</f>
        <v>72.687227696500003</v>
      </c>
      <c r="R46" s="287">
        <f t="shared" si="7"/>
        <v>323.90381869350006</v>
      </c>
      <c r="S46" s="221">
        <f>R46/SUM('Prod &amp; Defects - Qty'!$F$5:$K$5)*1000000</f>
        <v>47.000000000000007</v>
      </c>
      <c r="T46" s="221">
        <f t="shared" si="8"/>
        <v>410.02236138650005</v>
      </c>
      <c r="U46" s="221">
        <f>T46/SUM('Prod &amp; Defects - Qty'!$L$5:$Q$5)*1000000</f>
        <v>47.000000000000014</v>
      </c>
      <c r="V46" s="221">
        <f t="shared" si="9"/>
        <v>733.92618008000011</v>
      </c>
      <c r="W46" s="279">
        <f>V46/'Prod &amp; Defects - Qty'!$R$5*1000000</f>
        <v>47</v>
      </c>
      <c r="X46" s="304">
        <f t="shared" si="17"/>
        <v>42</v>
      </c>
      <c r="Y46" s="294">
        <f t="shared" si="18"/>
        <v>42</v>
      </c>
      <c r="Z46" s="287">
        <f t="shared" si="19"/>
        <v>42</v>
      </c>
      <c r="AA46" s="279">
        <f t="shared" si="16"/>
        <v>42</v>
      </c>
    </row>
    <row r="47" spans="1:27" ht="18" customHeight="1">
      <c r="A47" s="1018"/>
      <c r="B47" s="998"/>
      <c r="C47" s="42">
        <f t="shared" si="20"/>
        <v>1360</v>
      </c>
      <c r="D47" s="43" t="s">
        <v>12</v>
      </c>
      <c r="E47" s="48">
        <f>'[3]Falhas UM-1 - Qty'!AA47</f>
        <v>4</v>
      </c>
      <c r="F47" s="701">
        <f>'Prod &amp; Defects - Qty'!F$5*'Falhas UM-1 - Qty'!$E47/1000000</f>
        <v>5.7688720100000008</v>
      </c>
      <c r="G47" s="701">
        <f>'Prod &amp; Defects - Qty'!G$5*'Falhas UM-1 - Qty'!$E47/1000000</f>
        <v>3.1479964320000002</v>
      </c>
      <c r="H47" s="701">
        <f>'Prod &amp; Defects - Qty'!H$5*'Falhas UM-1 - Qty'!$E47/1000000</f>
        <v>3.1335509420000003</v>
      </c>
      <c r="I47" s="701">
        <f>'Prod &amp; Defects - Qty'!I$5*'Falhas UM-1 - Qty'!$E47/1000000</f>
        <v>3.1666833290000005</v>
      </c>
      <c r="J47" s="701">
        <f>'Prod &amp; Defects - Qty'!J$5*'Falhas UM-1 - Qty'!$E47/1000000</f>
        <v>5.7203437839999998</v>
      </c>
      <c r="K47" s="701">
        <f>'Prod &amp; Defects - Qty'!K$5*'Falhas UM-1 - Qty'!$E47/1000000</f>
        <v>6.6288359449999996</v>
      </c>
      <c r="L47" s="701">
        <f>'Prod &amp; Defects - Qty'!L$5*'Falhas UM-1 - Qty'!$E47/1000000</f>
        <v>6.6760283619999994</v>
      </c>
      <c r="M47" s="701">
        <f>'Prod &amp; Defects - Qty'!M$5*'Falhas UM-1 - Qty'!$E47/1000000</f>
        <v>6.6836711299999996</v>
      </c>
      <c r="N47" s="701">
        <f>'Prod &amp; Defects - Qty'!N$5*'Falhas UM-1 - Qty'!$E47/1000000</f>
        <v>5.3587161059999993</v>
      </c>
      <c r="O47" s="701">
        <f>'Prod &amp; Defects - Qty'!O$5*'Falhas UM-1 - Qty'!$E47/1000000</f>
        <v>4.9661677380000002</v>
      </c>
      <c r="P47" s="701">
        <f>'Prod &amp; Defects - Qty'!P$5*'Falhas UM-1 - Qty'!$E47/1000000</f>
        <v>5.0247897439999996</v>
      </c>
      <c r="Q47" s="548">
        <f>'Prod &amp; Defects - Qty'!Q$5*'Falhas UM-1 - Qty'!$E47/1000000</f>
        <v>6.1861470379999997</v>
      </c>
      <c r="R47" s="287">
        <f t="shared" si="7"/>
        <v>27.566282442000002</v>
      </c>
      <c r="S47" s="221">
        <f>R47/SUM('Prod &amp; Defects - Qty'!$F$5:$K$5)*1000000</f>
        <v>4</v>
      </c>
      <c r="T47" s="221">
        <f t="shared" si="8"/>
        <v>34.895520118</v>
      </c>
      <c r="U47" s="221">
        <f>T47/SUM('Prod &amp; Defects - Qty'!$L$5:$Q$5)*1000000</f>
        <v>4.0000000000000009</v>
      </c>
      <c r="V47" s="221">
        <f t="shared" si="9"/>
        <v>62.461802560000002</v>
      </c>
      <c r="W47" s="279">
        <f>V47/'Prod &amp; Defects - Qty'!$R$5*1000000</f>
        <v>4</v>
      </c>
      <c r="X47" s="304">
        <f t="shared" si="17"/>
        <v>3</v>
      </c>
      <c r="Y47" s="294">
        <f t="shared" si="18"/>
        <v>3</v>
      </c>
      <c r="Z47" s="287">
        <f t="shared" si="19"/>
        <v>3</v>
      </c>
      <c r="AA47" s="279">
        <f t="shared" si="16"/>
        <v>3</v>
      </c>
    </row>
    <row r="48" spans="1:27" ht="18" customHeight="1">
      <c r="A48" s="1018"/>
      <c r="B48" s="998"/>
      <c r="C48" s="42">
        <f t="shared" si="20"/>
        <v>1370</v>
      </c>
      <c r="D48" s="43" t="s">
        <v>11</v>
      </c>
      <c r="E48" s="48">
        <f>'[3]Falhas UM-1 - Qty'!AA48</f>
        <v>74</v>
      </c>
      <c r="F48" s="701">
        <f>'Prod &amp; Defects - Qty'!F$5*'Falhas UM-1 - Qty'!$E48/1000000</f>
        <v>106.72413218500002</v>
      </c>
      <c r="G48" s="701">
        <f>'Prod &amp; Defects - Qty'!G$5*'Falhas UM-1 - Qty'!$E48/1000000</f>
        <v>58.237933992000002</v>
      </c>
      <c r="H48" s="701">
        <f>'Prod &amp; Defects - Qty'!H$5*'Falhas UM-1 - Qty'!$E48/1000000</f>
        <v>57.97069242700001</v>
      </c>
      <c r="I48" s="701">
        <f>'Prod &amp; Defects - Qty'!I$5*'Falhas UM-1 - Qty'!$E48/1000000</f>
        <v>58.583641586500001</v>
      </c>
      <c r="J48" s="701">
        <f>'Prod &amp; Defects - Qty'!J$5*'Falhas UM-1 - Qty'!$E48/1000000</f>
        <v>105.82636000399999</v>
      </c>
      <c r="K48" s="701">
        <f>'Prod &amp; Defects - Qty'!K$5*'Falhas UM-1 - Qty'!$E48/1000000</f>
        <v>122.63346498249999</v>
      </c>
      <c r="L48" s="701">
        <f>'Prod &amp; Defects - Qty'!L$5*'Falhas UM-1 - Qty'!$E48/1000000</f>
        <v>123.506524697</v>
      </c>
      <c r="M48" s="701">
        <f>'Prod &amp; Defects - Qty'!M$5*'Falhas UM-1 - Qty'!$E48/1000000</f>
        <v>123.647915905</v>
      </c>
      <c r="N48" s="701">
        <f>'Prod &amp; Defects - Qty'!N$5*'Falhas UM-1 - Qty'!$E48/1000000</f>
        <v>99.136247960999995</v>
      </c>
      <c r="O48" s="701">
        <f>'Prod &amp; Defects - Qty'!O$5*'Falhas UM-1 - Qty'!$E48/1000000</f>
        <v>91.874103152999993</v>
      </c>
      <c r="P48" s="701">
        <f>'Prod &amp; Defects - Qty'!P$5*'Falhas UM-1 - Qty'!$E48/1000000</f>
        <v>92.958610264000001</v>
      </c>
      <c r="Q48" s="548">
        <f>'Prod &amp; Defects - Qty'!Q$5*'Falhas UM-1 - Qty'!$E48/1000000</f>
        <v>114.443720203</v>
      </c>
      <c r="R48" s="287">
        <f t="shared" si="7"/>
        <v>509.97622517700006</v>
      </c>
      <c r="S48" s="221">
        <f>R48/SUM('Prod &amp; Defects - Qty'!$F$5:$K$5)*1000000</f>
        <v>74.000000000000014</v>
      </c>
      <c r="T48" s="221">
        <f t="shared" si="8"/>
        <v>645.56712218299992</v>
      </c>
      <c r="U48" s="221">
        <f>T48/SUM('Prod &amp; Defects - Qty'!$L$5:$Q$5)*1000000</f>
        <v>74.000000000000014</v>
      </c>
      <c r="V48" s="221">
        <f t="shared" si="9"/>
        <v>1155.5433473600001</v>
      </c>
      <c r="W48" s="279">
        <f>V48/'Prod &amp; Defects - Qty'!$R$5*1000000</f>
        <v>74</v>
      </c>
      <c r="X48" s="304">
        <f t="shared" si="17"/>
        <v>66</v>
      </c>
      <c r="Y48" s="294">
        <f t="shared" si="18"/>
        <v>66</v>
      </c>
      <c r="Z48" s="287">
        <f t="shared" si="19"/>
        <v>66</v>
      </c>
      <c r="AA48" s="279">
        <f t="shared" si="16"/>
        <v>66</v>
      </c>
    </row>
    <row r="49" spans="1:27" ht="18" customHeight="1">
      <c r="A49" s="1018"/>
      <c r="B49" s="998"/>
      <c r="C49" s="42">
        <f t="shared" si="20"/>
        <v>1380</v>
      </c>
      <c r="D49" s="43" t="s">
        <v>10</v>
      </c>
      <c r="E49" s="48">
        <f>'[3]Falhas UM-1 - Qty'!AA49</f>
        <v>5</v>
      </c>
      <c r="F49" s="701">
        <f>'Prod &amp; Defects - Qty'!F$5*'Falhas UM-1 - Qty'!$E49/1000000</f>
        <v>7.2110900125000015</v>
      </c>
      <c r="G49" s="701">
        <f>'Prod &amp; Defects - Qty'!G$5*'Falhas UM-1 - Qty'!$E49/1000000</f>
        <v>3.9349955400000001</v>
      </c>
      <c r="H49" s="701">
        <f>'Prod &amp; Defects - Qty'!H$5*'Falhas UM-1 - Qty'!$E49/1000000</f>
        <v>3.9169386775000001</v>
      </c>
      <c r="I49" s="701">
        <f>'Prod &amp; Defects - Qty'!I$5*'Falhas UM-1 - Qty'!$E49/1000000</f>
        <v>3.9583541612500004</v>
      </c>
      <c r="J49" s="701">
        <f>'Prod &amp; Defects - Qty'!J$5*'Falhas UM-1 - Qty'!$E49/1000000</f>
        <v>7.1504297300000008</v>
      </c>
      <c r="K49" s="701">
        <f>'Prod &amp; Defects - Qty'!K$5*'Falhas UM-1 - Qty'!$E49/1000000</f>
        <v>8.2860449312500002</v>
      </c>
      <c r="L49" s="701">
        <f>'Prod &amp; Defects - Qty'!L$5*'Falhas UM-1 - Qty'!$E49/1000000</f>
        <v>8.3450354524999995</v>
      </c>
      <c r="M49" s="701">
        <f>'Prod &amp; Defects - Qty'!M$5*'Falhas UM-1 - Qty'!$E49/1000000</f>
        <v>8.3545889124999988</v>
      </c>
      <c r="N49" s="701">
        <f>'Prod &amp; Defects - Qty'!N$5*'Falhas UM-1 - Qty'!$E49/1000000</f>
        <v>6.6983951324999991</v>
      </c>
      <c r="O49" s="701">
        <f>'Prod &amp; Defects - Qty'!O$5*'Falhas UM-1 - Qty'!$E49/1000000</f>
        <v>6.2077096724999992</v>
      </c>
      <c r="P49" s="701">
        <f>'Prod &amp; Defects - Qty'!P$5*'Falhas UM-1 - Qty'!$E49/1000000</f>
        <v>6.2809871799999994</v>
      </c>
      <c r="Q49" s="548">
        <f>'Prod &amp; Defects - Qty'!Q$5*'Falhas UM-1 - Qty'!$E49/1000000</f>
        <v>7.7326837974999991</v>
      </c>
      <c r="R49" s="287">
        <f t="shared" si="7"/>
        <v>34.457853052499999</v>
      </c>
      <c r="S49" s="221">
        <f>R49/SUM('Prod &amp; Defects - Qty'!$F$5:$K$5)*1000000</f>
        <v>5</v>
      </c>
      <c r="T49" s="221">
        <f t="shared" si="8"/>
        <v>43.619400147499995</v>
      </c>
      <c r="U49" s="221">
        <f>T49/SUM('Prod &amp; Defects - Qty'!$L$5:$Q$5)*1000000</f>
        <v>5</v>
      </c>
      <c r="V49" s="221">
        <f t="shared" si="9"/>
        <v>78.077253200000001</v>
      </c>
      <c r="W49" s="279">
        <f>V49/'Prod &amp; Defects - Qty'!$R$5*1000000</f>
        <v>5</v>
      </c>
      <c r="X49" s="304">
        <f t="shared" si="17"/>
        <v>4</v>
      </c>
      <c r="Y49" s="294">
        <f t="shared" si="18"/>
        <v>4</v>
      </c>
      <c r="Z49" s="287">
        <f t="shared" si="19"/>
        <v>4</v>
      </c>
      <c r="AA49" s="279">
        <f t="shared" si="16"/>
        <v>4</v>
      </c>
    </row>
    <row r="50" spans="1:27" ht="18" customHeight="1">
      <c r="A50" s="1018"/>
      <c r="B50" s="998"/>
      <c r="C50" s="42">
        <f t="shared" si="20"/>
        <v>1390</v>
      </c>
      <c r="D50" s="43" t="s">
        <v>9</v>
      </c>
      <c r="E50" s="48">
        <f>'[3]Falhas UM-1 - Qty'!AA50</f>
        <v>19</v>
      </c>
      <c r="F50" s="701">
        <f>'Prod &amp; Defects - Qty'!F$5*'Falhas UM-1 - Qty'!$E50/1000000</f>
        <v>27.402142047500003</v>
      </c>
      <c r="G50" s="701">
        <f>'Prod &amp; Defects - Qty'!G$5*'Falhas UM-1 - Qty'!$E50/1000000</f>
        <v>14.952983052</v>
      </c>
      <c r="H50" s="701">
        <f>'Prod &amp; Defects - Qty'!H$5*'Falhas UM-1 - Qty'!$E50/1000000</f>
        <v>14.884366974500001</v>
      </c>
      <c r="I50" s="701">
        <f>'Prod &amp; Defects - Qty'!I$5*'Falhas UM-1 - Qty'!$E50/1000000</f>
        <v>15.041745812750003</v>
      </c>
      <c r="J50" s="701">
        <f>'Prod &amp; Defects - Qty'!J$5*'Falhas UM-1 - Qty'!$E50/1000000</f>
        <v>27.171632973999998</v>
      </c>
      <c r="K50" s="701">
        <f>'Prod &amp; Defects - Qty'!K$5*'Falhas UM-1 - Qty'!$E50/1000000</f>
        <v>31.486970738749996</v>
      </c>
      <c r="L50" s="701">
        <f>'Prod &amp; Defects - Qty'!L$5*'Falhas UM-1 - Qty'!$E50/1000000</f>
        <v>31.711134719499999</v>
      </c>
      <c r="M50" s="701">
        <f>'Prod &amp; Defects - Qty'!M$5*'Falhas UM-1 - Qty'!$E50/1000000</f>
        <v>31.7474378675</v>
      </c>
      <c r="N50" s="701">
        <f>'Prod &amp; Defects - Qty'!N$5*'Falhas UM-1 - Qty'!$E50/1000000</f>
        <v>25.453901503499999</v>
      </c>
      <c r="O50" s="701">
        <f>'Prod &amp; Defects - Qty'!O$5*'Falhas UM-1 - Qty'!$E50/1000000</f>
        <v>23.589296755500001</v>
      </c>
      <c r="P50" s="701">
        <f>'Prod &amp; Defects - Qty'!P$5*'Falhas UM-1 - Qty'!$E50/1000000</f>
        <v>23.867751283999997</v>
      </c>
      <c r="Q50" s="548">
        <f>'Prod &amp; Defects - Qty'!Q$5*'Falhas UM-1 - Qty'!$E50/1000000</f>
        <v>29.384198430499996</v>
      </c>
      <c r="R50" s="287">
        <f t="shared" si="7"/>
        <v>130.9398415995</v>
      </c>
      <c r="S50" s="221">
        <f>R50/SUM('Prod &amp; Defects - Qty'!$F$5:$K$5)*1000000</f>
        <v>18.999999999999996</v>
      </c>
      <c r="T50" s="221">
        <f t="shared" si="8"/>
        <v>165.7537205605</v>
      </c>
      <c r="U50" s="221">
        <f>T50/SUM('Prod &amp; Defects - Qty'!$L$5:$Q$5)*1000000</f>
        <v>19.000000000000004</v>
      </c>
      <c r="V50" s="221">
        <f t="shared" si="9"/>
        <v>296.69356216</v>
      </c>
      <c r="W50" s="279">
        <f>V50/'Prod &amp; Defects - Qty'!$R$5*1000000</f>
        <v>18.999999999999996</v>
      </c>
      <c r="X50" s="304">
        <f t="shared" si="17"/>
        <v>17</v>
      </c>
      <c r="Y50" s="294">
        <f t="shared" si="18"/>
        <v>17</v>
      </c>
      <c r="Z50" s="287">
        <f t="shared" si="19"/>
        <v>17</v>
      </c>
      <c r="AA50" s="279">
        <f t="shared" si="16"/>
        <v>17</v>
      </c>
    </row>
    <row r="51" spans="1:27" ht="18" customHeight="1">
      <c r="A51" s="1018"/>
      <c r="B51" s="998"/>
      <c r="C51" s="42">
        <f t="shared" si="20"/>
        <v>1400</v>
      </c>
      <c r="D51" s="43" t="s">
        <v>8</v>
      </c>
      <c r="E51" s="48">
        <f>'[3]Falhas UM-1 - Qty'!AA51</f>
        <v>44</v>
      </c>
      <c r="F51" s="701">
        <f>'Prod &amp; Defects - Qty'!F$5*'Falhas UM-1 - Qty'!$E51/1000000</f>
        <v>63.457592110000007</v>
      </c>
      <c r="G51" s="701">
        <f>'Prod &amp; Defects - Qty'!G$5*'Falhas UM-1 - Qty'!$E51/1000000</f>
        <v>34.627960752000007</v>
      </c>
      <c r="H51" s="701">
        <f>'Prod &amp; Defects - Qty'!H$5*'Falhas UM-1 - Qty'!$E51/1000000</f>
        <v>34.469060362</v>
      </c>
      <c r="I51" s="701">
        <f>'Prod &amp; Defects - Qty'!I$5*'Falhas UM-1 - Qty'!$E51/1000000</f>
        <v>34.833516619000001</v>
      </c>
      <c r="J51" s="701">
        <f>'Prod &amp; Defects - Qty'!J$5*'Falhas UM-1 - Qty'!$E51/1000000</f>
        <v>62.923781624</v>
      </c>
      <c r="K51" s="701">
        <f>'Prod &amp; Defects - Qty'!K$5*'Falhas UM-1 - Qty'!$E51/1000000</f>
        <v>72.917195394999993</v>
      </c>
      <c r="L51" s="701">
        <f>'Prod &amp; Defects - Qty'!L$5*'Falhas UM-1 - Qty'!$E51/1000000</f>
        <v>73.436311981999992</v>
      </c>
      <c r="M51" s="701">
        <f>'Prod &amp; Defects - Qty'!M$5*'Falhas UM-1 - Qty'!$E51/1000000</f>
        <v>73.520382429999998</v>
      </c>
      <c r="N51" s="701">
        <f>'Prod &amp; Defects - Qty'!N$5*'Falhas UM-1 - Qty'!$E51/1000000</f>
        <v>58.945877165999995</v>
      </c>
      <c r="O51" s="701">
        <f>'Prod &amp; Defects - Qty'!O$5*'Falhas UM-1 - Qty'!$E51/1000000</f>
        <v>54.627845118000003</v>
      </c>
      <c r="P51" s="701">
        <f>'Prod &amp; Defects - Qty'!P$5*'Falhas UM-1 - Qty'!$E51/1000000</f>
        <v>55.272687183999999</v>
      </c>
      <c r="Q51" s="548">
        <f>'Prod &amp; Defects - Qty'!Q$5*'Falhas UM-1 - Qty'!$E51/1000000</f>
        <v>68.047617418000002</v>
      </c>
      <c r="R51" s="287">
        <f t="shared" si="7"/>
        <v>303.22910686199998</v>
      </c>
      <c r="S51" s="221">
        <f>R51/SUM('Prod &amp; Defects - Qty'!$F$5:$K$5)*1000000</f>
        <v>43.999999999999993</v>
      </c>
      <c r="T51" s="221">
        <f t="shared" si="8"/>
        <v>383.850721298</v>
      </c>
      <c r="U51" s="221">
        <f>T51/SUM('Prod &amp; Defects - Qty'!$L$5:$Q$5)*1000000</f>
        <v>44.000000000000007</v>
      </c>
      <c r="V51" s="221">
        <f t="shared" si="9"/>
        <v>687.07982816000003</v>
      </c>
      <c r="W51" s="279">
        <f>V51/'Prod &amp; Defects - Qty'!$R$5*1000000</f>
        <v>43.999999999999993</v>
      </c>
      <c r="X51" s="304">
        <f t="shared" si="17"/>
        <v>39</v>
      </c>
      <c r="Y51" s="294">
        <f t="shared" si="18"/>
        <v>39</v>
      </c>
      <c r="Z51" s="287">
        <f t="shared" si="19"/>
        <v>39</v>
      </c>
      <c r="AA51" s="279">
        <f t="shared" si="16"/>
        <v>39</v>
      </c>
    </row>
    <row r="52" spans="1:27" ht="18" customHeight="1">
      <c r="A52" s="1018"/>
      <c r="B52" s="998"/>
      <c r="C52" s="42">
        <f t="shared" si="20"/>
        <v>1410</v>
      </c>
      <c r="D52" s="43" t="s">
        <v>7</v>
      </c>
      <c r="E52" s="48">
        <f>'[3]Falhas UM-1 - Qty'!AA52</f>
        <v>50</v>
      </c>
      <c r="F52" s="701">
        <f>'Prod &amp; Defects - Qty'!F$5*'Falhas UM-1 - Qty'!$E52/1000000</f>
        <v>72.110900125000015</v>
      </c>
      <c r="G52" s="701">
        <f>'Prod &amp; Defects - Qty'!G$5*'Falhas UM-1 - Qty'!$E52/1000000</f>
        <v>39.349955399999999</v>
      </c>
      <c r="H52" s="701">
        <f>'Prod &amp; Defects - Qty'!H$5*'Falhas UM-1 - Qty'!$E52/1000000</f>
        <v>39.169386775000007</v>
      </c>
      <c r="I52" s="701">
        <f>'Prod &amp; Defects - Qty'!I$5*'Falhas UM-1 - Qty'!$E52/1000000</f>
        <v>39.583541612500007</v>
      </c>
      <c r="J52" s="701">
        <f>'Prod &amp; Defects - Qty'!J$5*'Falhas UM-1 - Qty'!$E52/1000000</f>
        <v>71.50429729999999</v>
      </c>
      <c r="K52" s="701">
        <f>'Prod &amp; Defects - Qty'!K$5*'Falhas UM-1 - Qty'!$E52/1000000</f>
        <v>82.860449312499981</v>
      </c>
      <c r="L52" s="701">
        <f>'Prod &amp; Defects - Qty'!L$5*'Falhas UM-1 - Qty'!$E52/1000000</f>
        <v>83.450354524999995</v>
      </c>
      <c r="M52" s="701">
        <f>'Prod &amp; Defects - Qty'!M$5*'Falhas UM-1 - Qty'!$E52/1000000</f>
        <v>83.545889125000002</v>
      </c>
      <c r="N52" s="701">
        <f>'Prod &amp; Defects - Qty'!N$5*'Falhas UM-1 - Qty'!$E52/1000000</f>
        <v>66.983951324999992</v>
      </c>
      <c r="O52" s="701">
        <f>'Prod &amp; Defects - Qty'!O$5*'Falhas UM-1 - Qty'!$E52/1000000</f>
        <v>62.077096725000004</v>
      </c>
      <c r="P52" s="701">
        <f>'Prod &amp; Defects - Qty'!P$5*'Falhas UM-1 - Qty'!$E52/1000000</f>
        <v>62.809871799999996</v>
      </c>
      <c r="Q52" s="548">
        <f>'Prod &amp; Defects - Qty'!Q$5*'Falhas UM-1 - Qty'!$E52/1000000</f>
        <v>77.326837974999989</v>
      </c>
      <c r="R52" s="287">
        <f t="shared" si="7"/>
        <v>344.57853052500002</v>
      </c>
      <c r="S52" s="221">
        <f>R52/SUM('Prod &amp; Defects - Qty'!$F$5:$K$5)*1000000</f>
        <v>50</v>
      </c>
      <c r="T52" s="221">
        <f t="shared" si="8"/>
        <v>436.19400147499999</v>
      </c>
      <c r="U52" s="221">
        <f>T52/SUM('Prod &amp; Defects - Qty'!$L$5:$Q$5)*1000000</f>
        <v>50.000000000000007</v>
      </c>
      <c r="V52" s="221">
        <f t="shared" si="9"/>
        <v>780.77253199999996</v>
      </c>
      <c r="W52" s="279">
        <f>V52/'Prod &amp; Defects - Qty'!$R$5*1000000</f>
        <v>49.999999999999986</v>
      </c>
      <c r="X52" s="304">
        <f t="shared" si="17"/>
        <v>45</v>
      </c>
      <c r="Y52" s="294">
        <f t="shared" si="18"/>
        <v>45</v>
      </c>
      <c r="Z52" s="287">
        <f t="shared" si="19"/>
        <v>45</v>
      </c>
      <c r="AA52" s="279">
        <f t="shared" si="16"/>
        <v>45</v>
      </c>
    </row>
    <row r="53" spans="1:27" ht="18" customHeight="1">
      <c r="A53" s="1018"/>
      <c r="B53" s="998"/>
      <c r="C53" s="42">
        <f t="shared" si="20"/>
        <v>1420</v>
      </c>
      <c r="D53" s="43" t="s">
        <v>6</v>
      </c>
      <c r="E53" s="48">
        <f>'[3]Falhas UM-1 - Qty'!AA53</f>
        <v>142</v>
      </c>
      <c r="F53" s="701">
        <f>'Prod &amp; Defects - Qty'!F$5*'Falhas UM-1 - Qty'!$E53/1000000</f>
        <v>204.79495635500001</v>
      </c>
      <c r="G53" s="701">
        <f>'Prod &amp; Defects - Qty'!G$5*'Falhas UM-1 - Qty'!$E53/1000000</f>
        <v>111.753873336</v>
      </c>
      <c r="H53" s="701">
        <f>'Prod &amp; Defects - Qty'!H$5*'Falhas UM-1 - Qty'!$E53/1000000</f>
        <v>111.24105844100002</v>
      </c>
      <c r="I53" s="701">
        <f>'Prod &amp; Defects - Qty'!I$5*'Falhas UM-1 - Qty'!$E53/1000000</f>
        <v>112.41725817950001</v>
      </c>
      <c r="J53" s="701">
        <f>'Prod &amp; Defects - Qty'!J$5*'Falhas UM-1 - Qty'!$E53/1000000</f>
        <v>203.07220433199998</v>
      </c>
      <c r="K53" s="701">
        <f>'Prod &amp; Defects - Qty'!K$5*'Falhas UM-1 - Qty'!$E53/1000000</f>
        <v>235.32367604749999</v>
      </c>
      <c r="L53" s="701">
        <f>'Prod &amp; Defects - Qty'!L$5*'Falhas UM-1 - Qty'!$E53/1000000</f>
        <v>236.99900685099999</v>
      </c>
      <c r="M53" s="701">
        <f>'Prod &amp; Defects - Qty'!M$5*'Falhas UM-1 - Qty'!$E53/1000000</f>
        <v>237.27032511500002</v>
      </c>
      <c r="N53" s="701">
        <f>'Prod &amp; Defects - Qty'!N$5*'Falhas UM-1 - Qty'!$E53/1000000</f>
        <v>190.23442176299997</v>
      </c>
      <c r="O53" s="701">
        <f>'Prod &amp; Defects - Qty'!O$5*'Falhas UM-1 - Qty'!$E53/1000000</f>
        <v>176.29895469900001</v>
      </c>
      <c r="P53" s="701">
        <f>'Prod &amp; Defects - Qty'!P$5*'Falhas UM-1 - Qty'!$E53/1000000</f>
        <v>178.38003591200001</v>
      </c>
      <c r="Q53" s="548">
        <f>'Prod &amp; Defects - Qty'!Q$5*'Falhas UM-1 - Qty'!$E53/1000000</f>
        <v>219.60821984899997</v>
      </c>
      <c r="R53" s="287">
        <f t="shared" si="7"/>
        <v>978.60302669099997</v>
      </c>
      <c r="S53" s="221">
        <f>R53/SUM('Prod &amp; Defects - Qty'!$F$5:$K$5)*1000000</f>
        <v>141.99999999999997</v>
      </c>
      <c r="T53" s="221">
        <f t="shared" si="8"/>
        <v>1238.7909641890001</v>
      </c>
      <c r="U53" s="221">
        <f>T53/SUM('Prod &amp; Defects - Qty'!$L$5:$Q$5)*1000000</f>
        <v>142.00000000000003</v>
      </c>
      <c r="V53" s="221">
        <f t="shared" si="9"/>
        <v>2217.3939908800003</v>
      </c>
      <c r="W53" s="279">
        <f>V53/'Prod &amp; Defects - Qty'!$R$5*1000000</f>
        <v>141.99999999999997</v>
      </c>
      <c r="X53" s="304">
        <f t="shared" si="17"/>
        <v>127</v>
      </c>
      <c r="Y53" s="294">
        <f t="shared" si="18"/>
        <v>127</v>
      </c>
      <c r="Z53" s="287">
        <f t="shared" si="19"/>
        <v>127</v>
      </c>
      <c r="AA53" s="279">
        <f t="shared" si="16"/>
        <v>127</v>
      </c>
    </row>
    <row r="54" spans="1:27" ht="19.5" customHeight="1">
      <c r="A54" s="1018"/>
      <c r="B54" s="998"/>
      <c r="C54" s="42">
        <f t="shared" si="20"/>
        <v>1430</v>
      </c>
      <c r="D54" s="43" t="s">
        <v>5</v>
      </c>
      <c r="E54" s="51">
        <f>'[3]Falhas UM-1 - Qty'!AA54</f>
        <v>86</v>
      </c>
      <c r="F54" s="701">
        <f>'Prod &amp; Defects - Qty'!F$5*'Falhas UM-1 - Qty'!$E54/1000000</f>
        <v>124.03074821500002</v>
      </c>
      <c r="G54" s="701">
        <f>'Prod &amp; Defects - Qty'!G$5*'Falhas UM-1 - Qty'!$E54/1000000</f>
        <v>67.681923288000007</v>
      </c>
      <c r="H54" s="701">
        <f>'Prod &amp; Defects - Qty'!H$5*'Falhas UM-1 - Qty'!$E54/1000000</f>
        <v>67.371345253000001</v>
      </c>
      <c r="I54" s="701">
        <f>'Prod &amp; Defects - Qty'!I$5*'Falhas UM-1 - Qty'!$E54/1000000</f>
        <v>68.083691573500005</v>
      </c>
      <c r="J54" s="701">
        <f>'Prod &amp; Defects - Qty'!J$5*'Falhas UM-1 - Qty'!$E54/1000000</f>
        <v>122.987391356</v>
      </c>
      <c r="K54" s="701">
        <f>'Prod &amp; Defects - Qty'!K$5*'Falhas UM-1 - Qty'!$E54/1000000</f>
        <v>142.51997281749999</v>
      </c>
      <c r="L54" s="701">
        <f>'Prod &amp; Defects - Qty'!L$5*'Falhas UM-1 - Qty'!$E54/1000000</f>
        <v>143.53460978299998</v>
      </c>
      <c r="M54" s="701">
        <f>'Prod &amp; Defects - Qty'!M$5*'Falhas UM-1 - Qty'!$E54/1000000</f>
        <v>143.698929295</v>
      </c>
      <c r="N54" s="701">
        <f>'Prod &amp; Defects - Qty'!N$5*'Falhas UM-1 - Qty'!$E54/1000000</f>
        <v>115.212396279</v>
      </c>
      <c r="O54" s="701">
        <f>'Prod &amp; Defects - Qty'!O$5*'Falhas UM-1 - Qty'!$E54/1000000</f>
        <v>106.77260636699999</v>
      </c>
      <c r="P54" s="701">
        <f>'Prod &amp; Defects - Qty'!P$5*'Falhas UM-1 - Qty'!$E54/1000000</f>
        <v>108.032979496</v>
      </c>
      <c r="Q54" s="548">
        <f>'Prod &amp; Defects - Qty'!Q$5*'Falhas UM-1 - Qty'!$E54/1000000</f>
        <v>133.00216131699997</v>
      </c>
      <c r="R54" s="287">
        <f t="shared" si="7"/>
        <v>592.67507250300002</v>
      </c>
      <c r="S54" s="221">
        <f>R54/SUM('Prod &amp; Defects - Qty'!$F$5:$K$5)*1000000</f>
        <v>86</v>
      </c>
      <c r="T54" s="221">
        <f t="shared" si="8"/>
        <v>750.25368253699992</v>
      </c>
      <c r="U54" s="221">
        <f>T54/SUM('Prod &amp; Defects - Qty'!$L$5:$Q$5)*1000000</f>
        <v>86</v>
      </c>
      <c r="V54" s="221">
        <f t="shared" si="9"/>
        <v>1342.9287550399999</v>
      </c>
      <c r="W54" s="279">
        <f>V54/'Prod &amp; Defects - Qty'!$R$5*1000000</f>
        <v>85.999999999999972</v>
      </c>
      <c r="X54" s="304">
        <f t="shared" si="17"/>
        <v>77</v>
      </c>
      <c r="Y54" s="294">
        <f t="shared" si="18"/>
        <v>77</v>
      </c>
      <c r="Z54" s="287">
        <f t="shared" si="19"/>
        <v>77</v>
      </c>
      <c r="AA54" s="279">
        <f t="shared" si="16"/>
        <v>77</v>
      </c>
    </row>
    <row r="55" spans="1:27" ht="18" customHeight="1">
      <c r="A55" s="1018"/>
      <c r="B55" s="998"/>
      <c r="C55" s="42">
        <f t="shared" si="20"/>
        <v>1440</v>
      </c>
      <c r="D55" s="43" t="s">
        <v>4</v>
      </c>
      <c r="E55" s="51">
        <f>'[3]Falhas UM-1 - Qty'!AA55</f>
        <v>14602</v>
      </c>
      <c r="F55" s="701">
        <f>'Prod &amp; Defects - Qty'!F$5*'Falhas UM-1 - Qty'!$E55/1000000</f>
        <v>21059.267272505</v>
      </c>
      <c r="G55" s="701">
        <f>'Prod &amp; Defects - Qty'!G$5*'Falhas UM-1 - Qty'!$E55/1000000</f>
        <v>11491.760975016001</v>
      </c>
      <c r="H55" s="701">
        <f>'Prod &amp; Defects - Qty'!H$5*'Falhas UM-1 - Qty'!$E55/1000000</f>
        <v>11439.027713771002</v>
      </c>
      <c r="I55" s="701">
        <f>'Prod &amp; Defects - Qty'!I$5*'Falhas UM-1 - Qty'!$E55/1000000</f>
        <v>11559.977492514501</v>
      </c>
      <c r="J55" s="701">
        <f>'Prod &amp; Defects - Qty'!J$5*'Falhas UM-1 - Qty'!$E55/1000000</f>
        <v>20882.114983492</v>
      </c>
      <c r="K55" s="701">
        <f>'Prod &amp; Defects - Qty'!K$5*'Falhas UM-1 - Qty'!$E55/1000000</f>
        <v>24198.565617222495</v>
      </c>
      <c r="L55" s="701">
        <f>'Prod &amp; Defects - Qty'!L$5*'Falhas UM-1 - Qty'!$E55/1000000</f>
        <v>24370.841535480999</v>
      </c>
      <c r="M55" s="701">
        <f>'Prod &amp; Defects - Qty'!M$5*'Falhas UM-1 - Qty'!$E55/1000000</f>
        <v>24398.741460064997</v>
      </c>
      <c r="N55" s="701">
        <f>'Prod &amp; Defects - Qty'!N$5*'Falhas UM-1 - Qty'!$E55/1000000</f>
        <v>19561.993144952998</v>
      </c>
      <c r="O55" s="701">
        <f>'Prod &amp; Defects - Qty'!O$5*'Falhas UM-1 - Qty'!$E55/1000000</f>
        <v>18128.995327568999</v>
      </c>
      <c r="P55" s="701">
        <f>'Prod &amp; Defects - Qty'!P$5*'Falhas UM-1 - Qty'!$E55/1000000</f>
        <v>18342.994960471999</v>
      </c>
      <c r="Q55" s="548">
        <f>'Prod &amp; Defects - Qty'!Q$5*'Falhas UM-1 - Qty'!$E55/1000000</f>
        <v>22582.529762218997</v>
      </c>
      <c r="R55" s="287">
        <f t="shared" si="7"/>
        <v>100630.71405452101</v>
      </c>
      <c r="S55" s="221">
        <f>R55/SUM('Prod &amp; Defects - Qty'!$F$5:$K$5)*1000000</f>
        <v>14602</v>
      </c>
      <c r="T55" s="221">
        <f t="shared" si="8"/>
        <v>127386.096190759</v>
      </c>
      <c r="U55" s="221">
        <f>T55/SUM('Prod &amp; Defects - Qty'!$L$5:$Q$5)*1000000</f>
        <v>14602.000000000002</v>
      </c>
      <c r="V55" s="221">
        <f t="shared" si="9"/>
        <v>228016.81024528001</v>
      </c>
      <c r="W55" s="279">
        <f>V55/'Prod &amp; Defects - Qty'!$R$5*1000000</f>
        <v>14601.999999999998</v>
      </c>
      <c r="X55" s="304">
        <f t="shared" si="17"/>
        <v>13141</v>
      </c>
      <c r="Y55" s="294">
        <f t="shared" si="18"/>
        <v>13141</v>
      </c>
      <c r="Z55" s="287">
        <f t="shared" si="19"/>
        <v>13141</v>
      </c>
      <c r="AA55" s="279">
        <f t="shared" si="16"/>
        <v>13141</v>
      </c>
    </row>
    <row r="56" spans="1:27" ht="18" customHeight="1" thickBot="1">
      <c r="A56" s="1019"/>
      <c r="B56" s="999"/>
      <c r="C56" s="42">
        <f t="shared" si="20"/>
        <v>1450</v>
      </c>
      <c r="D56" s="45" t="s">
        <v>3</v>
      </c>
      <c r="E56" s="51">
        <f>'[3]Falhas UM-1 - Qty'!AA56</f>
        <v>21511</v>
      </c>
      <c r="F56" s="707">
        <f>'Prod &amp; Defects - Qty'!F$5*'Falhas UM-1 - Qty'!$E56/1000000</f>
        <v>31023.551451777505</v>
      </c>
      <c r="G56" s="707">
        <f>'Prod &amp; Defects - Qty'!G$5*'Falhas UM-1 - Qty'!$E56/1000000</f>
        <v>16929.137812188001</v>
      </c>
      <c r="H56" s="707">
        <f>'Prod &amp; Defects - Qty'!H$5*'Falhas UM-1 - Qty'!$E56/1000000</f>
        <v>16851.453578340501</v>
      </c>
      <c r="I56" s="707">
        <f>'Prod &amp; Defects - Qty'!I$5*'Falhas UM-1 - Qty'!$E56/1000000</f>
        <v>17029.631272529754</v>
      </c>
      <c r="J56" s="707">
        <f>'Prod &amp; Defects - Qty'!J$5*'Falhas UM-1 - Qty'!$E56/1000000</f>
        <v>30762.578784406</v>
      </c>
      <c r="K56" s="707">
        <f>'Prod &amp; Defects - Qty'!K$5*'Falhas UM-1 - Qty'!$E56/1000000</f>
        <v>35648.222503223747</v>
      </c>
      <c r="L56" s="707">
        <f>'Prod &amp; Defects - Qty'!L$5*'Falhas UM-1 - Qty'!$E56/1000000</f>
        <v>35902.011523745496</v>
      </c>
      <c r="M56" s="707">
        <f>'Prod &amp; Defects - Qty'!M$5*'Falhas UM-1 - Qty'!$E56/1000000</f>
        <v>35943.112419357501</v>
      </c>
      <c r="N56" s="707">
        <f>'Prod &amp; Defects - Qty'!N$5*'Falhas UM-1 - Qty'!$E56/1000000</f>
        <v>28817.835539041502</v>
      </c>
      <c r="O56" s="707">
        <f>'Prod &amp; Defects - Qty'!O$5*'Falhas UM-1 - Qty'!$E56/1000000</f>
        <v>26706.808553029499</v>
      </c>
      <c r="P56" s="707">
        <f>'Prod &amp; Defects - Qty'!P$5*'Falhas UM-1 - Qty'!$E56/1000000</f>
        <v>27022.063045796</v>
      </c>
      <c r="Q56" s="550">
        <f>'Prod &amp; Defects - Qty'!Q$5*'Falhas UM-1 - Qty'!$E56/1000000</f>
        <v>33267.552233604503</v>
      </c>
      <c r="R56" s="289">
        <f t="shared" si="7"/>
        <v>148244.5754024655</v>
      </c>
      <c r="S56" s="223">
        <f>R56/SUM('Prod &amp; Defects - Qty'!$F$5:$K$5)*1000000</f>
        <v>21511</v>
      </c>
      <c r="T56" s="223">
        <f t="shared" si="8"/>
        <v>187659.38331457452</v>
      </c>
      <c r="U56" s="223">
        <f>T56/SUM('Prod &amp; Defects - Qty'!$L$5:$Q$5)*1000000</f>
        <v>21511.000000000007</v>
      </c>
      <c r="V56" s="223">
        <f t="shared" si="9"/>
        <v>335903.95871704002</v>
      </c>
      <c r="W56" s="286">
        <f>V56/'Prod &amp; Defects - Qty'!$R$5*1000000</f>
        <v>21511</v>
      </c>
      <c r="X56" s="304">
        <f t="shared" si="17"/>
        <v>19359</v>
      </c>
      <c r="Y56" s="294">
        <f t="shared" si="18"/>
        <v>19359</v>
      </c>
      <c r="Z56" s="287">
        <f t="shared" si="19"/>
        <v>19359</v>
      </c>
      <c r="AA56" s="279">
        <f t="shared" si="16"/>
        <v>19359</v>
      </c>
    </row>
    <row r="57" spans="1:27" ht="20.100000000000001" customHeight="1" thickTop="1" thickBot="1">
      <c r="A57" s="4"/>
      <c r="B57" s="3"/>
      <c r="C57" s="40"/>
      <c r="D57" s="41" t="s">
        <v>1</v>
      </c>
      <c r="E57" s="49">
        <f>'[3]Falhas UM-1 - Qty'!AA57</f>
        <v>468.53324118981391</v>
      </c>
      <c r="F57" s="703">
        <f>SUBTOTAL(109,F37:F53)</f>
        <v>653.32475513250006</v>
      </c>
      <c r="G57" s="703">
        <f t="shared" ref="G57:V57" si="21">SUBTOTAL(109,G37:G53)</f>
        <v>356.51059592399997</v>
      </c>
      <c r="H57" s="703">
        <f t="shared" si="21"/>
        <v>354.87464418150006</v>
      </c>
      <c r="I57" s="703">
        <f t="shared" si="21"/>
        <v>358.62688700925003</v>
      </c>
      <c r="J57" s="703">
        <f t="shared" si="21"/>
        <v>647.82893353799989</v>
      </c>
      <c r="K57" s="703">
        <f t="shared" si="21"/>
        <v>750.71567077124996</v>
      </c>
      <c r="L57" s="703">
        <f t="shared" si="21"/>
        <v>756.06021199650002</v>
      </c>
      <c r="M57" s="703">
        <f t="shared" si="21"/>
        <v>756.92575547249999</v>
      </c>
      <c r="N57" s="703">
        <f t="shared" si="21"/>
        <v>606.87459900450006</v>
      </c>
      <c r="O57" s="703">
        <f t="shared" si="21"/>
        <v>562.41849632849994</v>
      </c>
      <c r="P57" s="703">
        <f t="shared" si="21"/>
        <v>569.05743850800002</v>
      </c>
      <c r="Q57" s="775">
        <f t="shared" si="21"/>
        <v>700.58115205349998</v>
      </c>
      <c r="R57" s="167">
        <f t="shared" si="21"/>
        <v>3121.8814865565</v>
      </c>
      <c r="S57" s="168">
        <f>R57/SUM('Prod &amp; Defects - Qty'!$F$5:$K$5)*1000000</f>
        <v>452.99999999999994</v>
      </c>
      <c r="T57" s="168">
        <f t="shared" si="21"/>
        <v>3951.9176533634995</v>
      </c>
      <c r="U57" s="168">
        <f>T57/SUM('Prod &amp; Defects - Qty'!$L$5:$Q$5)*1000000</f>
        <v>453.00000000000006</v>
      </c>
      <c r="V57" s="168">
        <f t="shared" si="21"/>
        <v>7073.79913992</v>
      </c>
      <c r="W57" s="169">
        <f>V57/'Prod &amp; Defects - Qty'!$R$5*1000000</f>
        <v>452.99999999999994</v>
      </c>
      <c r="X57" s="167">
        <f t="shared" si="17"/>
        <v>407</v>
      </c>
      <c r="Y57" s="169">
        <f t="shared" si="18"/>
        <v>407</v>
      </c>
      <c r="Z57" s="167">
        <f t="shared" si="19"/>
        <v>407</v>
      </c>
      <c r="AA57" s="169">
        <f>SUM(AA37:AA53)</f>
        <v>399</v>
      </c>
    </row>
    <row r="58" spans="1:27" ht="12.75" customHeight="1" thickTop="1">
      <c r="A58" s="2"/>
      <c r="B58" s="2"/>
      <c r="C58" s="613">
        <v>1460</v>
      </c>
      <c r="D58" s="614" t="s">
        <v>2</v>
      </c>
      <c r="E58" s="615">
        <f>'[3]Falhas UM-1 - Qty'!AA58</f>
        <v>307.15965034611418</v>
      </c>
      <c r="F58" s="708">
        <f>'Prod &amp; Defects - Qty'!F$5*'Falhas UM-1 - Qty'!$E58/1000000</f>
        <v>442.99117737077131</v>
      </c>
      <c r="G58" s="708">
        <f>'Prod &amp; Defects - Qty'!G$5*'Falhas UM-1 - Qty'!$E58/1000000</f>
        <v>241.73437083598375</v>
      </c>
      <c r="H58" s="708">
        <f>'Prod &amp; Defects - Qty'!H$5*'Falhas UM-1 - Qty'!$E58/1000000</f>
        <v>240.6251029216142</v>
      </c>
      <c r="I58" s="708">
        <f>'Prod &amp; Defects - Qty'!I$5*'Falhas UM-1 - Qty'!$E58/1000000</f>
        <v>243.16933602312722</v>
      </c>
      <c r="J58" s="708">
        <f>'Prod &amp; Defects - Qty'!J$5*'Falhas UM-1 - Qty'!$E58/1000000</f>
        <v>439.2646991382519</v>
      </c>
      <c r="K58" s="708">
        <f>'Prod &amp; Defects - Qty'!K$5*'Falhas UM-1 - Qty'!$E58/1000000</f>
        <v>509.02773276698827</v>
      </c>
      <c r="L58" s="708">
        <f>'Prod &amp; Defects - Qty'!L$5*'Falhas UM-1 - Qty'!$E58/1000000</f>
        <v>512.65163434316537</v>
      </c>
      <c r="M58" s="708">
        <f>'Prod &amp; Defects - Qty'!M$5*'Falhas UM-1 - Qty'!$E58/1000000</f>
        <v>513.23852182980443</v>
      </c>
      <c r="N58" s="708">
        <f>'Prod &amp; Defects - Qty'!N$5*'Falhas UM-1 - Qty'!$E58/1000000</f>
        <v>411.4953413557626</v>
      </c>
      <c r="O58" s="708">
        <f>'Prod &amp; Defects - Qty'!O$5*'Falhas UM-1 - Qty'!$E58/1000000</f>
        <v>381.35158649105819</v>
      </c>
      <c r="P58" s="708">
        <f>'Prod &amp; Defects - Qty'!P$5*'Falhas UM-1 - Qty'!$E58/1000000</f>
        <v>385.85316520744516</v>
      </c>
      <c r="Q58" s="778">
        <f>'Prod &amp; Defects - Qty'!Q$5*'Falhas UM-1 - Qty'!$E58/1000000</f>
        <v>475.03369029543245</v>
      </c>
      <c r="R58" s="617">
        <f t="shared" ref="R58" si="22">SUM(F58:K58)</f>
        <v>2116.8124190567369</v>
      </c>
      <c r="S58" s="618">
        <f>R58/SUM('Prod &amp; Defects - Qty'!F5:K5)*1000000</f>
        <v>307.15965034611418</v>
      </c>
      <c r="T58" s="619">
        <f t="shared" ref="T58" si="23">SUM(L58:Q58)</f>
        <v>2679.623939522668</v>
      </c>
      <c r="U58" s="619">
        <f>T58/SUM('Prod &amp; Defects - Qty'!$L$5:$Q$5)*1000000</f>
        <v>307.15965034611418</v>
      </c>
      <c r="V58" s="619">
        <f t="shared" ref="V58" si="24">R58+T58</f>
        <v>4796.4363585794054</v>
      </c>
      <c r="W58" s="620">
        <f>V58/'Prod &amp; Defects - Qty'!$R$5*1000000</f>
        <v>307.15965034611412</v>
      </c>
      <c r="X58" s="617">
        <f t="shared" si="17"/>
        <v>276</v>
      </c>
      <c r="Y58" s="621">
        <f t="shared" si="18"/>
        <v>276</v>
      </c>
      <c r="Z58" s="617">
        <f t="shared" si="19"/>
        <v>276</v>
      </c>
      <c r="AA58" s="621">
        <f>Z58*1</f>
        <v>276</v>
      </c>
    </row>
    <row r="59" spans="1:27" ht="12.75" customHeight="1">
      <c r="A59" s="2"/>
      <c r="B59" s="2"/>
      <c r="C59" s="38">
        <v>1465</v>
      </c>
      <c r="D59" s="39" t="s">
        <v>263</v>
      </c>
      <c r="E59" s="52">
        <f>'[3]Falhas UM-1 - Qty'!AA59</f>
        <v>49.569461164530473</v>
      </c>
      <c r="F59" s="707">
        <f>'Prod &amp; Defects - Qty'!F$5*'Falhas UM-1 - Qty'!$E59/1000000</f>
        <v>71.489969265710471</v>
      </c>
      <c r="G59" s="707">
        <f>'Prod &amp; Defects - Qty'!G$5*'Falhas UM-1 - Qty'!$E59/1000000</f>
        <v>39.01112172052612</v>
      </c>
      <c r="H59" s="707">
        <f>'Prod &amp; Defects - Qty'!H$5*'Falhas UM-1 - Qty'!$E59/1000000</f>
        <v>38.83210793163672</v>
      </c>
      <c r="I59" s="707">
        <f>'Prod &amp; Defects - Qty'!I$5*'Falhas UM-1 - Qty'!$E59/1000000</f>
        <v>39.242696574307899</v>
      </c>
      <c r="J59" s="707">
        <f>'Prod &amp; Defects - Qty'!J$5*'Falhas UM-1 - Qty'!$E59/1000000</f>
        <v>70.88858976218782</v>
      </c>
      <c r="K59" s="707">
        <f>'Prod &amp; Defects - Qty'!K$5*'Falhas UM-1 - Qty'!$E59/1000000</f>
        <v>82.14695648543028</v>
      </c>
      <c r="L59" s="707">
        <f>'Prod &amp; Defects - Qty'!L$5*'Falhas UM-1 - Qty'!$E59/1000000</f>
        <v>82.731782155865744</v>
      </c>
      <c r="M59" s="707">
        <f>'Prod &amp; Defects - Qty'!M$5*'Falhas UM-1 - Qty'!$E59/1000000</f>
        <v>82.826494128757119</v>
      </c>
      <c r="N59" s="707">
        <f>'Prod &amp; Defects - Qty'!N$5*'Falhas UM-1 - Qty'!$E59/1000000</f>
        <v>66.407167477027741</v>
      </c>
      <c r="O59" s="707">
        <f>'Prod &amp; Defects - Qty'!O$5*'Falhas UM-1 - Qty'!$E59/1000000</f>
        <v>61.542564706333785</v>
      </c>
      <c r="P59" s="707">
        <f>'Prod &amp; Defects - Qty'!P$5*'Falhas UM-1 - Qty'!$E59/1000000</f>
        <v>62.269030018784754</v>
      </c>
      <c r="Q59" s="550">
        <f>'Prod &amp; Defects - Qty'!Q$5*'Falhas UM-1 - Qty'!$E59/1000000</f>
        <v>76.660993839554052</v>
      </c>
      <c r="R59" s="624">
        <f t="shared" ref="R59" si="25">SUM(F59:K59)</f>
        <v>341.61144173979932</v>
      </c>
      <c r="S59" s="625">
        <f>R59/SUM('Prod &amp; Defects - Qty'!F5:K5)*1000000</f>
        <v>49.569461164530473</v>
      </c>
      <c r="T59" s="220">
        <f t="shared" ref="T59" si="26">SUM(L59:Q59)</f>
        <v>432.4380323263232</v>
      </c>
      <c r="U59" s="220">
        <f>T59/SUM('Prod &amp; Defects - Qty'!$L$5:$Q$5)*1000000</f>
        <v>49.56946116453048</v>
      </c>
      <c r="V59" s="220">
        <f t="shared" ref="V59" si="27">R59+T59</f>
        <v>774.04947406612246</v>
      </c>
      <c r="W59" s="622">
        <f>V59/'Prod &amp; Defects - Qty'!$R$5*1000000</f>
        <v>49.569461164530459</v>
      </c>
      <c r="X59" s="285">
        <f t="shared" si="17"/>
        <v>44</v>
      </c>
      <c r="Y59" s="286">
        <f t="shared" si="18"/>
        <v>44</v>
      </c>
      <c r="Z59" s="285">
        <f t="shared" ref="Z59" si="28">(X59+Y59)/2</f>
        <v>44</v>
      </c>
      <c r="AA59" s="286">
        <f>Z59*1</f>
        <v>44</v>
      </c>
    </row>
    <row r="60" spans="1:27" ht="13.5" thickBot="1">
      <c r="C60" s="40"/>
      <c r="D60" s="773" t="s">
        <v>1</v>
      </c>
      <c r="E60" s="49">
        <f>'[3]Falhas UM-1 - Qty'!AA60</f>
        <v>808.38359071679315</v>
      </c>
      <c r="F60" s="703">
        <f>SUBTOTAL(109,F58:F59)</f>
        <v>514.48114663648175</v>
      </c>
      <c r="G60" s="703">
        <f t="shared" ref="G60:Q60" si="29">SUBTOTAL(109,G58:G59)</f>
        <v>280.74549255650987</v>
      </c>
      <c r="H60" s="703">
        <f t="shared" si="29"/>
        <v>279.4572108532509</v>
      </c>
      <c r="I60" s="703">
        <f t="shared" si="29"/>
        <v>282.41203259743509</v>
      </c>
      <c r="J60" s="703">
        <f t="shared" si="29"/>
        <v>510.15328890043975</v>
      </c>
      <c r="K60" s="703">
        <f t="shared" si="29"/>
        <v>591.1746892524186</v>
      </c>
      <c r="L60" s="703">
        <f t="shared" si="29"/>
        <v>595.38341649903111</v>
      </c>
      <c r="M60" s="703">
        <f t="shared" si="29"/>
        <v>596.0650159585615</v>
      </c>
      <c r="N60" s="703">
        <f t="shared" si="29"/>
        <v>477.90250883279032</v>
      </c>
      <c r="O60" s="703">
        <f t="shared" si="29"/>
        <v>442.89415119739198</v>
      </c>
      <c r="P60" s="703">
        <f t="shared" si="29"/>
        <v>448.12219522622991</v>
      </c>
      <c r="Q60" s="775">
        <f t="shared" si="29"/>
        <v>551.69468413498646</v>
      </c>
      <c r="R60" s="623">
        <f>SUBTOTAL(109,R58:R59)</f>
        <v>2458.4238607965362</v>
      </c>
      <c r="S60" s="568">
        <f>R60/SUM('Prod &amp; Defects - Qty'!$F$5:$K$5)*1000000</f>
        <v>356.72911151064466</v>
      </c>
      <c r="T60" s="168">
        <f>SUBTOTAL(109,T58:T59)</f>
        <v>3112.0619718489911</v>
      </c>
      <c r="U60" s="168">
        <f>T60/SUM('Prod &amp; Defects - Qty'!$L$5:$Q$5)*1000000</f>
        <v>356.72911151064471</v>
      </c>
      <c r="V60" s="168">
        <f>SUBTOTAL(109,V58:V59)</f>
        <v>5570.4858326455278</v>
      </c>
      <c r="W60" s="169">
        <f>V60/'Prod &amp; Defects - Qty'!$R$5*1000000</f>
        <v>356.7291115106446</v>
      </c>
      <c r="X60" s="167">
        <f t="shared" si="17"/>
        <v>321</v>
      </c>
      <c r="Y60" s="169">
        <f t="shared" si="18"/>
        <v>321</v>
      </c>
      <c r="Z60" s="167">
        <f t="shared" si="19"/>
        <v>321</v>
      </c>
      <c r="AA60" s="169">
        <f>Z60*1</f>
        <v>321</v>
      </c>
    </row>
    <row r="61" spans="1:27" ht="14.25" thickTop="1" thickBot="1">
      <c r="C61" s="47"/>
      <c r="D61" s="769" t="s">
        <v>0</v>
      </c>
      <c r="E61" s="770">
        <f>'[3]Falhas UM-1 - Qty'!AA61</f>
        <v>1951.9732464930346</v>
      </c>
      <c r="F61" s="771">
        <f>SUMIF($D$6:$D$60,$D$60,F6:F60)</f>
        <v>3227.2932093389827</v>
      </c>
      <c r="G61" s="772">
        <f t="shared" ref="G61:Q61" si="30">SUMIF($D$6:$D$60,$D$60,G6:G60)</f>
        <v>1761.0908147045097</v>
      </c>
      <c r="H61" s="772">
        <f t="shared" si="30"/>
        <v>1753.0095413287513</v>
      </c>
      <c r="I61" s="772">
        <f t="shared" si="30"/>
        <v>1771.5448680596851</v>
      </c>
      <c r="J61" s="772">
        <f t="shared" si="30"/>
        <v>3200.1449533264395</v>
      </c>
      <c r="K61" s="772">
        <f t="shared" si="30"/>
        <v>3708.3847923886688</v>
      </c>
      <c r="L61" s="772">
        <f t="shared" si="30"/>
        <v>3734.7857537295313</v>
      </c>
      <c r="M61" s="772">
        <f t="shared" si="30"/>
        <v>3739.0613648410613</v>
      </c>
      <c r="N61" s="772">
        <f t="shared" si="30"/>
        <v>2997.8387576792902</v>
      </c>
      <c r="O61" s="772">
        <f t="shared" si="30"/>
        <v>2778.234529991892</v>
      </c>
      <c r="P61" s="772">
        <f t="shared" si="30"/>
        <v>2811.0295723422296</v>
      </c>
      <c r="Q61" s="779">
        <f t="shared" si="30"/>
        <v>3460.730328754486</v>
      </c>
      <c r="R61" s="170">
        <f>SUMIF($D$6:$D$60,$D$60,R6:R60)</f>
        <v>15421.468179147038</v>
      </c>
      <c r="S61" s="171">
        <f>R61/SUM('Prod &amp; Defects - Qty'!$F$5:$K$5)*1000000</f>
        <v>2237.729111510645</v>
      </c>
      <c r="T61" s="171">
        <f>SUMIF($D$6:$D$60,$D$60,T6:T60)</f>
        <v>19521.680307338487</v>
      </c>
      <c r="U61" s="171">
        <f>T61/SUM('Prod &amp; Defects - Qty'!$L$5:$Q$5)*1000000</f>
        <v>2237.7291115106445</v>
      </c>
      <c r="V61" s="171">
        <f>SUMIF($D$6:$D$60,$D$60,V6:V60)</f>
        <v>34943.148486485523</v>
      </c>
      <c r="W61" s="172">
        <f>V61/'Prod &amp; Defects - Qty'!$R$5*1000000</f>
        <v>2237.7291115106441</v>
      </c>
      <c r="X61" s="170">
        <f t="shared" si="17"/>
        <v>2013</v>
      </c>
      <c r="Y61" s="172">
        <f t="shared" si="18"/>
        <v>2013</v>
      </c>
      <c r="Z61" s="170">
        <f t="shared" si="19"/>
        <v>2013</v>
      </c>
      <c r="AA61" s="172">
        <f>Z61*1</f>
        <v>2013</v>
      </c>
    </row>
    <row r="62" spans="1:27" ht="13.5" thickTop="1">
      <c r="C62" s="47"/>
      <c r="D62" s="614" t="s">
        <v>283</v>
      </c>
      <c r="E62" s="615">
        <v>360</v>
      </c>
      <c r="F62" s="708">
        <f>'Prod &amp; Defects - Qty'!F$5*'Falhas UM-1 - Qty'!$E62/1000000</f>
        <v>519.19848090000005</v>
      </c>
      <c r="G62" s="708">
        <f>'Prod &amp; Defects - Qty'!G$5*'Falhas UM-1 - Qty'!$E62/1000000</f>
        <v>283.31967887999997</v>
      </c>
      <c r="H62" s="708">
        <f>'Prod &amp; Defects - Qty'!H$5*'Falhas UM-1 - Qty'!$E62/1000000</f>
        <v>282.01958478000006</v>
      </c>
      <c r="I62" s="708">
        <f>'Prod &amp; Defects - Qty'!I$5*'Falhas UM-1 - Qty'!$E62/1000000</f>
        <v>285.00149961</v>
      </c>
      <c r="J62" s="708">
        <f>'Prod &amp; Defects - Qty'!J$5*'Falhas UM-1 - Qty'!$E62/1000000</f>
        <v>514.83094056000004</v>
      </c>
      <c r="K62" s="708">
        <f>'Prod &amp; Defects - Qty'!K$5*'Falhas UM-1 - Qty'!$E62/1000000</f>
        <v>596.59523504999993</v>
      </c>
      <c r="L62" s="708">
        <f>'Prod &amp; Defects - Qty'!L$5*'Falhas UM-1 - Qty'!$E62/1000000</f>
        <v>600.84255257999996</v>
      </c>
      <c r="M62" s="708">
        <f>'Prod &amp; Defects - Qty'!M$5*'Falhas UM-1 - Qty'!$E62/1000000</f>
        <v>601.53040170000008</v>
      </c>
      <c r="N62" s="708">
        <f>'Prod &amp; Defects - Qty'!N$5*'Falhas UM-1 - Qty'!$E62/1000000</f>
        <v>482.28444953999997</v>
      </c>
      <c r="O62" s="708">
        <f>'Prod &amp; Defects - Qty'!O$5*'Falhas UM-1 - Qty'!$E62/1000000</f>
        <v>446.95509642000002</v>
      </c>
      <c r="P62" s="708">
        <f>'Prod &amp; Defects - Qty'!P$5*'Falhas UM-1 - Qty'!$E62/1000000</f>
        <v>452.23107696</v>
      </c>
      <c r="Q62" s="616">
        <f>'Prod &amp; Defects - Qty'!Q$5*'Falhas UM-1 - Qty'!$E62/1000000</f>
        <v>556.7532334199999</v>
      </c>
      <c r="R62" s="636"/>
      <c r="S62" s="636"/>
      <c r="T62" s="636"/>
      <c r="U62" s="636"/>
      <c r="V62" s="636"/>
      <c r="W62" s="636"/>
      <c r="X62" s="636"/>
      <c r="Y62" s="636"/>
      <c r="Z62" s="636"/>
      <c r="AA62" s="636"/>
    </row>
    <row r="63" spans="1:27">
      <c r="C63" s="47"/>
      <c r="D63" s="39" t="s">
        <v>284</v>
      </c>
      <c r="E63" s="52">
        <v>40</v>
      </c>
      <c r="F63" s="707">
        <f>'Prod &amp; Defects - Qty'!F$5*'Falhas UM-1 - Qty'!$E63/1000000</f>
        <v>57.688720100000012</v>
      </c>
      <c r="G63" s="707">
        <f>'Prod &amp; Defects - Qty'!G$5*'Falhas UM-1 - Qty'!$E63/1000000</f>
        <v>31.479964320000001</v>
      </c>
      <c r="H63" s="707">
        <f>'Prod &amp; Defects - Qty'!H$5*'Falhas UM-1 - Qty'!$E63/1000000</f>
        <v>31.335509420000001</v>
      </c>
      <c r="I63" s="707">
        <f>'Prod &amp; Defects - Qty'!I$5*'Falhas UM-1 - Qty'!$E63/1000000</f>
        <v>31.666833290000003</v>
      </c>
      <c r="J63" s="707">
        <f>'Prod &amp; Defects - Qty'!J$5*'Falhas UM-1 - Qty'!$E63/1000000</f>
        <v>57.203437840000007</v>
      </c>
      <c r="K63" s="707">
        <f>'Prod &amp; Defects - Qty'!K$5*'Falhas UM-1 - Qty'!$E63/1000000</f>
        <v>66.288359450000002</v>
      </c>
      <c r="L63" s="707">
        <f>'Prod &amp; Defects - Qty'!L$5*'Falhas UM-1 - Qty'!$E63/1000000</f>
        <v>66.760283619999996</v>
      </c>
      <c r="M63" s="707">
        <f>'Prod &amp; Defects - Qty'!M$5*'Falhas UM-1 - Qty'!$E63/1000000</f>
        <v>66.83671129999999</v>
      </c>
      <c r="N63" s="707">
        <f>'Prod &amp; Defects - Qty'!N$5*'Falhas UM-1 - Qty'!$E63/1000000</f>
        <v>53.587161059999993</v>
      </c>
      <c r="O63" s="707">
        <f>'Prod &amp; Defects - Qty'!O$5*'Falhas UM-1 - Qty'!$E63/1000000</f>
        <v>49.661677379999993</v>
      </c>
      <c r="P63" s="707">
        <f>'Prod &amp; Defects - Qty'!P$5*'Falhas UM-1 - Qty'!$E63/1000000</f>
        <v>50.247897439999996</v>
      </c>
      <c r="Q63" s="547">
        <f>'Prod &amp; Defects - Qty'!Q$5*'Falhas UM-1 - Qty'!$E63/1000000</f>
        <v>61.861470379999993</v>
      </c>
      <c r="R63" s="636"/>
      <c r="S63" s="636"/>
      <c r="T63" s="636"/>
      <c r="U63" s="636"/>
      <c r="V63" s="636"/>
      <c r="W63" s="636"/>
      <c r="X63" s="636"/>
      <c r="Y63" s="636"/>
      <c r="Z63" s="636"/>
      <c r="AA63" s="636"/>
    </row>
    <row r="64" spans="1:27">
      <c r="D64" s="642" t="s">
        <v>288</v>
      </c>
      <c r="F64" s="643"/>
      <c r="G64" s="643"/>
      <c r="H64" s="643"/>
      <c r="I64" s="643"/>
      <c r="J64" s="643"/>
      <c r="K64" s="643"/>
      <c r="L64" s="643"/>
      <c r="M64" s="643"/>
      <c r="N64" s="643"/>
    </row>
    <row r="65" spans="1:17" ht="13.5" thickBot="1">
      <c r="A65" s="209" t="s">
        <v>262</v>
      </c>
      <c r="F65" s="633" t="s">
        <v>270</v>
      </c>
      <c r="G65" s="633" t="s">
        <v>271</v>
      </c>
      <c r="H65" s="633" t="s">
        <v>272</v>
      </c>
      <c r="I65" s="633" t="s">
        <v>273</v>
      </c>
      <c r="J65" s="633" t="s">
        <v>290</v>
      </c>
      <c r="K65" s="633" t="s">
        <v>291</v>
      </c>
      <c r="L65" s="633" t="s">
        <v>276</v>
      </c>
      <c r="M65" s="633" t="s">
        <v>276</v>
      </c>
      <c r="N65" s="633" t="s">
        <v>276</v>
      </c>
      <c r="O65" s="633" t="s">
        <v>279</v>
      </c>
      <c r="P65" s="633" t="s">
        <v>280</v>
      </c>
      <c r="Q65" s="633" t="s">
        <v>281</v>
      </c>
    </row>
    <row r="66" spans="1:17">
      <c r="A66" s="1010" t="s">
        <v>254</v>
      </c>
      <c r="B66" s="1011"/>
      <c r="C66" s="1011"/>
      <c r="D66" s="995" t="s">
        <v>255</v>
      </c>
      <c r="E66" s="996"/>
      <c r="F66" s="634"/>
      <c r="G66" s="634"/>
      <c r="H66" s="634"/>
      <c r="I66" s="634"/>
      <c r="J66" s="634"/>
      <c r="K66" s="634"/>
      <c r="L66" s="634"/>
      <c r="M66" s="634"/>
      <c r="N66" s="634"/>
      <c r="O66" s="634"/>
      <c r="P66" s="634"/>
      <c r="Q66" s="634"/>
    </row>
    <row r="67" spans="1:17">
      <c r="A67" s="1012"/>
      <c r="B67" s="1013"/>
      <c r="C67" s="1013"/>
      <c r="D67" s="982" t="s">
        <v>168</v>
      </c>
      <c r="E67" s="982"/>
      <c r="F67" s="626">
        <f t="shared" ref="F67:K67" si="31">F15+F17+F36</f>
        <v>2109.9649376575007</v>
      </c>
      <c r="G67" s="626">
        <f t="shared" si="31"/>
        <v>1151.3796950039998</v>
      </c>
      <c r="H67" s="626">
        <f t="shared" si="31"/>
        <v>1146.0962570365004</v>
      </c>
      <c r="I67" s="626">
        <f t="shared" si="31"/>
        <v>1158.2144275817502</v>
      </c>
      <c r="J67" s="626">
        <f t="shared" si="31"/>
        <v>2092.2157389979998</v>
      </c>
      <c r="K67" s="626">
        <f t="shared" si="31"/>
        <v>2424.4967468837494</v>
      </c>
      <c r="L67" s="626">
        <f t="shared" ref="L67:M67" si="32">L15+L17+L36</f>
        <v>2441.7573734015</v>
      </c>
      <c r="M67" s="626">
        <f t="shared" si="32"/>
        <v>2444.5527157974998</v>
      </c>
      <c r="N67" s="626">
        <f t="shared" ref="N67" si="33">N15+N17+N36</f>
        <v>1959.9504157694996</v>
      </c>
      <c r="O67" s="626"/>
      <c r="P67" s="626"/>
      <c r="Q67" s="626"/>
    </row>
    <row r="68" spans="1:17">
      <c r="A68" s="1012"/>
      <c r="B68" s="1013"/>
      <c r="C68" s="1013"/>
      <c r="D68" s="982" t="s">
        <v>169</v>
      </c>
      <c r="E68" s="982"/>
      <c r="F68" s="626">
        <f t="shared" ref="F68:K68" si="34">F57</f>
        <v>653.32475513250006</v>
      </c>
      <c r="G68" s="626">
        <f t="shared" si="34"/>
        <v>356.51059592399997</v>
      </c>
      <c r="H68" s="626">
        <f t="shared" si="34"/>
        <v>354.87464418150006</v>
      </c>
      <c r="I68" s="626">
        <f t="shared" si="34"/>
        <v>358.62688700925003</v>
      </c>
      <c r="J68" s="626">
        <f t="shared" si="34"/>
        <v>647.82893353799989</v>
      </c>
      <c r="K68" s="626">
        <f t="shared" si="34"/>
        <v>750.71567077124996</v>
      </c>
      <c r="L68" s="626">
        <f t="shared" ref="L68:M68" si="35">L57</f>
        <v>756.06021199650002</v>
      </c>
      <c r="M68" s="626">
        <f t="shared" si="35"/>
        <v>756.92575547249999</v>
      </c>
      <c r="N68" s="626">
        <f t="shared" ref="N68" si="36">N57</f>
        <v>606.87459900450006</v>
      </c>
      <c r="O68" s="626"/>
      <c r="P68" s="626"/>
      <c r="Q68" s="626"/>
    </row>
    <row r="69" spans="1:17">
      <c r="A69" s="1012"/>
      <c r="B69" s="1013"/>
      <c r="C69" s="1013"/>
      <c r="D69" s="982" t="s">
        <v>256</v>
      </c>
      <c r="E69" s="982"/>
      <c r="F69" s="626">
        <f t="shared" ref="F69:K69" si="37">SUM(F67:F68)</f>
        <v>2763.289692790001</v>
      </c>
      <c r="G69" s="626">
        <f t="shared" si="37"/>
        <v>1507.8902909279998</v>
      </c>
      <c r="H69" s="626">
        <f t="shared" si="37"/>
        <v>1500.9709012180006</v>
      </c>
      <c r="I69" s="626">
        <f t="shared" si="37"/>
        <v>1516.8413145910004</v>
      </c>
      <c r="J69" s="626">
        <f t="shared" si="37"/>
        <v>2740.0446725359998</v>
      </c>
      <c r="K69" s="626">
        <f t="shared" si="37"/>
        <v>3175.2124176549996</v>
      </c>
      <c r="L69" s="626">
        <f t="shared" ref="L69:M69" si="38">SUM(L67:L68)</f>
        <v>3197.8175853980001</v>
      </c>
      <c r="M69" s="626">
        <f t="shared" si="38"/>
        <v>3201.4784712699998</v>
      </c>
      <c r="N69" s="626">
        <f t="shared" ref="N69" si="39">SUM(N67:N68)</f>
        <v>2566.8250147739996</v>
      </c>
      <c r="O69" s="626"/>
      <c r="P69" s="626"/>
      <c r="Q69" s="626"/>
    </row>
    <row r="70" spans="1:17" ht="13.5" thickBot="1">
      <c r="A70" s="1014"/>
      <c r="B70" s="1015"/>
      <c r="C70" s="1015"/>
      <c r="D70" s="994" t="s">
        <v>257</v>
      </c>
      <c r="E70" s="994"/>
      <c r="F70" s="635">
        <f>F69/'Prod &amp; Defects - Qty'!F5*1000000</f>
        <v>1916.0000000000005</v>
      </c>
      <c r="G70" s="635">
        <f>G69/'Prod &amp; Defects - Qty'!G5*1000000</f>
        <v>1915.9999999999998</v>
      </c>
      <c r="H70" s="635">
        <f>H69/'Prod &amp; Defects - Qty'!H5*1000000</f>
        <v>1916.0000000000007</v>
      </c>
      <c r="I70" s="635">
        <f>I69/'Prod &amp; Defects - Qty'!I5*1000000</f>
        <v>1916.0000000000002</v>
      </c>
      <c r="J70" s="635">
        <f>J69/'Prod &amp; Defects - Qty'!J5*1000000</f>
        <v>1916</v>
      </c>
      <c r="K70" s="635">
        <f>K69/'Prod &amp; Defects - Qty'!K5*1000000</f>
        <v>1916</v>
      </c>
      <c r="L70" s="635">
        <f>L69/'Prod &amp; Defects - Qty'!L5*1000000</f>
        <v>1916.0000000000002</v>
      </c>
      <c r="M70" s="635">
        <f>M69/'Prod &amp; Defects - Qty'!M5*1000000</f>
        <v>1916</v>
      </c>
      <c r="N70" s="635">
        <f>N69/'Prod &amp; Defects - Qty'!N5*1000000</f>
        <v>1915.9999999999998</v>
      </c>
      <c r="O70" s="635"/>
      <c r="P70" s="635"/>
      <c r="Q70" s="635"/>
    </row>
    <row r="71" spans="1:17">
      <c r="A71" s="1010" t="s">
        <v>258</v>
      </c>
      <c r="B71" s="1011"/>
      <c r="C71" s="1011"/>
      <c r="D71" s="993" t="s">
        <v>168</v>
      </c>
      <c r="E71" s="993"/>
      <c r="F71" s="634">
        <f t="shared" ref="F71:K71" si="40">SUM(F24:F32)</f>
        <v>526.40957091250004</v>
      </c>
      <c r="G71" s="634">
        <f t="shared" si="40"/>
        <v>287.25467442000001</v>
      </c>
      <c r="H71" s="634">
        <f t="shared" si="40"/>
        <v>285.93652345750007</v>
      </c>
      <c r="I71" s="634">
        <f t="shared" si="40"/>
        <v>288.9598537712501</v>
      </c>
      <c r="J71" s="634">
        <f t="shared" si="40"/>
        <v>521.98137028999997</v>
      </c>
      <c r="K71" s="634">
        <f t="shared" si="40"/>
        <v>604.88127998124992</v>
      </c>
      <c r="L71" s="634">
        <f t="shared" ref="L71:M71" si="41">SUM(L24:L32)</f>
        <v>609.1875880325</v>
      </c>
      <c r="M71" s="634">
        <f t="shared" si="41"/>
        <v>609.88499061249991</v>
      </c>
      <c r="N71" s="634">
        <f t="shared" ref="N71" si="42">SUM(N24:N32)</f>
        <v>488.98284467249999</v>
      </c>
      <c r="O71" s="634"/>
      <c r="P71" s="634"/>
      <c r="Q71" s="634"/>
    </row>
    <row r="72" spans="1:17">
      <c r="A72" s="1012"/>
      <c r="B72" s="1013"/>
      <c r="C72" s="1013"/>
      <c r="D72" s="982" t="s">
        <v>169</v>
      </c>
      <c r="E72" s="982"/>
      <c r="F72" s="626">
        <f t="shared" ref="F72:K72" si="43">SUM(F39:F47)</f>
        <v>158.64398027499999</v>
      </c>
      <c r="G72" s="626">
        <f t="shared" si="43"/>
        <v>86.569901879999989</v>
      </c>
      <c r="H72" s="626">
        <f t="shared" si="43"/>
        <v>86.172650905000012</v>
      </c>
      <c r="I72" s="626">
        <f t="shared" si="43"/>
        <v>87.083791547500013</v>
      </c>
      <c r="J72" s="626">
        <f t="shared" si="43"/>
        <v>157.30945405999998</v>
      </c>
      <c r="K72" s="626">
        <f t="shared" si="43"/>
        <v>182.29298848749994</v>
      </c>
      <c r="L72" s="626">
        <f t="shared" ref="L72:M72" si="44">SUM(L39:L47)</f>
        <v>183.59077995500002</v>
      </c>
      <c r="M72" s="626">
        <f t="shared" si="44"/>
        <v>183.80095607499999</v>
      </c>
      <c r="N72" s="626">
        <f t="shared" ref="N72" si="45">SUM(N39:N47)</f>
        <v>147.36469291500001</v>
      </c>
      <c r="O72" s="626"/>
      <c r="P72" s="626"/>
      <c r="Q72" s="626"/>
    </row>
    <row r="73" spans="1:17">
      <c r="A73" s="1012"/>
      <c r="B73" s="1013"/>
      <c r="C73" s="1013"/>
      <c r="D73" s="982" t="s">
        <v>256</v>
      </c>
      <c r="E73" s="982"/>
      <c r="F73" s="626">
        <f t="shared" ref="F73:K73" si="46">SUM(F71:F72)</f>
        <v>685.05355118750003</v>
      </c>
      <c r="G73" s="626">
        <f t="shared" si="46"/>
        <v>373.82457629999999</v>
      </c>
      <c r="H73" s="626">
        <f t="shared" si="46"/>
        <v>372.10917436250008</v>
      </c>
      <c r="I73" s="626">
        <f t="shared" si="46"/>
        <v>376.04364531875012</v>
      </c>
      <c r="J73" s="626">
        <f t="shared" si="46"/>
        <v>679.29082434999998</v>
      </c>
      <c r="K73" s="626">
        <f t="shared" si="46"/>
        <v>787.17426846874991</v>
      </c>
      <c r="L73" s="626">
        <f t="shared" ref="L73:M73" si="47">SUM(L71:L72)</f>
        <v>792.77836798750002</v>
      </c>
      <c r="M73" s="626">
        <f t="shared" si="47"/>
        <v>793.68594668749984</v>
      </c>
      <c r="N73" s="626">
        <f t="shared" ref="N73" si="48">SUM(N71:N72)</f>
        <v>636.34753758750003</v>
      </c>
      <c r="O73" s="626"/>
      <c r="P73" s="626"/>
      <c r="Q73" s="626"/>
    </row>
    <row r="74" spans="1:17" ht="13.5" thickBot="1">
      <c r="A74" s="1014"/>
      <c r="B74" s="1015"/>
      <c r="C74" s="1015"/>
      <c r="D74" s="994" t="s">
        <v>257</v>
      </c>
      <c r="E74" s="994"/>
      <c r="F74" s="635">
        <f>F73/'Prod &amp; Defects - Qty'!F5*1000000</f>
        <v>474.99999999999994</v>
      </c>
      <c r="G74" s="635">
        <f>G73/'Prod &amp; Defects - Qty'!G5*1000000</f>
        <v>475</v>
      </c>
      <c r="H74" s="635">
        <f>H73/'Prod &amp; Defects - Qty'!H5*1000000</f>
        <v>475.00000000000006</v>
      </c>
      <c r="I74" s="635">
        <f>I73/'Prod &amp; Defects - Qty'!I5*1000000</f>
        <v>475.00000000000011</v>
      </c>
      <c r="J74" s="635">
        <f>J73/'Prod &amp; Defects - Qty'!J5*1000000</f>
        <v>475</v>
      </c>
      <c r="K74" s="635">
        <f>K73/'Prod &amp; Defects - Qty'!K5*1000000</f>
        <v>475</v>
      </c>
      <c r="L74" s="635">
        <f>L73/'Prod &amp; Defects - Qty'!L5*1000000</f>
        <v>475.00000000000006</v>
      </c>
      <c r="M74" s="635">
        <f>M73/'Prod &amp; Defects - Qty'!M5*1000000</f>
        <v>474.99999999999989</v>
      </c>
      <c r="N74" s="635">
        <f>N73/'Prod &amp; Defects - Qty'!N5*1000000</f>
        <v>475.00000000000006</v>
      </c>
      <c r="O74" s="635"/>
      <c r="P74" s="635"/>
      <c r="Q74" s="635"/>
    </row>
    <row r="75" spans="1:17">
      <c r="A75" s="1010" t="s">
        <v>259</v>
      </c>
      <c r="B75" s="1011"/>
      <c r="C75" s="1011"/>
      <c r="D75" s="993" t="s">
        <v>260</v>
      </c>
      <c r="E75" s="993"/>
      <c r="F75" s="634" t="e">
        <f>F58/F$64*1000000</f>
        <v>#DIV/0!</v>
      </c>
      <c r="G75" s="634" t="e">
        <f t="shared" ref="G75:H75" si="49">G58/G$64*1000000</f>
        <v>#DIV/0!</v>
      </c>
      <c r="H75" s="634" t="e">
        <f t="shared" si="49"/>
        <v>#DIV/0!</v>
      </c>
      <c r="I75" s="634" t="e">
        <f t="shared" ref="I75:J75" si="50">I58/I$64*1000000</f>
        <v>#DIV/0!</v>
      </c>
      <c r="J75" s="634" t="e">
        <f t="shared" si="50"/>
        <v>#DIV/0!</v>
      </c>
      <c r="K75" s="634" t="e">
        <f t="shared" ref="K75:L75" si="51">K58/K$64*1000000</f>
        <v>#DIV/0!</v>
      </c>
      <c r="L75" s="634" t="e">
        <f t="shared" si="51"/>
        <v>#DIV/0!</v>
      </c>
      <c r="M75" s="634" t="e">
        <f t="shared" ref="M75:N75" si="52">M58/M$64*1000000</f>
        <v>#DIV/0!</v>
      </c>
      <c r="N75" s="634" t="e">
        <f t="shared" si="52"/>
        <v>#DIV/0!</v>
      </c>
      <c r="O75" s="634"/>
      <c r="P75" s="634"/>
      <c r="Q75" s="634"/>
    </row>
    <row r="76" spans="1:17">
      <c r="A76" s="1012"/>
      <c r="B76" s="1013"/>
      <c r="C76" s="1013"/>
      <c r="D76" s="982" t="s">
        <v>261</v>
      </c>
      <c r="E76" s="982"/>
      <c r="F76" s="626" t="e">
        <f>F59/F$64*1000000</f>
        <v>#DIV/0!</v>
      </c>
      <c r="G76" s="626" t="e">
        <f t="shared" ref="G76:H76" si="53">G59/G$64*1000000</f>
        <v>#DIV/0!</v>
      </c>
      <c r="H76" s="626" t="e">
        <f t="shared" si="53"/>
        <v>#DIV/0!</v>
      </c>
      <c r="I76" s="626" t="e">
        <f t="shared" ref="I76:J76" si="54">I59/I$64*1000000</f>
        <v>#DIV/0!</v>
      </c>
      <c r="J76" s="626" t="e">
        <f t="shared" si="54"/>
        <v>#DIV/0!</v>
      </c>
      <c r="K76" s="626" t="e">
        <f t="shared" ref="K76:L76" si="55">K59/K$64*1000000</f>
        <v>#DIV/0!</v>
      </c>
      <c r="L76" s="626" t="e">
        <f t="shared" si="55"/>
        <v>#DIV/0!</v>
      </c>
      <c r="M76" s="626" t="e">
        <f t="shared" ref="M76:N76" si="56">M59/M$64*1000000</f>
        <v>#DIV/0!</v>
      </c>
      <c r="N76" s="626" t="e">
        <f t="shared" si="56"/>
        <v>#DIV/0!</v>
      </c>
      <c r="O76" s="626"/>
      <c r="P76" s="626"/>
      <c r="Q76" s="626"/>
    </row>
    <row r="77" spans="1:17" ht="13.5" thickBot="1">
      <c r="A77" s="1016"/>
      <c r="B77" s="1017"/>
      <c r="C77" s="1017"/>
      <c r="D77" s="983" t="s">
        <v>257</v>
      </c>
      <c r="E77" s="983"/>
      <c r="F77" s="637">
        <f>SUM(F58:F59)/'Prod &amp; Defects - Qty'!F5*1000000</f>
        <v>356.72911151064466</v>
      </c>
      <c r="G77" s="637">
        <f>SUM(G58:G59)/'Prod &amp; Defects - Qty'!G5*1000000</f>
        <v>356.72911151064466</v>
      </c>
      <c r="H77" s="637">
        <f>SUM(H58:H59)/'Prod &amp; Defects - Qty'!H5*1000000</f>
        <v>356.7291115106446</v>
      </c>
      <c r="I77" s="637">
        <f>SUM(I58:I59)/'Prod &amp; Defects - Qty'!I5*1000000</f>
        <v>356.7291115106446</v>
      </c>
      <c r="J77" s="637">
        <f>SUM(J58:J59)/'Prod &amp; Defects - Qty'!J5*1000000</f>
        <v>356.72911151064466</v>
      </c>
      <c r="K77" s="637">
        <f>SUM(K58:K59)/'Prod &amp; Defects - Qty'!K5*1000000</f>
        <v>356.72911151064466</v>
      </c>
      <c r="L77" s="637">
        <f>SUM(L58:L59)/'Prod &amp; Defects - Qty'!L5*1000000</f>
        <v>356.72911151064471</v>
      </c>
      <c r="M77" s="637">
        <f>SUM(M58:M59)/'Prod &amp; Defects - Qty'!M5*1000000</f>
        <v>356.7291115106446</v>
      </c>
      <c r="N77" s="637">
        <f>SUM(N58:N59)/'Prod &amp; Defects - Qty'!N5*1000000</f>
        <v>356.72911151064466</v>
      </c>
      <c r="O77" s="637"/>
      <c r="P77" s="637"/>
      <c r="Q77" s="637"/>
    </row>
    <row r="78" spans="1:17">
      <c r="A78" s="984" t="s">
        <v>282</v>
      </c>
      <c r="B78" s="985"/>
      <c r="C78" s="985"/>
      <c r="D78" s="990" t="s">
        <v>260</v>
      </c>
      <c r="E78" s="990"/>
      <c r="F78" s="639" t="e">
        <f>F62/F64*1000000</f>
        <v>#DIV/0!</v>
      </c>
      <c r="G78" s="639" t="e">
        <f t="shared" ref="G78:H78" si="57">G62/G64*1000000</f>
        <v>#DIV/0!</v>
      </c>
      <c r="H78" s="639" t="e">
        <f t="shared" si="57"/>
        <v>#DIV/0!</v>
      </c>
      <c r="I78" s="639" t="e">
        <f t="shared" ref="I78:N78" si="58">I62/I64*1000000</f>
        <v>#DIV/0!</v>
      </c>
      <c r="J78" s="639" t="e">
        <f t="shared" si="58"/>
        <v>#DIV/0!</v>
      </c>
      <c r="K78" s="639" t="e">
        <f t="shared" si="58"/>
        <v>#DIV/0!</v>
      </c>
      <c r="L78" s="639" t="e">
        <f t="shared" si="58"/>
        <v>#DIV/0!</v>
      </c>
      <c r="M78" s="639" t="e">
        <f t="shared" si="58"/>
        <v>#DIV/0!</v>
      </c>
      <c r="N78" s="639" t="e">
        <f t="shared" si="58"/>
        <v>#DIV/0!</v>
      </c>
      <c r="O78" s="639"/>
      <c r="P78" s="639"/>
      <c r="Q78" s="639"/>
    </row>
    <row r="79" spans="1:17">
      <c r="A79" s="986"/>
      <c r="B79" s="987"/>
      <c r="C79" s="987"/>
      <c r="D79" s="991" t="s">
        <v>261</v>
      </c>
      <c r="E79" s="991"/>
      <c r="F79" s="638" t="e">
        <f>F63/F64*1000000</f>
        <v>#DIV/0!</v>
      </c>
      <c r="G79" s="638" t="e">
        <f t="shared" ref="G79:H79" si="59">G63/G64*1000000</f>
        <v>#DIV/0!</v>
      </c>
      <c r="H79" s="638" t="e">
        <f t="shared" si="59"/>
        <v>#DIV/0!</v>
      </c>
      <c r="I79" s="638" t="e">
        <f t="shared" ref="I79:J79" si="60">I63/I64*1000000</f>
        <v>#DIV/0!</v>
      </c>
      <c r="J79" s="638" t="e">
        <f t="shared" si="60"/>
        <v>#DIV/0!</v>
      </c>
      <c r="K79" s="638" t="e">
        <f t="shared" ref="K79:L79" si="61">K63/K64*1000000</f>
        <v>#DIV/0!</v>
      </c>
      <c r="L79" s="638" t="e">
        <f t="shared" si="61"/>
        <v>#DIV/0!</v>
      </c>
      <c r="M79" s="638" t="e">
        <f t="shared" ref="M79:N79" si="62">M63/M64*1000000</f>
        <v>#DIV/0!</v>
      </c>
      <c r="N79" s="638" t="e">
        <f t="shared" si="62"/>
        <v>#DIV/0!</v>
      </c>
      <c r="O79" s="638"/>
      <c r="P79" s="638"/>
      <c r="Q79" s="638"/>
    </row>
    <row r="80" spans="1:17" ht="13.5" thickBot="1">
      <c r="A80" s="988"/>
      <c r="B80" s="989"/>
      <c r="C80" s="989"/>
      <c r="D80" s="992" t="s">
        <v>257</v>
      </c>
      <c r="E80" s="992"/>
      <c r="F80" s="640" t="e">
        <f>F78+F79</f>
        <v>#DIV/0!</v>
      </c>
      <c r="G80" s="640" t="e">
        <f t="shared" ref="G80:H80" si="63">G78+G79</f>
        <v>#DIV/0!</v>
      </c>
      <c r="H80" s="640" t="e">
        <f t="shared" si="63"/>
        <v>#DIV/0!</v>
      </c>
      <c r="I80" s="640" t="e">
        <f t="shared" ref="I80:J80" si="64">I78+I79</f>
        <v>#DIV/0!</v>
      </c>
      <c r="J80" s="640" t="e">
        <f t="shared" si="64"/>
        <v>#DIV/0!</v>
      </c>
      <c r="K80" s="640" t="e">
        <f t="shared" ref="K80:L80" si="65">K78+K79</f>
        <v>#DIV/0!</v>
      </c>
      <c r="L80" s="640" t="e">
        <f t="shared" si="65"/>
        <v>#DIV/0!</v>
      </c>
      <c r="M80" s="640" t="e">
        <f t="shared" ref="M80:N80" si="66">M78+M79</f>
        <v>#DIV/0!</v>
      </c>
      <c r="N80" s="640" t="e">
        <f t="shared" si="66"/>
        <v>#DIV/0!</v>
      </c>
      <c r="O80" s="640"/>
      <c r="P80" s="640"/>
      <c r="Q80" s="640"/>
    </row>
  </sheetData>
  <mergeCells count="27">
    <mergeCell ref="A66:C70"/>
    <mergeCell ref="A71:C74"/>
    <mergeCell ref="A75:C77"/>
    <mergeCell ref="A36:A56"/>
    <mergeCell ref="B36:B56"/>
    <mergeCell ref="A1:F1"/>
    <mergeCell ref="B6:B15"/>
    <mergeCell ref="B16:B22"/>
    <mergeCell ref="A6:A35"/>
    <mergeCell ref="B23:B35"/>
    <mergeCell ref="C4:D4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A78:C80"/>
    <mergeCell ref="D78:E78"/>
    <mergeCell ref="D79:E79"/>
    <mergeCell ref="D80:E80"/>
  </mergeCells>
  <phoneticPr fontId="24" type="noConversion"/>
  <printOptions horizontalCentered="1" gridLinesSet="0"/>
  <pageMargins left="0.98425196850393704" right="0.39370078740157483" top="0.39370078740157483" bottom="0.39370078740157483" header="0.51181102362204722" footer="0.31496062992125984"/>
  <pageSetup paperSize="9" scale="41" orientation="landscape" horizontalDpi="4294967292" r:id="rId1"/>
  <headerFooter alignWithMargins="0">
    <oddFooter>&amp;L&amp;A&amp;R&amp;F</oddFooter>
  </headerFooter>
  <ignoredErrors>
    <ignoredError sqref="U59:U61 U6:U58" evalError="1"/>
    <ignoredError sqref="AA15 AA22 AA36 AA57 R5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indexed="56"/>
    <pageSetUpPr fitToPage="1"/>
  </sheetPr>
  <dimension ref="A1:V101"/>
  <sheetViews>
    <sheetView showGridLines="0" topLeftCell="A49" zoomScaleNormal="100" zoomScaleSheetLayoutView="100" workbookViewId="0">
      <selection activeCell="W63" sqref="W63"/>
    </sheetView>
  </sheetViews>
  <sheetFormatPr defaultColWidth="11.42578125" defaultRowHeight="12.75"/>
  <cols>
    <col min="1" max="1" width="3.28515625" style="1" bestFit="1" customWidth="1"/>
    <col min="2" max="2" width="2.7109375" style="1" customWidth="1"/>
    <col min="3" max="3" width="5" style="1" customWidth="1"/>
    <col min="4" max="4" width="18" style="1" bestFit="1" customWidth="1"/>
    <col min="5" max="5" width="9.5703125" style="1" customWidth="1"/>
    <col min="6" max="6" width="7.5703125" style="1" bestFit="1" customWidth="1"/>
    <col min="7" max="8" width="7.42578125" style="1" bestFit="1" customWidth="1"/>
    <col min="9" max="10" width="7.5703125" style="1" bestFit="1" customWidth="1"/>
    <col min="11" max="12" width="7.85546875" style="1" bestFit="1" customWidth="1"/>
    <col min="13" max="16" width="7.42578125" style="1" bestFit="1" customWidth="1"/>
    <col min="17" max="17" width="7.85546875" style="1" bestFit="1" customWidth="1"/>
    <col min="18" max="20" width="8.42578125" style="1" bestFit="1" customWidth="1"/>
    <col min="21" max="16384" width="11.42578125" style="1"/>
  </cols>
  <sheetData>
    <row r="1" spans="1:20" ht="18" customHeight="1">
      <c r="A1" s="997" t="s">
        <v>58</v>
      </c>
      <c r="B1" s="997"/>
      <c r="C1" s="997"/>
      <c r="D1" s="997"/>
      <c r="E1" s="997"/>
      <c r="F1" s="997"/>
    </row>
    <row r="2" spans="1:20" ht="18" customHeight="1">
      <c r="A2" s="17"/>
      <c r="B2" s="17"/>
      <c r="C2" s="17"/>
      <c r="D2" s="17"/>
      <c r="E2" s="17"/>
      <c r="F2" s="17"/>
    </row>
    <row r="3" spans="1:20" ht="9.9499999999999993" customHeight="1" thickBot="1">
      <c r="A3" s="17"/>
      <c r="B3" s="17"/>
      <c r="C3" s="17"/>
      <c r="D3" s="17"/>
      <c r="E3" s="17"/>
      <c r="F3" s="17"/>
    </row>
    <row r="4" spans="1:20" ht="38.25">
      <c r="A4" s="16"/>
      <c r="B4" s="15"/>
      <c r="C4" s="1008" t="s">
        <v>57</v>
      </c>
      <c r="D4" s="1009"/>
      <c r="E4" s="473" t="s">
        <v>202</v>
      </c>
      <c r="F4" s="14" t="s">
        <v>56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61" t="s">
        <v>251</v>
      </c>
      <c r="S4" s="12" t="s">
        <v>251</v>
      </c>
      <c r="T4" s="19" t="s">
        <v>251</v>
      </c>
    </row>
    <row r="5" spans="1:20" ht="18" customHeight="1" thickBot="1">
      <c r="A5" s="10"/>
      <c r="B5" s="9"/>
      <c r="C5" s="8" t="s">
        <v>51</v>
      </c>
      <c r="D5" s="24" t="s">
        <v>50</v>
      </c>
      <c r="E5" s="25">
        <f>'Falhas UM-1 - Qty'!E5</f>
        <v>2022</v>
      </c>
      <c r="F5" s="18">
        <f>'Falhas UM-1 - Qty'!F5</f>
        <v>44652</v>
      </c>
      <c r="G5" s="18">
        <f>'Falhas UM-1 - Qty'!G5</f>
        <v>44682</v>
      </c>
      <c r="H5" s="18">
        <f>'Falhas UM-1 - Qty'!H5</f>
        <v>44713</v>
      </c>
      <c r="I5" s="18">
        <f>'Falhas UM-1 - Qty'!I5</f>
        <v>44743</v>
      </c>
      <c r="J5" s="18">
        <f>'Falhas UM-1 - Qty'!J5</f>
        <v>44774</v>
      </c>
      <c r="K5" s="18">
        <f>'Falhas UM-1 - Qty'!K5</f>
        <v>44805</v>
      </c>
      <c r="L5" s="18">
        <f>'Falhas UM-1 - Qty'!L5</f>
        <v>44835</v>
      </c>
      <c r="M5" s="18">
        <f>'Falhas UM-1 - Qty'!M5</f>
        <v>44866</v>
      </c>
      <c r="N5" s="18">
        <f>'Falhas UM-1 - Qty'!N5</f>
        <v>44896</v>
      </c>
      <c r="O5" s="18">
        <f>'Falhas UM-1 - Qty'!O5</f>
        <v>44927</v>
      </c>
      <c r="P5" s="18">
        <f>'Falhas UM-1 - Qty'!P5</f>
        <v>44958</v>
      </c>
      <c r="Q5" s="752">
        <f>'Falhas UM-1 - Qty'!Q5</f>
        <v>44986</v>
      </c>
      <c r="R5" s="754" t="s">
        <v>55</v>
      </c>
      <c r="S5" s="709" t="s">
        <v>54</v>
      </c>
      <c r="T5" s="710" t="s">
        <v>1</v>
      </c>
    </row>
    <row r="6" spans="1:20" ht="18" customHeight="1" thickTop="1">
      <c r="A6" s="1002" t="s">
        <v>47</v>
      </c>
      <c r="B6" s="998" t="s">
        <v>20</v>
      </c>
      <c r="C6" s="27">
        <v>1010</v>
      </c>
      <c r="D6" s="727" t="s">
        <v>46</v>
      </c>
      <c r="E6" s="742">
        <f>'[7]Falhas UM-1'!I6</f>
        <v>530.22249999999997</v>
      </c>
      <c r="F6" s="124">
        <f>$E6/1000*'Falhas UM-1 - Qty'!F6</f>
        <v>29.823160958391693</v>
      </c>
      <c r="G6" s="124">
        <f>$E6/1000*'Falhas UM-1 - Qty'!G6</f>
        <v>16.274100747119668</v>
      </c>
      <c r="H6" s="124">
        <f>$E6/1000*'Falhas UM-1 - Qty'!H6</f>
        <v>16.199422339859801</v>
      </c>
      <c r="I6" s="124">
        <f>$E6/1000*'Falhas UM-1 - Qty'!I6</f>
        <v>16.370705826254351</v>
      </c>
      <c r="J6" s="124">
        <f>$E6/1000*'Falhas UM-1 - Qty'!J6</f>
        <v>29.572286074616411</v>
      </c>
      <c r="K6" s="124">
        <f>$E6/1000*'Falhas UM-1 - Qty'!K6</f>
        <v>34.26889017676568</v>
      </c>
      <c r="L6" s="124">
        <f>$E6/1000*'Falhas UM-1 - Qty'!L6</f>
        <v>34.512859369662813</v>
      </c>
      <c r="M6" s="124">
        <f>$E6/1000*'Falhas UM-1 - Qty'!M6</f>
        <v>34.552369953332636</v>
      </c>
      <c r="N6" s="124">
        <f>$E6/1000*'Falhas UM-1 - Qty'!N6</f>
        <v>27.702790542507447</v>
      </c>
      <c r="O6" s="124">
        <f>$E6/1000*'Falhas UM-1 - Qty'!O6</f>
        <v>25.673445266251623</v>
      </c>
      <c r="P6" s="124">
        <f>$E6/1000*'Falhas UM-1 - Qty'!P6</f>
        <v>25.976501655370889</v>
      </c>
      <c r="Q6" s="737">
        <f>$E6/1000*'Falhas UM-1 - Qty'!Q6</f>
        <v>31.980334891595557</v>
      </c>
      <c r="R6" s="755">
        <f t="shared" ref="R6:R37" si="0">SUM(F6:K6)</f>
        <v>142.5085661230076</v>
      </c>
      <c r="S6" s="53">
        <f t="shared" ref="S6:S37" si="1">SUM(L6:Q6)</f>
        <v>180.39830167872097</v>
      </c>
      <c r="T6" s="719">
        <f t="shared" ref="T6:T37" si="2">R6+S6</f>
        <v>322.90686780172859</v>
      </c>
    </row>
    <row r="7" spans="1:20" ht="18" customHeight="1">
      <c r="A7" s="1003"/>
      <c r="B7" s="998"/>
      <c r="C7" s="27">
        <v>1020</v>
      </c>
      <c r="D7" s="727" t="s">
        <v>45</v>
      </c>
      <c r="E7" s="742">
        <f>'[7]Falhas UM-1'!I7</f>
        <v>633.36130000000003</v>
      </c>
      <c r="F7" s="124">
        <f>$E7/1000*'Falhas UM-1 - Qty'!F7</f>
        <v>66.681490033116646</v>
      </c>
      <c r="G7" s="124">
        <f>$E7/1000*'Falhas UM-1 - Qty'!G7</f>
        <v>36.387198804345594</v>
      </c>
      <c r="H7" s="124">
        <f>$E7/1000*'Falhas UM-1 - Qty'!H7</f>
        <v>36.220225642904545</v>
      </c>
      <c r="I7" s="124">
        <f>$E7/1000*'Falhas UM-1 - Qty'!I7</f>
        <v>36.603197726473766</v>
      </c>
      <c r="J7" s="124">
        <f>$E7/1000*'Falhas UM-1 - Qty'!J7</f>
        <v>66.120559852531159</v>
      </c>
      <c r="K7" s="124">
        <f>$E7/1000*'Falhas UM-1 - Qty'!K7</f>
        <v>76.621678766917697</v>
      </c>
      <c r="L7" s="124">
        <f>$E7/1000*'Falhas UM-1 - Qty'!L7</f>
        <v>77.167168540025727</v>
      </c>
      <c r="M7" s="124">
        <f>$E7/1000*'Falhas UM-1 - Qty'!M7</f>
        <v>77.255510100964159</v>
      </c>
      <c r="N7" s="124">
        <f>$E7/1000*'Falhas UM-1 - Qty'!N7</f>
        <v>61.94056203589453</v>
      </c>
      <c r="O7" s="124">
        <f>$E7/1000*'Falhas UM-1 - Qty'!O7</f>
        <v>57.403156795678747</v>
      </c>
      <c r="P7" s="124">
        <f>$E7/1000*'Falhas UM-1 - Qty'!P7</f>
        <v>58.080759401878751</v>
      </c>
      <c r="Q7" s="737">
        <f>$E7/1000*'Falhas UM-1 - Qty'!Q7</f>
        <v>71.50470687211363</v>
      </c>
      <c r="R7" s="755">
        <f t="shared" si="0"/>
        <v>318.63435082628945</v>
      </c>
      <c r="S7" s="53">
        <f t="shared" si="1"/>
        <v>403.35186374655552</v>
      </c>
      <c r="T7" s="720">
        <f t="shared" si="2"/>
        <v>721.98621457284503</v>
      </c>
    </row>
    <row r="8" spans="1:20" ht="18" customHeight="1">
      <c r="A8" s="1003"/>
      <c r="B8" s="998"/>
      <c r="C8" s="27">
        <v>1030</v>
      </c>
      <c r="D8" s="727" t="s">
        <v>44</v>
      </c>
      <c r="E8" s="742">
        <f>'[7]Falhas UM-1'!I8</f>
        <v>633.36130000000003</v>
      </c>
      <c r="F8" s="124">
        <f>$E8/1000*'Falhas UM-1 - Qty'!F8</f>
        <v>741.7173959848044</v>
      </c>
      <c r="G8" s="124">
        <f>$E8/1000*'Falhas UM-1 - Qty'!G8</f>
        <v>404.74527985107699</v>
      </c>
      <c r="H8" s="124">
        <f>$E8/1000*'Falhas UM-1 - Qty'!H8</f>
        <v>402.88798934299297</v>
      </c>
      <c r="I8" s="124">
        <f>$E8/1000*'Falhas UM-1 - Qty'!I8</f>
        <v>407.14789799858494</v>
      </c>
      <c r="J8" s="124">
        <f>$E8/1000*'Falhas UM-1 - Qty'!J8</f>
        <v>735.47800822267527</v>
      </c>
      <c r="K8" s="124">
        <f>$E8/1000*'Falhas UM-1 - Qty'!K8</f>
        <v>852.28497477722146</v>
      </c>
      <c r="L8" s="124">
        <f>$E8/1000*'Falhas UM-1 - Qty'!L8</f>
        <v>858.3526144452178</v>
      </c>
      <c r="M8" s="124">
        <f>$E8/1000*'Falhas UM-1 - Qty'!M8</f>
        <v>859.33526304086149</v>
      </c>
      <c r="N8" s="124">
        <f>$E8/1000*'Falhas UM-1 - Qty'!N8</f>
        <v>688.98269004310077</v>
      </c>
      <c r="O8" s="124">
        <f>$E8/1000*'Falhas UM-1 - Qty'!O8</f>
        <v>638.5118262752211</v>
      </c>
      <c r="P8" s="124">
        <f>$E8/1000*'Falhas UM-1 - Qty'!P8</f>
        <v>646.04899499076089</v>
      </c>
      <c r="Q8" s="737">
        <f>$E8/1000*'Falhas UM-1 - Qty'!Q8</f>
        <v>795.36742438570229</v>
      </c>
      <c r="R8" s="755">
        <f t="shared" si="0"/>
        <v>3544.2615461773562</v>
      </c>
      <c r="S8" s="53">
        <f t="shared" si="1"/>
        <v>4486.5988131808645</v>
      </c>
      <c r="T8" s="720">
        <f t="shared" si="2"/>
        <v>8030.8603593582211</v>
      </c>
    </row>
    <row r="9" spans="1:20" ht="18" customHeight="1">
      <c r="A9" s="1003"/>
      <c r="B9" s="998"/>
      <c r="C9" s="27">
        <v>1040</v>
      </c>
      <c r="D9" s="727" t="s">
        <v>43</v>
      </c>
      <c r="E9" s="742">
        <f>'[7]Falhas UM-1'!I9</f>
        <v>637.74869999999999</v>
      </c>
      <c r="F9" s="124">
        <f>$E9/1000*'Falhas UM-1 - Qty'!F9</f>
        <v>2.759317968632915</v>
      </c>
      <c r="G9" s="124">
        <f>$E9/1000*'Falhas UM-1 - Qty'!G9</f>
        <v>1.5057229740844786</v>
      </c>
      <c r="H9" s="124">
        <f>$E9/1000*'Falhas UM-1 - Qty'!H9</f>
        <v>1.4988135297332068</v>
      </c>
      <c r="I9" s="124">
        <f>$E9/1000*'Falhas UM-1 - Qty'!I9</f>
        <v>1.514661132286067</v>
      </c>
      <c r="J9" s="124">
        <f>$E9/1000*'Falhas UM-1 - Qty'!J9</f>
        <v>2.7361063588493102</v>
      </c>
      <c r="K9" s="124">
        <f>$E9/1000*'Falhas UM-1 - Qty'!K9</f>
        <v>3.1706486298277654</v>
      </c>
      <c r="L9" s="124">
        <f>$E9/1000*'Falhas UM-1 - Qty'!L9</f>
        <v>3.1932213067714721</v>
      </c>
      <c r="M9" s="124">
        <f>$E9/1000*'Falhas UM-1 - Qty'!M9</f>
        <v>3.1968769307887732</v>
      </c>
      <c r="N9" s="124">
        <f>$E9/1000*'Falhas UM-1 - Qty'!N9</f>
        <v>2.5631356727029218</v>
      </c>
      <c r="O9" s="124">
        <f>$E9/1000*'Falhas UM-1 - Qty'!O9</f>
        <v>2.3753752641685804</v>
      </c>
      <c r="P9" s="124">
        <f>$E9/1000*'Falhas UM-1 - Qty'!P9</f>
        <v>2.4034148452569997</v>
      </c>
      <c r="Q9" s="737">
        <f>$E9/1000*'Falhas UM-1 - Qty'!Q9</f>
        <v>2.958905423620013</v>
      </c>
      <c r="R9" s="755">
        <f t="shared" si="0"/>
        <v>13.185270593413742</v>
      </c>
      <c r="S9" s="53">
        <f t="shared" si="1"/>
        <v>16.690929443308761</v>
      </c>
      <c r="T9" s="720">
        <f t="shared" si="2"/>
        <v>29.876200036722501</v>
      </c>
    </row>
    <row r="10" spans="1:20" ht="18" customHeight="1">
      <c r="A10" s="1003"/>
      <c r="B10" s="998"/>
      <c r="C10" s="27">
        <v>1050</v>
      </c>
      <c r="D10" s="727" t="s">
        <v>42</v>
      </c>
      <c r="E10" s="742">
        <f>'[7]Falhas UM-1'!I10</f>
        <v>658.06309999999996</v>
      </c>
      <c r="F10" s="124">
        <f>$E10/1000*'Falhas UM-1 - Qty'!F10</f>
        <v>1.8981408992019158</v>
      </c>
      <c r="G10" s="124">
        <f>$E10/1000*'Falhas UM-1 - Qty'!G10</f>
        <v>1.0357901454154297</v>
      </c>
      <c r="H10" s="124">
        <f>$E10/1000*'Falhas UM-1 - Qty'!H10</f>
        <v>1.0310371234502202</v>
      </c>
      <c r="I10" s="124">
        <f>$E10/1000*'Falhas UM-1 - Qty'!I10</f>
        <v>1.0419387241000302</v>
      </c>
      <c r="J10" s="124">
        <f>$E10/1000*'Falhas UM-1 - Qty'!J10</f>
        <v>1.8821735817823853</v>
      </c>
      <c r="K10" s="124">
        <f>$E10/1000*'Falhas UM-1 - Qty'!K10</f>
        <v>2.1810961656790648</v>
      </c>
      <c r="L10" s="124">
        <f>$E10/1000*'Falhas UM-1 - Qty'!L10</f>
        <v>2.196623959792821</v>
      </c>
      <c r="M10" s="124">
        <f>$E10/1000*'Falhas UM-1 - Qty'!M10</f>
        <v>2.1991386715941514</v>
      </c>
      <c r="N10" s="124">
        <f>$E10/1000*'Falhas UM-1 - Qty'!N10</f>
        <v>1.7631866663671441</v>
      </c>
      <c r="O10" s="124">
        <f>$E10/1000*'Falhas UM-1 - Qty'!O10</f>
        <v>1.634025868394134</v>
      </c>
      <c r="P10" s="124">
        <f>$E10/1000*'Falhas UM-1 - Qty'!P10</f>
        <v>1.653314357892423</v>
      </c>
      <c r="Q10" s="737">
        <f>$E10/1000*'Falhas UM-1 - Qty'!Q10</f>
        <v>2.035437548441049</v>
      </c>
      <c r="R10" s="755">
        <f t="shared" si="0"/>
        <v>9.0701766396290466</v>
      </c>
      <c r="S10" s="53">
        <f t="shared" si="1"/>
        <v>11.481727072481721</v>
      </c>
      <c r="T10" s="720">
        <f t="shared" si="2"/>
        <v>20.551903712110768</v>
      </c>
    </row>
    <row r="11" spans="1:20" ht="18" customHeight="1">
      <c r="A11" s="1003"/>
      <c r="B11" s="998"/>
      <c r="C11" s="27">
        <v>1060</v>
      </c>
      <c r="D11" s="727" t="s">
        <v>41</v>
      </c>
      <c r="E11" s="742">
        <f>'[7]Falhas UM-1'!I11</f>
        <v>669.5761</v>
      </c>
      <c r="F11" s="124">
        <f>$E11/1000*'Falhas UM-1 - Qty'!F11</f>
        <v>9.656747054637405</v>
      </c>
      <c r="G11" s="124">
        <f>$E11/1000*'Falhas UM-1 - Qty'!G11</f>
        <v>5.2695579343811882</v>
      </c>
      <c r="H11" s="124">
        <f>$E11/1000*'Falhas UM-1 - Qty'!H11</f>
        <v>5.2453770472392156</v>
      </c>
      <c r="I11" s="124">
        <f>$E11/1000*'Falhas UM-1 - Qty'!I11</f>
        <v>5.3008386834170924</v>
      </c>
      <c r="J11" s="124">
        <f>$E11/1000*'Falhas UM-1 - Qty'!J11</f>
        <v>9.5755137038749076</v>
      </c>
      <c r="K11" s="124">
        <f>$E11/1000*'Falhas UM-1 - Qty'!K11</f>
        <v>11.096275298982286</v>
      </c>
      <c r="L11" s="124">
        <f>$E11/1000*'Falhas UM-1 - Qty'!L11</f>
        <v>11.175272585293371</v>
      </c>
      <c r="M11" s="124">
        <f>$E11/1000*'Falhas UM-1 - Qty'!M11</f>
        <v>11.188066122269982</v>
      </c>
      <c r="N11" s="124">
        <f>$E11/1000*'Falhas UM-1 - Qty'!N11</f>
        <v>8.9701705781566652</v>
      </c>
      <c r="O11" s="124">
        <f>$E11/1000*'Falhas UM-1 - Qty'!O11</f>
        <v>8.313068064889654</v>
      </c>
      <c r="P11" s="124">
        <f>$E11/1000*'Falhas UM-1 - Qty'!P11</f>
        <v>8.4111978002687948</v>
      </c>
      <c r="Q11" s="737">
        <f>$E11/1000*'Falhas UM-1 - Qty'!Q11</f>
        <v>10.355240519326479</v>
      </c>
      <c r="R11" s="755">
        <f t="shared" si="0"/>
        <v>46.144309722532093</v>
      </c>
      <c r="S11" s="53">
        <f t="shared" si="1"/>
        <v>58.413015670204942</v>
      </c>
      <c r="T11" s="720">
        <f t="shared" si="2"/>
        <v>104.55732539273703</v>
      </c>
    </row>
    <row r="12" spans="1:20" ht="18" customHeight="1">
      <c r="A12" s="1003"/>
      <c r="B12" s="998"/>
      <c r="C12" s="27">
        <v>1070</v>
      </c>
      <c r="D12" s="727" t="s">
        <v>40</v>
      </c>
      <c r="E12" s="742">
        <f>'[7]Falhas UM-1'!I12</f>
        <v>698.92810000000009</v>
      </c>
      <c r="F12" s="124">
        <f>$E12/1000*'Falhas UM-1 - Qty'!F12</f>
        <v>28.224187271647377</v>
      </c>
      <c r="G12" s="124">
        <f>$E12/1000*'Falhas UM-1 - Qty'!G12</f>
        <v>15.401562155171774</v>
      </c>
      <c r="H12" s="124">
        <f>$E12/1000*'Falhas UM-1 - Qty'!H12</f>
        <v>15.330887643016892</v>
      </c>
      <c r="I12" s="124">
        <f>$E12/1000*'Falhas UM-1 - Qty'!I12</f>
        <v>15.492987737077517</v>
      </c>
      <c r="J12" s="124">
        <f>$E12/1000*'Falhas UM-1 - Qty'!J12</f>
        <v>27.986763086085514</v>
      </c>
      <c r="K12" s="124">
        <f>$E12/1000*'Falhas UM-1 - Qty'!K12</f>
        <v>32.431557985753876</v>
      </c>
      <c r="L12" s="124">
        <f>$E12/1000*'Falhas UM-1 - Qty'!L12</f>
        <v>32.662446730191405</v>
      </c>
      <c r="M12" s="124">
        <f>$E12/1000*'Falhas UM-1 - Qty'!M12</f>
        <v>32.699838947410271</v>
      </c>
      <c r="N12" s="124">
        <f>$E12/1000*'Falhas UM-1 - Qty'!N12</f>
        <v>26.217500864841853</v>
      </c>
      <c r="O12" s="124">
        <f>$E12/1000*'Falhas UM-1 - Qty'!O12</f>
        <v>24.296959269811467</v>
      </c>
      <c r="P12" s="124">
        <f>$E12/1000*'Falhas UM-1 - Qty'!P12</f>
        <v>24.583767240713843</v>
      </c>
      <c r="Q12" s="737">
        <f>$E12/1000*'Falhas UM-1 - Qty'!Q12</f>
        <v>30.265703969129774</v>
      </c>
      <c r="R12" s="755">
        <f t="shared" si="0"/>
        <v>134.86794587875295</v>
      </c>
      <c r="S12" s="53">
        <f t="shared" si="1"/>
        <v>170.72621702209864</v>
      </c>
      <c r="T12" s="720">
        <f t="shared" si="2"/>
        <v>305.59416290085159</v>
      </c>
    </row>
    <row r="13" spans="1:20" ht="18" customHeight="1">
      <c r="A13" s="1003"/>
      <c r="B13" s="998"/>
      <c r="C13" s="27">
        <v>1080</v>
      </c>
      <c r="D13" s="727" t="s">
        <v>39</v>
      </c>
      <c r="E13" s="742">
        <f>'[7]Falhas UM-1'!I13</f>
        <v>860.77808000000005</v>
      </c>
      <c r="F13" s="124">
        <f>$E13/1000*'Falhas UM-1 - Qty'!F13</f>
        <v>4.9657185725335413</v>
      </c>
      <c r="G13" s="124">
        <f>$E13/1000*'Falhas UM-1 - Qty'!G13</f>
        <v>2.7097263245838108</v>
      </c>
      <c r="H13" s="124">
        <f>$E13/1000*'Falhas UM-1 - Qty'!H13</f>
        <v>2.6972919634369514</v>
      </c>
      <c r="I13" s="124">
        <f>$E13/1000*'Falhas UM-1 - Qty'!I13</f>
        <v>2.725811595904629</v>
      </c>
      <c r="J13" s="124">
        <f>$E13/1000*'Falhas UM-1 - Qty'!J13</f>
        <v>4.9239465393314541</v>
      </c>
      <c r="K13" s="124">
        <f>$E13/1000*'Falhas UM-1 - Qty'!K13</f>
        <v>5.7059566773720851</v>
      </c>
      <c r="L13" s="124">
        <f>$E13/1000*'Falhas UM-1 - Qty'!L13</f>
        <v>5.7465788754679048</v>
      </c>
      <c r="M13" s="124">
        <f>$E13/1000*'Falhas UM-1 - Qty'!M13</f>
        <v>5.7531576026328297</v>
      </c>
      <c r="N13" s="124">
        <f>$E13/1000*'Falhas UM-1 - Qty'!N13</f>
        <v>4.6126653609877559</v>
      </c>
      <c r="O13" s="124">
        <f>$E13/1000*'Falhas UM-1 - Qty'!O13</f>
        <v>4.2747683304735835</v>
      </c>
      <c r="P13" s="124">
        <f>$E13/1000*'Falhas UM-1 - Qty'!P13</f>
        <v>4.325228868244011</v>
      </c>
      <c r="Q13" s="737">
        <f>$E13/1000*'Falhas UM-1 - Qty'!Q13</f>
        <v>5.3248997699673266</v>
      </c>
      <c r="R13" s="755">
        <f t="shared" si="0"/>
        <v>23.728451673162471</v>
      </c>
      <c r="S13" s="53">
        <f t="shared" si="1"/>
        <v>30.037298807773414</v>
      </c>
      <c r="T13" s="720">
        <f t="shared" si="2"/>
        <v>53.765750480935885</v>
      </c>
    </row>
    <row r="14" spans="1:20" ht="18" customHeight="1">
      <c r="A14" s="1003"/>
      <c r="B14" s="998"/>
      <c r="C14" s="27">
        <v>1090</v>
      </c>
      <c r="D14" s="727" t="s">
        <v>38</v>
      </c>
      <c r="E14" s="742">
        <f>'[7]Falhas UM-1'!I14</f>
        <v>860.77808000000005</v>
      </c>
      <c r="F14" s="124">
        <f>$E14/1000*'Falhas UM-1 - Qty'!F14</f>
        <v>24.828592862667708</v>
      </c>
      <c r="G14" s="124">
        <f>$E14/1000*'Falhas UM-1 - Qty'!G14</f>
        <v>13.548631622919054</v>
      </c>
      <c r="H14" s="124">
        <f>$E14/1000*'Falhas UM-1 - Qty'!H14</f>
        <v>13.486459817184757</v>
      </c>
      <c r="I14" s="124">
        <f>$E14/1000*'Falhas UM-1 - Qty'!I14</f>
        <v>13.629057979523143</v>
      </c>
      <c r="J14" s="124">
        <f>$E14/1000*'Falhas UM-1 - Qty'!J14</f>
        <v>24.619732696657277</v>
      </c>
      <c r="K14" s="124">
        <f>$E14/1000*'Falhas UM-1 - Qty'!K14</f>
        <v>28.52978338686043</v>
      </c>
      <c r="L14" s="124">
        <f>$E14/1000*'Falhas UM-1 - Qty'!L14</f>
        <v>28.732894377339523</v>
      </c>
      <c r="M14" s="124">
        <f>$E14/1000*'Falhas UM-1 - Qty'!M14</f>
        <v>28.765788013164148</v>
      </c>
      <c r="N14" s="124">
        <f>$E14/1000*'Falhas UM-1 - Qty'!N14</f>
        <v>23.063326804938779</v>
      </c>
      <c r="O14" s="124">
        <f>$E14/1000*'Falhas UM-1 - Qty'!O14</f>
        <v>21.373841652367911</v>
      </c>
      <c r="P14" s="124">
        <f>$E14/1000*'Falhas UM-1 - Qty'!P14</f>
        <v>21.626144341220055</v>
      </c>
      <c r="Q14" s="737">
        <f>$E14/1000*'Falhas UM-1 - Qty'!Q14</f>
        <v>26.624498849836634</v>
      </c>
      <c r="R14" s="755">
        <f t="shared" si="0"/>
        <v>118.64225836581238</v>
      </c>
      <c r="S14" s="53">
        <f t="shared" si="1"/>
        <v>150.18649403886707</v>
      </c>
      <c r="T14" s="720">
        <f t="shared" si="2"/>
        <v>268.82875240467945</v>
      </c>
    </row>
    <row r="15" spans="1:20" ht="18" customHeight="1" thickBot="1">
      <c r="A15" s="1003"/>
      <c r="B15" s="999"/>
      <c r="C15" s="29"/>
      <c r="D15" s="728" t="s">
        <v>1</v>
      </c>
      <c r="E15" s="743">
        <f>'[7]Falhas UM-1'!I15</f>
        <v>1834.3519698118075</v>
      </c>
      <c r="F15" s="174">
        <f>SUBTOTAL(109,F6:F14)</f>
        <v>910.55475160563367</v>
      </c>
      <c r="G15" s="174">
        <f t="shared" ref="G15:Q15" si="3">SUBTOTAL(109,G6:G14)</f>
        <v>496.87757055909799</v>
      </c>
      <c r="H15" s="174">
        <f t="shared" si="3"/>
        <v>494.59750444981853</v>
      </c>
      <c r="I15" s="174">
        <f t="shared" si="3"/>
        <v>499.82709740362156</v>
      </c>
      <c r="J15" s="174">
        <f t="shared" si="3"/>
        <v>902.89509011640359</v>
      </c>
      <c r="K15" s="174">
        <f t="shared" si="3"/>
        <v>1046.2908618653803</v>
      </c>
      <c r="L15" s="174">
        <f t="shared" si="3"/>
        <v>1053.7396801897628</v>
      </c>
      <c r="M15" s="174">
        <f t="shared" si="3"/>
        <v>1054.9460093830185</v>
      </c>
      <c r="N15" s="174">
        <f t="shared" si="3"/>
        <v>845.81602856949792</v>
      </c>
      <c r="O15" s="174">
        <f t="shared" si="3"/>
        <v>783.85646678725686</v>
      </c>
      <c r="P15" s="174">
        <f t="shared" si="3"/>
        <v>793.10932350160681</v>
      </c>
      <c r="Q15" s="711">
        <f t="shared" si="3"/>
        <v>976.41715222973266</v>
      </c>
      <c r="R15" s="756">
        <f t="shared" si="0"/>
        <v>4351.042875999955</v>
      </c>
      <c r="S15" s="54">
        <f t="shared" si="1"/>
        <v>5507.8846606608759</v>
      </c>
      <c r="T15" s="721">
        <f t="shared" si="2"/>
        <v>9858.9275366608308</v>
      </c>
    </row>
    <row r="16" spans="1:20" ht="18" customHeight="1" thickTop="1">
      <c r="A16" s="1003"/>
      <c r="B16" s="1000" t="s">
        <v>37</v>
      </c>
      <c r="C16" s="31">
        <v>1100</v>
      </c>
      <c r="D16" s="43" t="s">
        <v>36</v>
      </c>
      <c r="E16" s="742">
        <f>'[7]Falhas UM-1'!I16</f>
        <v>11.513</v>
      </c>
      <c r="F16" s="124">
        <f>$E16/1000*'Falhas UM-1 - Qty'!F16</f>
        <v>149.50471978849365</v>
      </c>
      <c r="G16" s="165">
        <f>$E16/1000*'Falhas UM-1 - Qty'!G16</f>
        <v>81.58272945655763</v>
      </c>
      <c r="H16" s="165">
        <f>$E16/1000*'Falhas UM-1 - Qty'!H16</f>
        <v>81.208363561298754</v>
      </c>
      <c r="I16" s="165">
        <f>$E16/1000*'Falhas UM-1 - Qty'!I16</f>
        <v>82.067014650415047</v>
      </c>
      <c r="J16" s="165">
        <f>$E16/1000*'Falhas UM-1 - Qty'!J16</f>
        <v>148.24707378466721</v>
      </c>
      <c r="K16" s="165">
        <f>$E16/1000*'Falhas UM-1 - Qty'!K16</f>
        <v>171.79134131650102</v>
      </c>
      <c r="L16" s="165">
        <f>$E16/1000*'Falhas UM-1 - Qty'!L16</f>
        <v>173.01436881087022</v>
      </c>
      <c r="M16" s="165">
        <f>$E16/1000*'Falhas UM-1 - Qty'!M16</f>
        <v>173.21243697502217</v>
      </c>
      <c r="N16" s="165">
        <f>$E16/1000*'Falhas UM-1 - Qty'!N16</f>
        <v>138.87521658737887</v>
      </c>
      <c r="O16" s="165">
        <f>$E16/1000*'Falhas UM-1 - Qty'!O16</f>
        <v>128.70202611625407</v>
      </c>
      <c r="P16" s="165">
        <f>$E16/1000*'Falhas UM-1 - Qty'!P16</f>
        <v>130.22126013033468</v>
      </c>
      <c r="Q16" s="176">
        <f>$E16/1000*'Falhas UM-1 - Qty'!Q16</f>
        <v>160.31872051996001</v>
      </c>
      <c r="R16" s="755">
        <f t="shared" si="0"/>
        <v>714.4012425579333</v>
      </c>
      <c r="S16" s="55">
        <f t="shared" si="1"/>
        <v>904.34402913982012</v>
      </c>
      <c r="T16" s="720">
        <f t="shared" si="2"/>
        <v>1618.7452716977534</v>
      </c>
    </row>
    <row r="17" spans="1:20" ht="18" customHeight="1">
      <c r="A17" s="1003"/>
      <c r="B17" s="1000"/>
      <c r="C17" s="31">
        <v>1110</v>
      </c>
      <c r="D17" s="43" t="s">
        <v>35</v>
      </c>
      <c r="E17" s="742">
        <f>'[7]Falhas UM-1'!I17</f>
        <v>8.8379999999999992</v>
      </c>
      <c r="F17" s="124">
        <f>$E17/1000*'Falhas UM-1 - Qty'!F17</f>
        <v>0.44612129471332496</v>
      </c>
      <c r="G17" s="165">
        <f>$E17/1000*'Falhas UM-1 - Qty'!G17</f>
        <v>0.24344243407763996</v>
      </c>
      <c r="H17" s="165">
        <f>$E17/1000*'Falhas UM-1 - Qty'!H17</f>
        <v>0.24232532822221498</v>
      </c>
      <c r="I17" s="165">
        <f>$E17/1000*'Falhas UM-1 - Qty'!I17</f>
        <v>0.24488753853989248</v>
      </c>
      <c r="J17" s="165">
        <f>$E17/1000*'Falhas UM-1 - Qty'!J17</f>
        <v>0.44236848567617992</v>
      </c>
      <c r="K17" s="165">
        <f>$E17/1000*'Falhas UM-1 - Qty'!K17</f>
        <v>0.51262445571671245</v>
      </c>
      <c r="L17" s="165">
        <f>$E17/1000*'Falhas UM-1 - Qty'!L17</f>
        <v>0.51627396330436492</v>
      </c>
      <c r="M17" s="165">
        <f>$E17/1000*'Falhas UM-1 - Qty'!M17</f>
        <v>0.51686499766072491</v>
      </c>
      <c r="N17" s="165">
        <f>$E17/1000*'Falhas UM-1 - Qty'!N17</f>
        <v>0.41440291326724488</v>
      </c>
      <c r="O17" s="165">
        <f>$E17/1000*'Falhas UM-1 - Qty'!O17</f>
        <v>0.38404616659888491</v>
      </c>
      <c r="P17" s="165">
        <f>$E17/1000*'Falhas UM-1 - Qty'!P17</f>
        <v>0.38857955287787993</v>
      </c>
      <c r="Q17" s="176">
        <f>$E17/1000*'Falhas UM-1 - Qty'!Q17</f>
        <v>0.47839021581613489</v>
      </c>
      <c r="R17" s="755">
        <f t="shared" si="0"/>
        <v>2.1317695369459648</v>
      </c>
      <c r="S17" s="55">
        <f t="shared" si="1"/>
        <v>2.6985578095252345</v>
      </c>
      <c r="T17" s="720">
        <f t="shared" si="2"/>
        <v>4.8303273464711989</v>
      </c>
    </row>
    <row r="18" spans="1:20" ht="18" customHeight="1">
      <c r="A18" s="1003"/>
      <c r="B18" s="1000"/>
      <c r="C18" s="31">
        <f>C17+10</f>
        <v>1120</v>
      </c>
      <c r="D18" s="43" t="s">
        <v>34</v>
      </c>
      <c r="E18" s="742">
        <f>'[7]Falhas UM-1'!I18</f>
        <v>3.3452999999999999</v>
      </c>
      <c r="F18" s="124">
        <f>$E18/1000*'Falhas UM-1 - Qty'!F18</f>
        <v>3.8597215070106002E-2</v>
      </c>
      <c r="G18" s="165">
        <f>$E18/1000*'Falhas UM-1 - Qty'!G18</f>
        <v>2.10619849279392E-2</v>
      </c>
      <c r="H18" s="165">
        <f>$E18/1000*'Falhas UM-1 - Qty'!H18</f>
        <v>2.0965335932545202E-2</v>
      </c>
      <c r="I18" s="165">
        <f>$E18/1000*'Falhas UM-1 - Qty'!I18</f>
        <v>2.1187011481007403E-2</v>
      </c>
      <c r="J18" s="165">
        <f>$E18/1000*'Falhas UM-1 - Qty'!J18</f>
        <v>3.8272532121230399E-2</v>
      </c>
      <c r="K18" s="165">
        <f>$E18/1000*'Falhas UM-1 - Qty'!K18</f>
        <v>4.4350889773616994E-2</v>
      </c>
      <c r="L18" s="165">
        <f>$E18/1000*'Falhas UM-1 - Qty'!L18</f>
        <v>4.4666635358797196E-2</v>
      </c>
      <c r="M18" s="165">
        <f>$E18/1000*'Falhas UM-1 - Qty'!M18</f>
        <v>4.4717770062377996E-2</v>
      </c>
      <c r="N18" s="165">
        <f>$E18/1000*'Falhas UM-1 - Qty'!N18</f>
        <v>3.585302597880359E-2</v>
      </c>
      <c r="O18" s="165">
        <f>$E18/1000*'Falhas UM-1 - Qty'!O18</f>
        <v>3.3226641867862797E-2</v>
      </c>
      <c r="P18" s="165">
        <f>$E18/1000*'Falhas UM-1 - Qty'!P18</f>
        <v>3.3618858261206398E-2</v>
      </c>
      <c r="Q18" s="176">
        <f>$E18/1000*'Falhas UM-1 - Qty'!Q18</f>
        <v>4.1389035372442796E-2</v>
      </c>
      <c r="R18" s="755">
        <f t="shared" si="0"/>
        <v>0.18443496930644521</v>
      </c>
      <c r="S18" s="55">
        <f t="shared" si="1"/>
        <v>0.23347196690149075</v>
      </c>
      <c r="T18" s="720">
        <f t="shared" si="2"/>
        <v>0.41790693620793595</v>
      </c>
    </row>
    <row r="19" spans="1:20" ht="18" customHeight="1">
      <c r="A19" s="1003"/>
      <c r="B19" s="1000"/>
      <c r="C19" s="31">
        <f>C18+10</f>
        <v>1130</v>
      </c>
      <c r="D19" s="43" t="s">
        <v>33</v>
      </c>
      <c r="E19" s="742">
        <f>'[7]Falhas UM-1'!I19</f>
        <v>24.538799999999998</v>
      </c>
      <c r="F19" s="124">
        <f>$E19/1000*'Falhas UM-1 - Qty'!F19</f>
        <v>51.068201629794927</v>
      </c>
      <c r="G19" s="165">
        <f>$E19/1000*'Falhas UM-1 - Qty'!G19</f>
        <v>27.867235785536348</v>
      </c>
      <c r="H19" s="165">
        <f>$E19/1000*'Falhas UM-1 - Qty'!H19</f>
        <v>27.739358932889523</v>
      </c>
      <c r="I19" s="165">
        <f>$E19/1000*'Falhas UM-1 - Qty'!I19</f>
        <v>28.032659151174727</v>
      </c>
      <c r="J19" s="165">
        <f>$E19/1000*'Falhas UM-1 - Qty'!J19</f>
        <v>50.638611715890029</v>
      </c>
      <c r="K19" s="165">
        <f>$E19/1000*'Falhas UM-1 - Qty'!K19</f>
        <v>58.68092237499512</v>
      </c>
      <c r="L19" s="165">
        <f>$E19/1000*'Falhas UM-1 - Qty'!L19</f>
        <v>59.098687210577495</v>
      </c>
      <c r="M19" s="165">
        <f>$E19/1000*'Falhas UM-1 - Qty'!M19</f>
        <v>59.166343836787476</v>
      </c>
      <c r="N19" s="165">
        <f>$E19/1000*'Falhas UM-1 - Qty'!N19</f>
        <v>47.437348948575035</v>
      </c>
      <c r="O19" s="165">
        <f>$E19/1000*'Falhas UM-1 - Qty'!O19</f>
        <v>43.962364727791311</v>
      </c>
      <c r="P19" s="165">
        <f>$E19/1000*'Falhas UM-1 - Qty'!P19</f>
        <v>44.481308538151744</v>
      </c>
      <c r="Q19" s="176">
        <f>$E19/1000*'Falhas UM-1 - Qty'!Q19</f>
        <v>54.762075445688836</v>
      </c>
      <c r="R19" s="755">
        <f t="shared" si="0"/>
        <v>244.02698959028066</v>
      </c>
      <c r="S19" s="55">
        <f t="shared" si="1"/>
        <v>308.9081287075719</v>
      </c>
      <c r="T19" s="720">
        <f t="shared" si="2"/>
        <v>552.93511829785257</v>
      </c>
    </row>
    <row r="20" spans="1:20" ht="18" customHeight="1">
      <c r="A20" s="1003"/>
      <c r="B20" s="1000"/>
      <c r="C20" s="31">
        <f>C19+10</f>
        <v>1140</v>
      </c>
      <c r="D20" s="43" t="s">
        <v>32</v>
      </c>
      <c r="E20" s="742">
        <f>'[7]Falhas UM-1'!I20</f>
        <v>8.8379999999999992</v>
      </c>
      <c r="F20" s="124">
        <f>$E20/1000*'Falhas UM-1 - Qty'!F20</f>
        <v>0</v>
      </c>
      <c r="G20" s="165">
        <f>$E20/1000*'Falhas UM-1 - Qty'!G20</f>
        <v>0</v>
      </c>
      <c r="H20" s="165">
        <f>$E20/1000*'Falhas UM-1 - Qty'!H20</f>
        <v>0</v>
      </c>
      <c r="I20" s="165">
        <f>$E20/1000*'Falhas UM-1 - Qty'!I20</f>
        <v>0</v>
      </c>
      <c r="J20" s="165">
        <f>$E20/1000*'Falhas UM-1 - Qty'!J20</f>
        <v>0</v>
      </c>
      <c r="K20" s="165">
        <f>$E20/1000*'Falhas UM-1 - Qty'!K20</f>
        <v>0</v>
      </c>
      <c r="L20" s="165">
        <f>$E20/1000*'Falhas UM-1 - Qty'!L20</f>
        <v>0</v>
      </c>
      <c r="M20" s="165">
        <f>$E20/1000*'Falhas UM-1 - Qty'!M20</f>
        <v>0</v>
      </c>
      <c r="N20" s="165">
        <f>$E20/1000*'Falhas UM-1 - Qty'!N20</f>
        <v>0</v>
      </c>
      <c r="O20" s="165">
        <f>$E20/1000*'Falhas UM-1 - Qty'!O20</f>
        <v>0</v>
      </c>
      <c r="P20" s="165">
        <f>$E20/1000*'Falhas UM-1 - Qty'!P20</f>
        <v>0</v>
      </c>
      <c r="Q20" s="176">
        <f>$E20/1000*'Falhas UM-1 - Qty'!Q20</f>
        <v>0</v>
      </c>
      <c r="R20" s="755">
        <f t="shared" si="0"/>
        <v>0</v>
      </c>
      <c r="S20" s="55">
        <f t="shared" si="1"/>
        <v>0</v>
      </c>
      <c r="T20" s="720">
        <f t="shared" si="2"/>
        <v>0</v>
      </c>
    </row>
    <row r="21" spans="1:20" ht="18" customHeight="1">
      <c r="A21" s="1003"/>
      <c r="B21" s="1000"/>
      <c r="C21" s="31">
        <f>C20+10</f>
        <v>1150</v>
      </c>
      <c r="D21" s="43" t="s">
        <v>31</v>
      </c>
      <c r="E21" s="742">
        <f>'[7]Falhas UM-1'!I21</f>
        <v>25.540679999999998</v>
      </c>
      <c r="F21" s="124">
        <f>$E21/1000*'Falhas UM-1 - Qty'!F21</f>
        <v>111.16871958913275</v>
      </c>
      <c r="G21" s="165">
        <f>$E21/1000*'Falhas UM-1 - Qty'!G21</f>
        <v>60.663285995939169</v>
      </c>
      <c r="H21" s="165">
        <f>$E21/1000*'Falhas UM-1 - Qty'!H21</f>
        <v>60.384915003420375</v>
      </c>
      <c r="I21" s="165">
        <f>$E21/1000*'Falhas UM-1 - Qty'!I21</f>
        <v>61.02339078054576</v>
      </c>
      <c r="J21" s="165">
        <f>$E21/1000*'Falhas UM-1 - Qty'!J21</f>
        <v>110.23355917319694</v>
      </c>
      <c r="K21" s="165">
        <f>$E21/1000*'Falhas UM-1 - Qty'!K21</f>
        <v>127.74060563220378</v>
      </c>
      <c r="L21" s="165">
        <f>$E21/1000*'Falhas UM-1 - Qty'!L21</f>
        <v>128.65002441686605</v>
      </c>
      <c r="M21" s="165">
        <f>$E21/1000*'Falhas UM-1 - Qty'!M21</f>
        <v>128.79730394243086</v>
      </c>
      <c r="N21" s="165">
        <f>$E21/1000*'Falhas UM-1 - Qty'!N21</f>
        <v>103.26483359537791</v>
      </c>
      <c r="O21" s="165">
        <f>$E21/1000*'Falhas UM-1 - Qty'!O21</f>
        <v>95.700252621537999</v>
      </c>
      <c r="P21" s="165">
        <f>$E21/1000*'Falhas UM-1 - Qty'!P21</f>
        <v>96.829924650223973</v>
      </c>
      <c r="Q21" s="176">
        <f>$E21/1000*'Falhas UM-1 - Qty'!Q21</f>
        <v>119.20979425656664</v>
      </c>
      <c r="R21" s="755">
        <f t="shared" si="0"/>
        <v>531.2144761744388</v>
      </c>
      <c r="S21" s="55">
        <f t="shared" si="1"/>
        <v>672.45213348300342</v>
      </c>
      <c r="T21" s="720">
        <f t="shared" si="2"/>
        <v>1203.6666096574422</v>
      </c>
    </row>
    <row r="22" spans="1:20" ht="18" customHeight="1" thickBot="1">
      <c r="A22" s="1003"/>
      <c r="B22" s="1001"/>
      <c r="C22" s="33"/>
      <c r="D22" s="729" t="s">
        <v>1</v>
      </c>
      <c r="E22" s="744">
        <f>'[7]Falhas UM-1'!I22</f>
        <v>3668.703939623615</v>
      </c>
      <c r="F22" s="174">
        <f>SUBTOTAL(109,F16:F21)</f>
        <v>312.22635951720474</v>
      </c>
      <c r="G22" s="174">
        <f t="shared" ref="G22:Q22" si="4">SUBTOTAL(109,G16:G21)</f>
        <v>170.37775565703873</v>
      </c>
      <c r="H22" s="174">
        <f t="shared" si="4"/>
        <v>169.59592816176342</v>
      </c>
      <c r="I22" s="174">
        <f t="shared" si="4"/>
        <v>171.38913913215643</v>
      </c>
      <c r="J22" s="174">
        <f t="shared" si="4"/>
        <v>309.59988569155155</v>
      </c>
      <c r="K22" s="174">
        <f t="shared" si="4"/>
        <v>358.76984466919026</v>
      </c>
      <c r="L22" s="174">
        <f t="shared" si="4"/>
        <v>361.32402103697689</v>
      </c>
      <c r="M22" s="174">
        <f t="shared" si="4"/>
        <v>361.7376675219636</v>
      </c>
      <c r="N22" s="174">
        <f t="shared" si="4"/>
        <v>290.02765507057791</v>
      </c>
      <c r="O22" s="174">
        <f t="shared" si="4"/>
        <v>268.7819162740501</v>
      </c>
      <c r="P22" s="174">
        <f t="shared" si="4"/>
        <v>271.95469172984951</v>
      </c>
      <c r="Q22" s="711">
        <f t="shared" si="4"/>
        <v>334.81036947340408</v>
      </c>
      <c r="R22" s="757">
        <f t="shared" si="0"/>
        <v>1491.9589128289051</v>
      </c>
      <c r="S22" s="592">
        <f t="shared" si="1"/>
        <v>1888.6363211068219</v>
      </c>
      <c r="T22" s="722">
        <f t="shared" si="2"/>
        <v>3380.5952339357273</v>
      </c>
    </row>
    <row r="23" spans="1:20" ht="18" customHeight="1" thickTop="1">
      <c r="A23" s="1003"/>
      <c r="B23" s="1005" t="s">
        <v>30</v>
      </c>
      <c r="C23" s="31">
        <f>C21+10</f>
        <v>1160</v>
      </c>
      <c r="D23" s="43" t="s">
        <v>29</v>
      </c>
      <c r="E23" s="745">
        <f>'[7]Falhas UM-1'!I23</f>
        <v>860.77808000000005</v>
      </c>
      <c r="F23" s="124">
        <f>$E23/1000*'Falhas UM-1 - Qty'!F23</f>
        <v>1.2414296431333853</v>
      </c>
      <c r="G23" s="165">
        <f>$E23/1000*'Falhas UM-1 - Qty'!G23</f>
        <v>0.6774315811459527</v>
      </c>
      <c r="H23" s="165">
        <f>$E23/1000*'Falhas UM-1 - Qty'!H23</f>
        <v>0.67432299085923786</v>
      </c>
      <c r="I23" s="165">
        <f>$E23/1000*'Falhas UM-1 - Qty'!I23</f>
        <v>0.68145289897615724</v>
      </c>
      <c r="J23" s="165">
        <f>$E23/1000*'Falhas UM-1 - Qty'!J23</f>
        <v>1.2309866348328635</v>
      </c>
      <c r="K23" s="165">
        <f>$E23/1000*'Falhas UM-1 - Qty'!K23</f>
        <v>1.4264891693430213</v>
      </c>
      <c r="L23" s="165">
        <f>$E23/1000*'Falhas UM-1 - Qty'!L23</f>
        <v>1.4366447188669762</v>
      </c>
      <c r="M23" s="165">
        <f>$E23/1000*'Falhas UM-1 - Qty'!M23</f>
        <v>1.4382894006582074</v>
      </c>
      <c r="N23" s="165">
        <f>$E23/1000*'Falhas UM-1 - Qty'!N23</f>
        <v>1.153166340246939</v>
      </c>
      <c r="O23" s="165">
        <f>$E23/1000*'Falhas UM-1 - Qty'!O23</f>
        <v>1.0686920826183959</v>
      </c>
      <c r="P23" s="165">
        <f>$E23/1000*'Falhas UM-1 - Qty'!P23</f>
        <v>1.0813072170610027</v>
      </c>
      <c r="Q23" s="176">
        <f>$E23/1000*'Falhas UM-1 - Qty'!Q23</f>
        <v>1.3312249424918317</v>
      </c>
      <c r="R23" s="755">
        <f t="shared" si="0"/>
        <v>5.9321129182906178</v>
      </c>
      <c r="S23" s="55">
        <f t="shared" si="1"/>
        <v>7.5093247019433536</v>
      </c>
      <c r="T23" s="720">
        <f t="shared" si="2"/>
        <v>13.441437620233971</v>
      </c>
    </row>
    <row r="24" spans="1:20" ht="18" customHeight="1">
      <c r="A24" s="1003"/>
      <c r="B24" s="1006"/>
      <c r="C24" s="31">
        <f>C23+10</f>
        <v>1170</v>
      </c>
      <c r="D24" s="43" t="s">
        <v>28</v>
      </c>
      <c r="E24" s="745">
        <f>'[7]Falhas UM-1'!I24</f>
        <v>860.77808000000005</v>
      </c>
      <c r="F24" s="124">
        <f>$E24/1000*'Falhas UM-1 - Qty'!F24</f>
        <v>37.242889294001557</v>
      </c>
      <c r="G24" s="165">
        <f>$E24/1000*'Falhas UM-1 - Qty'!G24</f>
        <v>20.32294743437858</v>
      </c>
      <c r="H24" s="165">
        <f>$E24/1000*'Falhas UM-1 - Qty'!H24</f>
        <v>20.229689725777138</v>
      </c>
      <c r="I24" s="165">
        <f>$E24/1000*'Falhas UM-1 - Qty'!I24</f>
        <v>20.443586969284713</v>
      </c>
      <c r="J24" s="165">
        <f>$E24/1000*'Falhas UM-1 - Qty'!J24</f>
        <v>36.929599044985913</v>
      </c>
      <c r="K24" s="165">
        <f>$E24/1000*'Falhas UM-1 - Qty'!K24</f>
        <v>42.794675080290645</v>
      </c>
      <c r="L24" s="165">
        <f>$E24/1000*'Falhas UM-1 - Qty'!L24</f>
        <v>43.099341566009286</v>
      </c>
      <c r="M24" s="165">
        <f>$E24/1000*'Falhas UM-1 - Qty'!M24</f>
        <v>43.148682019746225</v>
      </c>
      <c r="N24" s="165">
        <f>$E24/1000*'Falhas UM-1 - Qty'!N24</f>
        <v>34.594990207408166</v>
      </c>
      <c r="O24" s="165">
        <f>$E24/1000*'Falhas UM-1 - Qty'!O24</f>
        <v>32.060762478551872</v>
      </c>
      <c r="P24" s="165">
        <f>$E24/1000*'Falhas UM-1 - Qty'!P24</f>
        <v>32.439216511830082</v>
      </c>
      <c r="Q24" s="176">
        <f>$E24/1000*'Falhas UM-1 - Qty'!Q24</f>
        <v>39.936748274754947</v>
      </c>
      <c r="R24" s="755">
        <f t="shared" si="0"/>
        <v>177.96338754871852</v>
      </c>
      <c r="S24" s="55">
        <f t="shared" si="1"/>
        <v>225.2797410583006</v>
      </c>
      <c r="T24" s="720">
        <f t="shared" si="2"/>
        <v>403.24312860701912</v>
      </c>
    </row>
    <row r="25" spans="1:20" ht="18" customHeight="1">
      <c r="A25" s="1003"/>
      <c r="B25" s="1006"/>
      <c r="C25" s="31">
        <f t="shared" ref="C25:C33" si="5">C24+10</f>
        <v>1180</v>
      </c>
      <c r="D25" s="43" t="s">
        <v>27</v>
      </c>
      <c r="E25" s="745">
        <f>'[7]Falhas UM-1'!I25</f>
        <v>860.77808000000005</v>
      </c>
      <c r="F25" s="124">
        <f>$E25/1000*'Falhas UM-1 - Qty'!F25</f>
        <v>166.35157217987367</v>
      </c>
      <c r="G25" s="165">
        <f>$E25/1000*'Falhas UM-1 - Qty'!G25</f>
        <v>90.775831873557649</v>
      </c>
      <c r="H25" s="165">
        <f>$E25/1000*'Falhas UM-1 - Qty'!H25</f>
        <v>90.359280775137876</v>
      </c>
      <c r="I25" s="165">
        <f>$E25/1000*'Falhas UM-1 - Qty'!I25</f>
        <v>91.314688462805051</v>
      </c>
      <c r="J25" s="165">
        <f>$E25/1000*'Falhas UM-1 - Qty'!J25</f>
        <v>164.95220906760372</v>
      </c>
      <c r="K25" s="165">
        <f>$E25/1000*'Falhas UM-1 - Qty'!K25</f>
        <v>191.14954869196484</v>
      </c>
      <c r="L25" s="165">
        <f>$E25/1000*'Falhas UM-1 - Qty'!L25</f>
        <v>192.51039232817482</v>
      </c>
      <c r="M25" s="165">
        <f>$E25/1000*'Falhas UM-1 - Qty'!M25</f>
        <v>192.73077968819979</v>
      </c>
      <c r="N25" s="165">
        <f>$E25/1000*'Falhas UM-1 - Qty'!N25</f>
        <v>154.52428959308983</v>
      </c>
      <c r="O25" s="165">
        <f>$E25/1000*'Falhas UM-1 - Qty'!O25</f>
        <v>143.20473907086503</v>
      </c>
      <c r="P25" s="165">
        <f>$E25/1000*'Falhas UM-1 - Qty'!P25</f>
        <v>144.89516708617438</v>
      </c>
      <c r="Q25" s="176">
        <f>$E25/1000*'Falhas UM-1 - Qty'!Q25</f>
        <v>178.38414229390546</v>
      </c>
      <c r="R25" s="755">
        <f t="shared" si="0"/>
        <v>794.90313105094276</v>
      </c>
      <c r="S25" s="55">
        <f t="shared" si="1"/>
        <v>1006.2495100604093</v>
      </c>
      <c r="T25" s="720">
        <f t="shared" si="2"/>
        <v>1801.1526411113521</v>
      </c>
    </row>
    <row r="26" spans="1:20" ht="18" customHeight="1">
      <c r="A26" s="1003"/>
      <c r="B26" s="1006"/>
      <c r="C26" s="31">
        <f t="shared" si="5"/>
        <v>1190</v>
      </c>
      <c r="D26" s="43" t="s">
        <v>26</v>
      </c>
      <c r="E26" s="745">
        <f>'[7]Falhas UM-1'!I26</f>
        <v>860.77808000000005</v>
      </c>
      <c r="F26" s="124">
        <f>$E26/1000*'Falhas UM-1 - Qty'!F26</f>
        <v>31.035741078334638</v>
      </c>
      <c r="G26" s="165">
        <f>$E26/1000*'Falhas UM-1 - Qty'!G26</f>
        <v>16.935789528648815</v>
      </c>
      <c r="H26" s="165">
        <f>$E26/1000*'Falhas UM-1 - Qty'!H26</f>
        <v>16.85807477148095</v>
      </c>
      <c r="I26" s="165">
        <f>$E26/1000*'Falhas UM-1 - Qty'!I26</f>
        <v>17.036322474403931</v>
      </c>
      <c r="J26" s="165">
        <f>$E26/1000*'Falhas UM-1 - Qty'!J26</f>
        <v>30.77466587082159</v>
      </c>
      <c r="K26" s="165">
        <f>$E26/1000*'Falhas UM-1 - Qty'!K26</f>
        <v>35.662229233575523</v>
      </c>
      <c r="L26" s="165">
        <f>$E26/1000*'Falhas UM-1 - Qty'!L26</f>
        <v>35.916117971674403</v>
      </c>
      <c r="M26" s="165">
        <f>$E26/1000*'Falhas UM-1 - Qty'!M26</f>
        <v>35.957235016455193</v>
      </c>
      <c r="N26" s="165">
        <f>$E26/1000*'Falhas UM-1 - Qty'!N26</f>
        <v>28.829158506173474</v>
      </c>
      <c r="O26" s="165">
        <f>$E26/1000*'Falhas UM-1 - Qty'!O26</f>
        <v>26.717302065459897</v>
      </c>
      <c r="P26" s="165">
        <f>$E26/1000*'Falhas UM-1 - Qty'!P26</f>
        <v>27.032680426525072</v>
      </c>
      <c r="Q26" s="176">
        <f>$E26/1000*'Falhas UM-1 - Qty'!Q26</f>
        <v>33.280623562295787</v>
      </c>
      <c r="R26" s="755">
        <f t="shared" si="0"/>
        <v>148.30282295726545</v>
      </c>
      <c r="S26" s="55">
        <f t="shared" si="1"/>
        <v>187.73311754858383</v>
      </c>
      <c r="T26" s="720">
        <f t="shared" si="2"/>
        <v>336.03594050584928</v>
      </c>
    </row>
    <row r="27" spans="1:20" ht="18" customHeight="1">
      <c r="A27" s="1003"/>
      <c r="B27" s="1006"/>
      <c r="C27" s="31">
        <f t="shared" si="5"/>
        <v>1200</v>
      </c>
      <c r="D27" s="43" t="s">
        <v>25</v>
      </c>
      <c r="E27" s="745">
        <f>'[7]Falhas UM-1'!I27</f>
        <v>860.77808000000005</v>
      </c>
      <c r="F27" s="124">
        <f>$E27/1000*'Falhas UM-1 - Qty'!F27</f>
        <v>34.760030007734798</v>
      </c>
      <c r="G27" s="165">
        <f>$E27/1000*'Falhas UM-1 - Qty'!G27</f>
        <v>18.968084272086674</v>
      </c>
      <c r="H27" s="165">
        <f>$E27/1000*'Falhas UM-1 - Qty'!H27</f>
        <v>18.881043744058658</v>
      </c>
      <c r="I27" s="165">
        <f>$E27/1000*'Falhas UM-1 - Qty'!I27</f>
        <v>19.080681171332401</v>
      </c>
      <c r="J27" s="165">
        <f>$E27/1000*'Falhas UM-1 - Qty'!J27</f>
        <v>34.46762577532018</v>
      </c>
      <c r="K27" s="165">
        <f>$E27/1000*'Falhas UM-1 - Qty'!K27</f>
        <v>39.941696741604595</v>
      </c>
      <c r="L27" s="165">
        <f>$E27/1000*'Falhas UM-1 - Qty'!L27</f>
        <v>40.226052128275327</v>
      </c>
      <c r="M27" s="165">
        <f>$E27/1000*'Falhas UM-1 - Qty'!M27</f>
        <v>40.272103218429812</v>
      </c>
      <c r="N27" s="165">
        <f>$E27/1000*'Falhas UM-1 - Qty'!N27</f>
        <v>32.288657526914292</v>
      </c>
      <c r="O27" s="165">
        <f>$E27/1000*'Falhas UM-1 - Qty'!O27</f>
        <v>29.92337831331508</v>
      </c>
      <c r="P27" s="165">
        <f>$E27/1000*'Falhas UM-1 - Qty'!P27</f>
        <v>30.276602077708073</v>
      </c>
      <c r="Q27" s="176">
        <f>$E27/1000*'Falhas UM-1 - Qty'!Q27</f>
        <v>37.274298389771289</v>
      </c>
      <c r="R27" s="755">
        <f t="shared" si="0"/>
        <v>166.09916171213732</v>
      </c>
      <c r="S27" s="55">
        <f t="shared" si="1"/>
        <v>210.26109165441386</v>
      </c>
      <c r="T27" s="720">
        <f t="shared" si="2"/>
        <v>376.36025336655121</v>
      </c>
    </row>
    <row r="28" spans="1:20" ht="18" customHeight="1">
      <c r="A28" s="1003"/>
      <c r="B28" s="1006"/>
      <c r="C28" s="31">
        <f t="shared" si="5"/>
        <v>1210</v>
      </c>
      <c r="D28" s="43" t="s">
        <v>121</v>
      </c>
      <c r="E28" s="745">
        <f>'[7]Falhas UM-1'!I28</f>
        <v>860.77808000000005</v>
      </c>
      <c r="F28" s="124">
        <f>$E28/1000*'Falhas UM-1 - Qty'!F28</f>
        <v>65.795771086069422</v>
      </c>
      <c r="G28" s="165">
        <f>$E28/1000*'Falhas UM-1 - Qty'!G28</f>
        <v>35.903873800735489</v>
      </c>
      <c r="H28" s="165">
        <f>$E28/1000*'Falhas UM-1 - Qty'!H28</f>
        <v>35.739118515539609</v>
      </c>
      <c r="I28" s="165">
        <f>$E28/1000*'Falhas UM-1 - Qty'!I28</f>
        <v>36.117003645736325</v>
      </c>
      <c r="J28" s="165">
        <f>$E28/1000*'Falhas UM-1 - Qty'!J28</f>
        <v>65.242291646141766</v>
      </c>
      <c r="K28" s="165">
        <f>$E28/1000*'Falhas UM-1 - Qty'!K28</f>
        <v>75.603925975180118</v>
      </c>
      <c r="L28" s="165">
        <f>$E28/1000*'Falhas UM-1 - Qty'!L28</f>
        <v>76.142170099949738</v>
      </c>
      <c r="M28" s="165">
        <f>$E28/1000*'Falhas UM-1 - Qty'!M28</f>
        <v>76.229338234885006</v>
      </c>
      <c r="N28" s="165">
        <f>$E28/1000*'Falhas UM-1 - Qty'!N28</f>
        <v>61.117816033087763</v>
      </c>
      <c r="O28" s="165">
        <f>$E28/1000*'Falhas UM-1 - Qty'!O28</f>
        <v>56.640680378774967</v>
      </c>
      <c r="P28" s="165">
        <f>$E28/1000*'Falhas UM-1 - Qty'!P28</f>
        <v>57.30928250423316</v>
      </c>
      <c r="Q28" s="176">
        <f>$E28/1000*'Falhas UM-1 - Qty'!Q28</f>
        <v>70.55492195206709</v>
      </c>
      <c r="R28" s="755">
        <f t="shared" si="0"/>
        <v>314.40198466940274</v>
      </c>
      <c r="S28" s="55">
        <f t="shared" si="1"/>
        <v>397.99420920299775</v>
      </c>
      <c r="T28" s="720">
        <f t="shared" si="2"/>
        <v>712.39619387240054</v>
      </c>
    </row>
    <row r="29" spans="1:20" ht="18" customHeight="1">
      <c r="A29" s="1003"/>
      <c r="B29" s="1006"/>
      <c r="C29" s="31">
        <v>1212</v>
      </c>
      <c r="D29" s="44" t="s">
        <v>122</v>
      </c>
      <c r="E29" s="746">
        <f>'[7]Falhas UM-1'!I29</f>
        <v>860.77808000000005</v>
      </c>
      <c r="F29" s="734">
        <f>$E29/1000*'Falhas UM-1 - Qty'!F29</f>
        <v>11.172866788200468</v>
      </c>
      <c r="G29" s="175">
        <f>$E29/1000*'Falhas UM-1 - Qty'!G29</f>
        <v>6.0968842303135737</v>
      </c>
      <c r="H29" s="175">
        <f>$E29/1000*'Falhas UM-1 - Qty'!H29</f>
        <v>6.0689069177331421</v>
      </c>
      <c r="I29" s="175">
        <f>$E29/1000*'Falhas UM-1 - Qty'!I29</f>
        <v>6.1330760907854138</v>
      </c>
      <c r="J29" s="175">
        <f>$E29/1000*'Falhas UM-1 - Qty'!J29</f>
        <v>11.078879713495773</v>
      </c>
      <c r="K29" s="175">
        <f>$E29/1000*'Falhas UM-1 - Qty'!K29</f>
        <v>12.838402524087192</v>
      </c>
      <c r="L29" s="175">
        <f>$E29/1000*'Falhas UM-1 - Qty'!L29</f>
        <v>12.929802469802786</v>
      </c>
      <c r="M29" s="175">
        <f>$E29/1000*'Falhas UM-1 - Qty'!M29</f>
        <v>12.944604605923869</v>
      </c>
      <c r="N29" s="175">
        <f>$E29/1000*'Falhas UM-1 - Qty'!N29</f>
        <v>10.378497062222451</v>
      </c>
      <c r="O29" s="175">
        <f>$E29/1000*'Falhas UM-1 - Qty'!O29</f>
        <v>9.6182287435655613</v>
      </c>
      <c r="P29" s="175">
        <f>$E29/1000*'Falhas UM-1 - Qty'!P29</f>
        <v>9.7317649535490265</v>
      </c>
      <c r="Q29" s="177">
        <f>$E29/1000*'Falhas UM-1 - Qty'!Q29</f>
        <v>11.981024482426486</v>
      </c>
      <c r="R29" s="758">
        <f t="shared" si="0"/>
        <v>53.389016264615563</v>
      </c>
      <c r="S29" s="175">
        <f t="shared" si="1"/>
        <v>67.583922317490178</v>
      </c>
      <c r="T29" s="723">
        <f t="shared" si="2"/>
        <v>120.97293858210574</v>
      </c>
    </row>
    <row r="30" spans="1:20" ht="18" customHeight="1">
      <c r="A30" s="1003"/>
      <c r="B30" s="1006"/>
      <c r="C30" s="31">
        <v>1214</v>
      </c>
      <c r="D30" s="43" t="s">
        <v>123</v>
      </c>
      <c r="E30" s="745">
        <f>'[7]Falhas UM-1'!I30</f>
        <v>860.77808000000005</v>
      </c>
      <c r="F30" s="124">
        <f>$E30/1000*'Falhas UM-1 - Qty'!F30</f>
        <v>7.4485778588003111</v>
      </c>
      <c r="G30" s="165">
        <f>$E30/1000*'Falhas UM-1 - Qty'!G30</f>
        <v>4.0645894868757155</v>
      </c>
      <c r="H30" s="165">
        <f>$E30/1000*'Falhas UM-1 - Qty'!H30</f>
        <v>4.045937945155428</v>
      </c>
      <c r="I30" s="165">
        <f>$E30/1000*'Falhas UM-1 - Qty'!I30</f>
        <v>4.0887173938569434</v>
      </c>
      <c r="J30" s="165">
        <f>$E30/1000*'Falhas UM-1 - Qty'!J30</f>
        <v>7.3859198089971816</v>
      </c>
      <c r="K30" s="165">
        <f>$E30/1000*'Falhas UM-1 - Qty'!K30</f>
        <v>8.5589350160581272</v>
      </c>
      <c r="L30" s="165">
        <f>$E30/1000*'Falhas UM-1 - Qty'!L30</f>
        <v>8.6198683132018576</v>
      </c>
      <c r="M30" s="165">
        <f>$E30/1000*'Falhas UM-1 - Qty'!M30</f>
        <v>8.6297364039492468</v>
      </c>
      <c r="N30" s="165">
        <f>$E30/1000*'Falhas UM-1 - Qty'!N30</f>
        <v>6.9189980414816352</v>
      </c>
      <c r="O30" s="165">
        <f>$E30/1000*'Falhas UM-1 - Qty'!O30</f>
        <v>6.4121524957103748</v>
      </c>
      <c r="P30" s="165">
        <f>$E30/1000*'Falhas UM-1 - Qty'!P30</f>
        <v>6.4878433023660174</v>
      </c>
      <c r="Q30" s="176">
        <f>$E30/1000*'Falhas UM-1 - Qty'!Q30</f>
        <v>7.9873496549509913</v>
      </c>
      <c r="R30" s="755">
        <f t="shared" si="0"/>
        <v>35.592677509743709</v>
      </c>
      <c r="S30" s="55">
        <f t="shared" si="1"/>
        <v>45.055948211660123</v>
      </c>
      <c r="T30" s="720">
        <f t="shared" si="2"/>
        <v>80.648625721403832</v>
      </c>
    </row>
    <row r="31" spans="1:20" ht="18" customHeight="1">
      <c r="A31" s="1003"/>
      <c r="B31" s="1006"/>
      <c r="C31" s="31">
        <f>C28+10</f>
        <v>1220</v>
      </c>
      <c r="D31" s="43" t="s">
        <v>24</v>
      </c>
      <c r="E31" s="745">
        <f>'[7]Falhas UM-1'!I31</f>
        <v>860.77808000000005</v>
      </c>
      <c r="F31" s="124">
        <f>$E31/1000*'Falhas UM-1 - Qty'!F31</f>
        <v>76.968637874269902</v>
      </c>
      <c r="G31" s="165">
        <f>$E31/1000*'Falhas UM-1 - Qty'!G31</f>
        <v>42.000758031049067</v>
      </c>
      <c r="H31" s="165">
        <f>$E31/1000*'Falhas UM-1 - Qty'!H31</f>
        <v>41.808025433272753</v>
      </c>
      <c r="I31" s="165">
        <f>$E31/1000*'Falhas UM-1 - Qty'!I31</f>
        <v>42.250079736521748</v>
      </c>
      <c r="J31" s="165">
        <f>$E31/1000*'Falhas UM-1 - Qty'!J31</f>
        <v>76.321171359637546</v>
      </c>
      <c r="K31" s="165">
        <f>$E31/1000*'Falhas UM-1 - Qty'!K31</f>
        <v>88.442328499267319</v>
      </c>
      <c r="L31" s="165">
        <f>$E31/1000*'Falhas UM-1 - Qty'!L31</f>
        <v>89.071972569752532</v>
      </c>
      <c r="M31" s="165">
        <f>$E31/1000*'Falhas UM-1 - Qty'!M31</f>
        <v>89.173942840808863</v>
      </c>
      <c r="N31" s="165">
        <f>$E31/1000*'Falhas UM-1 - Qty'!N31</f>
        <v>71.496313095310214</v>
      </c>
      <c r="O31" s="165">
        <f>$E31/1000*'Falhas UM-1 - Qty'!O31</f>
        <v>66.258909122340526</v>
      </c>
      <c r="P31" s="165">
        <f>$E31/1000*'Falhas UM-1 - Qty'!P31</f>
        <v>67.041047457782184</v>
      </c>
      <c r="Q31" s="176">
        <f>$E31/1000*'Falhas UM-1 - Qty'!Q31</f>
        <v>82.535946434493582</v>
      </c>
      <c r="R31" s="755">
        <f t="shared" si="0"/>
        <v>367.79100093401831</v>
      </c>
      <c r="S31" s="55">
        <f t="shared" si="1"/>
        <v>465.57813152048789</v>
      </c>
      <c r="T31" s="720">
        <f t="shared" si="2"/>
        <v>833.36913245450614</v>
      </c>
    </row>
    <row r="32" spans="1:20" ht="18" customHeight="1">
      <c r="A32" s="1003"/>
      <c r="B32" s="1006"/>
      <c r="C32" s="31">
        <f t="shared" si="5"/>
        <v>1230</v>
      </c>
      <c r="D32" s="43" t="s">
        <v>23</v>
      </c>
      <c r="E32" s="745">
        <f>'[7]Falhas UM-1'!I32</f>
        <v>860.77808000000005</v>
      </c>
      <c r="F32" s="124">
        <f>$E32/1000*'Falhas UM-1 - Qty'!F32</f>
        <v>22.345733576400935</v>
      </c>
      <c r="G32" s="165">
        <f>$E32/1000*'Falhas UM-1 - Qty'!G32</f>
        <v>12.193768460627147</v>
      </c>
      <c r="H32" s="165">
        <f>$E32/1000*'Falhas UM-1 - Qty'!H32</f>
        <v>12.137813835466284</v>
      </c>
      <c r="I32" s="165">
        <f>$E32/1000*'Falhas UM-1 - Qty'!I32</f>
        <v>12.266152181570828</v>
      </c>
      <c r="J32" s="165">
        <f>$E32/1000*'Falhas UM-1 - Qty'!J32</f>
        <v>22.157759426991547</v>
      </c>
      <c r="K32" s="165">
        <f>$E32/1000*'Falhas UM-1 - Qty'!K32</f>
        <v>25.676805048174383</v>
      </c>
      <c r="L32" s="165">
        <f>$E32/1000*'Falhas UM-1 - Qty'!L32</f>
        <v>25.859604939605571</v>
      </c>
      <c r="M32" s="165">
        <f>$E32/1000*'Falhas UM-1 - Qty'!M32</f>
        <v>25.889209211847739</v>
      </c>
      <c r="N32" s="165">
        <f>$E32/1000*'Falhas UM-1 - Qty'!N32</f>
        <v>20.756994124444901</v>
      </c>
      <c r="O32" s="165">
        <f>$E32/1000*'Falhas UM-1 - Qty'!O32</f>
        <v>19.236457487131123</v>
      </c>
      <c r="P32" s="165">
        <f>$E32/1000*'Falhas UM-1 - Qty'!P32</f>
        <v>19.463529907098053</v>
      </c>
      <c r="Q32" s="176">
        <f>$E32/1000*'Falhas UM-1 - Qty'!Q32</f>
        <v>23.962048964852972</v>
      </c>
      <c r="R32" s="755">
        <f t="shared" si="0"/>
        <v>106.77803252923113</v>
      </c>
      <c r="S32" s="55">
        <f t="shared" si="1"/>
        <v>135.16784463498036</v>
      </c>
      <c r="T32" s="720">
        <f t="shared" si="2"/>
        <v>241.94587716421148</v>
      </c>
    </row>
    <row r="33" spans="1:20" ht="18" customHeight="1">
      <c r="A33" s="1003"/>
      <c r="B33" s="1006"/>
      <c r="C33" s="31">
        <f t="shared" si="5"/>
        <v>1240</v>
      </c>
      <c r="D33" s="43" t="s">
        <v>22</v>
      </c>
      <c r="E33" s="745">
        <f>'[7]Falhas UM-1'!I33</f>
        <v>860.77808000000005</v>
      </c>
      <c r="F33" s="124">
        <f>$E33/1000*'Falhas UM-1 - Qty'!F33</f>
        <v>18.621444647000779</v>
      </c>
      <c r="G33" s="165">
        <f>$E33/1000*'Falhas UM-1 - Qty'!G33</f>
        <v>10.16147371718929</v>
      </c>
      <c r="H33" s="165">
        <f>$E33/1000*'Falhas UM-1 - Qty'!H33</f>
        <v>10.114844862888569</v>
      </c>
      <c r="I33" s="165">
        <f>$E33/1000*'Falhas UM-1 - Qty'!I33</f>
        <v>10.221793484642356</v>
      </c>
      <c r="J33" s="165">
        <f>$E33/1000*'Falhas UM-1 - Qty'!J33</f>
        <v>18.464799522492957</v>
      </c>
      <c r="K33" s="165">
        <f>$E33/1000*'Falhas UM-1 - Qty'!K33</f>
        <v>21.397337540145323</v>
      </c>
      <c r="L33" s="165">
        <f>$E33/1000*'Falhas UM-1 - Qty'!L33</f>
        <v>21.549670783004643</v>
      </c>
      <c r="M33" s="165">
        <f>$E33/1000*'Falhas UM-1 - Qty'!M33</f>
        <v>21.574341009873113</v>
      </c>
      <c r="N33" s="165">
        <f>$E33/1000*'Falhas UM-1 - Qty'!N33</f>
        <v>17.297495103704083</v>
      </c>
      <c r="O33" s="165">
        <f>$E33/1000*'Falhas UM-1 - Qty'!O33</f>
        <v>16.030381239275936</v>
      </c>
      <c r="P33" s="165">
        <f>$E33/1000*'Falhas UM-1 - Qty'!P33</f>
        <v>16.219608255915041</v>
      </c>
      <c r="Q33" s="176">
        <f>$E33/1000*'Falhas UM-1 - Qty'!Q33</f>
        <v>19.968374137377474</v>
      </c>
      <c r="R33" s="755">
        <f t="shared" si="0"/>
        <v>88.981693774359258</v>
      </c>
      <c r="S33" s="55">
        <f t="shared" si="1"/>
        <v>112.6398705291503</v>
      </c>
      <c r="T33" s="720">
        <f t="shared" si="2"/>
        <v>201.62156430350956</v>
      </c>
    </row>
    <row r="34" spans="1:20" ht="18" customHeight="1">
      <c r="A34" s="1003"/>
      <c r="B34" s="1006"/>
      <c r="C34" s="36">
        <v>1250</v>
      </c>
      <c r="D34" s="730" t="s">
        <v>116</v>
      </c>
      <c r="E34" s="747">
        <f>'[7]Falhas UM-1'!I34</f>
        <v>860.77808000000005</v>
      </c>
      <c r="F34" s="735">
        <f>$E34/1000*'Falhas UM-1 - Qty'!F34</f>
        <v>68.278630372336195</v>
      </c>
      <c r="G34" s="125">
        <f>$E34/1000*'Falhas UM-1 - Qty'!G34</f>
        <v>37.258736963027388</v>
      </c>
      <c r="H34" s="125">
        <f>$E34/1000*'Falhas UM-1 - Qty'!H34</f>
        <v>37.087764497258078</v>
      </c>
      <c r="I34" s="125">
        <f>$E34/1000*'Falhas UM-1 - Qty'!I34</f>
        <v>37.479909443688648</v>
      </c>
      <c r="J34" s="125">
        <f>$E34/1000*'Falhas UM-1 - Qty'!J34</f>
        <v>67.704264915807499</v>
      </c>
      <c r="K34" s="125">
        <f>$E34/1000*'Falhas UM-1 - Qty'!K34</f>
        <v>78.456904313866161</v>
      </c>
      <c r="L34" s="125">
        <f>$E34/1000*'Falhas UM-1 - Qty'!L34</f>
        <v>79.015459537683682</v>
      </c>
      <c r="M34" s="125">
        <f>$E34/1000*'Falhas UM-1 - Qty'!M34</f>
        <v>79.105917036201419</v>
      </c>
      <c r="N34" s="125">
        <f>$E34/1000*'Falhas UM-1 - Qty'!N34</f>
        <v>63.424148713581644</v>
      </c>
      <c r="O34" s="125">
        <f>$E34/1000*'Falhas UM-1 - Qty'!O34</f>
        <v>58.778064544011762</v>
      </c>
      <c r="P34" s="125">
        <f>$E34/1000*'Falhas UM-1 - Qty'!P34</f>
        <v>59.471896938355165</v>
      </c>
      <c r="Q34" s="753">
        <f>$E34/1000*'Falhas UM-1 - Qty'!Q34</f>
        <v>73.217371837050734</v>
      </c>
      <c r="R34" s="759">
        <f t="shared" si="0"/>
        <v>326.26621050598396</v>
      </c>
      <c r="S34" s="56">
        <f t="shared" si="1"/>
        <v>413.01285860688438</v>
      </c>
      <c r="T34" s="724">
        <f t="shared" si="2"/>
        <v>739.27906911286834</v>
      </c>
    </row>
    <row r="35" spans="1:20" ht="18" customHeight="1" thickBot="1">
      <c r="A35" s="1004"/>
      <c r="B35" s="1007"/>
      <c r="C35" s="38">
        <v>1260</v>
      </c>
      <c r="D35" s="45" t="s">
        <v>124</v>
      </c>
      <c r="E35" s="748">
        <f>'[7]Falhas UM-1'!I35</f>
        <v>0</v>
      </c>
      <c r="F35" s="736">
        <f>$E35/1000*'Falhas UM-1 - Qty'!F35</f>
        <v>0</v>
      </c>
      <c r="G35" s="166">
        <f>$E35/1000*'Falhas UM-1 - Qty'!G35</f>
        <v>0</v>
      </c>
      <c r="H35" s="166">
        <f>$E35/1000*'Falhas UM-1 - Qty'!H35</f>
        <v>0</v>
      </c>
      <c r="I35" s="166">
        <f>$E35/1000*'Falhas UM-1 - Qty'!I35</f>
        <v>0</v>
      </c>
      <c r="J35" s="166">
        <f>$E35/1000*'Falhas UM-1 - Qty'!J35</f>
        <v>0</v>
      </c>
      <c r="K35" s="166">
        <f>$E35/1000*'Falhas UM-1 - Qty'!K35</f>
        <v>0</v>
      </c>
      <c r="L35" s="166">
        <f>$E35/1000*'Falhas UM-1 - Qty'!L35</f>
        <v>0</v>
      </c>
      <c r="M35" s="166">
        <f>$E35/1000*'Falhas UM-1 - Qty'!M35</f>
        <v>0</v>
      </c>
      <c r="N35" s="166">
        <f>$E35/1000*'Falhas UM-1 - Qty'!N35</f>
        <v>0</v>
      </c>
      <c r="O35" s="166">
        <f>$E35/1000*'Falhas UM-1 - Qty'!O35</f>
        <v>0</v>
      </c>
      <c r="P35" s="166">
        <f>$E35/1000*'Falhas UM-1 - Qty'!P35</f>
        <v>0</v>
      </c>
      <c r="Q35" s="178">
        <f>$E35/1000*'Falhas UM-1 - Qty'!Q35</f>
        <v>0</v>
      </c>
      <c r="R35" s="760">
        <f t="shared" si="0"/>
        <v>0</v>
      </c>
      <c r="S35" s="57">
        <f t="shared" si="1"/>
        <v>0</v>
      </c>
      <c r="T35" s="725">
        <f t="shared" si="2"/>
        <v>0</v>
      </c>
    </row>
    <row r="36" spans="1:20" ht="18" customHeight="1" thickTop="1" thickBot="1">
      <c r="A36" s="1018" t="s">
        <v>21</v>
      </c>
      <c r="B36" s="1020" t="s">
        <v>20</v>
      </c>
      <c r="C36" s="40"/>
      <c r="D36" s="731" t="s">
        <v>1</v>
      </c>
      <c r="E36" s="743">
        <f>'[7]Falhas UM-1'!I36</f>
        <v>544.25827675734945</v>
      </c>
      <c r="F36" s="174">
        <f>SUBTOTAL(109,F23:F35)</f>
        <v>541.26332440615602</v>
      </c>
      <c r="G36" s="174">
        <f t="shared" ref="G36:Q36" si="6">SUBTOTAL(109,G23:G35)</f>
        <v>295.36016937963535</v>
      </c>
      <c r="H36" s="174">
        <f t="shared" si="6"/>
        <v>294.00482401462773</v>
      </c>
      <c r="I36" s="174">
        <f t="shared" si="6"/>
        <v>297.11346395360454</v>
      </c>
      <c r="J36" s="174">
        <f t="shared" si="6"/>
        <v>536.71017278712861</v>
      </c>
      <c r="K36" s="174">
        <f t="shared" si="6"/>
        <v>621.94927783355729</v>
      </c>
      <c r="L36" s="174">
        <f t="shared" si="6"/>
        <v>626.37709742600168</v>
      </c>
      <c r="M36" s="174">
        <f t="shared" si="6"/>
        <v>627.09417868697847</v>
      </c>
      <c r="N36" s="174">
        <f t="shared" si="6"/>
        <v>502.78052434766533</v>
      </c>
      <c r="O36" s="174">
        <f t="shared" si="6"/>
        <v>465.94974802162056</v>
      </c>
      <c r="P36" s="174">
        <f t="shared" si="6"/>
        <v>471.44994663859728</v>
      </c>
      <c r="Q36" s="711">
        <f t="shared" si="6"/>
        <v>580.41407492643862</v>
      </c>
      <c r="R36" s="756">
        <f t="shared" si="0"/>
        <v>2586.4012323747093</v>
      </c>
      <c r="S36" s="58">
        <f t="shared" si="1"/>
        <v>3274.0655700473017</v>
      </c>
      <c r="T36" s="721">
        <f t="shared" si="2"/>
        <v>5860.4668024220109</v>
      </c>
    </row>
    <row r="37" spans="1:20" ht="18" customHeight="1" thickTop="1">
      <c r="A37" s="1018"/>
      <c r="B37" s="998"/>
      <c r="C37" s="42">
        <v>1280</v>
      </c>
      <c r="D37" s="43" t="s">
        <v>19</v>
      </c>
      <c r="E37" s="745">
        <f>'[7]Falhas UM-1'!I37</f>
        <v>860.77808000000005</v>
      </c>
      <c r="F37" s="737">
        <f>$E37/1000*'Falhas UM-1 - Qty'!F37</f>
        <v>7.4485778588003111</v>
      </c>
      <c r="G37" s="176">
        <f>$E37/1000*'Falhas UM-1 - Qty'!G37</f>
        <v>4.0645894868757155</v>
      </c>
      <c r="H37" s="176">
        <f>$E37/1000*'Falhas UM-1 - Qty'!H37</f>
        <v>4.045937945155428</v>
      </c>
      <c r="I37" s="176">
        <f>$E37/1000*'Falhas UM-1 - Qty'!I37</f>
        <v>4.0887173938569434</v>
      </c>
      <c r="J37" s="176">
        <f>$E37/1000*'Falhas UM-1 - Qty'!J37</f>
        <v>7.3859198089971816</v>
      </c>
      <c r="K37" s="176">
        <f>$E37/1000*'Falhas UM-1 - Qty'!K37</f>
        <v>8.5589350160581272</v>
      </c>
      <c r="L37" s="176">
        <f>$E37/1000*'Falhas UM-1 - Qty'!L37</f>
        <v>8.6198683132018576</v>
      </c>
      <c r="M37" s="176">
        <f>$E37/1000*'Falhas UM-1 - Qty'!M37</f>
        <v>8.6297364039492468</v>
      </c>
      <c r="N37" s="176">
        <f>$E37/1000*'Falhas UM-1 - Qty'!N37</f>
        <v>6.9189980414816352</v>
      </c>
      <c r="O37" s="176">
        <f>$E37/1000*'Falhas UM-1 - Qty'!O37</f>
        <v>6.4121524957103748</v>
      </c>
      <c r="P37" s="176">
        <f>$E37/1000*'Falhas UM-1 - Qty'!P37</f>
        <v>6.4878433023660174</v>
      </c>
      <c r="Q37" s="176">
        <f>$E37/1000*'Falhas UM-1 - Qty'!Q37</f>
        <v>7.9873496549509913</v>
      </c>
      <c r="R37" s="761">
        <f t="shared" si="0"/>
        <v>35.592677509743709</v>
      </c>
      <c r="S37" s="713">
        <f t="shared" si="1"/>
        <v>45.055948211660123</v>
      </c>
      <c r="T37" s="719">
        <f t="shared" si="2"/>
        <v>80.648625721403832</v>
      </c>
    </row>
    <row r="38" spans="1:20" ht="18" customHeight="1">
      <c r="A38" s="1018"/>
      <c r="B38" s="998"/>
      <c r="C38" s="42">
        <f>C37+10</f>
        <v>1290</v>
      </c>
      <c r="D38" s="43" t="s">
        <v>18</v>
      </c>
      <c r="E38" s="745">
        <f>'[7]Falhas UM-1'!I38</f>
        <v>860.77808000000005</v>
      </c>
      <c r="F38" s="737">
        <f>$E38/1000*'Falhas UM-1 - Qty'!F38</f>
        <v>3.7242889294001555</v>
      </c>
      <c r="G38" s="176">
        <f>$E38/1000*'Falhas UM-1 - Qty'!G38</f>
        <v>2.0322947434378578</v>
      </c>
      <c r="H38" s="176">
        <f>$E38/1000*'Falhas UM-1 - Qty'!H38</f>
        <v>2.022968972577714</v>
      </c>
      <c r="I38" s="176">
        <f>$E38/1000*'Falhas UM-1 - Qty'!I38</f>
        <v>2.0443586969284717</v>
      </c>
      <c r="J38" s="176">
        <f>$E38/1000*'Falhas UM-1 - Qty'!J38</f>
        <v>3.6929599044985908</v>
      </c>
      <c r="K38" s="176">
        <f>$E38/1000*'Falhas UM-1 - Qty'!K38</f>
        <v>4.2794675080290636</v>
      </c>
      <c r="L38" s="176">
        <f>$E38/1000*'Falhas UM-1 - Qty'!L38</f>
        <v>4.3099341566009288</v>
      </c>
      <c r="M38" s="176">
        <f>$E38/1000*'Falhas UM-1 - Qty'!M38</f>
        <v>4.3148682019746234</v>
      </c>
      <c r="N38" s="176">
        <f>$E38/1000*'Falhas UM-1 - Qty'!N38</f>
        <v>3.4594990207408176</v>
      </c>
      <c r="O38" s="176">
        <f>$E38/1000*'Falhas UM-1 - Qty'!O38</f>
        <v>3.2060762478551874</v>
      </c>
      <c r="P38" s="176">
        <f>$E38/1000*'Falhas UM-1 - Qty'!P38</f>
        <v>3.2439216511830087</v>
      </c>
      <c r="Q38" s="176">
        <f>$E38/1000*'Falhas UM-1 - Qty'!Q38</f>
        <v>3.9936748274754956</v>
      </c>
      <c r="R38" s="755">
        <f t="shared" ref="R38:R57" si="7">SUM(F38:K38)</f>
        <v>17.796338754871854</v>
      </c>
      <c r="S38" s="714">
        <f t="shared" ref="S38:S58" si="8">SUM(L38:Q38)</f>
        <v>22.527974105830062</v>
      </c>
      <c r="T38" s="720">
        <f t="shared" ref="T38:T58" si="9">R38+S38</f>
        <v>40.324312860701916</v>
      </c>
    </row>
    <row r="39" spans="1:20" ht="18" customHeight="1">
      <c r="A39" s="1018"/>
      <c r="B39" s="998"/>
      <c r="C39" s="42">
        <f t="shared" ref="C39:C56" si="10">C38+10</f>
        <v>1300</v>
      </c>
      <c r="D39" s="43" t="s">
        <v>17</v>
      </c>
      <c r="E39" s="745">
        <f>'[7]Falhas UM-1'!I39</f>
        <v>860.77808000000005</v>
      </c>
      <c r="F39" s="737">
        <f>$E39/1000*'Falhas UM-1 - Qty'!F39</f>
        <v>2.4828592862667707</v>
      </c>
      <c r="G39" s="176">
        <f>$E39/1000*'Falhas UM-1 - Qty'!G39</f>
        <v>1.3548631622919054</v>
      </c>
      <c r="H39" s="176">
        <f>$E39/1000*'Falhas UM-1 - Qty'!H39</f>
        <v>1.3486459817184757</v>
      </c>
      <c r="I39" s="176">
        <f>$E39/1000*'Falhas UM-1 - Qty'!I39</f>
        <v>1.3629057979523145</v>
      </c>
      <c r="J39" s="176">
        <f>$E39/1000*'Falhas UM-1 - Qty'!J39</f>
        <v>2.461973269665727</v>
      </c>
      <c r="K39" s="176">
        <f>$E39/1000*'Falhas UM-1 - Qty'!K39</f>
        <v>2.8529783386860426</v>
      </c>
      <c r="L39" s="176">
        <f>$E39/1000*'Falhas UM-1 - Qty'!L39</f>
        <v>2.8732894377339524</v>
      </c>
      <c r="M39" s="176">
        <f>$E39/1000*'Falhas UM-1 - Qty'!M39</f>
        <v>2.8765788013164149</v>
      </c>
      <c r="N39" s="176">
        <f>$E39/1000*'Falhas UM-1 - Qty'!N39</f>
        <v>2.306332680493878</v>
      </c>
      <c r="O39" s="176">
        <f>$E39/1000*'Falhas UM-1 - Qty'!O39</f>
        <v>2.1373841652367918</v>
      </c>
      <c r="P39" s="176">
        <f>$E39/1000*'Falhas UM-1 - Qty'!P39</f>
        <v>2.1626144341220055</v>
      </c>
      <c r="Q39" s="176">
        <f>$E39/1000*'Falhas UM-1 - Qty'!Q39</f>
        <v>2.6624498849836633</v>
      </c>
      <c r="R39" s="755">
        <f t="shared" si="7"/>
        <v>11.864225836581236</v>
      </c>
      <c r="S39" s="714">
        <f t="shared" si="8"/>
        <v>15.018649403886707</v>
      </c>
      <c r="T39" s="720">
        <f t="shared" si="9"/>
        <v>26.882875240467943</v>
      </c>
    </row>
    <row r="40" spans="1:20" ht="18" customHeight="1">
      <c r="A40" s="1018"/>
      <c r="B40" s="998"/>
      <c r="C40" s="42">
        <f t="shared" si="10"/>
        <v>1310</v>
      </c>
      <c r="D40" s="43" t="s">
        <v>16</v>
      </c>
      <c r="E40" s="745">
        <f>'[7]Falhas UM-1'!I40</f>
        <v>860.77808000000005</v>
      </c>
      <c r="F40" s="737">
        <f>$E40/1000*'Falhas UM-1 - Qty'!F40</f>
        <v>2.4828592862667707</v>
      </c>
      <c r="G40" s="176">
        <f>$E40/1000*'Falhas UM-1 - Qty'!G40</f>
        <v>1.3548631622919054</v>
      </c>
      <c r="H40" s="176">
        <f>$E40/1000*'Falhas UM-1 - Qty'!H40</f>
        <v>1.3486459817184757</v>
      </c>
      <c r="I40" s="176">
        <f>$E40/1000*'Falhas UM-1 - Qty'!I40</f>
        <v>1.3629057979523145</v>
      </c>
      <c r="J40" s="176">
        <f>$E40/1000*'Falhas UM-1 - Qty'!J40</f>
        <v>2.461973269665727</v>
      </c>
      <c r="K40" s="176">
        <f>$E40/1000*'Falhas UM-1 - Qty'!K40</f>
        <v>2.8529783386860426</v>
      </c>
      <c r="L40" s="176">
        <f>$E40/1000*'Falhas UM-1 - Qty'!L40</f>
        <v>2.8732894377339524</v>
      </c>
      <c r="M40" s="176">
        <f>$E40/1000*'Falhas UM-1 - Qty'!M40</f>
        <v>2.8765788013164149</v>
      </c>
      <c r="N40" s="176">
        <f>$E40/1000*'Falhas UM-1 - Qty'!N40</f>
        <v>2.306332680493878</v>
      </c>
      <c r="O40" s="176">
        <f>$E40/1000*'Falhas UM-1 - Qty'!O40</f>
        <v>2.1373841652367918</v>
      </c>
      <c r="P40" s="176">
        <f>$E40/1000*'Falhas UM-1 - Qty'!P40</f>
        <v>2.1626144341220055</v>
      </c>
      <c r="Q40" s="176">
        <f>$E40/1000*'Falhas UM-1 - Qty'!Q40</f>
        <v>2.6624498849836633</v>
      </c>
      <c r="R40" s="755">
        <f t="shared" si="7"/>
        <v>11.864225836581236</v>
      </c>
      <c r="S40" s="714">
        <f t="shared" si="8"/>
        <v>15.018649403886707</v>
      </c>
      <c r="T40" s="720">
        <f t="shared" si="9"/>
        <v>26.882875240467943</v>
      </c>
    </row>
    <row r="41" spans="1:20" ht="18" customHeight="1">
      <c r="A41" s="1018"/>
      <c r="B41" s="998"/>
      <c r="C41" s="42">
        <f t="shared" si="10"/>
        <v>1320</v>
      </c>
      <c r="D41" s="43" t="s">
        <v>15</v>
      </c>
      <c r="E41" s="745">
        <f>'[7]Falhas UM-1'!I41</f>
        <v>860.77808000000005</v>
      </c>
      <c r="F41" s="737">
        <f>$E41/1000*'Falhas UM-1 - Qty'!F41</f>
        <v>22.345733576400935</v>
      </c>
      <c r="G41" s="176">
        <f>$E41/1000*'Falhas UM-1 - Qty'!G41</f>
        <v>12.193768460627147</v>
      </c>
      <c r="H41" s="176">
        <f>$E41/1000*'Falhas UM-1 - Qty'!H41</f>
        <v>12.137813835466284</v>
      </c>
      <c r="I41" s="176">
        <f>$E41/1000*'Falhas UM-1 - Qty'!I41</f>
        <v>12.266152181570828</v>
      </c>
      <c r="J41" s="176">
        <f>$E41/1000*'Falhas UM-1 - Qty'!J41</f>
        <v>22.157759426991547</v>
      </c>
      <c r="K41" s="176">
        <f>$E41/1000*'Falhas UM-1 - Qty'!K41</f>
        <v>25.676805048174383</v>
      </c>
      <c r="L41" s="176">
        <f>$E41/1000*'Falhas UM-1 - Qty'!L41</f>
        <v>25.859604939605571</v>
      </c>
      <c r="M41" s="176">
        <f>$E41/1000*'Falhas UM-1 - Qty'!M41</f>
        <v>25.889209211847739</v>
      </c>
      <c r="N41" s="176">
        <f>$E41/1000*'Falhas UM-1 - Qty'!N41</f>
        <v>20.756994124444901</v>
      </c>
      <c r="O41" s="176">
        <f>$E41/1000*'Falhas UM-1 - Qty'!O41</f>
        <v>19.236457487131123</v>
      </c>
      <c r="P41" s="176">
        <f>$E41/1000*'Falhas UM-1 - Qty'!P41</f>
        <v>19.463529907098053</v>
      </c>
      <c r="Q41" s="176">
        <f>$E41/1000*'Falhas UM-1 - Qty'!Q41</f>
        <v>23.962048964852972</v>
      </c>
      <c r="R41" s="755">
        <f t="shared" si="7"/>
        <v>106.77803252923113</v>
      </c>
      <c r="S41" s="714">
        <f t="shared" si="8"/>
        <v>135.16784463498036</v>
      </c>
      <c r="T41" s="720">
        <f t="shared" si="9"/>
        <v>241.94587716421148</v>
      </c>
    </row>
    <row r="42" spans="1:20" ht="18" customHeight="1">
      <c r="A42" s="1018"/>
      <c r="B42" s="998"/>
      <c r="C42" s="42">
        <f t="shared" si="10"/>
        <v>1330</v>
      </c>
      <c r="D42" s="43" t="s">
        <v>14</v>
      </c>
      <c r="E42" s="745">
        <f>'[7]Falhas UM-1'!I42</f>
        <v>860.77808000000005</v>
      </c>
      <c r="F42" s="737">
        <f>$E42/1000*'Falhas UM-1 - Qty'!F42</f>
        <v>19.862874290134165</v>
      </c>
      <c r="G42" s="176">
        <f>$E42/1000*'Falhas UM-1 - Qty'!G42</f>
        <v>10.838905298335243</v>
      </c>
      <c r="H42" s="176">
        <f>$E42/1000*'Falhas UM-1 - Qty'!H42</f>
        <v>10.789167853747806</v>
      </c>
      <c r="I42" s="176">
        <f>$E42/1000*'Falhas UM-1 - Qty'!I42</f>
        <v>10.903246383618516</v>
      </c>
      <c r="J42" s="176">
        <f>$E42/1000*'Falhas UM-1 - Qty'!J42</f>
        <v>19.695786157325816</v>
      </c>
      <c r="K42" s="176">
        <f>$E42/1000*'Falhas UM-1 - Qty'!K42</f>
        <v>22.82382670948834</v>
      </c>
      <c r="L42" s="176">
        <f>$E42/1000*'Falhas UM-1 - Qty'!L42</f>
        <v>22.986315501871619</v>
      </c>
      <c r="M42" s="176">
        <f>$E42/1000*'Falhas UM-1 - Qty'!M42</f>
        <v>23.012630410531319</v>
      </c>
      <c r="N42" s="176">
        <f>$E42/1000*'Falhas UM-1 - Qty'!N42</f>
        <v>18.450661443951024</v>
      </c>
      <c r="O42" s="176">
        <f>$E42/1000*'Falhas UM-1 - Qty'!O42</f>
        <v>17.099073321894334</v>
      </c>
      <c r="P42" s="176">
        <f>$E42/1000*'Falhas UM-1 - Qty'!P42</f>
        <v>17.300915472976044</v>
      </c>
      <c r="Q42" s="176">
        <f>$E42/1000*'Falhas UM-1 - Qty'!Q42</f>
        <v>21.299599079869306</v>
      </c>
      <c r="R42" s="755">
        <f t="shared" si="7"/>
        <v>94.913806692649885</v>
      </c>
      <c r="S42" s="714">
        <f t="shared" si="8"/>
        <v>120.14919523109366</v>
      </c>
      <c r="T42" s="720">
        <f t="shared" si="9"/>
        <v>215.06300192374354</v>
      </c>
    </row>
    <row r="43" spans="1:20" ht="18" customHeight="1">
      <c r="A43" s="1018"/>
      <c r="B43" s="998"/>
      <c r="C43" s="42">
        <f t="shared" si="10"/>
        <v>1340</v>
      </c>
      <c r="D43" s="43" t="s">
        <v>121</v>
      </c>
      <c r="E43" s="745">
        <f>'[7]Falhas UM-1'!I43</f>
        <v>860.77808000000005</v>
      </c>
      <c r="F43" s="737">
        <f>$E43/1000*'Falhas UM-1 - Qty'!F43</f>
        <v>14.897155717600622</v>
      </c>
      <c r="G43" s="176">
        <f>$E43/1000*'Falhas UM-1 - Qty'!G43</f>
        <v>8.1291789737514311</v>
      </c>
      <c r="H43" s="176">
        <f>$E43/1000*'Falhas UM-1 - Qty'!H43</f>
        <v>8.0918758903108561</v>
      </c>
      <c r="I43" s="176">
        <f>$E43/1000*'Falhas UM-1 - Qty'!I43</f>
        <v>8.1774347877138869</v>
      </c>
      <c r="J43" s="176">
        <f>$E43/1000*'Falhas UM-1 - Qty'!J43</f>
        <v>14.771839617994363</v>
      </c>
      <c r="K43" s="176">
        <f>$E43/1000*'Falhas UM-1 - Qty'!K43</f>
        <v>17.117870032116254</v>
      </c>
      <c r="L43" s="176">
        <f>$E43/1000*'Falhas UM-1 - Qty'!L43</f>
        <v>17.239736626403715</v>
      </c>
      <c r="M43" s="176">
        <f>$E43/1000*'Falhas UM-1 - Qty'!M43</f>
        <v>17.259472807898494</v>
      </c>
      <c r="N43" s="176">
        <f>$E43/1000*'Falhas UM-1 - Qty'!N43</f>
        <v>13.83799608296327</v>
      </c>
      <c r="O43" s="176">
        <f>$E43/1000*'Falhas UM-1 - Qty'!O43</f>
        <v>12.82430499142075</v>
      </c>
      <c r="P43" s="176">
        <f>$E43/1000*'Falhas UM-1 - Qty'!P43</f>
        <v>12.975686604732035</v>
      </c>
      <c r="Q43" s="176">
        <f>$E43/1000*'Falhas UM-1 - Qty'!Q43</f>
        <v>15.974699309901983</v>
      </c>
      <c r="R43" s="755">
        <f t="shared" si="7"/>
        <v>71.185355019487417</v>
      </c>
      <c r="S43" s="714">
        <f t="shared" si="8"/>
        <v>90.111896423320246</v>
      </c>
      <c r="T43" s="720">
        <f t="shared" si="9"/>
        <v>161.29725144280766</v>
      </c>
    </row>
    <row r="44" spans="1:20" ht="18" customHeight="1">
      <c r="A44" s="1018"/>
      <c r="B44" s="998"/>
      <c r="C44" s="42">
        <v>1342</v>
      </c>
      <c r="D44" s="44" t="s">
        <v>122</v>
      </c>
      <c r="E44" s="746">
        <f>'[7]Falhas UM-1'!I44</f>
        <v>860.77808000000005</v>
      </c>
      <c r="F44" s="738">
        <f>$E44/1000*'Falhas UM-1 - Qty'!F44</f>
        <v>7.4485778588003111</v>
      </c>
      <c r="G44" s="177">
        <f>$E44/1000*'Falhas UM-1 - Qty'!G44</f>
        <v>4.0645894868757155</v>
      </c>
      <c r="H44" s="177">
        <f>$E44/1000*'Falhas UM-1 - Qty'!H44</f>
        <v>4.045937945155428</v>
      </c>
      <c r="I44" s="177">
        <f>$E44/1000*'Falhas UM-1 - Qty'!I44</f>
        <v>4.0887173938569434</v>
      </c>
      <c r="J44" s="177">
        <f>$E44/1000*'Falhas UM-1 - Qty'!J44</f>
        <v>7.3859198089971816</v>
      </c>
      <c r="K44" s="177">
        <f>$E44/1000*'Falhas UM-1 - Qty'!K44</f>
        <v>8.5589350160581272</v>
      </c>
      <c r="L44" s="177">
        <f>$E44/1000*'Falhas UM-1 - Qty'!L44</f>
        <v>8.6198683132018576</v>
      </c>
      <c r="M44" s="177">
        <f>$E44/1000*'Falhas UM-1 - Qty'!M44</f>
        <v>8.6297364039492468</v>
      </c>
      <c r="N44" s="177">
        <f>$E44/1000*'Falhas UM-1 - Qty'!N44</f>
        <v>6.9189980414816352</v>
      </c>
      <c r="O44" s="177">
        <f>$E44/1000*'Falhas UM-1 - Qty'!O44</f>
        <v>6.4121524957103748</v>
      </c>
      <c r="P44" s="177">
        <f>$E44/1000*'Falhas UM-1 - Qty'!P44</f>
        <v>6.4878433023660174</v>
      </c>
      <c r="Q44" s="177">
        <f>$E44/1000*'Falhas UM-1 - Qty'!Q44</f>
        <v>7.9873496549509913</v>
      </c>
      <c r="R44" s="758">
        <f t="shared" si="7"/>
        <v>35.592677509743709</v>
      </c>
      <c r="S44" s="715">
        <f t="shared" si="8"/>
        <v>45.055948211660123</v>
      </c>
      <c r="T44" s="723">
        <f t="shared" si="9"/>
        <v>80.648625721403832</v>
      </c>
    </row>
    <row r="45" spans="1:20" ht="18" customHeight="1">
      <c r="A45" s="1018"/>
      <c r="B45" s="998"/>
      <c r="C45" s="42">
        <v>1344</v>
      </c>
      <c r="D45" s="43" t="s">
        <v>125</v>
      </c>
      <c r="E45" s="745">
        <f>'[7]Falhas UM-1'!I45</f>
        <v>860.77808000000005</v>
      </c>
      <c r="F45" s="737">
        <f>$E45/1000*'Falhas UM-1 - Qty'!F45</f>
        <v>3.7242889294001555</v>
      </c>
      <c r="G45" s="176">
        <f>$E45/1000*'Falhas UM-1 - Qty'!G45</f>
        <v>2.0322947434378578</v>
      </c>
      <c r="H45" s="176">
        <f>$E45/1000*'Falhas UM-1 - Qty'!H45</f>
        <v>2.022968972577714</v>
      </c>
      <c r="I45" s="176">
        <f>$E45/1000*'Falhas UM-1 - Qty'!I45</f>
        <v>2.0443586969284717</v>
      </c>
      <c r="J45" s="176">
        <f>$E45/1000*'Falhas UM-1 - Qty'!J45</f>
        <v>3.6929599044985908</v>
      </c>
      <c r="K45" s="176">
        <f>$E45/1000*'Falhas UM-1 - Qty'!K45</f>
        <v>4.2794675080290636</v>
      </c>
      <c r="L45" s="176">
        <f>$E45/1000*'Falhas UM-1 - Qty'!L45</f>
        <v>4.3099341566009288</v>
      </c>
      <c r="M45" s="176">
        <f>$E45/1000*'Falhas UM-1 - Qty'!M45</f>
        <v>4.3148682019746234</v>
      </c>
      <c r="N45" s="176">
        <f>$E45/1000*'Falhas UM-1 - Qty'!N45</f>
        <v>3.4594990207408176</v>
      </c>
      <c r="O45" s="176">
        <f>$E45/1000*'Falhas UM-1 - Qty'!O45</f>
        <v>3.2060762478551874</v>
      </c>
      <c r="P45" s="176">
        <f>$E45/1000*'Falhas UM-1 - Qty'!P45</f>
        <v>3.2439216511830087</v>
      </c>
      <c r="Q45" s="176">
        <f>$E45/1000*'Falhas UM-1 - Qty'!Q45</f>
        <v>3.9936748274754956</v>
      </c>
      <c r="R45" s="755">
        <f t="shared" si="7"/>
        <v>17.796338754871854</v>
      </c>
      <c r="S45" s="714">
        <f t="shared" si="8"/>
        <v>22.527974105830062</v>
      </c>
      <c r="T45" s="720">
        <f t="shared" si="9"/>
        <v>40.324312860701916</v>
      </c>
    </row>
    <row r="46" spans="1:20" ht="18" customHeight="1">
      <c r="A46" s="1018"/>
      <c r="B46" s="998"/>
      <c r="C46" s="42">
        <f>C43+10</f>
        <v>1350</v>
      </c>
      <c r="D46" s="43" t="s">
        <v>13</v>
      </c>
      <c r="E46" s="745">
        <f>'[7]Falhas UM-1'!I46</f>
        <v>860.77808000000005</v>
      </c>
      <c r="F46" s="737">
        <f>$E46/1000*'Falhas UM-1 - Qty'!F46</f>
        <v>58.347193227269109</v>
      </c>
      <c r="G46" s="176">
        <f>$E46/1000*'Falhas UM-1 - Qty'!G46</f>
        <v>31.839284313859771</v>
      </c>
      <c r="H46" s="176">
        <f>$E46/1000*'Falhas UM-1 - Qty'!H46</f>
        <v>31.693180570384186</v>
      </c>
      <c r="I46" s="176">
        <f>$E46/1000*'Falhas UM-1 - Qty'!I46</f>
        <v>32.028286251879393</v>
      </c>
      <c r="J46" s="176">
        <f>$E46/1000*'Falhas UM-1 - Qty'!J46</f>
        <v>57.856371837144593</v>
      </c>
      <c r="K46" s="176">
        <f>$E46/1000*'Falhas UM-1 - Qty'!K46</f>
        <v>67.044990959121989</v>
      </c>
      <c r="L46" s="176">
        <f>$E46/1000*'Falhas UM-1 - Qty'!L46</f>
        <v>67.522301786747889</v>
      </c>
      <c r="M46" s="176">
        <f>$E46/1000*'Falhas UM-1 - Qty'!M46</f>
        <v>67.599601830935768</v>
      </c>
      <c r="N46" s="176">
        <f>$E46/1000*'Falhas UM-1 - Qty'!N46</f>
        <v>54.198817991606134</v>
      </c>
      <c r="O46" s="176">
        <f>$E46/1000*'Falhas UM-1 - Qty'!O46</f>
        <v>50.228527883064601</v>
      </c>
      <c r="P46" s="176">
        <f>$E46/1000*'Falhas UM-1 - Qty'!P46</f>
        <v>50.821439201867136</v>
      </c>
      <c r="Q46" s="176">
        <f>$E46/1000*'Falhas UM-1 - Qty'!Q46</f>
        <v>62.567572297116094</v>
      </c>
      <c r="R46" s="755">
        <f t="shared" si="7"/>
        <v>278.80930715965906</v>
      </c>
      <c r="S46" s="714">
        <f t="shared" si="8"/>
        <v>352.93826099133759</v>
      </c>
      <c r="T46" s="720">
        <f t="shared" si="9"/>
        <v>631.74756815099659</v>
      </c>
    </row>
    <row r="47" spans="1:20" ht="18" customHeight="1">
      <c r="A47" s="1018"/>
      <c r="B47" s="998"/>
      <c r="C47" s="42">
        <f t="shared" si="10"/>
        <v>1360</v>
      </c>
      <c r="D47" s="43" t="s">
        <v>12</v>
      </c>
      <c r="E47" s="745">
        <f>'[7]Falhas UM-1'!I47</f>
        <v>860.77808000000005</v>
      </c>
      <c r="F47" s="737">
        <f>$E47/1000*'Falhas UM-1 - Qty'!F47</f>
        <v>4.9657185725335413</v>
      </c>
      <c r="G47" s="176">
        <f>$E47/1000*'Falhas UM-1 - Qty'!G47</f>
        <v>2.7097263245838108</v>
      </c>
      <c r="H47" s="176">
        <f>$E47/1000*'Falhas UM-1 - Qty'!H47</f>
        <v>2.6972919634369514</v>
      </c>
      <c r="I47" s="176">
        <f>$E47/1000*'Falhas UM-1 - Qty'!I47</f>
        <v>2.725811595904629</v>
      </c>
      <c r="J47" s="176">
        <f>$E47/1000*'Falhas UM-1 - Qty'!J47</f>
        <v>4.9239465393314541</v>
      </c>
      <c r="K47" s="176">
        <f>$E47/1000*'Falhas UM-1 - Qty'!K47</f>
        <v>5.7059566773720851</v>
      </c>
      <c r="L47" s="176">
        <f>$E47/1000*'Falhas UM-1 - Qty'!L47</f>
        <v>5.7465788754679048</v>
      </c>
      <c r="M47" s="176">
        <f>$E47/1000*'Falhas UM-1 - Qty'!M47</f>
        <v>5.7531576026328297</v>
      </c>
      <c r="N47" s="176">
        <f>$E47/1000*'Falhas UM-1 - Qty'!N47</f>
        <v>4.6126653609877559</v>
      </c>
      <c r="O47" s="176">
        <f>$E47/1000*'Falhas UM-1 - Qty'!O47</f>
        <v>4.2747683304735835</v>
      </c>
      <c r="P47" s="176">
        <f>$E47/1000*'Falhas UM-1 - Qty'!P47</f>
        <v>4.325228868244011</v>
      </c>
      <c r="Q47" s="176">
        <f>$E47/1000*'Falhas UM-1 - Qty'!Q47</f>
        <v>5.3248997699673266</v>
      </c>
      <c r="R47" s="755">
        <f t="shared" si="7"/>
        <v>23.728451673162471</v>
      </c>
      <c r="S47" s="714">
        <f t="shared" si="8"/>
        <v>30.037298807773414</v>
      </c>
      <c r="T47" s="720">
        <f t="shared" si="9"/>
        <v>53.765750480935885</v>
      </c>
    </row>
    <row r="48" spans="1:20" ht="18" customHeight="1">
      <c r="A48" s="1018"/>
      <c r="B48" s="998"/>
      <c r="C48" s="42">
        <f t="shared" si="10"/>
        <v>1370</v>
      </c>
      <c r="D48" s="43" t="s">
        <v>11</v>
      </c>
      <c r="E48" s="745">
        <f>'[7]Falhas UM-1'!I48</f>
        <v>860.77808000000005</v>
      </c>
      <c r="F48" s="737">
        <f>$E48/1000*'Falhas UM-1 - Qty'!F48</f>
        <v>91.865793591870514</v>
      </c>
      <c r="G48" s="176">
        <f>$E48/1000*'Falhas UM-1 - Qty'!G48</f>
        <v>50.129937004800496</v>
      </c>
      <c r="H48" s="176">
        <f>$E48/1000*'Falhas UM-1 - Qty'!H48</f>
        <v>49.899901323583606</v>
      </c>
      <c r="I48" s="176">
        <f>$E48/1000*'Falhas UM-1 - Qty'!I48</f>
        <v>50.427514524235626</v>
      </c>
      <c r="J48" s="176">
        <f>$E48/1000*'Falhas UM-1 - Qty'!J48</f>
        <v>91.093010977631906</v>
      </c>
      <c r="K48" s="176">
        <f>$E48/1000*'Falhas UM-1 - Qty'!K48</f>
        <v>105.56019853138358</v>
      </c>
      <c r="L48" s="176">
        <f>$E48/1000*'Falhas UM-1 - Qty'!L48</f>
        <v>106.31170919615624</v>
      </c>
      <c r="M48" s="176">
        <f>$E48/1000*'Falhas UM-1 - Qty'!M48</f>
        <v>106.43341564870737</v>
      </c>
      <c r="N48" s="176">
        <f>$E48/1000*'Falhas UM-1 - Qty'!N48</f>
        <v>85.334309178273486</v>
      </c>
      <c r="O48" s="176">
        <f>$E48/1000*'Falhas UM-1 - Qty'!O48</f>
        <v>79.083214113761287</v>
      </c>
      <c r="P48" s="176">
        <f>$E48/1000*'Falhas UM-1 - Qty'!P48</f>
        <v>80.016734062514217</v>
      </c>
      <c r="Q48" s="176">
        <f>$E48/1000*'Falhas UM-1 - Qty'!Q48</f>
        <v>98.510645744395546</v>
      </c>
      <c r="R48" s="755">
        <f t="shared" si="7"/>
        <v>438.97635595350573</v>
      </c>
      <c r="S48" s="714">
        <f t="shared" si="8"/>
        <v>555.6900279438081</v>
      </c>
      <c r="T48" s="720">
        <f t="shared" si="9"/>
        <v>994.66638389731384</v>
      </c>
    </row>
    <row r="49" spans="1:20" ht="18" customHeight="1">
      <c r="A49" s="1018"/>
      <c r="B49" s="998"/>
      <c r="C49" s="42">
        <f t="shared" si="10"/>
        <v>1380</v>
      </c>
      <c r="D49" s="43" t="s">
        <v>10</v>
      </c>
      <c r="E49" s="745">
        <f>'[7]Falhas UM-1'!I49</f>
        <v>860.77808000000005</v>
      </c>
      <c r="F49" s="737">
        <f>$E49/1000*'Falhas UM-1 - Qty'!F49</f>
        <v>6.2071482156669271</v>
      </c>
      <c r="G49" s="176">
        <f>$E49/1000*'Falhas UM-1 - Qty'!G49</f>
        <v>3.3871579057297634</v>
      </c>
      <c r="H49" s="176">
        <f>$E49/1000*'Falhas UM-1 - Qty'!H49</f>
        <v>3.3716149542961893</v>
      </c>
      <c r="I49" s="176">
        <f>$E49/1000*'Falhas UM-1 - Qty'!I49</f>
        <v>3.4072644948807858</v>
      </c>
      <c r="J49" s="176">
        <f>$E49/1000*'Falhas UM-1 - Qty'!J49</f>
        <v>6.1549331741643192</v>
      </c>
      <c r="K49" s="176">
        <f>$E49/1000*'Falhas UM-1 - Qty'!K49</f>
        <v>7.1324458467151075</v>
      </c>
      <c r="L49" s="176">
        <f>$E49/1000*'Falhas UM-1 - Qty'!L49</f>
        <v>7.1832235943348808</v>
      </c>
      <c r="M49" s="176">
        <f>$E49/1000*'Falhas UM-1 - Qty'!M49</f>
        <v>7.1914470032910369</v>
      </c>
      <c r="N49" s="176">
        <f>$E49/1000*'Falhas UM-1 - Qty'!N49</f>
        <v>5.7658317012346947</v>
      </c>
      <c r="O49" s="176">
        <f>$E49/1000*'Falhas UM-1 - Qty'!O49</f>
        <v>5.3434604130919778</v>
      </c>
      <c r="P49" s="176">
        <f>$E49/1000*'Falhas UM-1 - Qty'!P49</f>
        <v>5.4065360853050137</v>
      </c>
      <c r="Q49" s="176">
        <f>$E49/1000*'Falhas UM-1 - Qty'!Q49</f>
        <v>6.6561247124591585</v>
      </c>
      <c r="R49" s="755">
        <f t="shared" si="7"/>
        <v>29.660564591453095</v>
      </c>
      <c r="S49" s="714">
        <f t="shared" si="8"/>
        <v>37.546623509716767</v>
      </c>
      <c r="T49" s="720">
        <f t="shared" si="9"/>
        <v>67.207188101169862</v>
      </c>
    </row>
    <row r="50" spans="1:20" ht="18" customHeight="1">
      <c r="A50" s="1018"/>
      <c r="B50" s="998"/>
      <c r="C50" s="42">
        <f t="shared" si="10"/>
        <v>1390</v>
      </c>
      <c r="D50" s="43" t="s">
        <v>9</v>
      </c>
      <c r="E50" s="745">
        <f>'[7]Falhas UM-1'!I50</f>
        <v>860.77808000000005</v>
      </c>
      <c r="F50" s="737">
        <f>$E50/1000*'Falhas UM-1 - Qty'!F50</f>
        <v>23.587163219534322</v>
      </c>
      <c r="G50" s="176">
        <f>$E50/1000*'Falhas UM-1 - Qty'!G50</f>
        <v>12.871200041773101</v>
      </c>
      <c r="H50" s="176">
        <f>$E50/1000*'Falhas UM-1 - Qty'!H50</f>
        <v>12.812136826325519</v>
      </c>
      <c r="I50" s="176">
        <f>$E50/1000*'Falhas UM-1 - Qty'!I50</f>
        <v>12.947605080546987</v>
      </c>
      <c r="J50" s="176">
        <f>$E50/1000*'Falhas UM-1 - Qty'!J50</f>
        <v>23.388746061824406</v>
      </c>
      <c r="K50" s="176">
        <f>$E50/1000*'Falhas UM-1 - Qty'!K50</f>
        <v>27.103294217517401</v>
      </c>
      <c r="L50" s="176">
        <f>$E50/1000*'Falhas UM-1 - Qty'!L50</f>
        <v>27.296249658472547</v>
      </c>
      <c r="M50" s="176">
        <f>$E50/1000*'Falhas UM-1 - Qty'!M50</f>
        <v>27.327498612505945</v>
      </c>
      <c r="N50" s="176">
        <f>$E50/1000*'Falhas UM-1 - Qty'!N50</f>
        <v>21.910160464691842</v>
      </c>
      <c r="O50" s="176">
        <f>$E50/1000*'Falhas UM-1 - Qty'!O50</f>
        <v>20.305149569749521</v>
      </c>
      <c r="P50" s="176">
        <f>$E50/1000*'Falhas UM-1 - Qty'!P50</f>
        <v>20.544837124159052</v>
      </c>
      <c r="Q50" s="176">
        <f>$E50/1000*'Falhas UM-1 - Qty'!Q50</f>
        <v>25.293273907344801</v>
      </c>
      <c r="R50" s="755">
        <f t="shared" si="7"/>
        <v>112.71014544752174</v>
      </c>
      <c r="S50" s="714">
        <f t="shared" si="8"/>
        <v>142.6771693369237</v>
      </c>
      <c r="T50" s="720">
        <f t="shared" si="9"/>
        <v>255.38731478444544</v>
      </c>
    </row>
    <row r="51" spans="1:20" ht="18" customHeight="1">
      <c r="A51" s="1018"/>
      <c r="B51" s="998"/>
      <c r="C51" s="42">
        <f t="shared" si="10"/>
        <v>1400</v>
      </c>
      <c r="D51" s="43" t="s">
        <v>8</v>
      </c>
      <c r="E51" s="745">
        <f>'[7]Falhas UM-1'!I51</f>
        <v>860.77808000000005</v>
      </c>
      <c r="F51" s="737">
        <f>$E51/1000*'Falhas UM-1 - Qty'!F51</f>
        <v>54.622904297868956</v>
      </c>
      <c r="G51" s="176">
        <f>$E51/1000*'Falhas UM-1 - Qty'!G51</f>
        <v>29.806989570421923</v>
      </c>
      <c r="H51" s="176">
        <f>$E51/1000*'Falhas UM-1 - Qty'!H51</f>
        <v>29.670211597806464</v>
      </c>
      <c r="I51" s="176">
        <f>$E51/1000*'Falhas UM-1 - Qty'!I51</f>
        <v>29.983927554950913</v>
      </c>
      <c r="J51" s="176">
        <f>$E51/1000*'Falhas UM-1 - Qty'!J51</f>
        <v>54.163411932646</v>
      </c>
      <c r="K51" s="176">
        <f>$E51/1000*'Falhas UM-1 - Qty'!K51</f>
        <v>62.765523451092939</v>
      </c>
      <c r="L51" s="176">
        <f>$E51/1000*'Falhas UM-1 - Qty'!L51</f>
        <v>63.21236763014695</v>
      </c>
      <c r="M51" s="176">
        <f>$E51/1000*'Falhas UM-1 - Qty'!M51</f>
        <v>63.284733628961135</v>
      </c>
      <c r="N51" s="176">
        <f>$E51/1000*'Falhas UM-1 - Qty'!N51</f>
        <v>50.73931897086532</v>
      </c>
      <c r="O51" s="176">
        <f>$E51/1000*'Falhas UM-1 - Qty'!O51</f>
        <v>47.022451635209414</v>
      </c>
      <c r="P51" s="176">
        <f>$E51/1000*'Falhas UM-1 - Qty'!P51</f>
        <v>47.577517550684128</v>
      </c>
      <c r="Q51" s="176">
        <f>$E51/1000*'Falhas UM-1 - Qty'!Q51</f>
        <v>58.573897469640599</v>
      </c>
      <c r="R51" s="755">
        <f t="shared" si="7"/>
        <v>261.01296840478722</v>
      </c>
      <c r="S51" s="714">
        <f t="shared" si="8"/>
        <v>330.41028688550756</v>
      </c>
      <c r="T51" s="720">
        <f t="shared" si="9"/>
        <v>591.42325529029472</v>
      </c>
    </row>
    <row r="52" spans="1:20" ht="18" customHeight="1">
      <c r="A52" s="1018"/>
      <c r="B52" s="998"/>
      <c r="C52" s="42">
        <f t="shared" si="10"/>
        <v>1410</v>
      </c>
      <c r="D52" s="43" t="s">
        <v>7</v>
      </c>
      <c r="E52" s="745">
        <f>'[7]Falhas UM-1'!I52</f>
        <v>860.77808000000005</v>
      </c>
      <c r="F52" s="737">
        <f>$E52/1000*'Falhas UM-1 - Qty'!F52</f>
        <v>62.071482156669276</v>
      </c>
      <c r="G52" s="176">
        <f>$E52/1000*'Falhas UM-1 - Qty'!G52</f>
        <v>33.87157905729763</v>
      </c>
      <c r="H52" s="176">
        <f>$E52/1000*'Falhas UM-1 - Qty'!H52</f>
        <v>33.716149542961901</v>
      </c>
      <c r="I52" s="176">
        <f>$E52/1000*'Falhas UM-1 - Qty'!I52</f>
        <v>34.072644948807863</v>
      </c>
      <c r="J52" s="176">
        <f>$E52/1000*'Falhas UM-1 - Qty'!J52</f>
        <v>61.549331741643179</v>
      </c>
      <c r="K52" s="176">
        <f>$E52/1000*'Falhas UM-1 - Qty'!K52</f>
        <v>71.324458467151047</v>
      </c>
      <c r="L52" s="176">
        <f>$E52/1000*'Falhas UM-1 - Qty'!L52</f>
        <v>71.832235943348806</v>
      </c>
      <c r="M52" s="176">
        <f>$E52/1000*'Falhas UM-1 - Qty'!M52</f>
        <v>71.914470032910387</v>
      </c>
      <c r="N52" s="176">
        <f>$E52/1000*'Falhas UM-1 - Qty'!N52</f>
        <v>57.658317012346949</v>
      </c>
      <c r="O52" s="176">
        <f>$E52/1000*'Falhas UM-1 - Qty'!O52</f>
        <v>53.434604130919794</v>
      </c>
      <c r="P52" s="176">
        <f>$E52/1000*'Falhas UM-1 - Qty'!P52</f>
        <v>54.065360853050144</v>
      </c>
      <c r="Q52" s="176">
        <f>$E52/1000*'Falhas UM-1 - Qty'!Q52</f>
        <v>66.561247124591574</v>
      </c>
      <c r="R52" s="755">
        <f t="shared" si="7"/>
        <v>296.6056459145309</v>
      </c>
      <c r="S52" s="714">
        <f t="shared" si="8"/>
        <v>375.46623509716767</v>
      </c>
      <c r="T52" s="720">
        <f t="shared" si="9"/>
        <v>672.07188101169857</v>
      </c>
    </row>
    <row r="53" spans="1:20" ht="18" customHeight="1">
      <c r="A53" s="1018"/>
      <c r="B53" s="998"/>
      <c r="C53" s="42">
        <f t="shared" si="10"/>
        <v>1420</v>
      </c>
      <c r="D53" s="43" t="s">
        <v>6</v>
      </c>
      <c r="E53" s="745">
        <f>'[7]Falhas UM-1'!I53</f>
        <v>860.77808000000005</v>
      </c>
      <c r="F53" s="737">
        <f>$E53/1000*'Falhas UM-1 - Qty'!F53</f>
        <v>176.28300932494071</v>
      </c>
      <c r="G53" s="176">
        <f>$E53/1000*'Falhas UM-1 - Qty'!G53</f>
        <v>96.195284522725274</v>
      </c>
      <c r="H53" s="176">
        <f>$E53/1000*'Falhas UM-1 - Qty'!H53</f>
        <v>95.753864702011796</v>
      </c>
      <c r="I53" s="176">
        <f>$E53/1000*'Falhas UM-1 - Qty'!I53</f>
        <v>96.766311654614313</v>
      </c>
      <c r="J53" s="176">
        <f>$E53/1000*'Falhas UM-1 - Qty'!J53</f>
        <v>174.80010214626662</v>
      </c>
      <c r="K53" s="176">
        <f>$E53/1000*'Falhas UM-1 - Qty'!K53</f>
        <v>202.56146204670904</v>
      </c>
      <c r="L53" s="176">
        <f>$E53/1000*'Falhas UM-1 - Qty'!L53</f>
        <v>204.00355007911062</v>
      </c>
      <c r="M53" s="176">
        <f>$E53/1000*'Falhas UM-1 - Qty'!M53</f>
        <v>204.2370948934655</v>
      </c>
      <c r="N53" s="176">
        <f>$E53/1000*'Falhas UM-1 - Qty'!N53</f>
        <v>163.74962031506533</v>
      </c>
      <c r="O53" s="176">
        <f>$E53/1000*'Falhas UM-1 - Qty'!O53</f>
        <v>151.75427573181221</v>
      </c>
      <c r="P53" s="176">
        <f>$E53/1000*'Falhas UM-1 - Qty'!P53</f>
        <v>153.54562482266243</v>
      </c>
      <c r="Q53" s="176">
        <f>$E53/1000*'Falhas UM-1 - Qty'!Q53</f>
        <v>189.03394183384009</v>
      </c>
      <c r="R53" s="755">
        <f t="shared" si="7"/>
        <v>842.36003439726778</v>
      </c>
      <c r="S53" s="714">
        <f t="shared" si="8"/>
        <v>1066.3241076759562</v>
      </c>
      <c r="T53" s="720">
        <f t="shared" si="9"/>
        <v>1908.6841420732239</v>
      </c>
    </row>
    <row r="54" spans="1:20" ht="19.5" customHeight="1">
      <c r="A54" s="1018"/>
      <c r="B54" s="998"/>
      <c r="C54" s="42">
        <f t="shared" si="10"/>
        <v>1430</v>
      </c>
      <c r="D54" s="43" t="s">
        <v>5</v>
      </c>
      <c r="E54" s="745">
        <f>'[7]Falhas UM-1'!I54</f>
        <v>123.28</v>
      </c>
      <c r="F54" s="737">
        <f>$E54/1000*'Falhas UM-1 - Qty'!F54</f>
        <v>15.290510639945202</v>
      </c>
      <c r="G54" s="176">
        <f>$E54/1000*'Falhas UM-1 - Qty'!G54</f>
        <v>8.3438275029446416</v>
      </c>
      <c r="H54" s="176">
        <f>$E54/1000*'Falhas UM-1 - Qty'!H54</f>
        <v>8.3055394427898399</v>
      </c>
      <c r="I54" s="176">
        <f>$E54/1000*'Falhas UM-1 - Qty'!I54</f>
        <v>8.3933574971810803</v>
      </c>
      <c r="J54" s="176">
        <f>$E54/1000*'Falhas UM-1 - Qty'!J54</f>
        <v>15.161885606367681</v>
      </c>
      <c r="K54" s="176">
        <f>$E54/1000*'Falhas UM-1 - Qty'!K54</f>
        <v>17.569862248941398</v>
      </c>
      <c r="L54" s="176">
        <f>$E54/1000*'Falhas UM-1 - Qty'!L54</f>
        <v>17.694946694048237</v>
      </c>
      <c r="M54" s="176">
        <f>$E54/1000*'Falhas UM-1 - Qty'!M54</f>
        <v>17.715204003487599</v>
      </c>
      <c r="N54" s="176">
        <f>$E54/1000*'Falhas UM-1 - Qty'!N54</f>
        <v>14.20338421327512</v>
      </c>
      <c r="O54" s="176">
        <f>$E54/1000*'Falhas UM-1 - Qty'!O54</f>
        <v>13.16292691292376</v>
      </c>
      <c r="P54" s="176">
        <f>$E54/1000*'Falhas UM-1 - Qty'!P54</f>
        <v>13.318305712266879</v>
      </c>
      <c r="Q54" s="176">
        <f>$E54/1000*'Falhas UM-1 - Qty'!Q54</f>
        <v>16.396506447159759</v>
      </c>
      <c r="R54" s="755">
        <f t="shared" si="7"/>
        <v>73.064982938169848</v>
      </c>
      <c r="S54" s="714">
        <f t="shared" si="8"/>
        <v>92.491273983161364</v>
      </c>
      <c r="T54" s="720">
        <f t="shared" si="9"/>
        <v>165.55625692133123</v>
      </c>
    </row>
    <row r="55" spans="1:20" ht="18" customHeight="1">
      <c r="A55" s="1018"/>
      <c r="B55" s="998"/>
      <c r="C55" s="42">
        <f t="shared" si="10"/>
        <v>1440</v>
      </c>
      <c r="D55" s="43" t="s">
        <v>4</v>
      </c>
      <c r="E55" s="745">
        <f>'[7]Falhas UM-1'!I55</f>
        <v>8.7911999999999999</v>
      </c>
      <c r="F55" s="737">
        <f>$E55/1000*'Falhas UM-1 - Qty'!F55</f>
        <v>185.13623044604597</v>
      </c>
      <c r="G55" s="176">
        <f>$E55/1000*'Falhas UM-1 - Qty'!G55</f>
        <v>101.02636908356068</v>
      </c>
      <c r="H55" s="176">
        <f>$E55/1000*'Falhas UM-1 - Qty'!H55</f>
        <v>100.56278043730364</v>
      </c>
      <c r="I55" s="176">
        <f>$E55/1000*'Falhas UM-1 - Qty'!I55</f>
        <v>101.62607413219349</v>
      </c>
      <c r="J55" s="176">
        <f>$E55/1000*'Falhas UM-1 - Qty'!J55</f>
        <v>183.5788492428749</v>
      </c>
      <c r="K55" s="176">
        <f>$E55/1000*'Falhas UM-1 - Qty'!K55</f>
        <v>212.73443005412642</v>
      </c>
      <c r="L55" s="176">
        <f>$E55/1000*'Falhas UM-1 - Qty'!L55</f>
        <v>214.24894210672056</v>
      </c>
      <c r="M55" s="176">
        <f>$E55/1000*'Falhas UM-1 - Qty'!M55</f>
        <v>214.49421592372343</v>
      </c>
      <c r="N55" s="176">
        <f>$E55/1000*'Falhas UM-1 - Qty'!N55</f>
        <v>171.97339413591081</v>
      </c>
      <c r="O55" s="176">
        <f>$E55/1000*'Falhas UM-1 - Qty'!O55</f>
        <v>159.3756237237246</v>
      </c>
      <c r="P55" s="176">
        <f>$E55/1000*'Falhas UM-1 - Qty'!P55</f>
        <v>161.25693729650146</v>
      </c>
      <c r="Q55" s="176">
        <f>$E55/1000*'Falhas UM-1 - Qty'!Q55</f>
        <v>198.52753564561968</v>
      </c>
      <c r="R55" s="755">
        <f t="shared" si="7"/>
        <v>884.66473339610502</v>
      </c>
      <c r="S55" s="714">
        <f t="shared" si="8"/>
        <v>1119.8766488322005</v>
      </c>
      <c r="T55" s="720">
        <f t="shared" si="9"/>
        <v>2004.5413822283056</v>
      </c>
    </row>
    <row r="56" spans="1:20" ht="18" customHeight="1" thickBot="1">
      <c r="A56" s="1019"/>
      <c r="B56" s="999"/>
      <c r="C56" s="42">
        <f t="shared" si="10"/>
        <v>1450</v>
      </c>
      <c r="D56" s="45" t="s">
        <v>3</v>
      </c>
      <c r="E56" s="748">
        <f>'[7]Falhas UM-1'!I56</f>
        <v>2.1126</v>
      </c>
      <c r="F56" s="739">
        <f>$E56/1000*'Falhas UM-1 - Qty'!F56</f>
        <v>65.540354797025159</v>
      </c>
      <c r="G56" s="178">
        <f>$E56/1000*'Falhas UM-1 - Qty'!G56</f>
        <v>35.764496542028368</v>
      </c>
      <c r="H56" s="178">
        <f>$E56/1000*'Falhas UM-1 - Qty'!H56</f>
        <v>35.600380829602145</v>
      </c>
      <c r="I56" s="178">
        <f>$E56/1000*'Falhas UM-1 - Qty'!I56</f>
        <v>35.976799026346356</v>
      </c>
      <c r="J56" s="178">
        <f>$E56/1000*'Falhas UM-1 - Qty'!J56</f>
        <v>64.989023939936118</v>
      </c>
      <c r="K56" s="178">
        <f>$E56/1000*'Falhas UM-1 - Qty'!K56</f>
        <v>75.310434860310494</v>
      </c>
      <c r="L56" s="178">
        <f>$E56/1000*'Falhas UM-1 - Qty'!L56</f>
        <v>75.846589545064731</v>
      </c>
      <c r="M56" s="178">
        <f>$E56/1000*'Falhas UM-1 - Qty'!M56</f>
        <v>75.933419297134662</v>
      </c>
      <c r="N56" s="178">
        <f>$E56/1000*'Falhas UM-1 - Qty'!N56</f>
        <v>60.880559359779078</v>
      </c>
      <c r="O56" s="178">
        <f>$E56/1000*'Falhas UM-1 - Qty'!O56</f>
        <v>56.420803749130123</v>
      </c>
      <c r="P56" s="178">
        <f>$E56/1000*'Falhas UM-1 - Qty'!P56</f>
        <v>57.086810390548628</v>
      </c>
      <c r="Q56" s="178">
        <f>$E56/1000*'Falhas UM-1 - Qty'!Q56</f>
        <v>70.281030848712874</v>
      </c>
      <c r="R56" s="760">
        <f t="shared" si="7"/>
        <v>313.18148999524863</v>
      </c>
      <c r="S56" s="716">
        <f t="shared" si="8"/>
        <v>396.44921319037007</v>
      </c>
      <c r="T56" s="725">
        <f t="shared" si="9"/>
        <v>709.6307031856187</v>
      </c>
    </row>
    <row r="57" spans="1:20" ht="20.100000000000001" customHeight="1" thickTop="1" thickBot="1">
      <c r="A57" s="1022"/>
      <c r="B57" s="1023"/>
      <c r="C57" s="40"/>
      <c r="D57" s="731" t="s">
        <v>1</v>
      </c>
      <c r="E57" s="743">
        <f>'[7]Falhas UM-1'!I57</f>
        <v>678.87552040307207</v>
      </c>
      <c r="F57" s="174">
        <f>SUBTOTAL(109,F37:F56)</f>
        <v>828.33472422243995</v>
      </c>
      <c r="G57" s="174">
        <f t="shared" ref="G57:Q57" si="11">SUBTOTAL(109,G37:G56)</f>
        <v>452.01119938765027</v>
      </c>
      <c r="H57" s="174">
        <f t="shared" si="11"/>
        <v>449.93701556893041</v>
      </c>
      <c r="I57" s="174">
        <f t="shared" si="11"/>
        <v>454.69439389192007</v>
      </c>
      <c r="J57" s="174">
        <f t="shared" si="11"/>
        <v>821.36670436846589</v>
      </c>
      <c r="K57" s="174">
        <f t="shared" si="11"/>
        <v>951.81432087576684</v>
      </c>
      <c r="L57" s="174">
        <f t="shared" si="11"/>
        <v>958.59053599257368</v>
      </c>
      <c r="M57" s="174">
        <f t="shared" si="11"/>
        <v>959.68793772251365</v>
      </c>
      <c r="N57" s="174">
        <f t="shared" si="11"/>
        <v>769.44168984082842</v>
      </c>
      <c r="O57" s="174">
        <f t="shared" si="11"/>
        <v>713.07686781191171</v>
      </c>
      <c r="P57" s="174">
        <f t="shared" si="11"/>
        <v>721.4942227279513</v>
      </c>
      <c r="Q57" s="711">
        <f t="shared" si="11"/>
        <v>888.24997189029204</v>
      </c>
      <c r="R57" s="756">
        <f t="shared" si="7"/>
        <v>3958.1583583151732</v>
      </c>
      <c r="S57" s="717">
        <f t="shared" si="8"/>
        <v>5010.5412259860705</v>
      </c>
      <c r="T57" s="721">
        <f t="shared" si="9"/>
        <v>8968.6995843012446</v>
      </c>
    </row>
    <row r="58" spans="1:20" ht="12.75" customHeight="1" thickTop="1">
      <c r="A58" s="1024"/>
      <c r="B58" s="1025"/>
      <c r="C58" s="46">
        <v>1460</v>
      </c>
      <c r="D58" s="63" t="s">
        <v>2</v>
      </c>
      <c r="E58" s="749">
        <f>'[7]Falhas UM-1'!I58</f>
        <v>860.77808000000005</v>
      </c>
      <c r="F58" s="740">
        <f>$E58/1000*'Falhas UM-1 - Qty'!F60</f>
        <v>442.8540935979492</v>
      </c>
      <c r="G58" s="740">
        <f>$E58/1000*'Falhas UM-1 - Qty'!G60</f>
        <v>241.65956605144686</v>
      </c>
      <c r="H58" s="740">
        <f>$E58/1000*'Falhas UM-1 - Qty'!H60</f>
        <v>240.55064140041648</v>
      </c>
      <c r="I58" s="740">
        <f>$E58/1000*'Falhas UM-1 - Qty'!I60</f>
        <v>243.09408718811758</v>
      </c>
      <c r="J58" s="740">
        <f>$E58/1000*'Falhas UM-1 - Qty'!J60</f>
        <v>439.12876852540586</v>
      </c>
      <c r="K58" s="740">
        <f>$E58/1000*'Falhas UM-1 - Qty'!K60</f>
        <v>508.87021395929349</v>
      </c>
      <c r="L58" s="740">
        <f>$E58/1000*'Falhas UM-1 - Qty'!L60</f>
        <v>512.49299411787638</v>
      </c>
      <c r="M58" s="740">
        <f>$E58/1000*'Falhas UM-1 - Qty'!M60</f>
        <v>513.07969999197996</v>
      </c>
      <c r="N58" s="740">
        <f>$E58/1000*'Falhas UM-1 - Qty'!N60</f>
        <v>411.36800398027231</v>
      </c>
      <c r="O58" s="740">
        <f>$E58/1000*'Falhas UM-1 - Qty'!O60</f>
        <v>381.23357711092075</v>
      </c>
      <c r="P58" s="740">
        <f>$E58/1000*'Falhas UM-1 - Qty'!P60</f>
        <v>385.73376281221937</v>
      </c>
      <c r="Q58" s="740">
        <f>$E58/1000*'Falhas UM-1 - Qty'!Q60</f>
        <v>474.88669095592013</v>
      </c>
      <c r="R58" s="762">
        <f>SUM(F58:K58)</f>
        <v>2116.1573707226294</v>
      </c>
      <c r="S58" s="716">
        <f t="shared" si="8"/>
        <v>2678.7947289691892</v>
      </c>
      <c r="T58" s="725">
        <f t="shared" si="9"/>
        <v>4794.9520996918181</v>
      </c>
    </row>
    <row r="59" spans="1:20">
      <c r="C59" s="208"/>
      <c r="D59" s="732" t="s">
        <v>1</v>
      </c>
      <c r="E59" s="750">
        <f>'[7]Falhas UM-1'!I59</f>
        <v>860.77808000000005</v>
      </c>
      <c r="F59" s="741">
        <f>F58</f>
        <v>442.8540935979492</v>
      </c>
      <c r="G59" s="205">
        <f t="shared" ref="G59:Q59" si="12">G58</f>
        <v>241.65956605144686</v>
      </c>
      <c r="H59" s="205">
        <f t="shared" si="12"/>
        <v>240.55064140041648</v>
      </c>
      <c r="I59" s="205">
        <f t="shared" si="12"/>
        <v>243.09408718811758</v>
      </c>
      <c r="J59" s="205">
        <f t="shared" si="12"/>
        <v>439.12876852540586</v>
      </c>
      <c r="K59" s="205">
        <f t="shared" si="12"/>
        <v>508.87021395929349</v>
      </c>
      <c r="L59" s="205">
        <f t="shared" si="12"/>
        <v>512.49299411787638</v>
      </c>
      <c r="M59" s="205">
        <f t="shared" si="12"/>
        <v>513.07969999197996</v>
      </c>
      <c r="N59" s="205">
        <f t="shared" si="12"/>
        <v>411.36800398027231</v>
      </c>
      <c r="O59" s="205">
        <f t="shared" si="12"/>
        <v>381.23357711092075</v>
      </c>
      <c r="P59" s="205">
        <f t="shared" si="12"/>
        <v>385.73376281221937</v>
      </c>
      <c r="Q59" s="712">
        <f t="shared" si="12"/>
        <v>474.88669095592013</v>
      </c>
      <c r="R59" s="763">
        <f t="shared" ref="R59:T59" si="13">R58</f>
        <v>2116.1573707226294</v>
      </c>
      <c r="S59" s="718">
        <f t="shared" si="13"/>
        <v>2678.7947289691892</v>
      </c>
      <c r="T59" s="726">
        <f t="shared" si="13"/>
        <v>4794.9520996918181</v>
      </c>
    </row>
    <row r="60" spans="1:20" ht="13.5" thickBot="1">
      <c r="C60" s="231"/>
      <c r="D60" s="733" t="s">
        <v>0</v>
      </c>
      <c r="E60" s="751">
        <f>'[7]Falhas UM-1'!I60</f>
        <v>241.89256744771089</v>
      </c>
      <c r="F60" s="767">
        <f>SUMIF($D$6:$D$59,$D$59,F6:F59)</f>
        <v>3035.2332533493836</v>
      </c>
      <c r="G60" s="765">
        <f t="shared" ref="G60:Q60" si="14">SUMIF($D$6:$D$59,$D$59,G6:G59)</f>
        <v>1656.2862610348693</v>
      </c>
      <c r="H60" s="765">
        <f t="shared" si="14"/>
        <v>1648.6859135955567</v>
      </c>
      <c r="I60" s="765">
        <f t="shared" si="14"/>
        <v>1666.1181815694201</v>
      </c>
      <c r="J60" s="765">
        <f t="shared" si="14"/>
        <v>3009.7006214889557</v>
      </c>
      <c r="K60" s="765">
        <f t="shared" si="14"/>
        <v>3487.6945192031881</v>
      </c>
      <c r="L60" s="765">
        <f t="shared" si="14"/>
        <v>3512.5243287631911</v>
      </c>
      <c r="M60" s="765">
        <f t="shared" si="14"/>
        <v>3516.5454933064543</v>
      </c>
      <c r="N60" s="765">
        <f t="shared" si="14"/>
        <v>2819.4339018088422</v>
      </c>
      <c r="O60" s="765">
        <f t="shared" si="14"/>
        <v>2612.8985760057599</v>
      </c>
      <c r="P60" s="765">
        <f t="shared" si="14"/>
        <v>2643.7419474102244</v>
      </c>
      <c r="Q60" s="768">
        <f t="shared" si="14"/>
        <v>3254.7782594757873</v>
      </c>
      <c r="R60" s="764">
        <f t="array" ref="R60">SUM(IF($D$6:$D$59="Total",R6:R59))</f>
        <v>14503.718750241371</v>
      </c>
      <c r="S60" s="765">
        <f t="array" ref="S60">SUM(IF($D$6:$D$59="Total",S6:S59))</f>
        <v>18359.922506770257</v>
      </c>
      <c r="T60" s="766">
        <f t="array" ref="T60">SUM(IF($D$6:$D$59="Total",T6:T59))</f>
        <v>32863.641257011637</v>
      </c>
    </row>
    <row r="61" spans="1:20">
      <c r="C61" s="209"/>
      <c r="E61" s="1">
        <f>'[2]Falhas UM-1'!I61</f>
        <v>0</v>
      </c>
      <c r="G61" s="179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204"/>
      <c r="S61" s="204"/>
      <c r="T61" s="204"/>
    </row>
    <row r="62" spans="1:20">
      <c r="C62" s="209"/>
      <c r="G62" s="179"/>
      <c r="H62" s="179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</row>
    <row r="63" spans="1:20">
      <c r="C63" s="209"/>
      <c r="D63" s="173" t="s">
        <v>173</v>
      </c>
      <c r="E63" s="207" t="s">
        <v>175</v>
      </c>
      <c r="F63" s="206">
        <f>F15+F22+F36</f>
        <v>1764.0444355289944</v>
      </c>
      <c r="G63" s="206">
        <f t="shared" ref="G63:Q63" si="15">G15+G22+G36</f>
        <v>962.61549559577202</v>
      </c>
      <c r="H63" s="206">
        <f t="shared" ref="H63:I63" si="16">H15+H22+H36</f>
        <v>958.19825662620974</v>
      </c>
      <c r="I63" s="206">
        <f t="shared" si="16"/>
        <v>968.3297004893825</v>
      </c>
      <c r="J63" s="206">
        <f t="shared" ref="J63:K63" si="17">J15+J22+J36</f>
        <v>1749.2051485950838</v>
      </c>
      <c r="K63" s="206">
        <f t="shared" si="17"/>
        <v>2027.0099843681278</v>
      </c>
      <c r="L63" s="206">
        <f t="shared" ref="L63:M63" si="18">L15+L22+L36</f>
        <v>2041.4407986527415</v>
      </c>
      <c r="M63" s="206">
        <f t="shared" si="18"/>
        <v>2043.7778555919606</v>
      </c>
      <c r="N63" s="206">
        <f t="shared" ref="N63" si="19">N15+N22+N36</f>
        <v>1638.6242079877411</v>
      </c>
      <c r="O63" s="206">
        <f t="shared" si="15"/>
        <v>1518.5881310829275</v>
      </c>
      <c r="P63" s="206">
        <f t="shared" si="15"/>
        <v>1536.5139618700537</v>
      </c>
      <c r="Q63" s="206">
        <f t="shared" si="15"/>
        <v>1891.6415966295754</v>
      </c>
      <c r="R63" s="566">
        <f>R15+R22+R36</f>
        <v>8429.4030212035686</v>
      </c>
      <c r="S63" s="564">
        <f>S15+S22</f>
        <v>7396.5209817676978</v>
      </c>
      <c r="T63" s="206">
        <f t="shared" ref="T63:T68" si="20">SUM(F63:Q63)</f>
        <v>19099.989573018571</v>
      </c>
    </row>
    <row r="64" spans="1:20">
      <c r="C64" s="209"/>
      <c r="D64" s="173"/>
      <c r="E64" s="173" t="s">
        <v>176</v>
      </c>
      <c r="F64" s="206">
        <v>2190.1758917410693</v>
      </c>
      <c r="G64" s="206">
        <v>2313.1091246785854</v>
      </c>
      <c r="H64" s="206">
        <f>'[8]Falhas UM-1'!$N$15+'[8]Falhas UM-1'!$N$22+'[8]Falhas UM-1'!$N$36</f>
        <v>1451.7636556822704</v>
      </c>
      <c r="I64" s="206">
        <f>'[9]Falhas UM-1'!$N$15+'[9]Falhas UM-1'!$N$22+'[9]Falhas UM-1'!$N$36</f>
        <v>1926.0569045786037</v>
      </c>
      <c r="J64" s="206">
        <f>'[10]Falhas UM-1'!$N$15+'[10]Falhas UM-1'!$N$22+'[10]Falhas UM-1'!$N$36</f>
        <v>1860.1879995223485</v>
      </c>
      <c r="K64" s="206">
        <f>'[11]Falhas UM-1'!$N$15+'[11]Falhas UM-1'!$N$22+'[11]Falhas UM-1'!$N$36</f>
        <v>1990.1108704695307</v>
      </c>
      <c r="L64" s="206">
        <f>'[12]Falhas UM-1'!$N$15+'[12]Falhas UM-1'!$N$22+'[12]Falhas UM-1'!$N$36</f>
        <v>678.75396373820774</v>
      </c>
      <c r="M64" s="206">
        <f>'[13]Falhas UM-1'!$N$15+'[13]Falhas UM-1'!$N$22+'[13]Falhas UM-1'!$N$36</f>
        <v>242.41283507259897</v>
      </c>
      <c r="N64" s="206">
        <f>'[2]Falhas UM-1'!$N$15+'[2]Falhas UM-1'!$N$22+'[2]Falhas UM-1'!$N$36</f>
        <v>427.15978455167669</v>
      </c>
      <c r="O64" s="565">
        <f>'[14]Falhas UM-1 - Cost'!O$63</f>
        <v>827.06542840999987</v>
      </c>
      <c r="P64" s="565">
        <f>'[14]Falhas UM-1 - Cost'!P$63</f>
        <v>841.38677233999988</v>
      </c>
      <c r="Q64" s="565">
        <f>'[14]Falhas UM-1 - Cost'!Q$63</f>
        <v>1024.8207649199996</v>
      </c>
      <c r="R64" s="565">
        <f>'[14]Falhas UM-1 - Cost'!R$63</f>
        <v>6011.6765362999986</v>
      </c>
      <c r="S64" s="565">
        <f>'[14]Falhas UM-1 - Cost'!S$63</f>
        <v>6239.9623417599996</v>
      </c>
      <c r="T64" s="206">
        <f t="shared" si="20"/>
        <v>15773.00399570489</v>
      </c>
    </row>
    <row r="65" spans="3:22">
      <c r="C65" s="209"/>
      <c r="D65" s="173" t="s">
        <v>174</v>
      </c>
      <c r="E65" s="173" t="s">
        <v>175</v>
      </c>
      <c r="F65" s="206">
        <f>F57</f>
        <v>828.33472422243995</v>
      </c>
      <c r="G65" s="206">
        <f t="shared" ref="G65:Q65" si="21">G57</f>
        <v>452.01119938765027</v>
      </c>
      <c r="H65" s="206">
        <f t="shared" ref="H65:I65" si="22">H57</f>
        <v>449.93701556893041</v>
      </c>
      <c r="I65" s="206">
        <f t="shared" si="22"/>
        <v>454.69439389192007</v>
      </c>
      <c r="J65" s="206">
        <f t="shared" ref="J65:K65" si="23">J57</f>
        <v>821.36670436846589</v>
      </c>
      <c r="K65" s="206">
        <f t="shared" si="23"/>
        <v>951.81432087576684</v>
      </c>
      <c r="L65" s="206">
        <f t="shared" ref="L65:M65" si="24">L57</f>
        <v>958.59053599257368</v>
      </c>
      <c r="M65" s="206">
        <f t="shared" si="24"/>
        <v>959.68793772251365</v>
      </c>
      <c r="N65" s="206">
        <f t="shared" ref="N65" si="25">N57</f>
        <v>769.44168984082842</v>
      </c>
      <c r="O65" s="206">
        <f t="shared" si="21"/>
        <v>713.07686781191171</v>
      </c>
      <c r="P65" s="206">
        <f t="shared" si="21"/>
        <v>721.4942227279513</v>
      </c>
      <c r="Q65" s="206">
        <f t="shared" si="21"/>
        <v>888.24997189029204</v>
      </c>
      <c r="R65" s="566">
        <f t="shared" ref="R65:S65" si="26">R57</f>
        <v>3958.1583583151732</v>
      </c>
      <c r="S65" s="564">
        <f t="shared" si="26"/>
        <v>5010.5412259860705</v>
      </c>
      <c r="T65" s="206">
        <f t="shared" si="20"/>
        <v>8968.6995843012446</v>
      </c>
    </row>
    <row r="66" spans="3:22">
      <c r="C66" s="209"/>
      <c r="D66" s="173"/>
      <c r="E66" s="173" t="s">
        <v>176</v>
      </c>
      <c r="F66" s="206">
        <v>1317.1058860706055</v>
      </c>
      <c r="G66" s="206">
        <v>1376.4761370361985</v>
      </c>
      <c r="H66" s="206">
        <f>'[8]Falhas UM-1'!$N$57</f>
        <v>882.1179329165509</v>
      </c>
      <c r="I66" s="206">
        <f>'[9]Falhas UM-1'!$N$57</f>
        <v>1232.4914047144839</v>
      </c>
      <c r="J66" s="206">
        <f>'[10]Falhas UM-1'!$N$57</f>
        <v>1094.8806540654805</v>
      </c>
      <c r="K66" s="206">
        <f>'[11]Falhas UM-1'!$N$57</f>
        <v>1185.818358969517</v>
      </c>
      <c r="L66" s="206">
        <f>'[12]Falhas UM-1'!$N$57</f>
        <v>333.37560798801934</v>
      </c>
      <c r="M66" s="206">
        <f>'[13]Falhas UM-1'!$N$57</f>
        <v>294.86578622476304</v>
      </c>
      <c r="N66" s="206">
        <f>'[2]Falhas UM-1'!$N$57</f>
        <v>260.17569178413726</v>
      </c>
      <c r="O66" s="565">
        <f>'[14]Falhas UM-1 - Cost'!O$65</f>
        <v>698.67234391999989</v>
      </c>
      <c r="P66" s="565">
        <f>'[14]Falhas UM-1 - Cost'!P$65</f>
        <v>711.47504939999999</v>
      </c>
      <c r="Q66" s="565">
        <f>'[14]Falhas UM-1 - Cost'!Q$65</f>
        <v>868.73004661999994</v>
      </c>
      <c r="R66" s="565">
        <f>'[14]Falhas UM-1 - Cost'!R$65</f>
        <v>5092.0425502199996</v>
      </c>
      <c r="S66" s="565">
        <f>'[14]Falhas UM-1 - Cost'!S$65</f>
        <v>5284.9677494600001</v>
      </c>
      <c r="T66" s="206">
        <f t="shared" si="20"/>
        <v>10256.184899709755</v>
      </c>
    </row>
    <row r="67" spans="3:22">
      <c r="C67" s="209"/>
      <c r="D67" s="173" t="s">
        <v>104</v>
      </c>
      <c r="E67" s="173" t="s">
        <v>175</v>
      </c>
      <c r="F67" s="206">
        <f>F59</f>
        <v>442.8540935979492</v>
      </c>
      <c r="G67" s="206">
        <f t="shared" ref="G67:Q67" si="27">G59</f>
        <v>241.65956605144686</v>
      </c>
      <c r="H67" s="206">
        <f t="shared" ref="H67:I67" si="28">H59</f>
        <v>240.55064140041648</v>
      </c>
      <c r="I67" s="206">
        <f t="shared" si="28"/>
        <v>243.09408718811758</v>
      </c>
      <c r="J67" s="206">
        <f t="shared" ref="J67:K67" si="29">J59</f>
        <v>439.12876852540586</v>
      </c>
      <c r="K67" s="206">
        <f t="shared" si="29"/>
        <v>508.87021395929349</v>
      </c>
      <c r="L67" s="206">
        <f t="shared" ref="L67:M67" si="30">L59</f>
        <v>512.49299411787638</v>
      </c>
      <c r="M67" s="206">
        <f t="shared" si="30"/>
        <v>513.07969999197996</v>
      </c>
      <c r="N67" s="206">
        <f t="shared" ref="N67" si="31">N59</f>
        <v>411.36800398027231</v>
      </c>
      <c r="O67" s="206">
        <f t="shared" si="27"/>
        <v>381.23357711092075</v>
      </c>
      <c r="P67" s="206">
        <f t="shared" si="27"/>
        <v>385.73376281221937</v>
      </c>
      <c r="Q67" s="206">
        <f t="shared" si="27"/>
        <v>474.88669095592013</v>
      </c>
      <c r="R67" s="566">
        <f t="shared" ref="R67:S67" si="32">R59</f>
        <v>2116.1573707226294</v>
      </c>
      <c r="S67" s="564">
        <f t="shared" si="32"/>
        <v>2678.7947289691892</v>
      </c>
      <c r="T67" s="206">
        <f t="shared" si="20"/>
        <v>4794.9520996918181</v>
      </c>
    </row>
    <row r="68" spans="3:22">
      <c r="D68" s="210"/>
      <c r="E68" s="173" t="s">
        <v>176</v>
      </c>
      <c r="F68" s="211">
        <v>1098.1804915983664</v>
      </c>
      <c r="G68" s="211">
        <v>989.97544847893232</v>
      </c>
      <c r="H68" s="211">
        <f>'[8]Falhas UM-1'!$N$60</f>
        <v>609.42218283089301</v>
      </c>
      <c r="I68" s="211">
        <f>'[9]Falhas UM-1'!$N$60</f>
        <v>1394.4465090632384</v>
      </c>
      <c r="J68" s="211">
        <f>'[10]Falhas UM-1'!$N$60</f>
        <v>1346.4731202572775</v>
      </c>
      <c r="K68" s="211">
        <f>'[11]Falhas UM-1'!$N$60</f>
        <v>1468.718370284585</v>
      </c>
      <c r="L68" s="211">
        <f>'[12]Falhas UM-1'!$N$60</f>
        <v>498.91295476412409</v>
      </c>
      <c r="M68" s="211">
        <f>'[13]Falhas UM-1'!$N$60</f>
        <v>182.14822496400842</v>
      </c>
      <c r="N68" s="211">
        <f>'[2]Falhas UM-1'!$N$60</f>
        <v>320.85717605567254</v>
      </c>
      <c r="O68" s="259">
        <f>'[14]Falhas UM-1 - Cost'!O$67</f>
        <v>320.16103224000005</v>
      </c>
      <c r="P68" s="259">
        <f>'[14]Falhas UM-1 - Cost'!P$67</f>
        <v>325.46390647999999</v>
      </c>
      <c r="Q68" s="259">
        <f>'[14]Falhas UM-1 - Cost'!Q$67</f>
        <v>396.38984944000003</v>
      </c>
      <c r="R68" s="259">
        <f>'[14]Falhas UM-1 - Cost'!R$67</f>
        <v>2327.2989320800002</v>
      </c>
      <c r="S68" s="259">
        <f>'[14]Falhas UM-1 - Cost'!S$67</f>
        <v>0</v>
      </c>
      <c r="T68" s="206">
        <f t="shared" si="20"/>
        <v>8951.149266457096</v>
      </c>
    </row>
    <row r="69" spans="3:22">
      <c r="D69" s="1021" t="s">
        <v>1</v>
      </c>
      <c r="E69" s="563" t="s">
        <v>175</v>
      </c>
      <c r="F69" s="645">
        <f>SUMIF($E$63:$E$68,$E$69,F63:F68)</f>
        <v>3035.2332533493836</v>
      </c>
      <c r="G69" s="645">
        <f t="shared" ref="G69:T69" si="33">SUMIF($E$63:$E$68,$E$69,G63:G68)</f>
        <v>1656.2862610348693</v>
      </c>
      <c r="H69" s="645">
        <f t="shared" ref="H69" si="34">SUMIF($E$63:$E$68,$E$69,H63:H68)</f>
        <v>1648.6859135955567</v>
      </c>
      <c r="I69" s="645">
        <f t="shared" si="33"/>
        <v>1666.1181815694201</v>
      </c>
      <c r="J69" s="645">
        <f t="shared" ref="J69:K69" si="35">SUMIF($E$63:$E$68,$E$69,J63:J68)</f>
        <v>3009.7006214889557</v>
      </c>
      <c r="K69" s="645">
        <f t="shared" si="35"/>
        <v>3487.6945192031881</v>
      </c>
      <c r="L69" s="645">
        <f t="shared" ref="L69:M69" si="36">SUMIF($E$63:$E$68,$E$69,L63:L68)</f>
        <v>3512.5243287631911</v>
      </c>
      <c r="M69" s="645">
        <f t="shared" si="36"/>
        <v>3516.5454933064543</v>
      </c>
      <c r="N69" s="645">
        <f t="shared" ref="N69" si="37">SUMIF($E$63:$E$68,$E$69,N63:N68)</f>
        <v>2819.4339018088422</v>
      </c>
      <c r="O69" s="645">
        <f t="shared" si="33"/>
        <v>2612.8985760057599</v>
      </c>
      <c r="P69" s="645">
        <f t="shared" si="33"/>
        <v>2643.7419474102244</v>
      </c>
      <c r="Q69" s="645">
        <f t="shared" si="33"/>
        <v>3254.7782594757873</v>
      </c>
      <c r="R69" s="645">
        <f t="shared" si="33"/>
        <v>14503.718750241371</v>
      </c>
      <c r="S69" s="645">
        <f t="shared" si="33"/>
        <v>15085.856936722957</v>
      </c>
      <c r="T69" s="645">
        <f t="shared" si="33"/>
        <v>32863.641257011637</v>
      </c>
    </row>
    <row r="70" spans="3:22">
      <c r="D70" s="1021"/>
      <c r="E70" s="563" t="s">
        <v>176</v>
      </c>
      <c r="F70" s="645">
        <f>SUMIF($E$63:$E$68,$E$70,F63:F68)</f>
        <v>4605.4622694100417</v>
      </c>
      <c r="G70" s="645">
        <f>SUMIF($E$63:$E$68,$E$70,G63:G68)</f>
        <v>4679.5607101937167</v>
      </c>
      <c r="H70" s="645">
        <f>SUMIF($E$63:$E$68,$E$70,H63:H68)</f>
        <v>2943.3037714297143</v>
      </c>
      <c r="I70" s="645">
        <f t="shared" ref="I70:T70" si="38">SUMIF($E$63:$E$68,$E$70,I63:I68)</f>
        <v>4552.9948183563265</v>
      </c>
      <c r="J70" s="645">
        <f t="shared" ref="J70:K70" si="39">SUMIF($E$63:$E$68,$E$70,J63:J68)</f>
        <v>4301.5417738451069</v>
      </c>
      <c r="K70" s="645">
        <f t="shared" si="39"/>
        <v>4644.647599723633</v>
      </c>
      <c r="L70" s="645">
        <f t="shared" ref="L70:M70" si="40">SUMIF($E$63:$E$68,$E$70,L63:L68)</f>
        <v>1511.0425264903513</v>
      </c>
      <c r="M70" s="645">
        <f t="shared" si="40"/>
        <v>719.42684626137043</v>
      </c>
      <c r="N70" s="645">
        <f t="shared" ref="N70" si="41">SUMIF($E$63:$E$68,$E$70,N63:N68)</f>
        <v>1008.1926523914865</v>
      </c>
      <c r="O70" s="645">
        <f t="shared" si="38"/>
        <v>1845.8988045699998</v>
      </c>
      <c r="P70" s="645">
        <f t="shared" si="38"/>
        <v>1878.3257282199997</v>
      </c>
      <c r="Q70" s="645">
        <f t="shared" si="38"/>
        <v>2289.9406609799998</v>
      </c>
      <c r="R70" s="645">
        <f t="shared" si="38"/>
        <v>13431.0180186</v>
      </c>
      <c r="S70" s="645">
        <f t="shared" si="38"/>
        <v>11524.93009122</v>
      </c>
      <c r="T70" s="645">
        <f t="shared" si="38"/>
        <v>34980.338161871739</v>
      </c>
      <c r="V70" s="609"/>
    </row>
    <row r="94" spans="8:8">
      <c r="H94" s="579"/>
    </row>
    <row r="101" spans="6:18">
      <c r="F101" s="579"/>
      <c r="G101" s="579"/>
      <c r="H101" s="579"/>
      <c r="I101" s="579"/>
      <c r="J101" s="579"/>
      <c r="K101" s="579"/>
      <c r="L101" s="579"/>
      <c r="M101" s="579"/>
      <c r="N101" s="579"/>
      <c r="O101" s="579"/>
      <c r="P101" s="579"/>
      <c r="Q101" s="579"/>
      <c r="R101" s="579"/>
    </row>
  </sheetData>
  <mergeCells count="10">
    <mergeCell ref="D69:D70"/>
    <mergeCell ref="A57:B58"/>
    <mergeCell ref="A36:A56"/>
    <mergeCell ref="B36:B56"/>
    <mergeCell ref="A1:F1"/>
    <mergeCell ref="B6:B15"/>
    <mergeCell ref="B16:B22"/>
    <mergeCell ref="A6:A35"/>
    <mergeCell ref="B23:B35"/>
    <mergeCell ref="C4:D4"/>
  </mergeCells>
  <phoneticPr fontId="20" type="noConversion"/>
  <printOptions horizontalCentered="1" gridLinesSet="0"/>
  <pageMargins left="0.98425196850393704" right="0.39370078740157483" top="0.39370078740157483" bottom="0.39370078740157483" header="0.51181102362204722" footer="0.31496062992125984"/>
  <pageSetup paperSize="9" scale="35" orientation="landscape" horizontalDpi="4294967292" r:id="rId1"/>
  <headerFooter alignWithMargins="0">
    <oddFooter>&amp;L&amp;A&amp;R&amp;F</oddFooter>
  </headerFooter>
  <ignoredErrors>
    <ignoredError sqref="O66:S66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>
    <tabColor indexed="56"/>
    <pageSetUpPr fitToPage="1"/>
  </sheetPr>
  <dimension ref="A1:AA76"/>
  <sheetViews>
    <sheetView showGridLines="0" zoomScale="90" zoomScaleNormal="90" zoomScaleSheetLayoutView="53" workbookViewId="0">
      <pane xSplit="3" ySplit="6" topLeftCell="D7" activePane="bottomRight" state="frozen"/>
      <selection activeCell="E6" sqref="E6"/>
      <selection pane="topRight" activeCell="E6" sqref="E6"/>
      <selection pane="bottomLeft" activeCell="E6" sqref="E6"/>
      <selection pane="bottomRight" activeCell="D48" sqref="D48"/>
    </sheetView>
  </sheetViews>
  <sheetFormatPr defaultColWidth="11.42578125" defaultRowHeight="12.75"/>
  <cols>
    <col min="1" max="1" width="3.140625" style="75" bestFit="1" customWidth="1"/>
    <col min="2" max="2" width="6.42578125" style="75" bestFit="1" customWidth="1"/>
    <col min="3" max="3" width="25.140625" style="75" bestFit="1" customWidth="1"/>
    <col min="4" max="4" width="10" style="75" bestFit="1" customWidth="1"/>
    <col min="5" max="16" width="8.85546875" style="75" bestFit="1" customWidth="1"/>
    <col min="17" max="17" width="7.42578125" style="75" bestFit="1" customWidth="1"/>
    <col min="18" max="18" width="6.42578125" style="75" bestFit="1" customWidth="1"/>
    <col min="19" max="19" width="7.42578125" style="75" bestFit="1" customWidth="1"/>
    <col min="20" max="20" width="6.42578125" style="75" bestFit="1" customWidth="1"/>
    <col min="21" max="21" width="7.42578125" style="75" bestFit="1" customWidth="1"/>
    <col min="22" max="22" width="6.42578125" style="75" bestFit="1" customWidth="1"/>
    <col min="23" max="23" width="6.85546875" style="75" bestFit="1" customWidth="1"/>
    <col min="24" max="24" width="7.42578125" style="75" bestFit="1" customWidth="1"/>
    <col min="25" max="25" width="6.7109375" style="75" bestFit="1" customWidth="1"/>
    <col min="26" max="26" width="6" style="75" bestFit="1" customWidth="1"/>
    <col min="27" max="16384" width="11.42578125" style="75"/>
  </cols>
  <sheetData>
    <row r="1" spans="1:27" ht="18" customHeight="1">
      <c r="A1" s="1026" t="s">
        <v>80</v>
      </c>
      <c r="B1" s="1026"/>
      <c r="C1" s="1026"/>
      <c r="D1" s="1026"/>
      <c r="E1" s="1026"/>
    </row>
    <row r="2" spans="1:27" ht="18" customHeight="1"/>
    <row r="3" spans="1:27" ht="9.9499999999999993" customHeight="1" thickBot="1"/>
    <row r="4" spans="1:27" ht="18" customHeight="1">
      <c r="A4" s="76"/>
      <c r="B4" s="1027"/>
      <c r="C4" s="1028"/>
      <c r="D4" s="306" t="s">
        <v>192</v>
      </c>
      <c r="E4" s="200">
        <f>'Falhas UM-1 - Qty'!F5</f>
        <v>44652</v>
      </c>
      <c r="F4" s="200">
        <f>'Falhas UM-1 - Qty'!G5</f>
        <v>44682</v>
      </c>
      <c r="G4" s="200">
        <f>'Falhas UM-1 - Qty'!H5</f>
        <v>44713</v>
      </c>
      <c r="H4" s="200">
        <f>'Falhas UM-1 - Qty'!I5</f>
        <v>44743</v>
      </c>
      <c r="I4" s="200">
        <f>'Falhas UM-1 - Qty'!J5</f>
        <v>44774</v>
      </c>
      <c r="J4" s="200">
        <f>'Falhas UM-1 - Qty'!K5</f>
        <v>44805</v>
      </c>
      <c r="K4" s="200">
        <f>'Falhas UM-1 - Qty'!L5</f>
        <v>44835</v>
      </c>
      <c r="L4" s="200">
        <f>'Falhas UM-1 - Qty'!M5</f>
        <v>44866</v>
      </c>
      <c r="M4" s="200">
        <f>'Falhas UM-1 - Qty'!N5</f>
        <v>44896</v>
      </c>
      <c r="N4" s="200">
        <f>'Falhas UM-1 - Qty'!O5</f>
        <v>44927</v>
      </c>
      <c r="O4" s="200">
        <f>'Falhas UM-1 - Qty'!P5</f>
        <v>44958</v>
      </c>
      <c r="P4" s="200">
        <f>'Falhas UM-1 - Qty'!Q5</f>
        <v>44986</v>
      </c>
      <c r="Q4" s="61" t="s">
        <v>55</v>
      </c>
      <c r="R4" s="13"/>
      <c r="S4" s="12" t="s">
        <v>54</v>
      </c>
      <c r="T4" s="13"/>
      <c r="U4" s="12" t="s">
        <v>1</v>
      </c>
      <c r="V4" s="11"/>
      <c r="W4" s="61" t="s">
        <v>55</v>
      </c>
      <c r="X4" s="11" t="s">
        <v>54</v>
      </c>
      <c r="Y4" s="61" t="s">
        <v>53</v>
      </c>
      <c r="Z4" s="11" t="s">
        <v>52</v>
      </c>
    </row>
    <row r="5" spans="1:27" ht="18" customHeight="1" thickBot="1">
      <c r="A5" s="189"/>
      <c r="B5" s="1029" t="s">
        <v>57</v>
      </c>
      <c r="C5" s="1030"/>
      <c r="D5" s="307" t="s">
        <v>48</v>
      </c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62" t="s">
        <v>49</v>
      </c>
      <c r="R5" s="7" t="s">
        <v>48</v>
      </c>
      <c r="S5" s="6" t="s">
        <v>49</v>
      </c>
      <c r="T5" s="7" t="s">
        <v>48</v>
      </c>
      <c r="U5" s="6" t="s">
        <v>49</v>
      </c>
      <c r="V5" s="5" t="s">
        <v>48</v>
      </c>
      <c r="W5" s="62"/>
      <c r="X5" s="5"/>
      <c r="Y5" s="62"/>
      <c r="Z5" s="610">
        <v>2022</v>
      </c>
    </row>
    <row r="6" spans="1:27" ht="13.5" thickTop="1">
      <c r="A6" s="189"/>
      <c r="B6" s="190" t="s">
        <v>51</v>
      </c>
      <c r="C6" s="191" t="s">
        <v>50</v>
      </c>
      <c r="D6" s="199">
        <f>'Falhas UM-1 - Qty'!E5</f>
        <v>2022</v>
      </c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</row>
    <row r="7" spans="1:27" ht="18" customHeight="1">
      <c r="A7" s="1031" t="s">
        <v>142</v>
      </c>
      <c r="B7" s="78">
        <v>3010</v>
      </c>
      <c r="C7" s="79" t="s">
        <v>46</v>
      </c>
      <c r="D7" s="322">
        <f>'[3]Falhas UM-3-1 Qty'!Z7</f>
        <v>128.7658091992505</v>
      </c>
      <c r="E7" s="332">
        <f>'Prod &amp; Defects - Qty'!F$6*'Falhas UM-3-1 Qty'!$D7/1000000</f>
        <v>417.7226186704994</v>
      </c>
      <c r="F7" s="332">
        <f>'Prod &amp; Defects - Qty'!G$6*'Falhas UM-3-1 Qty'!$D7/1000000</f>
        <v>437.17440249064094</v>
      </c>
      <c r="G7" s="332">
        <f>'Prod &amp; Defects - Qty'!H$6*'Falhas UM-3-1 Qty'!$D7/1000000</f>
        <v>420.72988654570815</v>
      </c>
      <c r="H7" s="332">
        <f>'Prod &amp; Defects - Qty'!I$6*'Falhas UM-3-1 Qty'!$D7/1000000</f>
        <v>423.44992685559231</v>
      </c>
      <c r="I7" s="332">
        <f>'Prod &amp; Defects - Qty'!J$6*'Falhas UM-3-1 Qty'!$D7/1000000</f>
        <v>428.62293931576073</v>
      </c>
      <c r="J7" s="332">
        <f>'Prod &amp; Defects - Qty'!K$6*'Falhas UM-3-1 Qty'!$D7/1000000</f>
        <v>487.33637001982777</v>
      </c>
      <c r="K7" s="332">
        <f>'Prod &amp; Defects - Qty'!L$6*'Falhas UM-3-1 Qty'!$D7/1000000</f>
        <v>481.34206895655495</v>
      </c>
      <c r="L7" s="332">
        <f>'Prod &amp; Defects - Qty'!M$6*'Falhas UM-3-1 Qty'!$D7/1000000</f>
        <v>481.59454703225032</v>
      </c>
      <c r="M7" s="332">
        <f>'Prod &amp; Defects - Qty'!N$6*'Falhas UM-3-1 Qty'!$D7/1000000</f>
        <v>458.22330441934929</v>
      </c>
      <c r="N7" s="332">
        <f>'Prod &amp; Defects - Qty'!O$6*'Falhas UM-3-1 Qty'!$D7/1000000</f>
        <v>355.36555876292101</v>
      </c>
      <c r="O7" s="332">
        <f>'Prod &amp; Defects - Qty'!P$6*'Falhas UM-3-1 Qty'!$D7/1000000</f>
        <v>341.08651800917579</v>
      </c>
      <c r="P7" s="332">
        <f>'Prod &amp; Defects - Qty'!Q$6*'Falhas UM-3-1 Qty'!$D7/1000000</f>
        <v>432.45950936577378</v>
      </c>
      <c r="Q7" s="786">
        <f>SUM(E7:J7)</f>
        <v>2615.0361438980299</v>
      </c>
      <c r="R7" s="786">
        <f>Q7/SUM('Prod &amp; Defects - Qty'!$F$6:$K$6)*1000000</f>
        <v>128.76580919925053</v>
      </c>
      <c r="S7" s="786">
        <f>SUM(K7:P7)</f>
        <v>2550.0715065460254</v>
      </c>
      <c r="T7" s="786">
        <f>S7/SUM('Prod &amp; Defects - Qty'!$L$6:$Q$6)*1000000</f>
        <v>128.7658091992505</v>
      </c>
      <c r="U7" s="786">
        <f>Q7+S7</f>
        <v>5165.1076504440553</v>
      </c>
      <c r="V7" s="786">
        <f>U7/'Prod &amp; Defects - Qty'!$R$6*1000000</f>
        <v>128.76580919925053</v>
      </c>
      <c r="W7" s="786">
        <f t="shared" ref="W7:X26" si="0">V7*Redutor</f>
        <v>115.88922827932548</v>
      </c>
      <c r="X7" s="786">
        <f t="shared" si="0"/>
        <v>104.30030545139293</v>
      </c>
      <c r="Y7" s="786">
        <f>(W7+X7)/2</f>
        <v>110.0947668653592</v>
      </c>
      <c r="Z7" s="786">
        <f t="shared" ref="Z7:Z18" si="1">Y7*1</f>
        <v>110.0947668653592</v>
      </c>
      <c r="AA7" s="75">
        <v>1</v>
      </c>
    </row>
    <row r="8" spans="1:27" ht="18" customHeight="1">
      <c r="A8" s="1032"/>
      <c r="B8" s="81">
        <f>B7+10</f>
        <v>3020</v>
      </c>
      <c r="C8" s="82" t="s">
        <v>79</v>
      </c>
      <c r="D8" s="323">
        <f>'[3]Falhas UM-3-1 Qty'!Z8</f>
        <v>47.614464777398211</v>
      </c>
      <c r="E8" s="333">
        <f>'Prod &amp; Defects - Qty'!F$6*'Falhas UM-3-1 Qty'!$D8/1000000</f>
        <v>154.46366575953462</v>
      </c>
      <c r="F8" s="333">
        <f>'Prod &amp; Defects - Qty'!G$6*'Falhas UM-3-1 Qty'!$D8/1000000</f>
        <v>161.65646236696733</v>
      </c>
      <c r="G8" s="333">
        <f>'Prod &amp; Defects - Qty'!H$6*'Falhas UM-3-1 Qty'!$D8/1000000</f>
        <v>155.57568028583452</v>
      </c>
      <c r="H8" s="333">
        <f>'Prod &amp; Defects - Qty'!I$6*'Falhas UM-3-1 Qty'!$D8/1000000</f>
        <v>156.58148504358411</v>
      </c>
      <c r="I8" s="333">
        <f>'Prod &amp; Defects - Qty'!J$6*'Falhas UM-3-1 Qty'!$D8/1000000</f>
        <v>158.49433924851203</v>
      </c>
      <c r="J8" s="333">
        <f>'Prod &amp; Defects - Qty'!K$6*'Falhas UM-3-1 Qty'!$D8/1000000</f>
        <v>180.20513806695553</v>
      </c>
      <c r="K8" s="333">
        <f>'Prod &amp; Defects - Qty'!L$6*'Falhas UM-3-1 Qty'!$D8/1000000</f>
        <v>177.98859130957311</v>
      </c>
      <c r="L8" s="333">
        <f>'Prod &amp; Defects - Qty'!M$6*'Falhas UM-3-1 Qty'!$D8/1000000</f>
        <v>178.08195156193375</v>
      </c>
      <c r="M8" s="333">
        <f>'Prod &amp; Defects - Qty'!N$6*'Falhas UM-3-1 Qty'!$D8/1000000</f>
        <v>169.43983441052396</v>
      </c>
      <c r="N8" s="333">
        <f>'Prod &amp; Defects - Qty'!O$6*'Falhas UM-3-1 Qty'!$D8/1000000</f>
        <v>131.40554147129939</v>
      </c>
      <c r="O8" s="333">
        <f>'Prod &amp; Defects - Qty'!P$6*'Falhas UM-3-1 Qty'!$D8/1000000</f>
        <v>126.12549945352909</v>
      </c>
      <c r="P8" s="333">
        <f>'Prod &amp; Defects - Qty'!Q$6*'Falhas UM-3-1 Qty'!$D8/1000000</f>
        <v>159.91300955119848</v>
      </c>
      <c r="Q8" s="144">
        <f t="shared" ref="Q8:Q57" si="2">SUM(E8:J8)</f>
        <v>966.97677077138826</v>
      </c>
      <c r="R8" s="144">
        <f>Q8/SUM('Prod &amp; Defects - Qty'!$F$6:$K$6)*1000000</f>
        <v>47.614464777398219</v>
      </c>
      <c r="S8" s="144">
        <f t="shared" ref="S8:S57" si="3">SUM(K8:P8)</f>
        <v>942.95442775805782</v>
      </c>
      <c r="T8" s="144">
        <f>S8/SUM('Prod &amp; Defects - Qty'!$L$6:$Q$6)*1000000</f>
        <v>47.614464777398211</v>
      </c>
      <c r="U8" s="144">
        <f t="shared" ref="U8:U57" si="4">Q8+S8</f>
        <v>1909.9311985294462</v>
      </c>
      <c r="V8" s="144">
        <f>U8/'Prod &amp; Defects - Qty'!$R$6*1000000</f>
        <v>47.614464777398219</v>
      </c>
      <c r="W8" s="144">
        <f t="shared" si="0"/>
        <v>42.853018299658395</v>
      </c>
      <c r="X8" s="144">
        <f t="shared" si="0"/>
        <v>38.567716469692556</v>
      </c>
      <c r="Y8" s="144">
        <f t="shared" ref="Y8:Y57" si="5">(W8+X8)/2</f>
        <v>40.710367384675479</v>
      </c>
      <c r="Z8" s="144">
        <f t="shared" si="1"/>
        <v>40.710367384675479</v>
      </c>
    </row>
    <row r="9" spans="1:27" ht="18" customHeight="1">
      <c r="A9" s="1032"/>
      <c r="B9" s="81">
        <f t="shared" ref="B9:B18" si="6">B8+10</f>
        <v>3030</v>
      </c>
      <c r="C9" s="82" t="s">
        <v>78</v>
      </c>
      <c r="D9" s="323">
        <f>'[3]Falhas UM-3-1 Qty'!Z9</f>
        <v>61.708280993521669</v>
      </c>
      <c r="E9" s="333">
        <f>'Prod &amp; Defects - Qty'!F$6*'Falhas UM-3-1 Qty'!$D9/1000000</f>
        <v>200.18469879983417</v>
      </c>
      <c r="F9" s="333">
        <f>'Prod &amp; Defects - Qty'!G$6*'Falhas UM-3-1 Qty'!$D9/1000000</f>
        <v>209.50655332987597</v>
      </c>
      <c r="G9" s="333">
        <f>'Prod &amp; Defects - Qty'!H$6*'Falhas UM-3-1 Qty'!$D9/1000000</f>
        <v>201.6258680995123</v>
      </c>
      <c r="H9" s="333">
        <f>'Prod &amp; Defects - Qty'!I$6*'Falhas UM-3-1 Qty'!$D9/1000000</f>
        <v>202.92938968493809</v>
      </c>
      <c r="I9" s="333">
        <f>'Prod &amp; Defects - Qty'!J$6*'Falhas UM-3-1 Qty'!$D9/1000000</f>
        <v>205.40844610884565</v>
      </c>
      <c r="J9" s="333">
        <f>'Prod &amp; Defects - Qty'!K$6*'Falhas UM-3-1 Qty'!$D9/1000000</f>
        <v>233.54561157622442</v>
      </c>
      <c r="K9" s="333">
        <f>'Prod &amp; Defects - Qty'!L$6*'Falhas UM-3-1 Qty'!$D9/1000000</f>
        <v>230.67297002119929</v>
      </c>
      <c r="L9" s="333">
        <f>'Prod &amp; Defects - Qty'!M$6*'Falhas UM-3-1 Qty'!$D9/1000000</f>
        <v>230.79396478010773</v>
      </c>
      <c r="M9" s="333">
        <f>'Prod &amp; Defects - Qty'!N$6*'Falhas UM-3-1 Qty'!$D9/1000000</f>
        <v>219.59379281448116</v>
      </c>
      <c r="N9" s="333">
        <f>'Prod &amp; Defects - Qty'!O$6*'Falhas UM-3-1 Qty'!$D9/1000000</f>
        <v>170.30140137301143</v>
      </c>
      <c r="O9" s="333">
        <f>'Prod &amp; Defects - Qty'!P$6*'Falhas UM-3-1 Qty'!$D9/1000000</f>
        <v>163.45847416562984</v>
      </c>
      <c r="P9" s="333">
        <f>'Prod &amp; Defects - Qty'!Q$6*'Falhas UM-3-1 Qty'!$D9/1000000</f>
        <v>207.24704087378979</v>
      </c>
      <c r="Q9" s="144">
        <f t="shared" si="2"/>
        <v>1253.2005675992307</v>
      </c>
      <c r="R9" s="144">
        <f>Q9/SUM('Prod &amp; Defects - Qty'!$F$6:$K$6)*1000000</f>
        <v>61.708280993521676</v>
      </c>
      <c r="S9" s="144">
        <f t="shared" si="3"/>
        <v>1222.0676440282193</v>
      </c>
      <c r="T9" s="144">
        <f>S9/SUM('Prod &amp; Defects - Qty'!$L$6:$Q$6)*1000000</f>
        <v>61.708280993521676</v>
      </c>
      <c r="U9" s="144">
        <f t="shared" si="4"/>
        <v>2475.26821162745</v>
      </c>
      <c r="V9" s="144">
        <f>U9/'Prod &amp; Defects - Qty'!$R$6*1000000</f>
        <v>61.708280993521676</v>
      </c>
      <c r="W9" s="144">
        <f t="shared" si="0"/>
        <v>55.537452894169512</v>
      </c>
      <c r="X9" s="144">
        <f t="shared" si="0"/>
        <v>49.98370760475256</v>
      </c>
      <c r="Y9" s="144">
        <f t="shared" si="5"/>
        <v>52.760580249461036</v>
      </c>
      <c r="Z9" s="144">
        <f t="shared" si="1"/>
        <v>52.760580249461036</v>
      </c>
    </row>
    <row r="10" spans="1:27" ht="18" customHeight="1">
      <c r="A10" s="1032"/>
      <c r="B10" s="81">
        <f t="shared" si="6"/>
        <v>3040</v>
      </c>
      <c r="C10" s="82" t="s">
        <v>77</v>
      </c>
      <c r="D10" s="323">
        <f>'[3]Falhas UM-3-1 Qty'!Z10</f>
        <v>259.80130162588819</v>
      </c>
      <c r="E10" s="333">
        <f>'Prod &amp; Defects - Qty'!F$6*'Falhas UM-3-1 Qty'!$D10/1000000</f>
        <v>842.80820136997966</v>
      </c>
      <c r="F10" s="333">
        <f>'Prod &amp; Defects - Qty'!G$6*'Falhas UM-3-1 Qty'!$D10/1000000</f>
        <v>882.05463477372803</v>
      </c>
      <c r="G10" s="333">
        <f>'Prod &amp; Defects - Qty'!H$6*'Falhas UM-3-1 Qty'!$D10/1000000</f>
        <v>848.87574455691356</v>
      </c>
      <c r="H10" s="333">
        <f>'Prod &amp; Defects - Qty'!I$6*'Falhas UM-3-1 Qty'!$D10/1000000</f>
        <v>854.36376981282058</v>
      </c>
      <c r="I10" s="333">
        <f>'Prod &amp; Defects - Qty'!J$6*'Falhas UM-3-1 Qty'!$D10/1000000</f>
        <v>864.80097654367785</v>
      </c>
      <c r="J10" s="333">
        <f>'Prod &amp; Defects - Qty'!K$6*'Falhas UM-3-1 Qty'!$D10/1000000</f>
        <v>983.26274690567232</v>
      </c>
      <c r="K10" s="333">
        <f>'Prod &amp; Defects - Qty'!L$6*'Falhas UM-3-1 Qty'!$D10/1000000</f>
        <v>971.16848657165815</v>
      </c>
      <c r="L10" s="333">
        <f>'Prod &amp; Defects - Qty'!M$6*'Falhas UM-3-1 Qty'!$D10/1000000</f>
        <v>971.67789301352013</v>
      </c>
      <c r="M10" s="333">
        <f>'Prod &amp; Defects - Qty'!N$6*'Falhas UM-3-1 Qty'!$D10/1000000</f>
        <v>924.52345590630193</v>
      </c>
      <c r="N10" s="333">
        <f>'Prod &amp; Defects - Qty'!O$6*'Falhas UM-3-1 Qty'!$D10/1000000</f>
        <v>716.99494837761119</v>
      </c>
      <c r="O10" s="333">
        <f>'Prod &amp; Defects - Qty'!P$6*'Falhas UM-3-1 Qty'!$D10/1000000</f>
        <v>688.18517816872168</v>
      </c>
      <c r="P10" s="333">
        <f>'Prod &amp; Defects - Qty'!Q$6*'Falhas UM-3-1 Qty'!$D10/1000000</f>
        <v>872.54174172793523</v>
      </c>
      <c r="Q10" s="144">
        <f t="shared" si="2"/>
        <v>5276.1660739627923</v>
      </c>
      <c r="R10" s="144">
        <f>Q10/SUM('Prod &amp; Defects - Qty'!$F$6:$K$6)*1000000</f>
        <v>259.80130162588819</v>
      </c>
      <c r="S10" s="144">
        <f t="shared" si="3"/>
        <v>5145.0917037657482</v>
      </c>
      <c r="T10" s="144">
        <f>S10/SUM('Prod &amp; Defects - Qty'!$L$6:$Q$6)*1000000</f>
        <v>259.80130162588819</v>
      </c>
      <c r="U10" s="144">
        <f t="shared" si="4"/>
        <v>10421.257777728541</v>
      </c>
      <c r="V10" s="144">
        <f>U10/'Prod &amp; Defects - Qty'!$R$6*1000000</f>
        <v>259.80130162588819</v>
      </c>
      <c r="W10" s="144">
        <f t="shared" si="0"/>
        <v>233.82117146329938</v>
      </c>
      <c r="X10" s="144">
        <f t="shared" si="0"/>
        <v>210.43905431696945</v>
      </c>
      <c r="Y10" s="144">
        <f t="shared" si="5"/>
        <v>222.1301128901344</v>
      </c>
      <c r="Z10" s="144">
        <f t="shared" si="1"/>
        <v>222.1301128901344</v>
      </c>
    </row>
    <row r="11" spans="1:27" ht="18" customHeight="1">
      <c r="A11" s="1032"/>
      <c r="B11" s="81">
        <f t="shared" si="6"/>
        <v>3050</v>
      </c>
      <c r="C11" s="82" t="s">
        <v>76</v>
      </c>
      <c r="D11" s="323">
        <f>'[3]Falhas UM-3-1 Qty'!Z11</f>
        <v>44.537351663406653</v>
      </c>
      <c r="E11" s="333">
        <f>'Prod &amp; Defects - Qty'!F$6*'Falhas UM-3-1 Qty'!$D11/1000000</f>
        <v>144.4813594632032</v>
      </c>
      <c r="F11" s="333">
        <f>'Prod &amp; Defects - Qty'!G$6*'Falhas UM-3-1 Qty'!$D11/1000000</f>
        <v>151.20931731059778</v>
      </c>
      <c r="G11" s="333">
        <f>'Prod &amp; Defects - Qty'!H$6*'Falhas UM-3-1 Qty'!$D11/1000000</f>
        <v>145.52150938915901</v>
      </c>
      <c r="H11" s="333">
        <f>'Prod &amp; Defects - Qty'!I$6*'Falhas UM-3-1 Qty'!$D11/1000000</f>
        <v>146.46231341604548</v>
      </c>
      <c r="I11" s="333">
        <f>'Prod &amp; Defects - Qty'!J$6*'Falhas UM-3-1 Qty'!$D11/1000000</f>
        <v>148.25154827994635</v>
      </c>
      <c r="J11" s="333">
        <f>'Prod &amp; Defects - Qty'!K$6*'Falhas UM-3-1 Qty'!$D11/1000000</f>
        <v>168.55927380812415</v>
      </c>
      <c r="K11" s="333">
        <f>'Prod &amp; Defects - Qty'!L$6*'Falhas UM-3-1 Qty'!$D11/1000000</f>
        <v>166.48597270364999</v>
      </c>
      <c r="L11" s="333">
        <f>'Prod &amp; Defects - Qty'!M$6*'Falhas UM-3-1 Qty'!$D11/1000000</f>
        <v>166.57329949415808</v>
      </c>
      <c r="M11" s="333">
        <f>'Prod &amp; Defects - Qty'!N$6*'Falhas UM-3-1 Qty'!$D11/1000000</f>
        <v>158.48968430519977</v>
      </c>
      <c r="N11" s="333">
        <f>'Prod &amp; Defects - Qty'!O$6*'Falhas UM-3-1 Qty'!$D11/1000000</f>
        <v>122.91338017529688</v>
      </c>
      <c r="O11" s="333">
        <f>'Prod &amp; Defects - Qty'!P$6*'Falhas UM-3-1 Qty'!$D11/1000000</f>
        <v>117.97456401423345</v>
      </c>
      <c r="P11" s="333">
        <f>'Prod &amp; Defects - Qty'!Q$6*'Falhas UM-3-1 Qty'!$D11/1000000</f>
        <v>149.57853617029792</v>
      </c>
      <c r="Q11" s="144">
        <f t="shared" si="2"/>
        <v>904.48532166707582</v>
      </c>
      <c r="R11" s="144">
        <f>Q11/SUM('Prod &amp; Defects - Qty'!$F$6:$K$6)*1000000</f>
        <v>44.537351663406653</v>
      </c>
      <c r="S11" s="144">
        <f t="shared" si="3"/>
        <v>882.01543686283617</v>
      </c>
      <c r="T11" s="144">
        <f>S11/SUM('Prod &amp; Defects - Qty'!$L$6:$Q$6)*1000000</f>
        <v>44.53735166340666</v>
      </c>
      <c r="U11" s="144">
        <f t="shared" si="4"/>
        <v>1786.500758529912</v>
      </c>
      <c r="V11" s="144">
        <f>U11/'Prod &amp; Defects - Qty'!$R$6*1000000</f>
        <v>44.537351663406653</v>
      </c>
      <c r="W11" s="144">
        <f t="shared" si="0"/>
        <v>40.083616497065989</v>
      </c>
      <c r="X11" s="144">
        <f t="shared" si="0"/>
        <v>36.075254847359389</v>
      </c>
      <c r="Y11" s="144">
        <f t="shared" si="5"/>
        <v>38.079435672212689</v>
      </c>
      <c r="Z11" s="144">
        <f t="shared" si="1"/>
        <v>38.079435672212689</v>
      </c>
    </row>
    <row r="12" spans="1:27" ht="18" customHeight="1">
      <c r="A12" s="1032"/>
      <c r="B12" s="81">
        <f t="shared" si="6"/>
        <v>3060</v>
      </c>
      <c r="C12" s="82" t="s">
        <v>75</v>
      </c>
      <c r="D12" s="323">
        <f>'[3]Falhas UM-3-1 Qty'!Z12</f>
        <v>36.716430839182394</v>
      </c>
      <c r="E12" s="333">
        <f>'Prod &amp; Defects - Qty'!F$6*'Falhas UM-3-1 Qty'!$D12/1000000</f>
        <v>119.1099076203128</v>
      </c>
      <c r="F12" s="333">
        <f>'Prod &amp; Defects - Qty'!G$6*'Falhas UM-3-1 Qty'!$D12/1000000</f>
        <v>124.65641161677208</v>
      </c>
      <c r="G12" s="333">
        <f>'Prod &amp; Defects - Qty'!H$6*'Falhas UM-3-1 Qty'!$D12/1000000</f>
        <v>119.96740343881957</v>
      </c>
      <c r="H12" s="333">
        <f>'Prod &amp; Defects - Qty'!I$6*'Falhas UM-3-1 Qty'!$D12/1000000</f>
        <v>120.74299885920878</v>
      </c>
      <c r="I12" s="333">
        <f>'Prod &amp; Defects - Qty'!J$6*'Falhas UM-3-1 Qty'!$D12/1000000</f>
        <v>122.21803757798932</v>
      </c>
      <c r="J12" s="333">
        <f>'Prod &amp; Defects - Qty'!K$6*'Falhas UM-3-1 Qty'!$D12/1000000</f>
        <v>138.95965269447751</v>
      </c>
      <c r="K12" s="333">
        <f>'Prod &amp; Defects - Qty'!L$6*'Falhas UM-3-1 Qty'!$D12/1000000</f>
        <v>137.25043079941429</v>
      </c>
      <c r="L12" s="333">
        <f>'Prod &amp; Defects - Qty'!M$6*'Falhas UM-3-1 Qty'!$D12/1000000</f>
        <v>137.32242268811771</v>
      </c>
      <c r="M12" s="333">
        <f>'Prod &amp; Defects - Qty'!N$6*'Falhas UM-3-1 Qty'!$D12/1000000</f>
        <v>130.65831970644416</v>
      </c>
      <c r="N12" s="333">
        <f>'Prod &amp; Defects - Qty'!O$6*'Falhas UM-3-1 Qty'!$D12/1000000</f>
        <v>101.32934388472854</v>
      </c>
      <c r="O12" s="333">
        <f>'Prod &amp; Defects - Qty'!P$6*'Falhas UM-3-1 Qty'!$D12/1000000</f>
        <v>97.257801791800006</v>
      </c>
      <c r="P12" s="333">
        <f>'Prod &amp; Defects - Qty'!Q$6*'Falhas UM-3-1 Qty'!$D12/1000000</f>
        <v>123.31200157182414</v>
      </c>
      <c r="Q12" s="144">
        <f t="shared" si="2"/>
        <v>745.65441180758012</v>
      </c>
      <c r="R12" s="144">
        <f>Q12/SUM('Prod &amp; Defects - Qty'!$F$6:$K$6)*1000000</f>
        <v>36.716430839182394</v>
      </c>
      <c r="S12" s="144">
        <f t="shared" si="3"/>
        <v>727.13032044232887</v>
      </c>
      <c r="T12" s="144">
        <f>S12/SUM('Prod &amp; Defects - Qty'!$L$6:$Q$6)*1000000</f>
        <v>36.716430839182394</v>
      </c>
      <c r="U12" s="144">
        <f t="shared" si="4"/>
        <v>1472.784732249909</v>
      </c>
      <c r="V12" s="144">
        <f>U12/'Prod &amp; Defects - Qty'!$R$6*1000000</f>
        <v>36.716430839182394</v>
      </c>
      <c r="W12" s="144">
        <f t="shared" si="0"/>
        <v>33.044787755264153</v>
      </c>
      <c r="X12" s="144">
        <f t="shared" si="0"/>
        <v>29.740308979737737</v>
      </c>
      <c r="Y12" s="144">
        <f t="shared" si="5"/>
        <v>31.392548367500943</v>
      </c>
      <c r="Z12" s="144">
        <f t="shared" si="1"/>
        <v>31.392548367500943</v>
      </c>
    </row>
    <row r="13" spans="1:27" ht="18" customHeight="1">
      <c r="A13" s="1032"/>
      <c r="B13" s="81">
        <f t="shared" si="6"/>
        <v>3070</v>
      </c>
      <c r="C13" s="82" t="s">
        <v>41</v>
      </c>
      <c r="D13" s="323">
        <f>'[3]Falhas UM-3-1 Qty'!Z13</f>
        <v>233.4506216508062</v>
      </c>
      <c r="E13" s="333">
        <f>'Prod &amp; Defects - Qty'!F$6*'Falhas UM-3-1 Qty'!$D13/1000000</f>
        <v>757.32529941495022</v>
      </c>
      <c r="F13" s="333">
        <f>'Prod &amp; Defects - Qty'!G$6*'Falhas UM-3-1 Qty'!$D13/1000000</f>
        <v>792.59111301304927</v>
      </c>
      <c r="G13" s="333">
        <f>'Prod &amp; Defects - Qty'!H$6*'Falhas UM-3-1 Qty'!$D13/1000000</f>
        <v>762.77743425807193</v>
      </c>
      <c r="H13" s="333">
        <f>'Prod &amp; Defects - Qty'!I$6*'Falhas UM-3-1 Qty'!$D13/1000000</f>
        <v>767.70882951902297</v>
      </c>
      <c r="I13" s="333">
        <f>'Prod &amp; Defects - Qty'!J$6*'Falhas UM-3-1 Qty'!$D13/1000000</f>
        <v>777.08742918102632</v>
      </c>
      <c r="J13" s="333">
        <f>'Prod &amp; Defects - Qty'!K$6*'Falhas UM-3-1 Qty'!$D13/1000000</f>
        <v>883.53406266512491</v>
      </c>
      <c r="K13" s="333">
        <f>'Prod &amp; Defects - Qty'!L$6*'Falhas UM-3-1 Qty'!$D13/1000000</f>
        <v>872.66647818532135</v>
      </c>
      <c r="L13" s="333">
        <f>'Prod &amp; Defects - Qty'!M$6*'Falhas UM-3-1 Qty'!$D13/1000000</f>
        <v>873.12421742596928</v>
      </c>
      <c r="M13" s="333">
        <f>'Prod &amp; Defects - Qty'!N$6*'Falhas UM-3-1 Qty'!$D13/1000000</f>
        <v>830.75247953481085</v>
      </c>
      <c r="N13" s="333">
        <f>'Prod &amp; Defects - Qty'!O$6*'Falhas UM-3-1 Qty'!$D13/1000000</f>
        <v>644.27281684781974</v>
      </c>
      <c r="O13" s="333">
        <f>'Prod &amp; Defects - Qty'!P$6*'Falhas UM-3-1 Qty'!$D13/1000000</f>
        <v>618.3851145045611</v>
      </c>
      <c r="P13" s="333">
        <f>'Prod &amp; Defects - Qty'!Q$6*'Falhas UM-3-1 Qty'!$D13/1000000</f>
        <v>784.04307733601524</v>
      </c>
      <c r="Q13" s="144">
        <f t="shared" si="2"/>
        <v>4741.0241680512454</v>
      </c>
      <c r="R13" s="144">
        <f>Q13/SUM('Prod &amp; Defects - Qty'!$F$6:$K$6)*1000000</f>
        <v>233.4506216508062</v>
      </c>
      <c r="S13" s="144">
        <f t="shared" si="3"/>
        <v>4623.2441838344976</v>
      </c>
      <c r="T13" s="144">
        <f>S13/SUM('Prod &amp; Defects - Qty'!$L$6:$Q$6)*1000000</f>
        <v>233.4506216508062</v>
      </c>
      <c r="U13" s="144">
        <f t="shared" si="4"/>
        <v>9364.268351885743</v>
      </c>
      <c r="V13" s="144">
        <f>U13/'Prod &amp; Defects - Qty'!$R$6*1000000</f>
        <v>233.4506216508062</v>
      </c>
      <c r="W13" s="144">
        <f t="shared" si="0"/>
        <v>210.10555948572559</v>
      </c>
      <c r="X13" s="144">
        <f t="shared" si="0"/>
        <v>189.09500353715305</v>
      </c>
      <c r="Y13" s="144">
        <f t="shared" si="5"/>
        <v>199.60028151143933</v>
      </c>
      <c r="Z13" s="144">
        <f t="shared" si="1"/>
        <v>199.60028151143933</v>
      </c>
    </row>
    <row r="14" spans="1:27" ht="18" customHeight="1">
      <c r="A14" s="1032"/>
      <c r="B14" s="81">
        <f t="shared" si="6"/>
        <v>3080</v>
      </c>
      <c r="C14" s="82" t="s">
        <v>62</v>
      </c>
      <c r="D14" s="323">
        <f>'[3]Falhas UM-3-1 Qty'!Z14</f>
        <v>78.119484278602371</v>
      </c>
      <c r="E14" s="333">
        <f>'Prod &amp; Defects - Qty'!F$6*'Falhas UM-3-1 Qty'!$D14/1000000</f>
        <v>253.42344947758565</v>
      </c>
      <c r="F14" s="333">
        <f>'Prod &amp; Defects - Qty'!G$6*'Falhas UM-3-1 Qty'!$D14/1000000</f>
        <v>265.22443399185966</v>
      </c>
      <c r="G14" s="333">
        <f>'Prod &amp; Defects - Qty'!H$6*'Falhas UM-3-1 Qty'!$D14/1000000</f>
        <v>255.24789508903982</v>
      </c>
      <c r="H14" s="333">
        <f>'Prod &amp; Defects - Qty'!I$6*'Falhas UM-3-1 Qty'!$D14/1000000</f>
        <v>256.89808583102752</v>
      </c>
      <c r="I14" s="333">
        <f>'Prod &amp; Defects - Qty'!J$6*'Falhas UM-3-1 Qty'!$D14/1000000</f>
        <v>260.03644272924589</v>
      </c>
      <c r="J14" s="333">
        <f>'Prod &amp; Defects - Qty'!K$6*'Falhas UM-3-1 Qty'!$D14/1000000</f>
        <v>295.65663535143364</v>
      </c>
      <c r="K14" s="333">
        <f>'Prod &amp; Defects - Qty'!L$6*'Falhas UM-3-1 Qty'!$D14/1000000</f>
        <v>292.0200200838749</v>
      </c>
      <c r="L14" s="333">
        <f>'Prod &amp; Defects - Qty'!M$6*'Falhas UM-3-1 Qty'!$D14/1000000</f>
        <v>292.17319317530058</v>
      </c>
      <c r="M14" s="333">
        <f>'Prod &amp; Defects - Qty'!N$6*'Falhas UM-3-1 Qty'!$D14/1000000</f>
        <v>277.99435617482953</v>
      </c>
      <c r="N14" s="333">
        <f>'Prod &amp; Defects - Qty'!O$6*'Falhas UM-3-1 Qty'!$D14/1000000</f>
        <v>215.59274432842491</v>
      </c>
      <c r="O14" s="333">
        <f>'Prod &amp; Defects - Qty'!P$6*'Falhas UM-3-1 Qty'!$D14/1000000</f>
        <v>206.92995327688371</v>
      </c>
      <c r="P14" s="333">
        <f>'Prod &amp; Defects - Qty'!Q$6*'Falhas UM-3-1 Qty'!$D14/1000000</f>
        <v>262.3640083739582</v>
      </c>
      <c r="Q14" s="144">
        <f t="shared" si="2"/>
        <v>1586.4869424701922</v>
      </c>
      <c r="R14" s="144">
        <f>Q14/SUM('Prod &amp; Defects - Qty'!$F$6:$K$6)*1000000</f>
        <v>78.119484278602386</v>
      </c>
      <c r="S14" s="144">
        <f t="shared" si="3"/>
        <v>1547.0742754132721</v>
      </c>
      <c r="T14" s="144">
        <f>S14/SUM('Prod &amp; Defects - Qty'!$L$6:$Q$6)*1000000</f>
        <v>78.119484278602386</v>
      </c>
      <c r="U14" s="144">
        <f t="shared" si="4"/>
        <v>3133.5612178834645</v>
      </c>
      <c r="V14" s="144">
        <f>U14/'Prod &amp; Defects - Qty'!$R$6*1000000</f>
        <v>78.119484278602386</v>
      </c>
      <c r="W14" s="144">
        <f t="shared" si="0"/>
        <v>70.307535850742156</v>
      </c>
      <c r="X14" s="144">
        <f t="shared" si="0"/>
        <v>63.27678226566794</v>
      </c>
      <c r="Y14" s="144">
        <f t="shared" si="5"/>
        <v>66.792159058205044</v>
      </c>
      <c r="Z14" s="144">
        <f t="shared" si="1"/>
        <v>66.792159058205044</v>
      </c>
    </row>
    <row r="15" spans="1:27" ht="18" customHeight="1">
      <c r="A15" s="1032"/>
      <c r="B15" s="81">
        <f t="shared" si="6"/>
        <v>3090</v>
      </c>
      <c r="C15" s="82" t="s">
        <v>74</v>
      </c>
      <c r="D15" s="323">
        <f>'[3]Falhas UM-3-1 Qty'!Z15</f>
        <v>389.05237403654462</v>
      </c>
      <c r="E15" s="333">
        <f>'Prod &amp; Defects - Qty'!F$6*'Falhas UM-3-1 Qty'!$D15/1000000</f>
        <v>1262.1050377670128</v>
      </c>
      <c r="F15" s="333">
        <f>'Prod &amp; Defects - Qty'!G$6*'Falhas UM-3-1 Qty'!$D15/1000000</f>
        <v>1320.8765604369903</v>
      </c>
      <c r="G15" s="333">
        <f>'Prod &amp; Defects - Qty'!H$6*'Falhas UM-3-1 Qty'!$D15/1000000</f>
        <v>1271.1911819343934</v>
      </c>
      <c r="H15" s="333">
        <f>'Prod &amp; Defects - Qty'!I$6*'Falhas UM-3-1 Qty'!$D15/1000000</f>
        <v>1279.4094981676881</v>
      </c>
      <c r="I15" s="333">
        <f>'Prod &amp; Defects - Qty'!J$6*'Falhas UM-3-1 Qty'!$D15/1000000</f>
        <v>1295.0392122281569</v>
      </c>
      <c r="J15" s="333">
        <f>'Prod &amp; Defects - Qty'!K$6*'Falhas UM-3-1 Qty'!$D15/1000000</f>
        <v>1472.4356790798588</v>
      </c>
      <c r="K15" s="333">
        <f>'Prod &amp; Defects - Qty'!L$6*'Falhas UM-3-1 Qty'!$D15/1000000</f>
        <v>1454.3245277279698</v>
      </c>
      <c r="L15" s="333">
        <f>'Prod &amp; Defects - Qty'!M$6*'Falhas UM-3-1 Qty'!$D15/1000000</f>
        <v>1455.0873637273112</v>
      </c>
      <c r="M15" s="333">
        <f>'Prod &amp; Defects - Qty'!N$6*'Falhas UM-3-1 Qty'!$D15/1000000</f>
        <v>1384.4736077987993</v>
      </c>
      <c r="N15" s="333">
        <f>'Prod &amp; Defects - Qty'!O$6*'Falhas UM-3-1 Qty'!$D15/1000000</f>
        <v>1073.6997278027618</v>
      </c>
      <c r="O15" s="333">
        <f>'Prod &amp; Defects - Qty'!P$6*'Falhas UM-3-1 Qty'!$D15/1000000</f>
        <v>1030.557105248253</v>
      </c>
      <c r="P15" s="333">
        <f>'Prod &amp; Defects - Qty'!Q$6*'Falhas UM-3-1 Qty'!$D15/1000000</f>
        <v>1306.6310058525453</v>
      </c>
      <c r="Q15" s="144">
        <f t="shared" si="2"/>
        <v>7901.0571696141014</v>
      </c>
      <c r="R15" s="144">
        <f>Q15/SUM('Prod &amp; Defects - Qty'!$F$6:$K$6)*1000000</f>
        <v>389.05237403654473</v>
      </c>
      <c r="S15" s="144">
        <f t="shared" si="3"/>
        <v>7704.77333815764</v>
      </c>
      <c r="T15" s="144">
        <f>S15/SUM('Prod &amp; Defects - Qty'!$L$6:$Q$6)*1000000</f>
        <v>389.05237403654462</v>
      </c>
      <c r="U15" s="144">
        <f t="shared" si="4"/>
        <v>15605.830507771741</v>
      </c>
      <c r="V15" s="144">
        <f>U15/'Prod &amp; Defects - Qty'!$R$6*1000000</f>
        <v>389.05237403654468</v>
      </c>
      <c r="W15" s="144">
        <f t="shared" si="0"/>
        <v>350.14713663289024</v>
      </c>
      <c r="X15" s="144">
        <f t="shared" si="0"/>
        <v>315.13242296960124</v>
      </c>
      <c r="Y15" s="144">
        <f t="shared" si="5"/>
        <v>332.63977980124571</v>
      </c>
      <c r="Z15" s="144">
        <f t="shared" si="1"/>
        <v>332.63977980124571</v>
      </c>
    </row>
    <row r="16" spans="1:27" ht="18" customHeight="1">
      <c r="A16" s="1032"/>
      <c r="B16" s="81">
        <f t="shared" si="6"/>
        <v>3100</v>
      </c>
      <c r="C16" s="89" t="s">
        <v>73</v>
      </c>
      <c r="D16" s="323">
        <f>'[3]Falhas UM-3-1 Qty'!Z16</f>
        <v>4654.1257296705762</v>
      </c>
      <c r="E16" s="333">
        <f>'Prod &amp; Defects - Qty'!F$6*'Falhas UM-3-1 Qty'!$D16/1000000</f>
        <v>15098.212790410966</v>
      </c>
      <c r="F16" s="333">
        <f>'Prod &amp; Defects - Qty'!G$6*'Falhas UM-3-1 Qty'!$D16/1000000</f>
        <v>15801.280228330173</v>
      </c>
      <c r="G16" s="333">
        <f>'Prod &amp; Defects - Qty'!H$6*'Falhas UM-3-1 Qty'!$D16/1000000</f>
        <v>15206.907814975781</v>
      </c>
      <c r="H16" s="333">
        <f>'Prod &amp; Defects - Qty'!I$6*'Falhas UM-3-1 Qty'!$D16/1000000</f>
        <v>15305.221254472628</v>
      </c>
      <c r="I16" s="333">
        <f>'Prod &amp; Defects - Qty'!J$6*'Falhas UM-3-1 Qty'!$D16/1000000</f>
        <v>15492.195192201094</v>
      </c>
      <c r="J16" s="333">
        <f>'Prod &amp; Defects - Qty'!K$6*'Falhas UM-3-1 Qty'!$D16/1000000</f>
        <v>17614.339961968282</v>
      </c>
      <c r="K16" s="333">
        <f>'Prod &amp; Defects - Qty'!L$6*'Falhas UM-3-1 Qty'!$D16/1000000</f>
        <v>17397.68127762141</v>
      </c>
      <c r="L16" s="333">
        <f>'Prod &amp; Defects - Qty'!M$6*'Falhas UM-3-1 Qty'!$D16/1000000</f>
        <v>17406.806873271209</v>
      </c>
      <c r="M16" s="333">
        <f>'Prod &amp; Defects - Qty'!N$6*'Falhas UM-3-1 Qty'!$D16/1000000</f>
        <v>16562.074080804829</v>
      </c>
      <c r="N16" s="333">
        <f>'Prod &amp; Defects - Qty'!O$6*'Falhas UM-3-1 Qty'!$D16/1000000</f>
        <v>12844.372281449529</v>
      </c>
      <c r="O16" s="333">
        <f>'Prod &amp; Defects - Qty'!P$6*'Falhas UM-3-1 Qty'!$D16/1000000</f>
        <v>12328.269044260325</v>
      </c>
      <c r="P16" s="333">
        <f>'Prod &amp; Defects - Qty'!Q$6*'Falhas UM-3-1 Qty'!$D16/1000000</f>
        <v>15630.864606811145</v>
      </c>
      <c r="Q16" s="144">
        <f t="shared" si="2"/>
        <v>94518.157242358924</v>
      </c>
      <c r="R16" s="144">
        <f>Q16/SUM('Prod &amp; Defects - Qty'!$F$6:$K$6)*1000000</f>
        <v>4654.1257296705771</v>
      </c>
      <c r="S16" s="144">
        <f t="shared" si="3"/>
        <v>92170.068164218435</v>
      </c>
      <c r="T16" s="144">
        <f>S16/SUM('Prod &amp; Defects - Qty'!$L$6:$Q$6)*1000000</f>
        <v>4654.1257296705753</v>
      </c>
      <c r="U16" s="144">
        <f t="shared" si="4"/>
        <v>186688.22540657734</v>
      </c>
      <c r="V16" s="144">
        <f>U16/'Prod &amp; Defects - Qty'!$R$6*1000000</f>
        <v>4654.1257296705762</v>
      </c>
      <c r="W16" s="144">
        <f t="shared" si="0"/>
        <v>4188.7131567035185</v>
      </c>
      <c r="X16" s="144">
        <f t="shared" si="0"/>
        <v>3769.8418410331669</v>
      </c>
      <c r="Y16" s="144">
        <f t="shared" si="5"/>
        <v>3979.2774988683427</v>
      </c>
      <c r="Z16" s="144">
        <f t="shared" si="1"/>
        <v>3979.2774988683427</v>
      </c>
    </row>
    <row r="17" spans="1:26" ht="18" customHeight="1">
      <c r="A17" s="1032"/>
      <c r="B17" s="81">
        <f t="shared" si="6"/>
        <v>3110</v>
      </c>
      <c r="C17" s="89" t="s">
        <v>72</v>
      </c>
      <c r="D17" s="324">
        <f>'[3]Falhas UM-3-1 Qty'!Z17</f>
        <v>460.1951056351536</v>
      </c>
      <c r="E17" s="334">
        <f>'Prod &amp; Defects - Qty'!F$6*'Falhas UM-3-1 Qty'!$D17/1000000</f>
        <v>1492.8955583838506</v>
      </c>
      <c r="F17" s="334">
        <f>'Prod &amp; Defects - Qty'!G$6*'Falhas UM-3-1 Qty'!$D17/1000000</f>
        <v>1562.4141345149617</v>
      </c>
      <c r="G17" s="334">
        <f>'Prod &amp; Defects - Qty'!H$6*'Falhas UM-3-1 Qty'!$D17/1000000</f>
        <v>1503.6432092246375</v>
      </c>
      <c r="H17" s="334">
        <f>'Prod &amp; Defects - Qty'!I$6*'Falhas UM-3-1 Qty'!$D17/1000000</f>
        <v>1513.3643397446349</v>
      </c>
      <c r="I17" s="334">
        <f>'Prod &amp; Defects - Qty'!J$6*'Falhas UM-3-1 Qty'!$D17/1000000</f>
        <v>1531.8521280042919</v>
      </c>
      <c r="J17" s="334">
        <f>'Prod &amp; Defects - Qty'!K$6*'Falhas UM-3-1 Qty'!$D17/1000000</f>
        <v>1741.6875929703886</v>
      </c>
      <c r="K17" s="334">
        <f>'Prod &amp; Defects - Qty'!L$6*'Falhas UM-3-1 Qty'!$D17/1000000</f>
        <v>1720.2646078769374</v>
      </c>
      <c r="L17" s="334">
        <f>'Prod &amp; Defects - Qty'!M$6*'Falhas UM-3-1 Qty'!$D17/1000000</f>
        <v>1721.1669372719664</v>
      </c>
      <c r="M17" s="334">
        <f>'Prod &amp; Defects - Qty'!N$6*'Falhas UM-3-1 Qty'!$D17/1000000</f>
        <v>1637.6406384046475</v>
      </c>
      <c r="N17" s="334">
        <f>'Prod &amp; Defects - Qty'!O$6*'Falhas UM-3-1 Qty'!$D17/1000000</f>
        <v>1270.0381558659108</v>
      </c>
      <c r="O17" s="334">
        <f>'Prod &amp; Defects - Qty'!P$6*'Falhas UM-3-1 Qty'!$D17/1000000</f>
        <v>1219.0064052101884</v>
      </c>
      <c r="P17" s="334">
        <f>'Prod &amp; Defects - Qty'!Q$6*'Falhas UM-3-1 Qty'!$D17/1000000</f>
        <v>1545.5636153193013</v>
      </c>
      <c r="Q17" s="787">
        <f t="shared" si="2"/>
        <v>9345.8569628427667</v>
      </c>
      <c r="R17" s="787">
        <f>Q17/SUM('Prod &amp; Defects - Qty'!$F$6:$K$6)*1000000</f>
        <v>460.19510563515365</v>
      </c>
      <c r="S17" s="787">
        <f t="shared" si="3"/>
        <v>9113.6803599489522</v>
      </c>
      <c r="T17" s="787">
        <f>S17/SUM('Prod &amp; Defects - Qty'!$L$6:$Q$6)*1000000</f>
        <v>460.1951056351536</v>
      </c>
      <c r="U17" s="787">
        <f t="shared" si="4"/>
        <v>18459.537322791719</v>
      </c>
      <c r="V17" s="787">
        <f>U17/'Prod &amp; Defects - Qty'!$R$6*1000000</f>
        <v>460.19510563515365</v>
      </c>
      <c r="W17" s="787">
        <f t="shared" si="0"/>
        <v>414.17559507163827</v>
      </c>
      <c r="X17" s="787">
        <f t="shared" si="0"/>
        <v>372.75803556447443</v>
      </c>
      <c r="Y17" s="787">
        <f t="shared" si="5"/>
        <v>393.46681531805632</v>
      </c>
      <c r="Z17" s="787">
        <f t="shared" si="1"/>
        <v>393.46681531805632</v>
      </c>
    </row>
    <row r="18" spans="1:26" ht="18" customHeight="1">
      <c r="A18" s="1032"/>
      <c r="B18" s="81">
        <f t="shared" si="6"/>
        <v>3120</v>
      </c>
      <c r="C18" s="89" t="s">
        <v>71</v>
      </c>
      <c r="D18" s="325">
        <f>'[3]Falhas UM-3-1 Qty'!Z18</f>
        <v>0.57762104948599413</v>
      </c>
      <c r="E18" s="335">
        <f>'Prod &amp; Defects - Qty'!F$6*'Falhas UM-3-1 Qty'!$D18/1000000</f>
        <v>1.8738310960880136</v>
      </c>
      <c r="F18" s="335">
        <f>'Prod &amp; Defects - Qty'!G$6*'Falhas UM-3-1 Qty'!$D18/1000000</f>
        <v>1.9610884189319897</v>
      </c>
      <c r="G18" s="335">
        <f>'Prod &amp; Defects - Qty'!H$6*'Falhas UM-3-1 Qty'!$D18/1000000</f>
        <v>1.8873211773212677</v>
      </c>
      <c r="H18" s="335">
        <f>'Prod &amp; Defects - Qty'!I$6*'Falhas UM-3-1 Qty'!$D18/1000000</f>
        <v>1.8995228055967388</v>
      </c>
      <c r="I18" s="335">
        <f>'Prod &amp; Defects - Qty'!J$6*'Falhas UM-3-1 Qty'!$D18/1000000</f>
        <v>1.9227280407816703</v>
      </c>
      <c r="J18" s="335">
        <f>'Prod &amp; Defects - Qty'!K$6*'Falhas UM-3-1 Qty'!$D18/1000000</f>
        <v>2.1861062905912001</v>
      </c>
      <c r="K18" s="335">
        <f>'Prod &amp; Defects - Qty'!L$6*'Falhas UM-3-1 Qty'!$D18/1000000</f>
        <v>2.1592168974158348</v>
      </c>
      <c r="L18" s="335">
        <f>'Prod &amp; Defects - Qty'!M$6*'Falhas UM-3-1 Qty'!$D18/1000000</f>
        <v>2.1603494702001962</v>
      </c>
      <c r="M18" s="335">
        <f>'Prod &amp; Defects - Qty'!N$6*'Falhas UM-3-1 Qty'!$D18/1000000</f>
        <v>2.0555101361424546</v>
      </c>
      <c r="N18" s="335">
        <f>'Prod &amp; Defects - Qty'!O$6*'Falhas UM-3-1 Qty'!$D18/1000000</f>
        <v>1.5941081586820016</v>
      </c>
      <c r="O18" s="335">
        <f>'Prod &amp; Defects - Qty'!P$6*'Falhas UM-3-1 Qty'!$D18/1000000</f>
        <v>1.5300548625692969</v>
      </c>
      <c r="P18" s="335">
        <f>'Prod &amp; Defects - Qty'!Q$6*'Falhas UM-3-1 Qty'!$D18/1000000</f>
        <v>1.9399382274957997</v>
      </c>
      <c r="Q18" s="788">
        <f t="shared" si="2"/>
        <v>11.730597829310879</v>
      </c>
      <c r="R18" s="788">
        <f>Q18/SUM('Prod &amp; Defects - Qty'!$F$6:$K$6)*1000000</f>
        <v>0.57762104948599413</v>
      </c>
      <c r="S18" s="788">
        <f t="shared" si="3"/>
        <v>11.439177752505584</v>
      </c>
      <c r="T18" s="788">
        <f>S18/SUM('Prod &amp; Defects - Qty'!$L$6:$Q$6)*1000000</f>
        <v>0.57762104948599402</v>
      </c>
      <c r="U18" s="788">
        <f t="shared" si="4"/>
        <v>23.169775581816463</v>
      </c>
      <c r="V18" s="788">
        <f>U18/'Prod &amp; Defects - Qty'!$R$6*1000000</f>
        <v>0.57762104948599413</v>
      </c>
      <c r="W18" s="788">
        <f t="shared" si="0"/>
        <v>0.51985894453739478</v>
      </c>
      <c r="X18" s="788">
        <f t="shared" si="0"/>
        <v>0.46787305008365532</v>
      </c>
      <c r="Y18" s="788">
        <f t="shared" si="5"/>
        <v>0.49386599731052505</v>
      </c>
      <c r="Z18" s="788">
        <f t="shared" si="1"/>
        <v>0.49386599731052505</v>
      </c>
    </row>
    <row r="19" spans="1:26" ht="18" customHeight="1" thickBot="1">
      <c r="A19" s="1032"/>
      <c r="B19" s="84"/>
      <c r="C19" s="85" t="s">
        <v>1</v>
      </c>
      <c r="D19" s="326">
        <f>'[3]Falhas UM-3-1 Qty'!Z19</f>
        <v>1281.4201932412161</v>
      </c>
      <c r="E19" s="336">
        <f>SUBTOTAL(109,E7:E18)</f>
        <v>20744.606418233816</v>
      </c>
      <c r="F19" s="336">
        <f t="shared" ref="F19:P19" si="7">SUBTOTAL(109,F7:F18)</f>
        <v>21710.605340594549</v>
      </c>
      <c r="G19" s="336">
        <f t="shared" si="7"/>
        <v>20893.950948975191</v>
      </c>
      <c r="H19" s="336">
        <f t="shared" si="7"/>
        <v>21029.031414212786</v>
      </c>
      <c r="I19" s="336">
        <f t="shared" si="7"/>
        <v>21285.929419459328</v>
      </c>
      <c r="J19" s="336">
        <f t="shared" si="7"/>
        <v>24201.708831396962</v>
      </c>
      <c r="K19" s="336">
        <f t="shared" si="7"/>
        <v>23904.024648754978</v>
      </c>
      <c r="L19" s="336">
        <f t="shared" si="7"/>
        <v>23916.563012912044</v>
      </c>
      <c r="M19" s="336">
        <f t="shared" si="7"/>
        <v>22755.919064416357</v>
      </c>
      <c r="N19" s="336">
        <f t="shared" si="7"/>
        <v>17647.880008497996</v>
      </c>
      <c r="O19" s="336">
        <f t="shared" si="7"/>
        <v>16938.765712965873</v>
      </c>
      <c r="P19" s="336">
        <f t="shared" si="7"/>
        <v>21476.458091181281</v>
      </c>
      <c r="Q19" s="583">
        <f t="shared" si="2"/>
        <v>129865.83237287262</v>
      </c>
      <c r="R19" s="583">
        <f>Q19/SUM('Prod &amp; Defects - Qty'!$F$6:$K$6)*1000000</f>
        <v>6394.6645754198162</v>
      </c>
      <c r="S19" s="583">
        <f t="shared" si="3"/>
        <v>126639.61053872854</v>
      </c>
      <c r="T19" s="583">
        <f>S19/SUM('Prod &amp; Defects - Qty'!$L$6:$Q$6)*1000000</f>
        <v>6394.6645754198162</v>
      </c>
      <c r="U19" s="583">
        <f t="shared" si="4"/>
        <v>256505.44291160116</v>
      </c>
      <c r="V19" s="583">
        <f>U19/'Prod &amp; Defects - Qty'!$R$6*1000000</f>
        <v>6394.6645754198162</v>
      </c>
      <c r="W19" s="583">
        <f t="shared" si="0"/>
        <v>5755.1981178778351</v>
      </c>
      <c r="X19" s="583">
        <f t="shared" si="0"/>
        <v>5179.6783060900516</v>
      </c>
      <c r="Y19" s="583">
        <f t="shared" si="5"/>
        <v>5467.4382119839429</v>
      </c>
      <c r="Z19" s="583">
        <f>SUM(Z7:Z15)</f>
        <v>1094.2000318002338</v>
      </c>
    </row>
    <row r="20" spans="1:26" ht="18" customHeight="1" thickTop="1">
      <c r="A20" s="1032"/>
      <c r="B20" s="81">
        <v>3130</v>
      </c>
      <c r="C20" s="82" t="s">
        <v>108</v>
      </c>
      <c r="D20" s="323">
        <f>'[3]Falhas UM-3-1 Qty'!Z20</f>
        <v>16.622053538264431</v>
      </c>
      <c r="E20" s="333">
        <f>'Prod &amp; Defects - Qty'!F$6*'Falhas UM-3-1 Qty'!$D20/1000000</f>
        <v>53.922759270210634</v>
      </c>
      <c r="F20" s="333">
        <f>'Prod &amp; Defects - Qty'!G$6*'Falhas UM-3-1 Qty'!$D20/1000000</f>
        <v>56.433740982544101</v>
      </c>
      <c r="G20" s="333">
        <f>'Prod &amp; Defects - Qty'!H$6*'Falhas UM-3-1 Qty'!$D20/1000000</f>
        <v>54.310959895333667</v>
      </c>
      <c r="H20" s="333">
        <f>'Prod &amp; Defects - Qty'!I$6*'Falhas UM-3-1 Qty'!$D20/1000000</f>
        <v>54.662083038490174</v>
      </c>
      <c r="I20" s="333">
        <f>'Prod &amp; Defects - Qty'!J$6*'Falhas UM-3-1 Qty'!$D20/1000000</f>
        <v>55.329854169675897</v>
      </c>
      <c r="J20" s="333">
        <f>'Prod &amp; Defects - Qty'!K$6*'Falhas UM-3-1 Qty'!$D20/1000000</f>
        <v>62.909022853095792</v>
      </c>
      <c r="K20" s="333">
        <f>'Prod &amp; Defects - Qty'!L$6*'Falhas UM-3-1 Qty'!$D20/1000000</f>
        <v>62.1352336475776</v>
      </c>
      <c r="L20" s="333">
        <f>'Prod &amp; Defects - Qty'!M$6*'Falhas UM-3-1 Qty'!$D20/1000000</f>
        <v>62.167825405572557</v>
      </c>
      <c r="M20" s="333">
        <f>'Prod &amp; Defects - Qty'!N$6*'Falhas UM-3-1 Qty'!$D20/1000000</f>
        <v>59.1508906432842</v>
      </c>
      <c r="N20" s="333">
        <f>'Prod &amp; Defects - Qty'!O$6*'Falhas UM-3-1 Qty'!$D20/1000000</f>
        <v>45.873243682818483</v>
      </c>
      <c r="O20" s="333">
        <f>'Prod &amp; Defects - Qty'!P$6*'Falhas UM-3-1 Qty'!$D20/1000000</f>
        <v>44.029998326308153</v>
      </c>
      <c r="P20" s="333">
        <f>'Prod &amp; Defects - Qty'!Q$6*'Falhas UM-3-1 Qty'!$D20/1000000</f>
        <v>55.825107320890439</v>
      </c>
      <c r="Q20" s="144">
        <f t="shared" si="2"/>
        <v>337.56842020935028</v>
      </c>
      <c r="R20" s="144">
        <f>Q20/SUM('Prod &amp; Defects - Qty'!$F$6:$K$6)*1000000</f>
        <v>16.622053538264431</v>
      </c>
      <c r="S20" s="144">
        <f t="shared" si="3"/>
        <v>329.1822990264514</v>
      </c>
      <c r="T20" s="144">
        <f>S20/SUM('Prod &amp; Defects - Qty'!$L$6:$Q$6)*1000000</f>
        <v>16.622053538264428</v>
      </c>
      <c r="U20" s="144">
        <f t="shared" si="4"/>
        <v>666.75071923580163</v>
      </c>
      <c r="V20" s="144">
        <f>U20/'Prod &amp; Defects - Qty'!$R$6*1000000</f>
        <v>16.622053538264428</v>
      </c>
      <c r="W20" s="144">
        <f t="shared" si="0"/>
        <v>14.959848184437986</v>
      </c>
      <c r="X20" s="144">
        <f t="shared" si="0"/>
        <v>13.463863365994188</v>
      </c>
      <c r="Y20" s="144">
        <f t="shared" si="5"/>
        <v>14.211855775216087</v>
      </c>
      <c r="Z20" s="144">
        <f t="shared" ref="Z20:Z36" si="8">Y20*1</f>
        <v>14.211855775216087</v>
      </c>
    </row>
    <row r="21" spans="1:26" ht="18" customHeight="1">
      <c r="A21" s="1032"/>
      <c r="B21" s="81">
        <v>3135</v>
      </c>
      <c r="C21" s="89" t="s">
        <v>109</v>
      </c>
      <c r="D21" s="323">
        <f>'[3]Falhas UM-3-1 Qty'!Z21</f>
        <v>13.099713806045042</v>
      </c>
      <c r="E21" s="333">
        <f>'Prod &amp; Defects - Qty'!F$6*'Falhas UM-3-1 Qty'!$D21/1000000</f>
        <v>42.496115924902519</v>
      </c>
      <c r="F21" s="333">
        <f>'Prod &amp; Defects - Qty'!G$6*'Falhas UM-3-1 Qty'!$D21/1000000</f>
        <v>44.475001489677084</v>
      </c>
      <c r="G21" s="333">
        <f>'Prod &amp; Defects - Qty'!H$6*'Falhas UM-3-1 Qty'!$D21/1000000</f>
        <v>42.802053881168462</v>
      </c>
      <c r="H21" s="333">
        <f>'Prod &amp; Defects - Qty'!I$6*'Falhas UM-3-1 Qty'!$D21/1000000</f>
        <v>43.078771356265065</v>
      </c>
      <c r="I21" s="333">
        <f>'Prod &amp; Defects - Qty'!J$6*'Falhas UM-3-1 Qty'!$D21/1000000</f>
        <v>43.605036699252608</v>
      </c>
      <c r="J21" s="333">
        <f>'Prod &amp; Defects - Qty'!K$6*'Falhas UM-3-1 Qty'!$D21/1000000</f>
        <v>49.578121818487915</v>
      </c>
      <c r="K21" s="333">
        <f>'Prod &amp; Defects - Qty'!L$6*'Falhas UM-3-1 Qty'!$D21/1000000</f>
        <v>48.968304438513712</v>
      </c>
      <c r="L21" s="333">
        <f>'Prod &amp; Defects - Qty'!M$6*'Falhas UM-3-1 Qty'!$D21/1000000</f>
        <v>48.99398975478266</v>
      </c>
      <c r="M21" s="333">
        <f>'Prod &amp; Defects - Qty'!N$6*'Falhas UM-3-1 Qty'!$D21/1000000</f>
        <v>46.616366444491462</v>
      </c>
      <c r="N21" s="333">
        <f>'Prod &amp; Defects - Qty'!O$6*'Falhas UM-3-1 Qty'!$D21/1000000</f>
        <v>36.152353992636137</v>
      </c>
      <c r="O21" s="333">
        <f>'Prod &amp; Defects - Qty'!P$6*'Falhas UM-3-1 Qty'!$D21/1000000</f>
        <v>34.699706364650702</v>
      </c>
      <c r="P21" s="333">
        <f>'Prod &amp; Defects - Qty'!Q$6*'Falhas UM-3-1 Qty'!$D21/1000000</f>
        <v>43.995341936058495</v>
      </c>
      <c r="Q21" s="144">
        <f t="shared" si="2"/>
        <v>266.0351011697536</v>
      </c>
      <c r="R21" s="144">
        <f>Q21/SUM('Prod &amp; Defects - Qty'!$F$6:$K$6)*1000000</f>
        <v>13.09971380604504</v>
      </c>
      <c r="S21" s="144">
        <f t="shared" si="3"/>
        <v>259.42606293113317</v>
      </c>
      <c r="T21" s="144">
        <f>S21/SUM('Prod &amp; Defects - Qty'!$L$6:$Q$6)*1000000</f>
        <v>13.099713806045042</v>
      </c>
      <c r="U21" s="144">
        <f t="shared" si="4"/>
        <v>525.46116410088678</v>
      </c>
      <c r="V21" s="144">
        <f>U21/'Prod &amp; Defects - Qty'!$R$6*1000000</f>
        <v>13.099713806045042</v>
      </c>
      <c r="W21" s="144">
        <f t="shared" si="0"/>
        <v>11.789742425440538</v>
      </c>
      <c r="X21" s="144">
        <f t="shared" si="0"/>
        <v>10.610768182896484</v>
      </c>
      <c r="Y21" s="144">
        <f t="shared" si="5"/>
        <v>11.200255304168511</v>
      </c>
      <c r="Z21" s="144">
        <f t="shared" si="8"/>
        <v>11.200255304168511</v>
      </c>
    </row>
    <row r="22" spans="1:26" ht="18" customHeight="1">
      <c r="A22" s="1032"/>
      <c r="B22" s="81">
        <v>3140</v>
      </c>
      <c r="C22" s="89" t="s">
        <v>110</v>
      </c>
      <c r="D22" s="323">
        <f>'[3]Falhas UM-3-1 Qty'!Z22</f>
        <v>4.5109137656639353</v>
      </c>
      <c r="E22" s="333">
        <f>'Prod &amp; Defects - Qty'!F$6*'Falhas UM-3-1 Qty'!$D22/1000000</f>
        <v>14.633626134979552</v>
      </c>
      <c r="F22" s="333">
        <f>'Prod &amp; Defects - Qty'!G$6*'Falhas UM-3-1 Qty'!$D22/1000000</f>
        <v>15.31505950573731</v>
      </c>
      <c r="G22" s="333">
        <f>'Prod &amp; Defects - Qty'!H$6*'Falhas UM-3-1 Qty'!$D22/1000000</f>
        <v>14.738976508185587</v>
      </c>
      <c r="H22" s="333">
        <f>'Prod &amp; Defects - Qty'!I$6*'Falhas UM-3-1 Qty'!$D22/1000000</f>
        <v>14.834264747768122</v>
      </c>
      <c r="I22" s="333">
        <f>'Prod &amp; Defects - Qty'!J$6*'Falhas UM-3-1 Qty'!$D22/1000000</f>
        <v>15.015485316035717</v>
      </c>
      <c r="J22" s="333">
        <f>'Prod &amp; Defects - Qty'!K$6*'Falhas UM-3-1 Qty'!$D22/1000000</f>
        <v>17.072329632390723</v>
      </c>
      <c r="K22" s="333">
        <f>'Prod &amp; Defects - Qty'!L$6*'Falhas UM-3-1 Qty'!$D22/1000000</f>
        <v>16.862337745957497</v>
      </c>
      <c r="L22" s="333">
        <f>'Prod &amp; Defects - Qty'!M$6*'Falhas UM-3-1 Qty'!$D22/1000000</f>
        <v>16.871182538175752</v>
      </c>
      <c r="M22" s="333">
        <f>'Prod &amp; Defects - Qty'!N$6*'Falhas UM-3-1 Qty'!$D22/1000000</f>
        <v>16.052442993270066</v>
      </c>
      <c r="N22" s="333">
        <f>'Prod &amp; Defects - Qty'!O$6*'Falhas UM-3-1 Qty'!$D22/1000000</f>
        <v>12.449138485092883</v>
      </c>
      <c r="O22" s="333">
        <f>'Prod &amp; Defects - Qty'!P$6*'Falhas UM-3-1 Qty'!$D22/1000000</f>
        <v>11.948916245221145</v>
      </c>
      <c r="P22" s="333">
        <f>'Prod &amp; Defects - Qty'!Q$6*'Falhas UM-3-1 Qty'!$D22/1000000</f>
        <v>15.149887738224965</v>
      </c>
      <c r="Q22" s="144">
        <f t="shared" si="2"/>
        <v>91.609741845097005</v>
      </c>
      <c r="R22" s="144">
        <f>Q22/SUM('Prod &amp; Defects - Qty'!$F$6:$K$6)*1000000</f>
        <v>4.5109137656639353</v>
      </c>
      <c r="S22" s="144">
        <f t="shared" si="3"/>
        <v>89.333905745942303</v>
      </c>
      <c r="T22" s="144">
        <f>S22/SUM('Prod &amp; Defects - Qty'!$L$6:$Q$6)*1000000</f>
        <v>4.5109137656639353</v>
      </c>
      <c r="U22" s="144">
        <f t="shared" si="4"/>
        <v>180.94364759103931</v>
      </c>
      <c r="V22" s="144">
        <f>U22/'Prod &amp; Defects - Qty'!$R$6*1000000</f>
        <v>4.5109137656639353</v>
      </c>
      <c r="W22" s="144">
        <f t="shared" si="0"/>
        <v>4.0598223890975422</v>
      </c>
      <c r="X22" s="144">
        <f t="shared" si="0"/>
        <v>3.6538401501877882</v>
      </c>
      <c r="Y22" s="144">
        <f t="shared" si="5"/>
        <v>3.8568312696426652</v>
      </c>
      <c r="Z22" s="144">
        <f t="shared" si="8"/>
        <v>3.8568312696426652</v>
      </c>
    </row>
    <row r="23" spans="1:26" ht="18" customHeight="1">
      <c r="A23" s="1032"/>
      <c r="B23" s="81">
        <f>B22+5</f>
        <v>3145</v>
      </c>
      <c r="C23" s="89" t="s">
        <v>111</v>
      </c>
      <c r="D23" s="323">
        <f>'[3]Falhas UM-3-1 Qty'!Z23</f>
        <v>52.532280356899093</v>
      </c>
      <c r="E23" s="333">
        <f>'Prod &amp; Defects - Qty'!F$6*'Falhas UM-3-1 Qty'!$D23/1000000</f>
        <v>170.41730139295746</v>
      </c>
      <c r="F23" s="333">
        <f>'Prod &amp; Defects - Qty'!G$6*'Falhas UM-3-1 Qty'!$D23/1000000</f>
        <v>178.3529992885089</v>
      </c>
      <c r="G23" s="333">
        <f>'Prod &amp; Defects - Qty'!H$6*'Falhas UM-3-1 Qty'!$D23/1000000</f>
        <v>171.64416930231303</v>
      </c>
      <c r="H23" s="333">
        <f>'Prod &amp; Defects - Qty'!I$6*'Falhas UM-3-1 Qty'!$D23/1000000</f>
        <v>172.75385766624663</v>
      </c>
      <c r="I23" s="333">
        <f>'Prod &amp; Defects - Qty'!J$6*'Falhas UM-3-1 Qty'!$D23/1000000</f>
        <v>174.86427923340963</v>
      </c>
      <c r="J23" s="333">
        <f>'Prod &amp; Defects - Qty'!K$6*'Falhas UM-3-1 Qty'!$D23/1000000</f>
        <v>198.81745765586444</v>
      </c>
      <c r="K23" s="333">
        <f>'Prod &amp; Defects - Qty'!L$6*'Falhas UM-3-1 Qty'!$D23/1000000</f>
        <v>196.37197693425267</v>
      </c>
      <c r="L23" s="333">
        <f>'Prod &amp; Defects - Qty'!M$6*'Falhas UM-3-1 Qty'!$D23/1000000</f>
        <v>196.47497981319145</v>
      </c>
      <c r="M23" s="333">
        <f>'Prod &amp; Defects - Qty'!N$6*'Falhas UM-3-1 Qty'!$D23/1000000</f>
        <v>186.94026965321234</v>
      </c>
      <c r="N23" s="333">
        <f>'Prod &amp; Defects - Qty'!O$6*'Falhas UM-3-1 Qty'!$D23/1000000</f>
        <v>144.97764024635606</v>
      </c>
      <c r="O23" s="333">
        <f>'Prod &amp; Defects - Qty'!P$6*'Falhas UM-3-1 Qty'!$D23/1000000</f>
        <v>139.15225401403239</v>
      </c>
      <c r="P23" s="333">
        <f>'Prod &amp; Defects - Qty'!Q$6*'Falhas UM-3-1 Qty'!$D23/1000000</f>
        <v>176.42947557496569</v>
      </c>
      <c r="Q23" s="144">
        <f t="shared" si="2"/>
        <v>1066.8500645393001</v>
      </c>
      <c r="R23" s="144">
        <f>Q23/SUM('Prod &amp; Defects - Qty'!$F$6:$K$6)*1000000</f>
        <v>52.532280356899101</v>
      </c>
      <c r="S23" s="144">
        <f t="shared" si="3"/>
        <v>1040.3465962360106</v>
      </c>
      <c r="T23" s="144">
        <f>S23/SUM('Prod &amp; Defects - Qty'!$L$6:$Q$6)*1000000</f>
        <v>52.532280356899093</v>
      </c>
      <c r="U23" s="144">
        <f t="shared" si="4"/>
        <v>2107.1966607753106</v>
      </c>
      <c r="V23" s="144">
        <f>U23/'Prod &amp; Defects - Qty'!$R$6*1000000</f>
        <v>52.532280356899093</v>
      </c>
      <c r="W23" s="144">
        <f t="shared" si="0"/>
        <v>47.279052321209186</v>
      </c>
      <c r="X23" s="144">
        <f t="shared" si="0"/>
        <v>42.551147089088268</v>
      </c>
      <c r="Y23" s="144">
        <f t="shared" si="5"/>
        <v>44.915099705148727</v>
      </c>
      <c r="Z23" s="144">
        <f t="shared" si="8"/>
        <v>44.915099705148727</v>
      </c>
    </row>
    <row r="24" spans="1:26" ht="18" customHeight="1">
      <c r="A24" s="1032"/>
      <c r="B24" s="193">
        <f t="shared" ref="B24:B36" si="9">B23+5</f>
        <v>3150</v>
      </c>
      <c r="C24" s="90" t="s">
        <v>112</v>
      </c>
      <c r="D24" s="327">
        <f>'[3]Falhas UM-3-1 Qty'!Z24</f>
        <v>1.8131268177310842</v>
      </c>
      <c r="E24" s="337">
        <f>'Prod &amp; Defects - Qty'!F$6*'Falhas UM-3-1 Qty'!$D24/1000000</f>
        <v>5.8818725793302145</v>
      </c>
      <c r="F24" s="337">
        <f>'Prod &amp; Defects - Qty'!G$6*'Falhas UM-3-1 Qty'!$D24/1000000</f>
        <v>6.1557694399668144</v>
      </c>
      <c r="G24" s="337">
        <f>'Prod &amp; Defects - Qty'!H$6*'Falhas UM-3-1 Qty'!$D24/1000000</f>
        <v>5.9242173451228552</v>
      </c>
      <c r="H24" s="337">
        <f>'Prod &amp; Defects - Qty'!I$6*'Falhas UM-3-1 Qty'!$D24/1000000</f>
        <v>5.9625177143111481</v>
      </c>
      <c r="I24" s="337">
        <f>'Prod &amp; Defects - Qty'!J$6*'Falhas UM-3-1 Qty'!$D24/1000000</f>
        <v>6.0353579168331919</v>
      </c>
      <c r="J24" s="337">
        <f>'Prod &amp; Defects - Qty'!K$6*'Falhas UM-3-1 Qty'!$D24/1000000</f>
        <v>6.8620905443260449</v>
      </c>
      <c r="K24" s="337">
        <f>'Prod &amp; Defects - Qty'!L$6*'Falhas UM-3-1 Qty'!$D24/1000000</f>
        <v>6.7776859335138973</v>
      </c>
      <c r="L24" s="337">
        <f>'Prod &amp; Defects - Qty'!M$6*'Falhas UM-3-1 Qty'!$D24/1000000</f>
        <v>6.7812410291777168</v>
      </c>
      <c r="M24" s="337">
        <f>'Prod &amp; Defects - Qty'!N$6*'Falhas UM-3-1 Qty'!$D24/1000000</f>
        <v>6.4521550162938173</v>
      </c>
      <c r="N24" s="337">
        <f>'Prod &amp; Defects - Qty'!O$6*'Falhas UM-3-1 Qty'!$D24/1000000</f>
        <v>5.0038347034656301</v>
      </c>
      <c r="O24" s="337">
        <f>'Prod &amp; Defects - Qty'!P$6*'Falhas UM-3-1 Qty'!$D24/1000000</f>
        <v>4.8027742520687129</v>
      </c>
      <c r="P24" s="337">
        <f>'Prod &amp; Defects - Qty'!Q$6*'Falhas UM-3-1 Qty'!$D24/1000000</f>
        <v>6.0893799284917272</v>
      </c>
      <c r="Q24" s="789">
        <f t="shared" si="2"/>
        <v>36.82182553989027</v>
      </c>
      <c r="R24" s="789">
        <f>Q24/SUM('Prod &amp; Defects - Qty'!$F$6:$K$6)*1000000</f>
        <v>1.8131268177310844</v>
      </c>
      <c r="S24" s="789">
        <f t="shared" si="3"/>
        <v>35.907070863011498</v>
      </c>
      <c r="T24" s="789">
        <f>S24/SUM('Prod &amp; Defects - Qty'!$L$6:$Q$6)*1000000</f>
        <v>1.813126817731084</v>
      </c>
      <c r="U24" s="789">
        <f t="shared" si="4"/>
        <v>72.728896402901768</v>
      </c>
      <c r="V24" s="789">
        <f>U24/'Prod &amp; Defects - Qty'!$R$6*1000000</f>
        <v>1.8131268177310842</v>
      </c>
      <c r="W24" s="789">
        <f t="shared" si="0"/>
        <v>1.6318141359579759</v>
      </c>
      <c r="X24" s="789">
        <f t="shared" si="0"/>
        <v>1.4686327223621782</v>
      </c>
      <c r="Y24" s="789">
        <f t="shared" si="5"/>
        <v>1.5502234291600772</v>
      </c>
      <c r="Z24" s="789">
        <f t="shared" si="8"/>
        <v>1.5502234291600772</v>
      </c>
    </row>
    <row r="25" spans="1:26" ht="18" customHeight="1">
      <c r="A25" s="1032"/>
      <c r="B25" s="81">
        <f t="shared" si="9"/>
        <v>3155</v>
      </c>
      <c r="C25" s="82" t="s">
        <v>115</v>
      </c>
      <c r="D25" s="323">
        <f>'[3]Falhas UM-3-1 Qty'!Z25</f>
        <v>44.515680098241646</v>
      </c>
      <c r="E25" s="333">
        <f>'Prod &amp; Defects - Qty'!F$6*'Falhas UM-3-1 Qty'!$D25/1000000</f>
        <v>144.41105583984455</v>
      </c>
      <c r="F25" s="333">
        <f>'Prod &amp; Defects - Qty'!G$6*'Falhas UM-3-1 Qty'!$D25/1000000</f>
        <v>151.1357399098035</v>
      </c>
      <c r="G25" s="333">
        <f>'Prod &amp; Defects - Qty'!H$6*'Falhas UM-3-1 Qty'!$D25/1000000</f>
        <v>145.45069963608989</v>
      </c>
      <c r="H25" s="333">
        <f>'Prod &amp; Defects - Qty'!I$6*'Falhas UM-3-1 Qty'!$D25/1000000</f>
        <v>146.39104587428858</v>
      </c>
      <c r="I25" s="333">
        <f>'Prod &amp; Defects - Qty'!J$6*'Falhas UM-3-1 Qty'!$D25/1000000</f>
        <v>148.17941010896473</v>
      </c>
      <c r="J25" s="333">
        <f>'Prod &amp; Defects - Qty'!K$6*'Falhas UM-3-1 Qty'!$D25/1000000</f>
        <v>168.47725403932188</v>
      </c>
      <c r="K25" s="333">
        <f>'Prod &amp; Defects - Qty'!L$6*'Falhas UM-3-1 Qty'!$D25/1000000</f>
        <v>166.40496178872684</v>
      </c>
      <c r="L25" s="333">
        <f>'Prod &amp; Defects - Qty'!M$6*'Falhas UM-3-1 Qty'!$D25/1000000</f>
        <v>166.49224608662681</v>
      </c>
      <c r="M25" s="333">
        <f>'Prod &amp; Defects - Qty'!N$6*'Falhas UM-3-1 Qty'!$D25/1000000</f>
        <v>158.4125643285258</v>
      </c>
      <c r="N25" s="333">
        <f>'Prod &amp; Defects - Qty'!O$6*'Falhas UM-3-1 Qty'!$D25/1000000</f>
        <v>122.85357138046211</v>
      </c>
      <c r="O25" s="333">
        <f>'Prod &amp; Defects - Qty'!P$6*'Falhas UM-3-1 Qty'!$D25/1000000</f>
        <v>117.91715841294916</v>
      </c>
      <c r="P25" s="333">
        <f>'Prod &amp; Defects - Qty'!Q$6*'Falhas UM-3-1 Qty'!$D25/1000000</f>
        <v>149.50575229624991</v>
      </c>
      <c r="Q25" s="144">
        <f t="shared" si="2"/>
        <v>904.04520540831311</v>
      </c>
      <c r="R25" s="144">
        <f>Q25/SUM('Prod &amp; Defects - Qty'!$F$6:$K$6)*1000000</f>
        <v>44.515680098241653</v>
      </c>
      <c r="S25" s="144">
        <f t="shared" si="3"/>
        <v>881.58625429354061</v>
      </c>
      <c r="T25" s="144">
        <f>S25/SUM('Prod &amp; Defects - Qty'!$L$6:$Q$6)*1000000</f>
        <v>44.515680098241646</v>
      </c>
      <c r="U25" s="144">
        <f t="shared" si="4"/>
        <v>1785.6314597018536</v>
      </c>
      <c r="V25" s="144">
        <f>U25/'Prod &amp; Defects - Qty'!$R$6*1000000</f>
        <v>44.515680098241646</v>
      </c>
      <c r="W25" s="144">
        <f t="shared" si="0"/>
        <v>40.064112088417481</v>
      </c>
      <c r="X25" s="144">
        <f t="shared" si="0"/>
        <v>36.057700879575734</v>
      </c>
      <c r="Y25" s="144">
        <f t="shared" si="5"/>
        <v>38.060906483996604</v>
      </c>
      <c r="Z25" s="144">
        <f t="shared" si="8"/>
        <v>38.060906483996604</v>
      </c>
    </row>
    <row r="26" spans="1:26" ht="18" customHeight="1">
      <c r="A26" s="1032"/>
      <c r="B26" s="81">
        <f t="shared" si="9"/>
        <v>3160</v>
      </c>
      <c r="C26" s="89" t="s">
        <v>126</v>
      </c>
      <c r="D26" s="323">
        <f>'[3]Falhas UM-3-1 Qty'!Z26</f>
        <v>25.421249883564194</v>
      </c>
      <c r="E26" s="333">
        <f>'Prod &amp; Defects - Qty'!F$6*'Falhas UM-3-1 Qty'!$D26/1000000</f>
        <v>82.467785022092428</v>
      </c>
      <c r="F26" s="333">
        <f>'Prod &amp; Defects - Qty'!G$6*'Falhas UM-3-1 Qty'!$D26/1000000</f>
        <v>86.308002081635962</v>
      </c>
      <c r="G26" s="333">
        <f>'Prod &amp; Defects - Qty'!H$6*'Falhas UM-3-1 Qty'!$D26/1000000</f>
        <v>83.06148694186372</v>
      </c>
      <c r="H26" s="333">
        <f>'Prod &amp; Defects - Qty'!I$6*'Falhas UM-3-1 Qty'!$D26/1000000</f>
        <v>83.598483717956157</v>
      </c>
      <c r="I26" s="333">
        <f>'Prod &amp; Defects - Qty'!J$6*'Falhas UM-3-1 Qty'!$D26/1000000</f>
        <v>84.619752043907837</v>
      </c>
      <c r="J26" s="333">
        <f>'Prod &amp; Defects - Qty'!K$6*'Falhas UM-3-1 Qty'!$D26/1000000</f>
        <v>96.211096071729983</v>
      </c>
      <c r="K26" s="333">
        <f>'Prod &amp; Defects - Qty'!L$6*'Falhas UM-3-1 Qty'!$D26/1000000</f>
        <v>95.027687011868622</v>
      </c>
      <c r="L26" s="333">
        <f>'Prod &amp; Defects - Qty'!M$6*'Falhas UM-3-1 Qty'!$D26/1000000</f>
        <v>95.077531829311141</v>
      </c>
      <c r="M26" s="333">
        <f>'Prod &amp; Defects - Qty'!N$6*'Falhas UM-3-1 Qty'!$D26/1000000</f>
        <v>90.463525966678631</v>
      </c>
      <c r="N26" s="333">
        <f>'Prod &amp; Defects - Qty'!O$6*'Falhas UM-3-1 Qty'!$D26/1000000</f>
        <v>70.157107119528845</v>
      </c>
      <c r="O26" s="333">
        <f>'Prod &amp; Defects - Qty'!P$6*'Falhas UM-3-1 Qty'!$D26/1000000</f>
        <v>67.338105201582863</v>
      </c>
      <c r="P26" s="333">
        <f>'Prod &amp; Defects - Qty'!Q$6*'Falhas UM-3-1 Qty'!$D26/1000000</f>
        <v>85.377176755822347</v>
      </c>
      <c r="Q26" s="144">
        <f t="shared" si="2"/>
        <v>516.26660587918616</v>
      </c>
      <c r="R26" s="144">
        <f>Q26/SUM('Prod &amp; Defects - Qty'!$F$6:$K$6)*1000000</f>
        <v>25.421249883564197</v>
      </c>
      <c r="S26" s="144">
        <f t="shared" si="3"/>
        <v>503.44113388479241</v>
      </c>
      <c r="T26" s="144">
        <f>S26/SUM('Prod &amp; Defects - Qty'!$L$6:$Q$6)*1000000</f>
        <v>25.42124988356419</v>
      </c>
      <c r="U26" s="144">
        <f t="shared" si="4"/>
        <v>1019.7077397639786</v>
      </c>
      <c r="V26" s="144">
        <f>U26/'Prod &amp; Defects - Qty'!$R$6*1000000</f>
        <v>25.421249883564194</v>
      </c>
      <c r="W26" s="144">
        <f t="shared" si="0"/>
        <v>22.879124895207774</v>
      </c>
      <c r="X26" s="144">
        <f t="shared" si="0"/>
        <v>20.591212405686996</v>
      </c>
      <c r="Y26" s="144">
        <f t="shared" si="5"/>
        <v>21.735168650447385</v>
      </c>
      <c r="Z26" s="144">
        <f t="shared" si="8"/>
        <v>21.735168650447385</v>
      </c>
    </row>
    <row r="27" spans="1:26" ht="18" customHeight="1">
      <c r="A27" s="1032"/>
      <c r="B27" s="81">
        <f t="shared" si="9"/>
        <v>3165</v>
      </c>
      <c r="C27" s="89" t="s">
        <v>127</v>
      </c>
      <c r="D27" s="323">
        <f>'[3]Falhas UM-3-1 Qty'!Z27</f>
        <v>2.0424329381458231</v>
      </c>
      <c r="E27" s="333">
        <f>'Prod &amp; Defects - Qty'!F$6*'Falhas UM-3-1 Qty'!$D27/1000000</f>
        <v>6.6257529128789985</v>
      </c>
      <c r="F27" s="333">
        <f>'Prod &amp; Defects - Qty'!G$6*'Falhas UM-3-1 Qty'!$D27/1000000</f>
        <v>6.9342895052167437</v>
      </c>
      <c r="G27" s="333">
        <f>'Prod &amp; Defects - Qty'!H$6*'Falhas UM-3-1 Qty'!$D27/1000000</f>
        <v>6.6734530205422828</v>
      </c>
      <c r="H27" s="333">
        <f>'Prod &amp; Defects - Qty'!I$6*'Falhas UM-3-1 Qty'!$D27/1000000</f>
        <v>6.7165972368256224</v>
      </c>
      <c r="I27" s="333">
        <f>'Prod &amp; Defects - Qty'!J$6*'Falhas UM-3-1 Qty'!$D27/1000000</f>
        <v>6.7986495386267771</v>
      </c>
      <c r="J27" s="333">
        <f>'Prod &amp; Defects - Qty'!K$6*'Falhas UM-3-1 Qty'!$D27/1000000</f>
        <v>7.7299390286494658</v>
      </c>
      <c r="K27" s="333">
        <f>'Prod &amp; Defects - Qty'!L$6*'Falhas UM-3-1 Qty'!$D27/1000000</f>
        <v>7.6348597680217756</v>
      </c>
      <c r="L27" s="333">
        <f>'Prod &amp; Defects - Qty'!M$6*'Falhas UM-3-1 Qty'!$D27/1000000</f>
        <v>7.6388644765788589</v>
      </c>
      <c r="M27" s="333">
        <f>'Prod &amp; Defects - Qty'!N$6*'Falhas UM-3-1 Qty'!$D27/1000000</f>
        <v>7.26815896076819</v>
      </c>
      <c r="N27" s="333">
        <f>'Prod &amp; Defects - Qty'!O$6*'Falhas UM-3-1 Qty'!$D27/1000000</f>
        <v>5.636669600521639</v>
      </c>
      <c r="O27" s="333">
        <f>'Prod &amp; Defects - Qty'!P$6*'Falhas UM-3-1 Qty'!$D27/1000000</f>
        <v>5.4101810369663257</v>
      </c>
      <c r="P27" s="333">
        <f>'Prod &amp; Defects - Qty'!Q$6*'Falhas UM-3-1 Qty'!$D27/1000000</f>
        <v>6.8595037132588432</v>
      </c>
      <c r="Q27" s="144">
        <f t="shared" si="2"/>
        <v>41.478681242739889</v>
      </c>
      <c r="R27" s="144">
        <f>Q27/SUM('Prod &amp; Defects - Qty'!$F$6:$K$6)*1000000</f>
        <v>2.0424329381458231</v>
      </c>
      <c r="S27" s="144">
        <f t="shared" si="3"/>
        <v>40.448237556115636</v>
      </c>
      <c r="T27" s="144">
        <f>S27/SUM('Prod &amp; Defects - Qty'!$L$6:$Q$6)*1000000</f>
        <v>2.0424329381458231</v>
      </c>
      <c r="U27" s="144">
        <f t="shared" si="4"/>
        <v>81.926918798855525</v>
      </c>
      <c r="V27" s="144">
        <f>U27/'Prod &amp; Defects - Qty'!$R$6*1000000</f>
        <v>2.0424329381458231</v>
      </c>
      <c r="W27" s="144">
        <f t="shared" ref="W27:X46" si="10">V27*Redutor</f>
        <v>1.8381896443312409</v>
      </c>
      <c r="X27" s="144">
        <f t="shared" si="10"/>
        <v>1.6543706798981168</v>
      </c>
      <c r="Y27" s="144">
        <f t="shared" si="5"/>
        <v>1.7462801621146788</v>
      </c>
      <c r="Z27" s="144">
        <f t="shared" si="8"/>
        <v>1.7462801621146788</v>
      </c>
    </row>
    <row r="28" spans="1:26" ht="18" customHeight="1">
      <c r="A28" s="1032"/>
      <c r="B28" s="81">
        <f t="shared" si="9"/>
        <v>3170</v>
      </c>
      <c r="C28" s="89" t="s">
        <v>128</v>
      </c>
      <c r="D28" s="323">
        <f>'[3]Falhas UM-3-1 Qty'!Z28</f>
        <v>83.129982843640519</v>
      </c>
      <c r="E28" s="333">
        <f>'Prod &amp; Defects - Qty'!F$6*'Falhas UM-3-1 Qty'!$D28/1000000</f>
        <v>269.67775327490682</v>
      </c>
      <c r="F28" s="333">
        <f>'Prod &amp; Defects - Qty'!G$6*'Falhas UM-3-1 Qty'!$D28/1000000</f>
        <v>282.2356400718935</v>
      </c>
      <c r="G28" s="333">
        <f>'Prod &amp; Defects - Qty'!H$6*'Falhas UM-3-1 Qty'!$D28/1000000</f>
        <v>271.6192168390856</v>
      </c>
      <c r="H28" s="333">
        <f>'Prod &amp; Defects - Qty'!I$6*'Falhas UM-3-1 Qty'!$D28/1000000</f>
        <v>273.37524901642229</v>
      </c>
      <c r="I28" s="333">
        <f>'Prod &amp; Defects - Qty'!J$6*'Falhas UM-3-1 Qty'!$D28/1000000</f>
        <v>276.71489670502814</v>
      </c>
      <c r="J28" s="333">
        <f>'Prod &amp; Defects - Qty'!K$6*'Falhas UM-3-1 Qty'!$D28/1000000</f>
        <v>314.61972965309599</v>
      </c>
      <c r="K28" s="333">
        <f>'Prod &amp; Defects - Qty'!L$6*'Falhas UM-3-1 Qty'!$D28/1000000</f>
        <v>310.74986584648246</v>
      </c>
      <c r="L28" s="333">
        <f>'Prod &amp; Defects - Qty'!M$6*'Falhas UM-3-1 Qty'!$D28/1000000</f>
        <v>310.91286329302102</v>
      </c>
      <c r="M28" s="333">
        <f>'Prod &amp; Defects - Qty'!N$6*'Falhas UM-3-1 Qty'!$D28/1000000</f>
        <v>295.82461114342527</v>
      </c>
      <c r="N28" s="333">
        <f>'Prod &amp; Defects - Qty'!O$6*'Falhas UM-3-1 Qty'!$D28/1000000</f>
        <v>229.42062793602437</v>
      </c>
      <c r="O28" s="333">
        <f>'Prod &amp; Defects - Qty'!P$6*'Falhas UM-3-1 Qty'!$D28/1000000</f>
        <v>220.20221490958414</v>
      </c>
      <c r="P28" s="333">
        <f>'Prod &amp; Defects - Qty'!Q$6*'Falhas UM-3-1 Qty'!$D28/1000000</f>
        <v>279.19174987295639</v>
      </c>
      <c r="Q28" s="144">
        <f t="shared" si="2"/>
        <v>1688.2424855604322</v>
      </c>
      <c r="R28" s="144">
        <f>Q28/SUM('Prod &amp; Defects - Qty'!$F$6:$K$6)*1000000</f>
        <v>83.129982843640519</v>
      </c>
      <c r="S28" s="144">
        <f t="shared" si="3"/>
        <v>1646.3019330014936</v>
      </c>
      <c r="T28" s="144">
        <f>S28/SUM('Prod &amp; Defects - Qty'!$L$6:$Q$6)*1000000</f>
        <v>83.129982843640505</v>
      </c>
      <c r="U28" s="144">
        <f t="shared" si="4"/>
        <v>3334.5444185619258</v>
      </c>
      <c r="V28" s="144">
        <f>U28/'Prod &amp; Defects - Qty'!$R$6*1000000</f>
        <v>83.129982843640519</v>
      </c>
      <c r="W28" s="144">
        <f t="shared" si="10"/>
        <v>74.816984559276463</v>
      </c>
      <c r="X28" s="144">
        <f t="shared" si="10"/>
        <v>67.335286103348821</v>
      </c>
      <c r="Y28" s="144">
        <f t="shared" si="5"/>
        <v>71.076135331312642</v>
      </c>
      <c r="Z28" s="144">
        <f t="shared" si="8"/>
        <v>71.076135331312642</v>
      </c>
    </row>
    <row r="29" spans="1:26" ht="18" customHeight="1">
      <c r="A29" s="1032"/>
      <c r="B29" s="81">
        <f t="shared" si="9"/>
        <v>3175</v>
      </c>
      <c r="C29" s="89" t="s">
        <v>129</v>
      </c>
      <c r="D29" s="323">
        <f>'[3]Falhas UM-3-1 Qty'!Z29</f>
        <v>2.7092713350435185</v>
      </c>
      <c r="E29" s="333">
        <f>'Prod &amp; Defects - Qty'!F$6*'Falhas UM-3-1 Qty'!$D29/1000000</f>
        <v>8.7890094723210552</v>
      </c>
      <c r="F29" s="333">
        <f>'Prod &amp; Defects - Qty'!G$6*'Falhas UM-3-1 Qty'!$D29/1000000</f>
        <v>9.1982808514790531</v>
      </c>
      <c r="G29" s="333">
        <f>'Prod &amp; Defects - Qty'!H$6*'Falhas UM-3-1 Qty'!$D29/1000000</f>
        <v>8.8522832924583028</v>
      </c>
      <c r="H29" s="333">
        <f>'Prod &amp; Defects - Qty'!I$6*'Falhas UM-3-1 Qty'!$D29/1000000</f>
        <v>8.9095137582749615</v>
      </c>
      <c r="I29" s="333">
        <f>'Prod &amp; Defects - Qty'!J$6*'Falhas UM-3-1 Qty'!$D29/1000000</f>
        <v>9.0183554955444425</v>
      </c>
      <c r="J29" s="333">
        <f>'Prod &amp; Defects - Qty'!K$6*'Falhas UM-3-1 Qty'!$D29/1000000</f>
        <v>10.253703727950215</v>
      </c>
      <c r="K29" s="333">
        <f>'Prod &amp; Defects - Qty'!L$6*'Falhas UM-3-1 Qty'!$D29/1000000</f>
        <v>10.127581831576185</v>
      </c>
      <c r="L29" s="333">
        <f>'Prod &amp; Defects - Qty'!M$6*'Falhas UM-3-1 Qty'!$D29/1000000</f>
        <v>10.132894046188605</v>
      </c>
      <c r="M29" s="333">
        <f>'Prod &amp; Defects - Qty'!N$6*'Falhas UM-3-1 Qty'!$D29/1000000</f>
        <v>9.6411560757658723</v>
      </c>
      <c r="N29" s="333">
        <f>'Prod &amp; Defects - Qty'!O$6*'Falhas UM-3-1 Qty'!$D29/1000000</f>
        <v>7.4769981861280383</v>
      </c>
      <c r="O29" s="333">
        <f>'Prod &amp; Defects - Qty'!P$6*'Falhas UM-3-1 Qty'!$D29/1000000</f>
        <v>7.1765628761135734</v>
      </c>
      <c r="P29" s="333">
        <f>'Prod &amp; Defects - Qty'!Q$6*'Falhas UM-3-1 Qty'!$D29/1000000</f>
        <v>9.0990780827438371</v>
      </c>
      <c r="Q29" s="144">
        <f t="shared" si="2"/>
        <v>55.021146598028032</v>
      </c>
      <c r="R29" s="144">
        <f>Q29/SUM('Prod &amp; Defects - Qty'!$F$6:$K$6)*1000000</f>
        <v>2.7092713350435189</v>
      </c>
      <c r="S29" s="144">
        <f t="shared" si="3"/>
        <v>53.654271098516105</v>
      </c>
      <c r="T29" s="144">
        <f>S29/SUM('Prod &amp; Defects - Qty'!$L$6:$Q$6)*1000000</f>
        <v>2.709271335043518</v>
      </c>
      <c r="U29" s="144">
        <f t="shared" si="4"/>
        <v>108.67541769654414</v>
      </c>
      <c r="V29" s="144">
        <f>U29/'Prod &amp; Defects - Qty'!$R$6*1000000</f>
        <v>2.7092713350435185</v>
      </c>
      <c r="W29" s="144">
        <f t="shared" si="10"/>
        <v>2.4383442015391665</v>
      </c>
      <c r="X29" s="144">
        <f t="shared" si="10"/>
        <v>2.1945097813852499</v>
      </c>
      <c r="Y29" s="144">
        <f t="shared" si="5"/>
        <v>2.3164269914622082</v>
      </c>
      <c r="Z29" s="144">
        <f t="shared" si="8"/>
        <v>2.3164269914622082</v>
      </c>
    </row>
    <row r="30" spans="1:26" ht="18" customHeight="1">
      <c r="A30" s="1032"/>
      <c r="B30" s="194">
        <f t="shared" si="9"/>
        <v>3180</v>
      </c>
      <c r="C30" s="92" t="s">
        <v>130</v>
      </c>
      <c r="D30" s="325">
        <f>'[3]Falhas UM-3-1 Qty'!Z30</f>
        <v>3.8536515966846636</v>
      </c>
      <c r="E30" s="335">
        <f>'Prod &amp; Defects - Qty'!F$6*'Falhas UM-3-1 Qty'!$D30/1000000</f>
        <v>12.501435329932587</v>
      </c>
      <c r="F30" s="335">
        <f>'Prod &amp; Defects - Qty'!G$6*'Falhas UM-3-1 Qty'!$D30/1000000</f>
        <v>13.08358053014533</v>
      </c>
      <c r="G30" s="335">
        <f>'Prod &amp; Defects - Qty'!H$6*'Falhas UM-3-1 Qty'!$D30/1000000</f>
        <v>12.591435639184125</v>
      </c>
      <c r="H30" s="335">
        <f>'Prod &amp; Defects - Qty'!I$6*'Falhas UM-3-1 Qty'!$D30/1000000</f>
        <v>12.672839916829068</v>
      </c>
      <c r="I30" s="335">
        <f>'Prod &amp; Defects - Qty'!J$6*'Falhas UM-3-1 Qty'!$D30/1000000</f>
        <v>12.827655763137699</v>
      </c>
      <c r="J30" s="335">
        <f>'Prod &amp; Defects - Qty'!K$6*'Falhas UM-3-1 Qty'!$D30/1000000</f>
        <v>14.584807816051443</v>
      </c>
      <c r="K30" s="335">
        <f>'Prod &amp; Defects - Qty'!L$6*'Falhas UM-3-1 Qty'!$D30/1000000</f>
        <v>14.40541277316591</v>
      </c>
      <c r="L30" s="335">
        <f>'Prod &amp; Defects - Qty'!M$6*'Falhas UM-3-1 Qty'!$D30/1000000</f>
        <v>14.41296883595604</v>
      </c>
      <c r="M30" s="335">
        <f>'Prod &amp; Defects - Qty'!N$6*'Falhas UM-3-1 Qty'!$D30/1000000</f>
        <v>13.713523641833538</v>
      </c>
      <c r="N30" s="335">
        <f>'Prod &amp; Defects - Qty'!O$6*'Falhas UM-3-1 Qty'!$D30/1000000</f>
        <v>10.635238200649923</v>
      </c>
      <c r="O30" s="335">
        <f>'Prod &amp; Defects - Qty'!P$6*'Falhas UM-3-1 Qty'!$D30/1000000</f>
        <v>10.207900784436831</v>
      </c>
      <c r="P30" s="335">
        <f>'Prod &amp; Defects - Qty'!Q$6*'Falhas UM-3-1 Qty'!$D30/1000000</f>
        <v>12.942475095932384</v>
      </c>
      <c r="Q30" s="788">
        <f t="shared" si="2"/>
        <v>78.261754995280256</v>
      </c>
      <c r="R30" s="788">
        <f>Q30/SUM('Prod &amp; Defects - Qty'!$F$6:$K$6)*1000000</f>
        <v>3.8536515966846645</v>
      </c>
      <c r="S30" s="788">
        <f t="shared" si="3"/>
        <v>76.317519331974623</v>
      </c>
      <c r="T30" s="788">
        <f>S30/SUM('Prod &amp; Defects - Qty'!$L$6:$Q$6)*1000000</f>
        <v>3.8536515966846636</v>
      </c>
      <c r="U30" s="788">
        <f t="shared" si="4"/>
        <v>154.57927432725489</v>
      </c>
      <c r="V30" s="788">
        <f>U30/'Prod &amp; Defects - Qty'!$R$6*1000000</f>
        <v>3.8536515966846645</v>
      </c>
      <c r="W30" s="788">
        <f t="shared" si="10"/>
        <v>3.4682864370161983</v>
      </c>
      <c r="X30" s="788">
        <f t="shared" si="10"/>
        <v>3.1214577933145784</v>
      </c>
      <c r="Y30" s="788">
        <f t="shared" si="5"/>
        <v>3.2948721151653881</v>
      </c>
      <c r="Z30" s="788">
        <f t="shared" si="8"/>
        <v>3.2948721151653881</v>
      </c>
    </row>
    <row r="31" spans="1:26" ht="18" customHeight="1">
      <c r="A31" s="1032"/>
      <c r="B31" s="195">
        <f t="shared" si="9"/>
        <v>3185</v>
      </c>
      <c r="C31" s="89" t="s">
        <v>131</v>
      </c>
      <c r="D31" s="324">
        <f>'[3]Falhas UM-3-1 Qty'!Z31</f>
        <v>60.394109069269234</v>
      </c>
      <c r="E31" s="334">
        <f>'Prod &amp; Defects - Qty'!F$6*'Falhas UM-3-1 Qty'!$D31/1000000</f>
        <v>195.92146043713709</v>
      </c>
      <c r="F31" s="334">
        <f>'Prod &amp; Defects - Qty'!G$6*'Falhas UM-3-1 Qty'!$D31/1000000</f>
        <v>205.04479186285468</v>
      </c>
      <c r="G31" s="334">
        <f>'Prod &amp; Defects - Qty'!H$6*'Falhas UM-3-1 Qty'!$D31/1000000</f>
        <v>197.33193783937074</v>
      </c>
      <c r="H31" s="334">
        <f>'Prod &amp; Defects - Qty'!I$6*'Falhas UM-3-1 Qty'!$D31/1000000</f>
        <v>198.60769894528477</v>
      </c>
      <c r="I31" s="334">
        <f>'Prod &amp; Defects - Qty'!J$6*'Falhas UM-3-1 Qty'!$D31/1000000</f>
        <v>201.03396008307379</v>
      </c>
      <c r="J31" s="334">
        <f>'Prod &amp; Defects - Qty'!K$6*'Falhas UM-3-1 Qty'!$D31/1000000</f>
        <v>228.57190171387936</v>
      </c>
      <c r="K31" s="334">
        <f>'Prod &amp; Defects - Qty'!L$6*'Falhas UM-3-1 Qty'!$D31/1000000</f>
        <v>225.76043744040012</v>
      </c>
      <c r="L31" s="334">
        <f>'Prod &amp; Defects - Qty'!M$6*'Falhas UM-3-1 Qty'!$D31/1000000</f>
        <v>225.87885543144893</v>
      </c>
      <c r="M31" s="334">
        <f>'Prod &amp; Defects - Qty'!N$6*'Falhas UM-3-1 Qty'!$D31/1000000</f>
        <v>214.9172082036217</v>
      </c>
      <c r="N31" s="334">
        <f>'Prod &amp; Defects - Qty'!O$6*'Falhas UM-3-1 Qty'!$D31/1000000</f>
        <v>166.67457338911811</v>
      </c>
      <c r="O31" s="334">
        <f>'Prod &amp; Defects - Qty'!P$6*'Falhas UM-3-1 Qty'!$D31/1000000</f>
        <v>159.9773767493501</v>
      </c>
      <c r="P31" s="334">
        <f>'Prod &amp; Defects - Qty'!Q$6*'Falhas UM-3-1 Qty'!$D31/1000000</f>
        <v>202.83339916937535</v>
      </c>
      <c r="Q31" s="787">
        <f t="shared" si="2"/>
        <v>1226.5117508816004</v>
      </c>
      <c r="R31" s="787">
        <f>Q31/SUM('Prod &amp; Defects - Qty'!$F$6:$K$6)*1000000</f>
        <v>60.394109069269241</v>
      </c>
      <c r="S31" s="787">
        <f t="shared" si="3"/>
        <v>1196.0418503833143</v>
      </c>
      <c r="T31" s="787">
        <f>S31/SUM('Prod &amp; Defects - Qty'!$L$6:$Q$6)*1000000</f>
        <v>60.394109069269234</v>
      </c>
      <c r="U31" s="787">
        <f t="shared" si="4"/>
        <v>2422.5536012649145</v>
      </c>
      <c r="V31" s="787">
        <f>U31/'Prod &amp; Defects - Qty'!$R$6*1000000</f>
        <v>60.394109069269234</v>
      </c>
      <c r="W31" s="787">
        <f t="shared" si="10"/>
        <v>54.354698162342309</v>
      </c>
      <c r="X31" s="787">
        <f t="shared" si="10"/>
        <v>48.919228346108078</v>
      </c>
      <c r="Y31" s="787">
        <f t="shared" si="5"/>
        <v>51.636963254225194</v>
      </c>
      <c r="Z31" s="787">
        <f t="shared" si="8"/>
        <v>51.636963254225194</v>
      </c>
    </row>
    <row r="32" spans="1:26" ht="18" customHeight="1">
      <c r="A32" s="1032"/>
      <c r="B32" s="81">
        <f t="shared" si="9"/>
        <v>3190</v>
      </c>
      <c r="C32" s="89" t="s">
        <v>113</v>
      </c>
      <c r="D32" s="323">
        <f>'[3]Falhas UM-3-1 Qty'!Z32</f>
        <v>114.81198850169588</v>
      </c>
      <c r="E32" s="333">
        <f>'Prod &amp; Defects - Qty'!F$6*'Falhas UM-3-1 Qty'!$D32/1000000</f>
        <v>372.45573797842314</v>
      </c>
      <c r="F32" s="333">
        <f>'Prod &amp; Defects - Qty'!G$6*'Falhas UM-3-1 Qty'!$D32/1000000</f>
        <v>389.7996120563609</v>
      </c>
      <c r="G32" s="333">
        <f>'Prod &amp; Defects - Qty'!H$6*'Falhas UM-3-1 Qty'!$D32/1000000</f>
        <v>375.13712061296798</v>
      </c>
      <c r="H32" s="333">
        <f>'Prod &amp; Defects - Qty'!I$6*'Falhas UM-3-1 Qty'!$D32/1000000</f>
        <v>377.56240135111278</v>
      </c>
      <c r="I32" s="333">
        <f>'Prod &amp; Defects - Qty'!J$6*'Falhas UM-3-1 Qty'!$D32/1000000</f>
        <v>382.17483574491177</v>
      </c>
      <c r="J32" s="333">
        <f>'Prod &amp; Defects - Qty'!K$6*'Falhas UM-3-1 Qty'!$D32/1000000</f>
        <v>434.52573364871421</v>
      </c>
      <c r="K32" s="333">
        <f>'Prod &amp; Defects - Qty'!L$6*'Falhas UM-3-1 Qty'!$D32/1000000</f>
        <v>429.18101031701639</v>
      </c>
      <c r="L32" s="333">
        <f>'Prod &amp; Defects - Qty'!M$6*'Falhas UM-3-1 Qty'!$D32/1000000</f>
        <v>429.40612838293725</v>
      </c>
      <c r="M32" s="333">
        <f>'Prod &amp; Defects - Qty'!N$6*'Falhas UM-3-1 Qty'!$D32/1000000</f>
        <v>408.56753112774015</v>
      </c>
      <c r="N32" s="333">
        <f>'Prod &amp; Defects - Qty'!O$6*'Falhas UM-3-1 Qty'!$D32/1000000</f>
        <v>316.85605596943429</v>
      </c>
      <c r="O32" s="333">
        <f>'Prod &amp; Defects - Qty'!P$6*'Falhas UM-3-1 Qty'!$D32/1000000</f>
        <v>304.12437608461761</v>
      </c>
      <c r="P32" s="333">
        <f>'Prod &amp; Defects - Qty'!Q$6*'Falhas UM-3-1 Qty'!$D32/1000000</f>
        <v>385.59565249127689</v>
      </c>
      <c r="Q32" s="144">
        <f t="shared" si="2"/>
        <v>2331.655441392491</v>
      </c>
      <c r="R32" s="144">
        <f>Q32/SUM('Prod &amp; Defects - Qty'!$F$6:$K$6)*1000000</f>
        <v>114.81198850169589</v>
      </c>
      <c r="S32" s="144">
        <f t="shared" si="3"/>
        <v>2273.7307543730226</v>
      </c>
      <c r="T32" s="144">
        <f>S32/SUM('Prod &amp; Defects - Qty'!$L$6:$Q$6)*1000000</f>
        <v>114.81198850169586</v>
      </c>
      <c r="U32" s="144">
        <f t="shared" si="4"/>
        <v>4605.3861957655135</v>
      </c>
      <c r="V32" s="144">
        <f>U32/'Prod &amp; Defects - Qty'!$R$6*1000000</f>
        <v>114.81198850169588</v>
      </c>
      <c r="W32" s="144">
        <f t="shared" si="10"/>
        <v>103.33078965152629</v>
      </c>
      <c r="X32" s="144">
        <f t="shared" si="10"/>
        <v>92.997710686373665</v>
      </c>
      <c r="Y32" s="144">
        <f t="shared" si="5"/>
        <v>98.164250168949977</v>
      </c>
      <c r="Z32" s="144">
        <f t="shared" si="8"/>
        <v>98.164250168949977</v>
      </c>
    </row>
    <row r="33" spans="1:26" ht="18" customHeight="1">
      <c r="A33" s="1032"/>
      <c r="B33" s="81">
        <f t="shared" si="9"/>
        <v>3195</v>
      </c>
      <c r="C33" s="89" t="s">
        <v>132</v>
      </c>
      <c r="D33" s="323">
        <f>'[3]Falhas UM-3-1 Qty'!Z33</f>
        <v>8.6133546775709551</v>
      </c>
      <c r="E33" s="333">
        <f>'Prod &amp; Defects - Qty'!F$6*'Falhas UM-3-1 Qty'!$D33/1000000</f>
        <v>27.94214624074041</v>
      </c>
      <c r="F33" s="333">
        <f>'Prod &amp; Defects - Qty'!G$6*'Falhas UM-3-1 Qty'!$D33/1000000</f>
        <v>29.243307738471987</v>
      </c>
      <c r="G33" s="333">
        <f>'Prod &amp; Defects - Qty'!H$6*'Falhas UM-3-1 Qty'!$D33/1000000</f>
        <v>28.143307286368266</v>
      </c>
      <c r="H33" s="333">
        <f>'Prod &amp; Defects - Qty'!I$6*'Falhas UM-3-1 Qty'!$D33/1000000</f>
        <v>28.325255212390065</v>
      </c>
      <c r="I33" s="333">
        <f>'Prod &amp; Defects - Qty'!J$6*'Falhas UM-3-1 Qty'!$D33/1000000</f>
        <v>28.671286440306922</v>
      </c>
      <c r="J33" s="333">
        <f>'Prod &amp; Defects - Qty'!K$6*'Falhas UM-3-1 Qty'!$D33/1000000</f>
        <v>32.59872343725516</v>
      </c>
      <c r="K33" s="333">
        <f>'Prod &amp; Defects - Qty'!L$6*'Falhas UM-3-1 Qty'!$D33/1000000</f>
        <v>32.197754877175548</v>
      </c>
      <c r="L33" s="333">
        <f>'Prod &amp; Defects - Qty'!M$6*'Falhas UM-3-1 Qty'!$D33/1000000</f>
        <v>32.214643546829386</v>
      </c>
      <c r="M33" s="333">
        <f>'Prod &amp; Defects - Qty'!N$6*'Falhas UM-3-1 Qty'!$D33/1000000</f>
        <v>30.651303067455853</v>
      </c>
      <c r="N33" s="333">
        <f>'Prod &amp; Defects - Qty'!O$6*'Falhas UM-3-1 Qty'!$D33/1000000</f>
        <v>23.770980952574469</v>
      </c>
      <c r="O33" s="333">
        <f>'Prod &amp; Defects - Qty'!P$6*'Falhas UM-3-1 Qty'!$D33/1000000</f>
        <v>22.815832662571612</v>
      </c>
      <c r="P33" s="333">
        <f>'Prod &amp; Defects - Qty'!Q$6*'Falhas UM-3-1 Qty'!$D33/1000000</f>
        <v>28.927920858958959</v>
      </c>
      <c r="Q33" s="144">
        <f t="shared" si="2"/>
        <v>174.92402635553282</v>
      </c>
      <c r="R33" s="144">
        <f>Q33/SUM('Prod &amp; Defects - Qty'!$F$6:$K$6)*1000000</f>
        <v>8.6133546775709551</v>
      </c>
      <c r="S33" s="144">
        <f t="shared" si="3"/>
        <v>170.57843596556583</v>
      </c>
      <c r="T33" s="144">
        <f>S33/SUM('Prod &amp; Defects - Qty'!$L$6:$Q$6)*1000000</f>
        <v>8.6133546775709551</v>
      </c>
      <c r="U33" s="144">
        <f t="shared" si="4"/>
        <v>345.50246232109862</v>
      </c>
      <c r="V33" s="144">
        <f>U33/'Prod &amp; Defects - Qty'!$R$6*1000000</f>
        <v>8.6133546775709551</v>
      </c>
      <c r="W33" s="144">
        <f t="shared" si="10"/>
        <v>7.7520192098138594</v>
      </c>
      <c r="X33" s="144">
        <f t="shared" si="10"/>
        <v>6.976817288832474</v>
      </c>
      <c r="Y33" s="144">
        <f t="shared" si="5"/>
        <v>7.3644182493231671</v>
      </c>
      <c r="Z33" s="144">
        <f t="shared" si="8"/>
        <v>7.3644182493231671</v>
      </c>
    </row>
    <row r="34" spans="1:26" ht="18" customHeight="1">
      <c r="A34" s="1032"/>
      <c r="B34" s="81">
        <f t="shared" si="9"/>
        <v>3200</v>
      </c>
      <c r="C34" s="89" t="s">
        <v>114</v>
      </c>
      <c r="D34" s="323">
        <f>'[3]Falhas UM-3-1 Qty'!Z34</f>
        <v>8.6874527993676907</v>
      </c>
      <c r="E34" s="333">
        <f>'Prod &amp; Defects - Qty'!F$6*'Falhas UM-3-1 Qty'!$D34/1000000</f>
        <v>28.182524192527307</v>
      </c>
      <c r="F34" s="333">
        <f>'Prod &amp; Defects - Qty'!G$6*'Falhas UM-3-1 Qty'!$D34/1000000</f>
        <v>29.494879194618708</v>
      </c>
      <c r="G34" s="333">
        <f>'Prod &amp; Defects - Qty'!H$6*'Falhas UM-3-1 Qty'!$D34/1000000</f>
        <v>28.385415766644659</v>
      </c>
      <c r="H34" s="333">
        <f>'Prod &amp; Defects - Qty'!I$6*'Falhas UM-3-1 Qty'!$D34/1000000</f>
        <v>28.568928936417318</v>
      </c>
      <c r="I34" s="333">
        <f>'Prod &amp; Defects - Qty'!J$6*'Falhas UM-3-1 Qty'!$D34/1000000</f>
        <v>28.917936967801754</v>
      </c>
      <c r="J34" s="333">
        <f>'Prod &amp; Defects - Qty'!K$6*'Falhas UM-3-1 Qty'!$D34/1000000</f>
        <v>32.879160534076654</v>
      </c>
      <c r="K34" s="333">
        <f>'Prod &amp; Defects - Qty'!L$6*'Falhas UM-3-1 Qty'!$D34/1000000</f>
        <v>32.474742561043129</v>
      </c>
      <c r="L34" s="333">
        <f>'Prod &amp; Defects - Qty'!M$6*'Falhas UM-3-1 Qty'!$D34/1000000</f>
        <v>32.491776518885814</v>
      </c>
      <c r="M34" s="333">
        <f>'Prod &amp; Defects - Qty'!N$6*'Falhas UM-3-1 Qty'!$D34/1000000</f>
        <v>30.91498708755492</v>
      </c>
      <c r="N34" s="333">
        <f>'Prod &amp; Defects - Qty'!O$6*'Falhas UM-3-1 Qty'!$D34/1000000</f>
        <v>23.975475613224908</v>
      </c>
      <c r="O34" s="333">
        <f>'Prod &amp; Defects - Qty'!P$6*'Falhas UM-3-1 Qty'!$D34/1000000</f>
        <v>23.012110467307497</v>
      </c>
      <c r="P34" s="333">
        <f>'Prod &amp; Defects - Qty'!Q$6*'Falhas UM-3-1 Qty'!$D34/1000000</f>
        <v>29.176779135829307</v>
      </c>
      <c r="Q34" s="144">
        <f t="shared" si="2"/>
        <v>176.42884559208639</v>
      </c>
      <c r="R34" s="144">
        <f>Q34/SUM('Prod &amp; Defects - Qty'!$F$6:$K$6)*1000000</f>
        <v>8.6874527993676907</v>
      </c>
      <c r="S34" s="144">
        <f t="shared" si="3"/>
        <v>172.04587138384557</v>
      </c>
      <c r="T34" s="144">
        <f>S34/SUM('Prod &amp; Defects - Qty'!$L$6:$Q$6)*1000000</f>
        <v>8.6874527993676889</v>
      </c>
      <c r="U34" s="144">
        <f t="shared" si="4"/>
        <v>348.47471697593198</v>
      </c>
      <c r="V34" s="144">
        <f>U34/'Prod &amp; Defects - Qty'!$R$6*1000000</f>
        <v>8.6874527993676907</v>
      </c>
      <c r="W34" s="144">
        <f t="shared" si="10"/>
        <v>7.8187075194309221</v>
      </c>
      <c r="X34" s="144">
        <f t="shared" si="10"/>
        <v>7.0368367674878298</v>
      </c>
      <c r="Y34" s="144">
        <f t="shared" si="5"/>
        <v>7.427772143459376</v>
      </c>
      <c r="Z34" s="144">
        <f t="shared" si="8"/>
        <v>7.427772143459376</v>
      </c>
    </row>
    <row r="35" spans="1:26" ht="18" customHeight="1">
      <c r="A35" s="1032"/>
      <c r="B35" s="81">
        <f t="shared" si="9"/>
        <v>3205</v>
      </c>
      <c r="C35" s="89" t="s">
        <v>133</v>
      </c>
      <c r="D35" s="323">
        <f>'[3]Falhas UM-3-1 Qty'!Z35</f>
        <v>69.943122893628441</v>
      </c>
      <c r="E35" s="333">
        <f>'Prod &amp; Defects - Qty'!F$6*'Falhas UM-3-1 Qty'!$D35/1000000</f>
        <v>226.89893097250143</v>
      </c>
      <c r="F35" s="333">
        <f>'Prod &amp; Defects - Qty'!G$6*'Falhas UM-3-1 Qty'!$D35/1000000</f>
        <v>237.46476762349633</v>
      </c>
      <c r="G35" s="333">
        <f>'Prod &amp; Defects - Qty'!H$6*'Falhas UM-3-1 Qty'!$D35/1000000</f>
        <v>228.53242132120349</v>
      </c>
      <c r="H35" s="333">
        <f>'Prod &amp; Defects - Qty'!I$6*'Falhas UM-3-1 Qty'!$D35/1000000</f>
        <v>230.00989515414824</v>
      </c>
      <c r="I35" s="333">
        <f>'Prod &amp; Defects - Qty'!J$6*'Falhas UM-3-1 Qty'!$D35/1000000</f>
        <v>232.81977650760567</v>
      </c>
      <c r="J35" s="333">
        <f>'Prod &amp; Defects - Qty'!K$6*'Falhas UM-3-1 Qty'!$D35/1000000</f>
        <v>264.71178825186149</v>
      </c>
      <c r="K35" s="333">
        <f>'Prod &amp; Defects - Qty'!L$6*'Falhas UM-3-1 Qty'!$D35/1000000</f>
        <v>261.45579864920899</v>
      </c>
      <c r="L35" s="333">
        <f>'Prod &amp; Defects - Qty'!M$6*'Falhas UM-3-1 Qty'!$D35/1000000</f>
        <v>261.59293990732806</v>
      </c>
      <c r="M35" s="333">
        <f>'Prod &amp; Defects - Qty'!N$6*'Falhas UM-3-1 Qty'!$D35/1000000</f>
        <v>248.89812826115968</v>
      </c>
      <c r="N35" s="333">
        <f>'Prod &amp; Defects - Qty'!O$6*'Falhas UM-3-1 Qty'!$D35/1000000</f>
        <v>193.02776958638955</v>
      </c>
      <c r="O35" s="333">
        <f>'Prod &amp; Defects - Qty'!P$6*'Falhas UM-3-1 Qty'!$D35/1000000</f>
        <v>185.27166795931146</v>
      </c>
      <c r="P35" s="333">
        <f>'Prod &amp; Defects - Qty'!Q$6*'Falhas UM-3-1 Qty'!$D35/1000000</f>
        <v>234.90372792426516</v>
      </c>
      <c r="Q35" s="144">
        <f t="shared" si="2"/>
        <v>1420.4375798308167</v>
      </c>
      <c r="R35" s="144">
        <f>Q35/SUM('Prod &amp; Defects - Qty'!$F$6:$K$6)*1000000</f>
        <v>69.943122893628455</v>
      </c>
      <c r="S35" s="144">
        <f t="shared" si="3"/>
        <v>1385.150032287663</v>
      </c>
      <c r="T35" s="144">
        <f>S35/SUM('Prod &amp; Defects - Qty'!$L$6:$Q$6)*1000000</f>
        <v>69.943122893628441</v>
      </c>
      <c r="U35" s="144">
        <f t="shared" si="4"/>
        <v>2805.5876121184797</v>
      </c>
      <c r="V35" s="144">
        <f>U35/'Prod &amp; Defects - Qty'!$R$6*1000000</f>
        <v>69.943122893628455</v>
      </c>
      <c r="W35" s="144">
        <f t="shared" si="10"/>
        <v>62.94881060426561</v>
      </c>
      <c r="X35" s="144">
        <f t="shared" si="10"/>
        <v>56.653929543839048</v>
      </c>
      <c r="Y35" s="144">
        <f t="shared" si="5"/>
        <v>59.801370074052329</v>
      </c>
      <c r="Z35" s="144">
        <f t="shared" si="8"/>
        <v>59.801370074052329</v>
      </c>
    </row>
    <row r="36" spans="1:26" ht="18" customHeight="1">
      <c r="A36" s="1032"/>
      <c r="B36" s="81">
        <f t="shared" si="9"/>
        <v>3210</v>
      </c>
      <c r="C36" s="89" t="s">
        <v>116</v>
      </c>
      <c r="D36" s="323">
        <f>'[3]Falhas UM-3-1 Qty'!Z36</f>
        <v>61.803095534311439</v>
      </c>
      <c r="E36" s="333">
        <f>'Prod &amp; Defects - Qty'!F$6*'Falhas UM-3-1 Qty'!$D36/1000000</f>
        <v>200.49228183381689</v>
      </c>
      <c r="F36" s="333">
        <f>'Prod &amp; Defects - Qty'!G$6*'Falhas UM-3-1 Qty'!$D36/1000000</f>
        <v>209.82845935815288</v>
      </c>
      <c r="G36" s="333">
        <f>'Prod &amp; Defects - Qty'!H$6*'Falhas UM-3-1 Qty'!$D36/1000000</f>
        <v>201.93566548468337</v>
      </c>
      <c r="H36" s="333">
        <f>'Prod &amp; Defects - Qty'!I$6*'Falhas UM-3-1 Qty'!$D36/1000000</f>
        <v>203.24118992610417</v>
      </c>
      <c r="I36" s="333">
        <f>'Prod &amp; Defects - Qty'!J$6*'Falhas UM-3-1 Qty'!$D36/1000000</f>
        <v>205.72405541084831</v>
      </c>
      <c r="J36" s="333">
        <f>'Prod &amp; Defects - Qty'!K$6*'Falhas UM-3-1 Qty'!$D36/1000000</f>
        <v>233.90445352674627</v>
      </c>
      <c r="K36" s="333">
        <f>'Prod &amp; Defects - Qty'!L$6*'Falhas UM-3-1 Qty'!$D36/1000000</f>
        <v>231.0273981688164</v>
      </c>
      <c r="L36" s="333">
        <f>'Prod &amp; Defects - Qty'!M$6*'Falhas UM-3-1 Qty'!$D36/1000000</f>
        <v>231.14857883571517</v>
      </c>
      <c r="M36" s="333">
        <f>'Prod &amp; Defects - Qty'!N$6*'Falhas UM-3-1 Qty'!$D36/1000000</f>
        <v>219.93119784814556</v>
      </c>
      <c r="N36" s="333">
        <f>'Prod &amp; Defects - Qty'!O$6*'Falhas UM-3-1 Qty'!$D36/1000000</f>
        <v>170.56306883331115</v>
      </c>
      <c r="O36" s="333">
        <f>'Prod &amp; Defects - Qty'!P$6*'Falhas UM-3-1 Qty'!$D36/1000000</f>
        <v>163.70962749410836</v>
      </c>
      <c r="P36" s="333">
        <f>'Prod &amp; Defects - Qty'!Q$6*'Falhas UM-3-1 Qty'!$D36/1000000</f>
        <v>207.56547516970787</v>
      </c>
      <c r="Q36" s="144">
        <f t="shared" si="2"/>
        <v>1255.126105540352</v>
      </c>
      <c r="R36" s="144">
        <f>Q36/SUM('Prod &amp; Defects - Qty'!$F$6:$K$6)*1000000</f>
        <v>61.803095534311453</v>
      </c>
      <c r="S36" s="144">
        <f t="shared" si="3"/>
        <v>1223.9453463498046</v>
      </c>
      <c r="T36" s="144">
        <f>S36/SUM('Prod &amp; Defects - Qty'!$L$6:$Q$6)*1000000</f>
        <v>61.803095534311439</v>
      </c>
      <c r="U36" s="144">
        <f t="shared" si="4"/>
        <v>2479.0714518901568</v>
      </c>
      <c r="V36" s="144">
        <f>U36/'Prod &amp; Defects - Qty'!$R$6*1000000</f>
        <v>61.803095534311453</v>
      </c>
      <c r="W36" s="144">
        <f t="shared" si="10"/>
        <v>55.622785980880309</v>
      </c>
      <c r="X36" s="144">
        <f t="shared" si="10"/>
        <v>50.060507382792281</v>
      </c>
      <c r="Y36" s="144">
        <f t="shared" si="5"/>
        <v>52.841646681836295</v>
      </c>
      <c r="Z36" s="144">
        <f t="shared" si="8"/>
        <v>52.841646681836295</v>
      </c>
    </row>
    <row r="37" spans="1:26" ht="18" customHeight="1" thickBot="1">
      <c r="A37" s="1033"/>
      <c r="B37" s="87"/>
      <c r="C37" s="88" t="s">
        <v>1</v>
      </c>
      <c r="D37" s="328">
        <f>'[3]Falhas UM-3-1 Qty'!Z37</f>
        <v>574.50348045576766</v>
      </c>
      <c r="E37" s="336">
        <f>SUBTOTAL(109,E20:E36)</f>
        <v>1863.7175488095031</v>
      </c>
      <c r="F37" s="336">
        <f t="shared" ref="F37:P37" si="11">SUBTOTAL(109,F20:F36)</f>
        <v>1950.5039214905639</v>
      </c>
      <c r="G37" s="336">
        <f t="shared" si="11"/>
        <v>1877.1348206125861</v>
      </c>
      <c r="H37" s="336">
        <f t="shared" si="11"/>
        <v>1889.2705935691351</v>
      </c>
      <c r="I37" s="336">
        <f t="shared" si="11"/>
        <v>1912.3505841449651</v>
      </c>
      <c r="J37" s="336">
        <f t="shared" si="11"/>
        <v>2174.3073139534972</v>
      </c>
      <c r="K37" s="336">
        <f t="shared" si="11"/>
        <v>2147.5630497333177</v>
      </c>
      <c r="L37" s="336">
        <f t="shared" si="11"/>
        <v>2148.6895097317274</v>
      </c>
      <c r="M37" s="336">
        <f t="shared" si="11"/>
        <v>2044.4160204632269</v>
      </c>
      <c r="N37" s="336">
        <f t="shared" si="11"/>
        <v>1585.5043478777366</v>
      </c>
      <c r="O37" s="336">
        <f t="shared" si="11"/>
        <v>1521.7967638411808</v>
      </c>
      <c r="P37" s="336">
        <f t="shared" si="11"/>
        <v>1929.4678830650089</v>
      </c>
      <c r="Q37" s="583">
        <f t="shared" si="2"/>
        <v>11667.284782580249</v>
      </c>
      <c r="R37" s="583">
        <f>Q37/SUM('Prod &amp; Defects - Qty'!$F$6:$K$6)*1000000</f>
        <v>574.50348045576754</v>
      </c>
      <c r="S37" s="583">
        <f t="shared" si="3"/>
        <v>11377.437574712198</v>
      </c>
      <c r="T37" s="583">
        <f>S37/SUM('Prod &amp; Defects - Qty'!$L$6:$Q$6)*1000000</f>
        <v>574.50348045576754</v>
      </c>
      <c r="U37" s="583">
        <f t="shared" si="4"/>
        <v>23044.722357292449</v>
      </c>
      <c r="V37" s="583">
        <f>U37/'Prod &amp; Defects - Qty'!$R$6*1000000</f>
        <v>574.50348045576754</v>
      </c>
      <c r="W37" s="583">
        <f t="shared" si="10"/>
        <v>517.05313241019076</v>
      </c>
      <c r="X37" s="583">
        <f t="shared" si="10"/>
        <v>465.34781916917171</v>
      </c>
      <c r="Y37" s="583">
        <f t="shared" si="5"/>
        <v>491.20047578968126</v>
      </c>
      <c r="Z37" s="583">
        <f>SUM(Z20:Z36)</f>
        <v>491.20047578968138</v>
      </c>
    </row>
    <row r="38" spans="1:26" ht="18" customHeight="1" thickTop="1">
      <c r="A38" s="1034" t="s">
        <v>172</v>
      </c>
      <c r="B38" s="81">
        <f>B36+10</f>
        <v>3220</v>
      </c>
      <c r="C38" s="82" t="s">
        <v>19</v>
      </c>
      <c r="D38" s="323">
        <f>'[3]Falhas UM-3-1 Qty'!Z38</f>
        <v>3.206825241192917</v>
      </c>
      <c r="E38" s="334">
        <f>'Prod &amp; Defects - Qty'!F$6*'Falhas UM-3-1 Qty'!$D38/1000000</f>
        <v>10.40309881714748</v>
      </c>
      <c r="F38" s="334">
        <f>'Prod &amp; Defects - Qty'!G$6*'Falhas UM-3-1 Qty'!$D38/1000000</f>
        <v>10.887532314894809</v>
      </c>
      <c r="G38" s="334">
        <f>'Prod &amp; Defects - Qty'!H$6*'Falhas UM-3-1 Qty'!$D38/1000000</f>
        <v>10.477992786200442</v>
      </c>
      <c r="H38" s="334">
        <f>'Prod &amp; Defects - Qty'!I$6*'Falhas UM-3-1 Qty'!$D38/1000000</f>
        <v>10.545733547331382</v>
      </c>
      <c r="I38" s="334">
        <f>'Prod &amp; Defects - Qty'!J$6*'Falhas UM-3-1 Qty'!$D38/1000000</f>
        <v>10.674563918013121</v>
      </c>
      <c r="J38" s="334">
        <f>'Prod &amp; Defects - Qty'!K$6*'Falhas UM-3-1 Qty'!$D38/1000000</f>
        <v>12.136782132224674</v>
      </c>
      <c r="K38" s="334">
        <f>'Prod &amp; Defects - Qty'!L$6*'Falhas UM-3-1 Qty'!$D38/1000000</f>
        <v>11.987498125293392</v>
      </c>
      <c r="L38" s="334">
        <f>'Prod &amp; Defects - Qty'!M$6*'Falhas UM-3-1 Qty'!$D38/1000000</f>
        <v>11.993785920718457</v>
      </c>
      <c r="M38" s="334">
        <f>'Prod &amp; Defects - Qty'!N$6*'Falhas UM-3-1 Qty'!$D38/1000000</f>
        <v>11.411740957112304</v>
      </c>
      <c r="N38" s="334">
        <f>'Prod &amp; Defects - Qty'!O$6*'Falhas UM-3-1 Qty'!$D38/1000000</f>
        <v>8.8501384861268999</v>
      </c>
      <c r="O38" s="334">
        <f>'Prod &amp; Defects - Qty'!P$6*'Falhas UM-3-1 Qty'!$D38/1000000</f>
        <v>8.4945286499919259</v>
      </c>
      <c r="P38" s="334">
        <f>'Prod &amp; Defects - Qty'!Q$6*'Falhas UM-3-1 Qty'!$D38/1000000</f>
        <v>10.770111095889733</v>
      </c>
      <c r="Q38" s="787">
        <f t="shared" si="2"/>
        <v>65.125703515811907</v>
      </c>
      <c r="R38" s="787">
        <f>Q38/SUM('Prod &amp; Defects - Qty'!$F$6:$K$6)*1000000</f>
        <v>3.206825241192917</v>
      </c>
      <c r="S38" s="787">
        <f t="shared" si="3"/>
        <v>63.507803235132712</v>
      </c>
      <c r="T38" s="787">
        <f>S38/SUM('Prod &amp; Defects - Qty'!$L$6:$Q$6)*1000000</f>
        <v>3.2068252411929166</v>
      </c>
      <c r="U38" s="787">
        <f t="shared" si="4"/>
        <v>128.6335067509446</v>
      </c>
      <c r="V38" s="787">
        <f>U38/'Prod &amp; Defects - Qty'!$R$6*1000000</f>
        <v>3.2068252411929166</v>
      </c>
      <c r="W38" s="787">
        <f t="shared" si="10"/>
        <v>2.8861427170736249</v>
      </c>
      <c r="X38" s="787">
        <f t="shared" si="10"/>
        <v>2.5975284453662626</v>
      </c>
      <c r="Y38" s="787">
        <f t="shared" si="5"/>
        <v>2.7418355812199438</v>
      </c>
      <c r="Z38" s="787">
        <f t="shared" ref="Z38:Z49" si="12">Y38*1</f>
        <v>2.7418355812199438</v>
      </c>
    </row>
    <row r="39" spans="1:26" ht="18" customHeight="1">
      <c r="A39" s="1032"/>
      <c r="B39" s="81">
        <f>B38+10</f>
        <v>3230</v>
      </c>
      <c r="C39" s="82" t="s">
        <v>61</v>
      </c>
      <c r="D39" s="323">
        <f>'[3]Falhas UM-3-1 Qty'!Z39</f>
        <v>0.97305557516003394</v>
      </c>
      <c r="E39" s="334">
        <f>'Prod &amp; Defects - Qty'!F$6*'Falhas UM-3-1 Qty'!$D39/1000000</f>
        <v>3.1566401476871566</v>
      </c>
      <c r="F39" s="334">
        <f>'Prod &amp; Defects - Qty'!G$6*'Falhas UM-3-1 Qty'!$D39/1000000</f>
        <v>3.3036331018781877</v>
      </c>
      <c r="G39" s="334">
        <f>'Prod &amp; Defects - Qty'!H$6*'Falhas UM-3-1 Qty'!$D39/1000000</f>
        <v>3.1793654253844648</v>
      </c>
      <c r="H39" s="334">
        <f>'Prod &amp; Defects - Qty'!I$6*'Falhas UM-3-1 Qty'!$D39/1000000</f>
        <v>3.1999201860360071</v>
      </c>
      <c r="I39" s="334">
        <f>'Prod &amp; Defects - Qty'!J$6*'Falhas UM-3-1 Qty'!$D39/1000000</f>
        <v>3.2390115305943303</v>
      </c>
      <c r="J39" s="334">
        <f>'Prod &amp; Defects - Qty'!K$6*'Falhas UM-3-1 Qty'!$D39/1000000</f>
        <v>3.6826963211349648</v>
      </c>
      <c r="K39" s="334">
        <f>'Prod &amp; Defects - Qty'!L$6*'Falhas UM-3-1 Qty'!$D39/1000000</f>
        <v>3.6373986749268807</v>
      </c>
      <c r="L39" s="334">
        <f>'Prod &amp; Defects - Qty'!M$6*'Falhas UM-3-1 Qty'!$D39/1000000</f>
        <v>3.6393065975399472</v>
      </c>
      <c r="M39" s="334">
        <f>'Prod &amp; Defects - Qty'!N$6*'Falhas UM-3-1 Qty'!$D39/1000000</f>
        <v>3.4626951347275545</v>
      </c>
      <c r="N39" s="334">
        <f>'Prod &amp; Defects - Qty'!O$6*'Falhas UM-3-1 Qty'!$D39/1000000</f>
        <v>2.6854212335127676</v>
      </c>
      <c r="O39" s="334">
        <f>'Prod &amp; Defects - Qty'!P$6*'Falhas UM-3-1 Qty'!$D39/1000000</f>
        <v>2.5775175881291603</v>
      </c>
      <c r="P39" s="334">
        <f>'Prod &amp; Defects - Qty'!Q$6*'Falhas UM-3-1 Qty'!$D39/1000000</f>
        <v>3.2680036667822878</v>
      </c>
      <c r="Q39" s="787">
        <f t="shared" si="2"/>
        <v>19.761266712715113</v>
      </c>
      <c r="R39" s="787">
        <f>Q39/SUM('Prod &amp; Defects - Qty'!$F$6:$K$6)*1000000</f>
        <v>0.97305557516003416</v>
      </c>
      <c r="S39" s="787">
        <f t="shared" si="3"/>
        <v>19.270342895618597</v>
      </c>
      <c r="T39" s="787">
        <f>S39/SUM('Prod &amp; Defects - Qty'!$L$6:$Q$6)*1000000</f>
        <v>0.97305557516003394</v>
      </c>
      <c r="U39" s="787">
        <f t="shared" si="4"/>
        <v>39.03160960833371</v>
      </c>
      <c r="V39" s="787">
        <f>U39/'Prod &amp; Defects - Qty'!$R$6*1000000</f>
        <v>0.97305557516003394</v>
      </c>
      <c r="W39" s="787">
        <f t="shared" si="10"/>
        <v>0.8757500176440306</v>
      </c>
      <c r="X39" s="787">
        <f t="shared" si="10"/>
        <v>0.78817501587962757</v>
      </c>
      <c r="Y39" s="787">
        <f t="shared" si="5"/>
        <v>0.83196251676182909</v>
      </c>
      <c r="Z39" s="787">
        <f t="shared" si="12"/>
        <v>0.83196251676182909</v>
      </c>
    </row>
    <row r="40" spans="1:26" ht="18" customHeight="1">
      <c r="A40" s="1032"/>
      <c r="B40" s="81">
        <f t="shared" ref="B40:B49" si="13">B39+10</f>
        <v>3240</v>
      </c>
      <c r="C40" s="82" t="s">
        <v>70</v>
      </c>
      <c r="D40" s="323">
        <f>'[3]Falhas UM-3-1 Qty'!Z40</f>
        <v>32.717835502595854</v>
      </c>
      <c r="E40" s="334">
        <f>'Prod &amp; Defects - Qty'!F$6*'Falhas UM-3-1 Qty'!$D40/1000000</f>
        <v>106.13826766876346</v>
      </c>
      <c r="F40" s="334">
        <f>'Prod &amp; Defects - Qty'!G$6*'Falhas UM-3-1 Qty'!$D40/1000000</f>
        <v>111.08073079012402</v>
      </c>
      <c r="G40" s="334">
        <f>'Prod &amp; Defects - Qty'!H$6*'Falhas UM-3-1 Qty'!$D40/1000000</f>
        <v>106.90237808180854</v>
      </c>
      <c r="H40" s="334">
        <f>'Prod &amp; Defects - Qty'!I$6*'Falhas UM-3-1 Qty'!$D40/1000000</f>
        <v>107.59350744272072</v>
      </c>
      <c r="I40" s="334">
        <f>'Prod &amp; Defects - Qty'!J$6*'Falhas UM-3-1 Qty'!$D40/1000000</f>
        <v>108.90790737370531</v>
      </c>
      <c r="J40" s="334">
        <f>'Prod &amp; Defects - Qty'!K$6*'Falhas UM-3-1 Qty'!$D40/1000000</f>
        <v>123.82628034487371</v>
      </c>
      <c r="K40" s="334">
        <f>'Prod &amp; Defects - Qty'!L$6*'Falhas UM-3-1 Qty'!$D40/1000000</f>
        <v>122.30320090817541</v>
      </c>
      <c r="L40" s="334">
        <f>'Prod &amp; Defects - Qty'!M$6*'Falhas UM-3-1 Qty'!$D40/1000000</f>
        <v>122.36735253507065</v>
      </c>
      <c r="M40" s="334">
        <f>'Prod &amp; Defects - Qty'!N$6*'Falhas UM-3-1 Qty'!$D40/1000000</f>
        <v>116.42900231574392</v>
      </c>
      <c r="N40" s="334">
        <f>'Prod &amp; Defects - Qty'!O$6*'Falhas UM-3-1 Qty'!$D40/1000000</f>
        <v>90.294092563827775</v>
      </c>
      <c r="O40" s="334">
        <f>'Prod &amp; Defects - Qty'!P$6*'Falhas UM-3-1 Qty'!$D40/1000000</f>
        <v>86.665960923750916</v>
      </c>
      <c r="P40" s="334">
        <f>'Prod &amp; Defects - Qty'!Q$6*'Falhas UM-3-1 Qty'!$D40/1000000</f>
        <v>109.88273344415914</v>
      </c>
      <c r="Q40" s="787">
        <f t="shared" si="2"/>
        <v>664.44907170199565</v>
      </c>
      <c r="R40" s="787">
        <f>Q40/SUM('Prod &amp; Defects - Qty'!$F$6:$K$6)*1000000</f>
        <v>32.717835502595854</v>
      </c>
      <c r="S40" s="787">
        <f t="shared" si="3"/>
        <v>647.94234269072786</v>
      </c>
      <c r="T40" s="787">
        <f>S40/SUM('Prod &amp; Defects - Qty'!$L$6:$Q$6)*1000000</f>
        <v>32.717835502595854</v>
      </c>
      <c r="U40" s="787">
        <f t="shared" si="4"/>
        <v>1312.3914143927236</v>
      </c>
      <c r="V40" s="787">
        <f>U40/'Prod &amp; Defects - Qty'!$R$6*1000000</f>
        <v>32.717835502595854</v>
      </c>
      <c r="W40" s="787">
        <f t="shared" si="10"/>
        <v>29.446051952336269</v>
      </c>
      <c r="X40" s="787">
        <f t="shared" si="10"/>
        <v>26.501446757102642</v>
      </c>
      <c r="Y40" s="787">
        <f t="shared" si="5"/>
        <v>27.973749354719455</v>
      </c>
      <c r="Z40" s="787">
        <f t="shared" si="12"/>
        <v>27.973749354719455</v>
      </c>
    </row>
    <row r="41" spans="1:26" ht="18" customHeight="1">
      <c r="A41" s="1032"/>
      <c r="B41" s="81">
        <f t="shared" si="13"/>
        <v>3250</v>
      </c>
      <c r="C41" s="82" t="s">
        <v>69</v>
      </c>
      <c r="D41" s="323">
        <f>'[3]Falhas UM-3-1 Qty'!Z41</f>
        <v>16.735384004900425</v>
      </c>
      <c r="E41" s="334">
        <f>'Prod &amp; Defects - Qty'!F$6*'Falhas UM-3-1 Qty'!$D41/1000000</f>
        <v>54.290408878384824</v>
      </c>
      <c r="F41" s="334">
        <f>'Prod &amp; Defects - Qty'!G$6*'Falhas UM-3-1 Qty'!$D41/1000000</f>
        <v>56.818510661263012</v>
      </c>
      <c r="G41" s="334">
        <f>'Prod &amp; Defects - Qty'!H$6*'Falhas UM-3-1 Qty'!$D41/1000000</f>
        <v>54.681256285861934</v>
      </c>
      <c r="H41" s="334">
        <f>'Prod &amp; Defects - Qty'!I$6*'Falhas UM-3-1 Qty'!$D41/1000000</f>
        <v>55.034773414188138</v>
      </c>
      <c r="I41" s="334">
        <f>'Prod &amp; Defects - Qty'!J$6*'Falhas UM-3-1 Qty'!$D41/1000000</f>
        <v>55.707097461397694</v>
      </c>
      <c r="J41" s="334">
        <f>'Prod &amp; Defects - Qty'!K$6*'Falhas UM-3-1 Qty'!$D41/1000000</f>
        <v>63.33794151222196</v>
      </c>
      <c r="K41" s="334">
        <f>'Prod &amp; Defects - Qty'!L$6*'Falhas UM-3-1 Qty'!$D41/1000000</f>
        <v>62.558876551121735</v>
      </c>
      <c r="L41" s="334">
        <f>'Prod &amp; Defects - Qty'!M$6*'Falhas UM-3-1 Qty'!$D41/1000000</f>
        <v>62.591690522282683</v>
      </c>
      <c r="M41" s="334">
        <f>'Prod &amp; Defects - Qty'!N$6*'Falhas UM-3-1 Qty'!$D41/1000000</f>
        <v>59.554186061813937</v>
      </c>
      <c r="N41" s="334">
        <f>'Prod &amp; Defects - Qty'!O$6*'Falhas UM-3-1 Qty'!$D41/1000000</f>
        <v>46.186011061452696</v>
      </c>
      <c r="O41" s="334">
        <f>'Prod &amp; Defects - Qty'!P$6*'Falhas UM-3-1 Qty'!$D41/1000000</f>
        <v>44.330198313320324</v>
      </c>
      <c r="P41" s="334">
        <f>'Prod &amp; Defects - Qty'!Q$6*'Falhas UM-3-1 Qty'!$D41/1000000</f>
        <v>56.205727287497858</v>
      </c>
      <c r="Q41" s="787">
        <f t="shared" si="2"/>
        <v>339.86998821331758</v>
      </c>
      <c r="R41" s="787">
        <f>Q41/SUM('Prod &amp; Defects - Qty'!$F$6:$K$6)*1000000</f>
        <v>16.735384004900425</v>
      </c>
      <c r="S41" s="787">
        <f t="shared" si="3"/>
        <v>331.42668979748925</v>
      </c>
      <c r="T41" s="787">
        <f>S41/SUM('Prod &amp; Defects - Qty'!$L$6:$Q$6)*1000000</f>
        <v>16.735384004900425</v>
      </c>
      <c r="U41" s="787">
        <f t="shared" si="4"/>
        <v>671.29667801080677</v>
      </c>
      <c r="V41" s="787">
        <f>U41/'Prod &amp; Defects - Qty'!$R$6*1000000</f>
        <v>16.735384004900425</v>
      </c>
      <c r="W41" s="787">
        <f t="shared" si="10"/>
        <v>15.061845604410383</v>
      </c>
      <c r="X41" s="787">
        <f t="shared" si="10"/>
        <v>13.555661043969344</v>
      </c>
      <c r="Y41" s="787">
        <f t="shared" si="5"/>
        <v>14.308753324189864</v>
      </c>
      <c r="Z41" s="787">
        <f t="shared" si="12"/>
        <v>14.308753324189864</v>
      </c>
    </row>
    <row r="42" spans="1:26" ht="18" customHeight="1">
      <c r="A42" s="1032"/>
      <c r="B42" s="81">
        <f t="shared" si="13"/>
        <v>3260</v>
      </c>
      <c r="C42" s="82" t="s">
        <v>15</v>
      </c>
      <c r="D42" s="323">
        <f>'[3]Falhas UM-3-1 Qty'!Z42</f>
        <v>17.861639126864368</v>
      </c>
      <c r="E42" s="334">
        <f>'Prod &amp; Defects - Qty'!F$6*'Falhas UM-3-1 Qty'!$D42/1000000</f>
        <v>57.944035891358844</v>
      </c>
      <c r="F42" s="334">
        <f>'Prod &amp; Defects - Qty'!G$6*'Falhas UM-3-1 Qty'!$D42/1000000</f>
        <v>60.642273452476665</v>
      </c>
      <c r="G42" s="334">
        <f>'Prod &amp; Defects - Qty'!H$6*'Falhas UM-3-1 Qty'!$D42/1000000</f>
        <v>58.361186483420703</v>
      </c>
      <c r="H42" s="334">
        <f>'Prod &amp; Defects - Qty'!I$6*'Falhas UM-3-1 Qty'!$D42/1000000</f>
        <v>58.738494549341333</v>
      </c>
      <c r="I42" s="334">
        <f>'Prod &amp; Defects - Qty'!J$6*'Falhas UM-3-1 Qty'!$D42/1000000</f>
        <v>59.456064549769984</v>
      </c>
      <c r="J42" s="334">
        <f>'Prod &amp; Defects - Qty'!K$6*'Falhas UM-3-1 Qty'!$D42/1000000</f>
        <v>67.600447889243512</v>
      </c>
      <c r="K42" s="334">
        <f>'Prod &amp; Defects - Qty'!L$6*'Falhas UM-3-1 Qty'!$D42/1000000</f>
        <v>66.768953542446198</v>
      </c>
      <c r="L42" s="334">
        <f>'Prod &amp; Defects - Qty'!M$6*'Falhas UM-3-1 Qty'!$D42/1000000</f>
        <v>66.803975822844706</v>
      </c>
      <c r="M42" s="334">
        <f>'Prod &amp; Defects - Qty'!N$6*'Falhas UM-3-1 Qty'!$D42/1000000</f>
        <v>63.562053886470444</v>
      </c>
      <c r="N42" s="334">
        <f>'Prod &amp; Defects - Qty'!O$6*'Falhas UM-3-1 Qty'!$D42/1000000</f>
        <v>49.294229642264035</v>
      </c>
      <c r="O42" s="334">
        <f>'Prod &amp; Defects - Qty'!P$6*'Falhas UM-3-1 Qty'!$D42/1000000</f>
        <v>47.313524712848107</v>
      </c>
      <c r="P42" s="334">
        <f>'Prod &amp; Defects - Qty'!Q$6*'Falhas UM-3-1 Qty'!$D42/1000000</f>
        <v>59.988251083947169</v>
      </c>
      <c r="Q42" s="787">
        <f t="shared" si="2"/>
        <v>362.74250281561103</v>
      </c>
      <c r="R42" s="787">
        <f>Q42/SUM('Prod &amp; Defects - Qty'!$F$6:$K$6)*1000000</f>
        <v>17.861639126864368</v>
      </c>
      <c r="S42" s="787">
        <f t="shared" si="3"/>
        <v>353.73098869082065</v>
      </c>
      <c r="T42" s="787">
        <f>S42/SUM('Prod &amp; Defects - Qty'!$L$6:$Q$6)*1000000</f>
        <v>17.861639126864368</v>
      </c>
      <c r="U42" s="787">
        <f t="shared" si="4"/>
        <v>716.47349150643163</v>
      </c>
      <c r="V42" s="787">
        <f>U42/'Prod &amp; Defects - Qty'!$R$6*1000000</f>
        <v>17.861639126864365</v>
      </c>
      <c r="W42" s="787">
        <f t="shared" si="10"/>
        <v>16.075475214177928</v>
      </c>
      <c r="X42" s="787">
        <f t="shared" si="10"/>
        <v>14.467927692760135</v>
      </c>
      <c r="Y42" s="787">
        <f t="shared" si="5"/>
        <v>15.271701453469031</v>
      </c>
      <c r="Z42" s="787">
        <f t="shared" si="12"/>
        <v>15.271701453469031</v>
      </c>
    </row>
    <row r="43" spans="1:26" ht="18" customHeight="1">
      <c r="A43" s="1032"/>
      <c r="B43" s="81">
        <f t="shared" si="13"/>
        <v>3270</v>
      </c>
      <c r="C43" s="82" t="s">
        <v>14</v>
      </c>
      <c r="D43" s="323">
        <f>'[3]Falhas UM-3-1 Qty'!Z43</f>
        <v>18.491705744725706</v>
      </c>
      <c r="E43" s="334">
        <f>'Prod &amp; Defects - Qty'!F$6*'Falhas UM-3-1 Qty'!$D43/1000000</f>
        <v>59.988002990906537</v>
      </c>
      <c r="F43" s="334">
        <f>'Prod &amp; Defects - Qty'!G$6*'Falhas UM-3-1 Qty'!$D43/1000000</f>
        <v>62.781420473768648</v>
      </c>
      <c r="G43" s="334">
        <f>'Prod &amp; Defects - Qty'!H$6*'Falhas UM-3-1 Qty'!$D43/1000000</f>
        <v>60.419868506991463</v>
      </c>
      <c r="H43" s="334">
        <f>'Prod &amp; Defects - Qty'!I$6*'Falhas UM-3-1 Qty'!$D43/1000000</f>
        <v>60.810486057853424</v>
      </c>
      <c r="I43" s="334">
        <f>'Prod &amp; Defects - Qty'!J$6*'Falhas UM-3-1 Qty'!$D43/1000000</f>
        <v>61.553368231483958</v>
      </c>
      <c r="J43" s="334">
        <f>'Prod &amp; Defects - Qty'!K$6*'Falhas UM-3-1 Qty'!$D43/1000000</f>
        <v>69.985043461070219</v>
      </c>
      <c r="K43" s="334">
        <f>'Prod &amp; Defects - Qty'!L$6*'Falhas UM-3-1 Qty'!$D43/1000000</f>
        <v>69.124218276988799</v>
      </c>
      <c r="L43" s="334">
        <f>'Prod &amp; Defects - Qty'!M$6*'Falhas UM-3-1 Qty'!$D43/1000000</f>
        <v>69.160475963029739</v>
      </c>
      <c r="M43" s="334">
        <f>'Prod &amp; Defects - Qty'!N$6*'Falhas UM-3-1 Qty'!$D43/1000000</f>
        <v>65.804195720829583</v>
      </c>
      <c r="N43" s="334">
        <f>'Prod &amp; Defects - Qty'!O$6*'Falhas UM-3-1 Qty'!$D43/1000000</f>
        <v>51.033076135028999</v>
      </c>
      <c r="O43" s="334">
        <f>'Prod &amp; Defects - Qty'!P$6*'Falhas UM-3-1 Qty'!$D43/1000000</f>
        <v>48.982502138894461</v>
      </c>
      <c r="P43" s="334">
        <f>'Prod &amp; Defects - Qty'!Q$6*'Falhas UM-3-1 Qty'!$D43/1000000</f>
        <v>62.104327565138206</v>
      </c>
      <c r="Q43" s="787">
        <f t="shared" si="2"/>
        <v>375.53818972207426</v>
      </c>
      <c r="R43" s="787">
        <f>Q43/SUM('Prod &amp; Defects - Qty'!$F$6:$K$6)*1000000</f>
        <v>18.491705744725706</v>
      </c>
      <c r="S43" s="787">
        <f t="shared" si="3"/>
        <v>366.20879579990981</v>
      </c>
      <c r="T43" s="787">
        <f>S43/SUM('Prod &amp; Defects - Qty'!$L$6:$Q$6)*1000000</f>
        <v>18.491705744725706</v>
      </c>
      <c r="U43" s="787">
        <f t="shared" si="4"/>
        <v>741.74698552198402</v>
      </c>
      <c r="V43" s="787">
        <f>U43/'Prod &amp; Defects - Qty'!$R$6*1000000</f>
        <v>18.491705744725706</v>
      </c>
      <c r="W43" s="787">
        <f t="shared" si="10"/>
        <v>16.642535170253137</v>
      </c>
      <c r="X43" s="787">
        <f t="shared" si="10"/>
        <v>14.978281653227823</v>
      </c>
      <c r="Y43" s="787">
        <f t="shared" si="5"/>
        <v>15.810408411740479</v>
      </c>
      <c r="Z43" s="787">
        <f t="shared" si="12"/>
        <v>15.810408411740479</v>
      </c>
    </row>
    <row r="44" spans="1:26" ht="18" customHeight="1">
      <c r="A44" s="1032"/>
      <c r="B44" s="81">
        <f t="shared" si="13"/>
        <v>3280</v>
      </c>
      <c r="C44" s="82" t="s">
        <v>68</v>
      </c>
      <c r="D44" s="323">
        <f>'[3]Falhas UM-3-1 Qty'!Z44</f>
        <v>53.221537599620277</v>
      </c>
      <c r="E44" s="334">
        <f>'Prod &amp; Defects - Qty'!F$6*'Falhas UM-3-1 Qty'!$D44/1000000</f>
        <v>172.6532857909709</v>
      </c>
      <c r="F44" s="334">
        <f>'Prod &amp; Defects - Qty'!G$6*'Falhas UM-3-1 Qty'!$D44/1000000</f>
        <v>180.69310513743585</v>
      </c>
      <c r="G44" s="334">
        <f>'Prod &amp; Defects - Qty'!H$6*'Falhas UM-3-1 Qty'!$D44/1000000</f>
        <v>173.89625099491641</v>
      </c>
      <c r="H44" s="334">
        <f>'Prod &amp; Defects - Qty'!I$6*'Falhas UM-3-1 Qty'!$D44/1000000</f>
        <v>175.02049918257757</v>
      </c>
      <c r="I44" s="334">
        <f>'Prod &amp; Defects - Qty'!J$6*'Falhas UM-3-1 Qty'!$D44/1000000</f>
        <v>177.1586108355408</v>
      </c>
      <c r="J44" s="334">
        <f>'Prod &amp; Defects - Qty'!K$6*'Falhas UM-3-1 Qty'!$D44/1000000</f>
        <v>201.42607033625268</v>
      </c>
      <c r="K44" s="334">
        <f>'Prod &amp; Defects - Qty'!L$6*'Falhas UM-3-1 Qty'!$D44/1000000</f>
        <v>198.94850333763461</v>
      </c>
      <c r="L44" s="334">
        <f>'Prod &amp; Defects - Qty'!M$6*'Falhas UM-3-1 Qty'!$D44/1000000</f>
        <v>199.05285768047034</v>
      </c>
      <c r="M44" s="334">
        <f>'Prod &amp; Defects - Qty'!N$6*'Falhas UM-3-1 Qty'!$D44/1000000</f>
        <v>189.39304600214169</v>
      </c>
      <c r="N44" s="334">
        <f>'Prod &amp; Defects - Qty'!O$6*'Falhas UM-3-1 Qty'!$D44/1000000</f>
        <v>146.87983995848612</v>
      </c>
      <c r="O44" s="334">
        <f>'Prod &amp; Defects - Qty'!P$6*'Falhas UM-3-1 Qty'!$D44/1000000</f>
        <v>140.9780209190389</v>
      </c>
      <c r="P44" s="334">
        <f>'Prod &amp; Defects - Qty'!Q$6*'Falhas UM-3-1 Qty'!$D44/1000000</f>
        <v>178.74434355791581</v>
      </c>
      <c r="Q44" s="787">
        <f t="shared" si="2"/>
        <v>1080.8478222776944</v>
      </c>
      <c r="R44" s="787">
        <f>Q44/SUM('Prod &amp; Defects - Qty'!$F$6:$K$6)*1000000</f>
        <v>53.221537599620291</v>
      </c>
      <c r="S44" s="787">
        <f t="shared" si="3"/>
        <v>1053.9966114556873</v>
      </c>
      <c r="T44" s="787">
        <f>S44/SUM('Prod &amp; Defects - Qty'!$L$6:$Q$6)*1000000</f>
        <v>53.221537599620277</v>
      </c>
      <c r="U44" s="787">
        <f t="shared" si="4"/>
        <v>2134.8444337333817</v>
      </c>
      <c r="V44" s="787">
        <f>U44/'Prod &amp; Defects - Qty'!$R$6*1000000</f>
        <v>53.221537599620284</v>
      </c>
      <c r="W44" s="787">
        <f t="shared" si="10"/>
        <v>47.899383839658256</v>
      </c>
      <c r="X44" s="787">
        <f t="shared" si="10"/>
        <v>43.10944545569243</v>
      </c>
      <c r="Y44" s="787">
        <f t="shared" si="5"/>
        <v>45.504414647675347</v>
      </c>
      <c r="Z44" s="787">
        <f t="shared" si="12"/>
        <v>45.504414647675347</v>
      </c>
    </row>
    <row r="45" spans="1:26" ht="18" customHeight="1">
      <c r="A45" s="1032"/>
      <c r="B45" s="81">
        <f t="shared" si="13"/>
        <v>3290</v>
      </c>
      <c r="C45" s="82" t="s">
        <v>13</v>
      </c>
      <c r="D45" s="323">
        <f>'[3]Falhas UM-3-1 Qty'!Z45</f>
        <v>59.312375006200824</v>
      </c>
      <c r="E45" s="334">
        <f>'Prod &amp; Defects - Qty'!F$6*'Falhas UM-3-1 Qty'!$D45/1000000</f>
        <v>192.4122619290859</v>
      </c>
      <c r="F45" s="334">
        <f>'Prod &amp; Defects - Qty'!G$6*'Falhas UM-3-1 Qty'!$D45/1000000</f>
        <v>201.37218307317252</v>
      </c>
      <c r="G45" s="334">
        <f>'Prod &amp; Defects - Qty'!H$6*'Falhas UM-3-1 Qty'!$D45/1000000</f>
        <v>193.79747591615043</v>
      </c>
      <c r="H45" s="334">
        <f>'Prod &amp; Defects - Qty'!I$6*'Falhas UM-3-1 Qty'!$D45/1000000</f>
        <v>195.05038654432957</v>
      </c>
      <c r="I45" s="334">
        <f>'Prod &amp; Defects - Qty'!J$6*'Falhas UM-3-1 Qty'!$D45/1000000</f>
        <v>197.43319030922098</v>
      </c>
      <c r="J45" s="334">
        <f>'Prod &amp; Defects - Qty'!K$6*'Falhas UM-3-1 Qty'!$D45/1000000</f>
        <v>224.47789294788134</v>
      </c>
      <c r="K45" s="334">
        <f>'Prod &amp; Defects - Qty'!L$6*'Falhas UM-3-1 Qty'!$D45/1000000</f>
        <v>221.71678551745504</v>
      </c>
      <c r="L45" s="334">
        <f>'Prod &amp; Defects - Qty'!M$6*'Falhas UM-3-1 Qty'!$D45/1000000</f>
        <v>221.8330824941107</v>
      </c>
      <c r="M45" s="334">
        <f>'Prod &amp; Defects - Qty'!N$6*'Falhas UM-3-1 Qty'!$D45/1000000</f>
        <v>211.06777208416875</v>
      </c>
      <c r="N45" s="334">
        <f>'Prod &amp; Defects - Qty'!O$6*'Falhas UM-3-1 Qty'!$D45/1000000</f>
        <v>163.68922322399504</v>
      </c>
      <c r="O45" s="334">
        <f>'Prod &amp; Defects - Qty'!P$6*'Falhas UM-3-1 Qty'!$D45/1000000</f>
        <v>157.11198175607984</v>
      </c>
      <c r="P45" s="334">
        <f>'Prod &amp; Defects - Qty'!Q$6*'Falhas UM-3-1 Qty'!$D45/1000000</f>
        <v>199.20039918989374</v>
      </c>
      <c r="Q45" s="787">
        <f t="shared" si="2"/>
        <v>1204.5433907198408</v>
      </c>
      <c r="R45" s="787">
        <f>Q45/SUM('Prod &amp; Defects - Qty'!$F$6:$K$6)*1000000</f>
        <v>59.312375006200831</v>
      </c>
      <c r="S45" s="787">
        <f t="shared" si="3"/>
        <v>1174.6192442657029</v>
      </c>
      <c r="T45" s="787">
        <f>S45/SUM('Prod &amp; Defects - Qty'!$L$6:$Q$6)*1000000</f>
        <v>59.31237500620081</v>
      </c>
      <c r="U45" s="787">
        <f t="shared" si="4"/>
        <v>2379.1626349855437</v>
      </c>
      <c r="V45" s="787">
        <f>U45/'Prod &amp; Defects - Qty'!$R$6*1000000</f>
        <v>59.312375006200817</v>
      </c>
      <c r="W45" s="787">
        <f t="shared" si="10"/>
        <v>53.381137505580739</v>
      </c>
      <c r="X45" s="787">
        <f t="shared" si="10"/>
        <v>48.043023755022666</v>
      </c>
      <c r="Y45" s="787">
        <f t="shared" si="5"/>
        <v>50.712080630301699</v>
      </c>
      <c r="Z45" s="787">
        <f t="shared" si="12"/>
        <v>50.712080630301699</v>
      </c>
    </row>
    <row r="46" spans="1:26" ht="18" customHeight="1">
      <c r="A46" s="1032"/>
      <c r="B46" s="81">
        <f t="shared" si="13"/>
        <v>3300</v>
      </c>
      <c r="C46" s="82" t="s">
        <v>12</v>
      </c>
      <c r="D46" s="323">
        <f>'[3]Falhas UM-3-1 Qty'!Z46</f>
        <v>6.0691203133111333</v>
      </c>
      <c r="E46" s="334">
        <f>'Prod &amp; Defects - Qty'!F$6*'Falhas UM-3-1 Qty'!$D46/1000000</f>
        <v>19.688524819346259</v>
      </c>
      <c r="F46" s="334">
        <f>'Prod &amp; Defects - Qty'!G$6*'Falhas UM-3-1 Qty'!$D46/1000000</f>
        <v>20.60534596190811</v>
      </c>
      <c r="G46" s="334">
        <f>'Prod &amp; Defects - Qty'!H$6*'Falhas UM-3-1 Qty'!$D46/1000000</f>
        <v>19.830266409466315</v>
      </c>
      <c r="H46" s="334">
        <f>'Prod &amp; Defects - Qty'!I$6*'Falhas UM-3-1 Qty'!$D46/1000000</f>
        <v>19.958470099563883</v>
      </c>
      <c r="I46" s="334">
        <f>'Prod &amp; Defects - Qty'!J$6*'Falhas UM-3-1 Qty'!$D46/1000000</f>
        <v>20.202289753230161</v>
      </c>
      <c r="J46" s="334">
        <f>'Prod &amp; Defects - Qty'!K$6*'Falhas UM-3-1 Qty'!$D46/1000000</f>
        <v>22.96963053387827</v>
      </c>
      <c r="K46" s="334">
        <f>'Prod &amp; Defects - Qty'!L$6*'Falhas UM-3-1 Qty'!$D46/1000000</f>
        <v>22.6871010753718</v>
      </c>
      <c r="L46" s="334">
        <f>'Prod &amp; Defects - Qty'!M$6*'Falhas UM-3-1 Qty'!$D46/1000000</f>
        <v>22.699001127314141</v>
      </c>
      <c r="M46" s="334">
        <f>'Prod &amp; Defects - Qty'!N$6*'Falhas UM-3-1 Qty'!$D46/1000000</f>
        <v>21.597444089996923</v>
      </c>
      <c r="N46" s="334">
        <f>'Prod &amp; Defects - Qty'!O$6*'Falhas UM-3-1 Qty'!$D46/1000000</f>
        <v>16.749448823032434</v>
      </c>
      <c r="O46" s="334">
        <f>'Prod &amp; Defects - Qty'!P$6*'Falhas UM-3-1 Qty'!$D46/1000000</f>
        <v>16.076434636797217</v>
      </c>
      <c r="P46" s="334">
        <f>'Prod &amp; Defects - Qty'!Q$6*'Falhas UM-3-1 Qty'!$D46/1000000</f>
        <v>20.383118851954229</v>
      </c>
      <c r="Q46" s="787">
        <f t="shared" si="2"/>
        <v>123.25452757739301</v>
      </c>
      <c r="R46" s="787">
        <f>Q46/SUM('Prod &amp; Defects - Qty'!$F$6:$K$6)*1000000</f>
        <v>6.0691203133111342</v>
      </c>
      <c r="S46" s="787">
        <f t="shared" si="3"/>
        <v>120.19254860446674</v>
      </c>
      <c r="T46" s="787">
        <f>S46/SUM('Prod &amp; Defects - Qty'!$L$6:$Q$6)*1000000</f>
        <v>6.0691203133111324</v>
      </c>
      <c r="U46" s="787">
        <f t="shared" si="4"/>
        <v>243.44707618185976</v>
      </c>
      <c r="V46" s="787">
        <f>U46/'Prod &amp; Defects - Qty'!$R$6*1000000</f>
        <v>6.0691203133111342</v>
      </c>
      <c r="W46" s="787">
        <f t="shared" si="10"/>
        <v>5.4622082819800211</v>
      </c>
      <c r="X46" s="787">
        <f t="shared" si="10"/>
        <v>4.9159874537820194</v>
      </c>
      <c r="Y46" s="787">
        <f t="shared" si="5"/>
        <v>5.1890978678810207</v>
      </c>
      <c r="Z46" s="787">
        <f t="shared" si="12"/>
        <v>5.1890978678810207</v>
      </c>
    </row>
    <row r="47" spans="1:26" ht="18" customHeight="1">
      <c r="A47" s="1032"/>
      <c r="B47" s="81">
        <f t="shared" si="13"/>
        <v>3310</v>
      </c>
      <c r="C47" s="82" t="s">
        <v>133</v>
      </c>
      <c r="D47" s="323">
        <f>'[3]Falhas UM-3-1 Qty'!Z47</f>
        <v>86.555226463970143</v>
      </c>
      <c r="E47" s="334">
        <f>'Prod &amp; Defects - Qty'!F$6*'Falhas UM-3-1 Qty'!$D47/1000000</f>
        <v>280.78941205735975</v>
      </c>
      <c r="F47" s="334">
        <f>'Prod &amp; Defects - Qty'!G$6*'Falhas UM-3-1 Qty'!$D47/1000000</f>
        <v>293.86472734602683</v>
      </c>
      <c r="G47" s="334">
        <f>'Prod &amp; Defects - Qty'!H$6*'Falhas UM-3-1 Qty'!$D47/1000000</f>
        <v>282.81087065413482</v>
      </c>
      <c r="H47" s="334">
        <f>'Prod &amp; Defects - Qty'!I$6*'Falhas UM-3-1 Qty'!$D47/1000000</f>
        <v>284.63925744778157</v>
      </c>
      <c r="I47" s="334">
        <f>'Prod &amp; Defects - Qty'!J$6*'Falhas UM-3-1 Qty'!$D47/1000000</f>
        <v>288.11651020435744</v>
      </c>
      <c r="J47" s="334">
        <f>'Prod &amp; Defects - Qty'!K$6*'Falhas UM-3-1 Qty'!$D47/1000000</f>
        <v>327.58315373861581</v>
      </c>
      <c r="K47" s="334">
        <f>'Prod &amp; Defects - Qty'!L$6*'Falhas UM-3-1 Qty'!$D47/1000000</f>
        <v>323.55383812097421</v>
      </c>
      <c r="L47" s="334">
        <f>'Prod &amp; Defects - Qty'!M$6*'Falhas UM-3-1 Qty'!$D47/1000000</f>
        <v>323.72355162764882</v>
      </c>
      <c r="M47" s="334">
        <f>'Prod &amp; Defects - Qty'!N$6*'Falhas UM-3-1 Qty'!$D47/1000000</f>
        <v>308.0136111575523</v>
      </c>
      <c r="N47" s="334">
        <f>'Prod &amp; Defects - Qty'!O$6*'Falhas UM-3-1 Qty'!$D47/1000000</f>
        <v>238.8735535271187</v>
      </c>
      <c r="O47" s="334">
        <f>'Prod &amp; Defects - Qty'!P$6*'Falhas UM-3-1 Qty'!$D47/1000000</f>
        <v>229.27530991094088</v>
      </c>
      <c r="P47" s="334">
        <f>'Prod &amp; Defects - Qty'!Q$6*'Falhas UM-3-1 Qty'!$D47/1000000</f>
        <v>290.69541831349625</v>
      </c>
      <c r="Q47" s="787">
        <f t="shared" si="2"/>
        <v>1757.8039314482762</v>
      </c>
      <c r="R47" s="787">
        <f>Q47/SUM('Prod &amp; Defects - Qty'!$F$6:$K$6)*1000000</f>
        <v>86.555226463970143</v>
      </c>
      <c r="S47" s="787">
        <f t="shared" si="3"/>
        <v>1714.1352826577313</v>
      </c>
      <c r="T47" s="787">
        <f>S47/SUM('Prod &amp; Defects - Qty'!$L$6:$Q$6)*1000000</f>
        <v>86.555226463970143</v>
      </c>
      <c r="U47" s="787">
        <f t="shared" si="4"/>
        <v>3471.9392141060075</v>
      </c>
      <c r="V47" s="787">
        <f>U47/'Prod &amp; Defects - Qty'!$R$6*1000000</f>
        <v>86.555226463970143</v>
      </c>
      <c r="W47" s="787">
        <f t="shared" ref="W47:X57" si="14">V47*Redutor</f>
        <v>77.899703817573126</v>
      </c>
      <c r="X47" s="787">
        <f t="shared" si="14"/>
        <v>70.109733435815812</v>
      </c>
      <c r="Y47" s="787">
        <f t="shared" si="5"/>
        <v>74.004718626694469</v>
      </c>
      <c r="Z47" s="787">
        <f t="shared" si="12"/>
        <v>74.004718626694469</v>
      </c>
    </row>
    <row r="48" spans="1:26" ht="18" customHeight="1">
      <c r="A48" s="1032"/>
      <c r="B48" s="81">
        <f t="shared" si="13"/>
        <v>3320</v>
      </c>
      <c r="C48" s="82" t="s">
        <v>11</v>
      </c>
      <c r="D48" s="323">
        <f>'[3]Falhas UM-3-1 Qty'!Z48</f>
        <v>112.71023592106879</v>
      </c>
      <c r="E48" s="334">
        <f>'Prod &amp; Defects - Qty'!F$6*'Falhas UM-3-1 Qty'!$D48/1000000</f>
        <v>365.63754922756846</v>
      </c>
      <c r="F48" s="334">
        <f>'Prod &amp; Defects - Qty'!G$6*'Falhas UM-3-1 Qty'!$D48/1000000</f>
        <v>382.66392569417587</v>
      </c>
      <c r="G48" s="334">
        <f>'Prod &amp; Defects - Qty'!H$6*'Falhas UM-3-1 Qty'!$D48/1000000</f>
        <v>368.26984637073434</v>
      </c>
      <c r="H48" s="334">
        <f>'Prod &amp; Defects - Qty'!I$6*'Falhas UM-3-1 Qty'!$D48/1000000</f>
        <v>370.65072982844993</v>
      </c>
      <c r="I48" s="334">
        <f>'Prod &amp; Defects - Qty'!J$6*'Falhas UM-3-1 Qty'!$D48/1000000</f>
        <v>375.17872882472079</v>
      </c>
      <c r="J48" s="334">
        <f>'Prod &amp; Defects - Qty'!K$6*'Falhas UM-3-1 Qty'!$D48/1000000</f>
        <v>426.57128922210643</v>
      </c>
      <c r="K48" s="334">
        <f>'Prod &amp; Defects - Qty'!L$6*'Falhas UM-3-1 Qty'!$D48/1000000</f>
        <v>421.32440659678201</v>
      </c>
      <c r="L48" s="334">
        <f>'Prod &amp; Defects - Qty'!M$6*'Falhas UM-3-1 Qty'!$D48/1000000</f>
        <v>421.54540364291944</v>
      </c>
      <c r="M48" s="334">
        <f>'Prod &amp; Defects - Qty'!N$6*'Falhas UM-3-1 Qty'!$D48/1000000</f>
        <v>401.08827853300363</v>
      </c>
      <c r="N48" s="334">
        <f>'Prod &amp; Defects - Qty'!O$6*'Falhas UM-3-1 Qty'!$D48/1000000</f>
        <v>311.05567708904204</v>
      </c>
      <c r="O48" s="334">
        <f>'Prod &amp; Defects - Qty'!P$6*'Falhas UM-3-1 Qty'!$D48/1000000</f>
        <v>298.55706381515012</v>
      </c>
      <c r="P48" s="334">
        <f>'Prod &amp; Defects - Qty'!Q$6*'Falhas UM-3-1 Qty'!$D48/1000000</f>
        <v>378.53692397103919</v>
      </c>
      <c r="Q48" s="787">
        <f t="shared" si="2"/>
        <v>2288.9720691677558</v>
      </c>
      <c r="R48" s="787">
        <f>Q48/SUM('Prod &amp; Defects - Qty'!$F$6:$K$6)*1000000</f>
        <v>112.7102359210688</v>
      </c>
      <c r="S48" s="787">
        <f t="shared" si="3"/>
        <v>2232.1077536479365</v>
      </c>
      <c r="T48" s="787">
        <f>S48/SUM('Prod &amp; Defects - Qty'!$L$6:$Q$6)*1000000</f>
        <v>112.7102359210688</v>
      </c>
      <c r="U48" s="787">
        <f t="shared" si="4"/>
        <v>4521.0798228156928</v>
      </c>
      <c r="V48" s="787">
        <f>U48/'Prod &amp; Defects - Qty'!$R$6*1000000</f>
        <v>112.7102359210688</v>
      </c>
      <c r="W48" s="787">
        <f t="shared" si="14"/>
        <v>101.43921232896193</v>
      </c>
      <c r="X48" s="787">
        <f t="shared" si="14"/>
        <v>91.295291096065739</v>
      </c>
      <c r="Y48" s="787">
        <f t="shared" si="5"/>
        <v>96.367251712513834</v>
      </c>
      <c r="Z48" s="787">
        <f t="shared" si="12"/>
        <v>96.367251712513834</v>
      </c>
    </row>
    <row r="49" spans="1:26" ht="18" customHeight="1">
      <c r="A49" s="1032"/>
      <c r="B49" s="81">
        <f t="shared" si="13"/>
        <v>3330</v>
      </c>
      <c r="C49" s="82" t="s">
        <v>6</v>
      </c>
      <c r="D49" s="323">
        <f>'[3]Falhas UM-3-1 Qty'!Z49</f>
        <v>95.707186177065964</v>
      </c>
      <c r="E49" s="334">
        <f>'Prod &amp; Defects - Qty'!F$6*'Falhas UM-3-1 Qty'!$D49/1000000</f>
        <v>310.47881952581025</v>
      </c>
      <c r="F49" s="334">
        <f>'Prod &amp; Defects - Qty'!G$6*'Falhas UM-3-1 Qty'!$D49/1000000</f>
        <v>324.93665974851717</v>
      </c>
      <c r="G49" s="334">
        <f>'Prod &amp; Defects - Qty'!H$6*'Falhas UM-3-1 Qty'!$D49/1000000</f>
        <v>312.71401804789275</v>
      </c>
      <c r="H49" s="334">
        <f>'Prod &amp; Defects - Qty'!I$6*'Falhas UM-3-1 Qty'!$D49/1000000</f>
        <v>314.7357302241769</v>
      </c>
      <c r="I49" s="334">
        <f>'Prod &amp; Defects - Qty'!J$6*'Falhas UM-3-1 Qty'!$D49/1000000</f>
        <v>318.58065202213271</v>
      </c>
      <c r="J49" s="334">
        <f>'Prod &amp; Defects - Qty'!K$6*'Falhas UM-3-1 Qty'!$D49/1000000</f>
        <v>362.22032064560392</v>
      </c>
      <c r="K49" s="334">
        <f>'Prod &amp; Defects - Qty'!L$6*'Falhas UM-3-1 Qty'!$D49/1000000</f>
        <v>357.76496334670861</v>
      </c>
      <c r="L49" s="334">
        <f>'Prod &amp; Defects - Qty'!M$6*'Falhas UM-3-1 Qty'!$D49/1000000</f>
        <v>357.95262159501596</v>
      </c>
      <c r="M49" s="334">
        <f>'Prod &amp; Defects - Qty'!N$6*'Falhas UM-3-1 Qty'!$D49/1000000</f>
        <v>340.5815827932397</v>
      </c>
      <c r="N49" s="334">
        <f>'Prod &amp; Defects - Qty'!O$6*'Falhas UM-3-1 Qty'!$D49/1000000</f>
        <v>264.13096694644872</v>
      </c>
      <c r="O49" s="334">
        <f>'Prod &amp; Defects - Qty'!P$6*'Falhas UM-3-1 Qty'!$D49/1000000</f>
        <v>253.51784829059545</v>
      </c>
      <c r="P49" s="334">
        <f>'Prod &amp; Defects - Qty'!Q$6*'Falhas UM-3-1 Qty'!$D49/1000000</f>
        <v>321.43224225669394</v>
      </c>
      <c r="Q49" s="787">
        <f t="shared" si="2"/>
        <v>1943.6662002141338</v>
      </c>
      <c r="R49" s="787">
        <f>Q49/SUM('Prod &amp; Defects - Qty'!$F$6:$K$6)*1000000</f>
        <v>95.707186177065978</v>
      </c>
      <c r="S49" s="787">
        <f t="shared" si="3"/>
        <v>1895.3802252287023</v>
      </c>
      <c r="T49" s="787">
        <f>S49/SUM('Prod &amp; Defects - Qty'!$L$6:$Q$6)*1000000</f>
        <v>95.707186177065964</v>
      </c>
      <c r="U49" s="787">
        <f t="shared" si="4"/>
        <v>3839.0464254428362</v>
      </c>
      <c r="V49" s="787">
        <f>U49/'Prod &amp; Defects - Qty'!$R$6*1000000</f>
        <v>95.707186177065978</v>
      </c>
      <c r="W49" s="787">
        <f t="shared" si="14"/>
        <v>86.136467559359389</v>
      </c>
      <c r="X49" s="787">
        <f t="shared" si="14"/>
        <v>77.522820803423457</v>
      </c>
      <c r="Y49" s="787">
        <f t="shared" si="5"/>
        <v>81.829644181391416</v>
      </c>
      <c r="Z49" s="787">
        <f t="shared" si="12"/>
        <v>81.829644181391416</v>
      </c>
    </row>
    <row r="50" spans="1:26" ht="18" customHeight="1">
      <c r="A50" s="1032"/>
      <c r="B50" s="96"/>
      <c r="C50" s="97" t="s">
        <v>1</v>
      </c>
      <c r="D50" s="329">
        <f>'[3]Falhas UM-3-1 Qty'!Z50</f>
        <v>503.56212667667643</v>
      </c>
      <c r="E50" s="338">
        <f>SUBTOTAL(109,E38:E49)</f>
        <v>1633.5803077443898</v>
      </c>
      <c r="F50" s="338">
        <f t="shared" ref="F50:P50" si="15">SUBTOTAL(109,F38:F49)</f>
        <v>1709.6500477556419</v>
      </c>
      <c r="G50" s="338">
        <f t="shared" si="15"/>
        <v>1645.3407759629624</v>
      </c>
      <c r="H50" s="338">
        <f t="shared" si="15"/>
        <v>1655.9779885243504</v>
      </c>
      <c r="I50" s="338">
        <f t="shared" si="15"/>
        <v>1676.2079950141672</v>
      </c>
      <c r="J50" s="338">
        <f t="shared" si="15"/>
        <v>1905.8175490851072</v>
      </c>
      <c r="K50" s="338">
        <f t="shared" si="15"/>
        <v>1882.3757440738786</v>
      </c>
      <c r="L50" s="338">
        <f t="shared" si="15"/>
        <v>1883.3631055289654</v>
      </c>
      <c r="M50" s="338">
        <f t="shared" si="15"/>
        <v>1791.9656087368007</v>
      </c>
      <c r="N50" s="338">
        <f t="shared" si="15"/>
        <v>1389.7216786903364</v>
      </c>
      <c r="O50" s="338">
        <f t="shared" si="15"/>
        <v>1333.8808916555372</v>
      </c>
      <c r="P50" s="338">
        <f t="shared" si="15"/>
        <v>1691.2116002844073</v>
      </c>
      <c r="Q50" s="790">
        <f t="shared" si="2"/>
        <v>10226.57466408662</v>
      </c>
      <c r="R50" s="790">
        <f>Q50/SUM('Prod &amp; Defects - Qty'!$F$6:$K$6)*1000000</f>
        <v>503.56212667667648</v>
      </c>
      <c r="S50" s="790">
        <f t="shared" si="3"/>
        <v>9972.518628969925</v>
      </c>
      <c r="T50" s="790">
        <f>S50/SUM('Prod &amp; Defects - Qty'!$L$6:$Q$6)*1000000</f>
        <v>503.56212667667637</v>
      </c>
      <c r="U50" s="790">
        <f t="shared" si="4"/>
        <v>20199.093293056547</v>
      </c>
      <c r="V50" s="790">
        <f>U50/'Prod &amp; Defects - Qty'!$R$6*1000000</f>
        <v>503.56212667667648</v>
      </c>
      <c r="W50" s="790">
        <f t="shared" si="14"/>
        <v>453.20591400900884</v>
      </c>
      <c r="X50" s="790">
        <f t="shared" si="14"/>
        <v>407.88532260810797</v>
      </c>
      <c r="Y50" s="790">
        <f t="shared" si="5"/>
        <v>430.5456183085584</v>
      </c>
      <c r="Z50" s="790">
        <f>SUM(Z38:Z49)</f>
        <v>430.5456183085584</v>
      </c>
    </row>
    <row r="51" spans="1:26" ht="18" customHeight="1">
      <c r="A51" s="1032"/>
      <c r="B51" s="81">
        <f>B49+10</f>
        <v>3340</v>
      </c>
      <c r="C51" s="82" t="s">
        <v>2</v>
      </c>
      <c r="D51" s="323">
        <f>'[3]Falhas UM-3-1 Qty'!Z51</f>
        <v>674.46311558287061</v>
      </c>
      <c r="E51" s="333">
        <f>'Prod &amp; Defects - Qty'!F$6*'Falhas UM-3-1 Qty'!$D51/1000000</f>
        <v>2187.9915218952419</v>
      </c>
      <c r="F51" s="333">
        <f>'Prod &amp; Defects - Qty'!G$6*'Falhas UM-3-1 Qty'!$D51/1000000</f>
        <v>2289.8781236303048</v>
      </c>
      <c r="G51" s="333">
        <f>'Prod &amp; Defects - Qty'!H$6*'Falhas UM-3-1 Qty'!$D51/1000000</f>
        <v>2203.7433062634586</v>
      </c>
      <c r="H51" s="333">
        <f>'Prod &amp; Defects - Qty'!I$6*'Falhas UM-3-1 Qty'!$D51/1000000</f>
        <v>2217.9906198424592</v>
      </c>
      <c r="I51" s="333">
        <f>'Prod &amp; Defects - Qty'!J$6*'Falhas UM-3-1 Qty'!$D51/1000000</f>
        <v>2245.0863692695089</v>
      </c>
      <c r="J51" s="333">
        <f>'Prod &amp; Defects - Qty'!K$6*'Falhas UM-3-1 Qty'!$D51/1000000</f>
        <v>2552.6217596459051</v>
      </c>
      <c r="K51" s="333">
        <f>'Prod &amp; Defects - Qty'!L$6*'Falhas UM-3-1 Qty'!$D51/1000000</f>
        <v>2521.2241782846859</v>
      </c>
      <c r="L51" s="333">
        <f>'Prod &amp; Defects - Qty'!M$6*'Falhas UM-3-1 Qty'!$D51/1000000</f>
        <v>2522.5466345376994</v>
      </c>
      <c r="M51" s="333">
        <f>'Prod &amp; Defects - Qty'!N$6*'Falhas UM-3-1 Qty'!$D51/1000000</f>
        <v>2400.130278784839</v>
      </c>
      <c r="N51" s="333">
        <f>'Prod &amp; Defects - Qty'!O$6*'Falhas UM-3-1 Qty'!$D51/1000000</f>
        <v>1861.3711467708656</v>
      </c>
      <c r="O51" s="333">
        <f>'Prod &amp; Defects - Qty'!P$6*'Falhas UM-3-1 Qty'!$D51/1000000</f>
        <v>1786.5788834037835</v>
      </c>
      <c r="P51" s="333">
        <f>'Prod &amp; Defects - Qty'!Q$6*'Falhas UM-3-1 Qty'!$D51/1000000</f>
        <v>2265.1819599016444</v>
      </c>
      <c r="Q51" s="144">
        <f t="shared" si="2"/>
        <v>13697.311700546879</v>
      </c>
      <c r="R51" s="144">
        <f>Q51/SUM('Prod &amp; Defects - Qty'!$F$6:$K$6)*1000000</f>
        <v>674.46311558287073</v>
      </c>
      <c r="S51" s="144">
        <f t="shared" si="3"/>
        <v>13357.033081683519</v>
      </c>
      <c r="T51" s="144">
        <f>S51/SUM('Prod &amp; Defects - Qty'!$L$6:$Q$6)*1000000</f>
        <v>674.46311558287073</v>
      </c>
      <c r="U51" s="144">
        <f t="shared" si="4"/>
        <v>27054.344782230401</v>
      </c>
      <c r="V51" s="144">
        <f>U51/'Prod &amp; Defects - Qty'!$R$6*1000000</f>
        <v>674.46311558287073</v>
      </c>
      <c r="W51" s="144">
        <f t="shared" si="14"/>
        <v>607.01680402458362</v>
      </c>
      <c r="X51" s="144">
        <f t="shared" si="14"/>
        <v>546.31512362212527</v>
      </c>
      <c r="Y51" s="144">
        <f t="shared" si="5"/>
        <v>576.66596382335445</v>
      </c>
      <c r="Z51" s="144">
        <f>Y51*1</f>
        <v>576.66596382335445</v>
      </c>
    </row>
    <row r="52" spans="1:26" ht="18" customHeight="1">
      <c r="A52" s="1032"/>
      <c r="B52" s="96">
        <f>B51+10</f>
        <v>3350</v>
      </c>
      <c r="C52" s="99" t="s">
        <v>60</v>
      </c>
      <c r="D52" s="330">
        <f>'[3]Falhas UM-3-1 Qty'!Z52</f>
        <v>108.97408454791378</v>
      </c>
      <c r="E52" s="339">
        <f>'Prod &amp; Defects - Qty'!F$6*'Falhas UM-3-1 Qty'!$D52/1000000</f>
        <v>353.51729040227167</v>
      </c>
      <c r="F52" s="339">
        <f>'Prod &amp; Defects - Qty'!G$6*'Falhas UM-3-1 Qty'!$D52/1000000</f>
        <v>369.97927163631022</v>
      </c>
      <c r="G52" s="339">
        <f>'Prod &amp; Defects - Qty'!H$6*'Falhas UM-3-1 Qty'!$D52/1000000</f>
        <v>356.06233140134719</v>
      </c>
      <c r="H52" s="339">
        <f>'Prod &amp; Defects - Qty'!I$6*'Falhas UM-3-1 Qty'!$D52/1000000</f>
        <v>358.36429264825227</v>
      </c>
      <c r="I52" s="339">
        <f>'Prod &amp; Defects - Qty'!J$6*'Falhas UM-3-1 Qty'!$D52/1000000</f>
        <v>362.74219622923709</v>
      </c>
      <c r="J52" s="339">
        <f>'Prod &amp; Defects - Qty'!K$6*'Falhas UM-3-1 Qty'!$D52/1000000</f>
        <v>412.43118122790645</v>
      </c>
      <c r="K52" s="339">
        <f>'Prod &amp; Defects - Qty'!L$6*'Falhas UM-3-1 Qty'!$D52/1000000</f>
        <v>407.35822377952081</v>
      </c>
      <c r="L52" s="339">
        <f>'Prod &amp; Defects - Qty'!M$6*'Falhas UM-3-1 Qty'!$D52/1000000</f>
        <v>407.57189515190151</v>
      </c>
      <c r="M52" s="339">
        <f>'Prod &amp; Defects - Qty'!N$6*'Falhas UM-3-1 Qty'!$D52/1000000</f>
        <v>387.79288871901298</v>
      </c>
      <c r="N52" s="339">
        <f>'Prod &amp; Defects - Qty'!O$6*'Falhas UM-3-1 Qty'!$D52/1000000</f>
        <v>300.74471388692666</v>
      </c>
      <c r="O52" s="339">
        <f>'Prod &amp; Defects - Qty'!P$6*'Falhas UM-3-1 Qty'!$D52/1000000</f>
        <v>288.66040824680181</v>
      </c>
      <c r="P52" s="339">
        <f>'Prod &amp; Defects - Qty'!Q$6*'Falhas UM-3-1 Qty'!$D52/1000000</f>
        <v>365.98907295531876</v>
      </c>
      <c r="Q52" s="791">
        <f t="shared" si="2"/>
        <v>2213.0965635453249</v>
      </c>
      <c r="R52" s="791">
        <f>Q52/SUM('Prod &amp; Defects - Qty'!$F$6:$K$6)*1000000</f>
        <v>108.97408454791379</v>
      </c>
      <c r="S52" s="791">
        <f t="shared" si="3"/>
        <v>2158.1172027394828</v>
      </c>
      <c r="T52" s="791">
        <f>S52/SUM('Prod &amp; Defects - Qty'!$L$6:$Q$6)*1000000</f>
        <v>108.97408454791379</v>
      </c>
      <c r="U52" s="791">
        <f t="shared" si="4"/>
        <v>4371.2137662848072</v>
      </c>
      <c r="V52" s="791">
        <f>U52/'Prod &amp; Defects - Qty'!$R$6*1000000</f>
        <v>108.97408454791378</v>
      </c>
      <c r="W52" s="791">
        <f t="shared" si="14"/>
        <v>98.076676093122401</v>
      </c>
      <c r="X52" s="791">
        <f t="shared" si="14"/>
        <v>88.269008483810168</v>
      </c>
      <c r="Y52" s="791">
        <f t="shared" si="5"/>
        <v>93.172842288466285</v>
      </c>
      <c r="Z52" s="791">
        <f>Y52*1</f>
        <v>93.172842288466285</v>
      </c>
    </row>
    <row r="53" spans="1:26" ht="18" customHeight="1">
      <c r="A53" s="1032"/>
      <c r="B53" s="100">
        <f>B52+10</f>
        <v>3360</v>
      </c>
      <c r="C53" s="79" t="s">
        <v>67</v>
      </c>
      <c r="D53" s="322">
        <f>'[3]Falhas UM-3-1 Qty'!Z53</f>
        <v>0</v>
      </c>
      <c r="E53" s="332">
        <f>'Prod &amp; Defects - Qty'!F$6*'Falhas UM-3-1 Qty'!$D53/1000000</f>
        <v>0</v>
      </c>
      <c r="F53" s="332">
        <f>'Prod &amp; Defects - Qty'!G$6*'Falhas UM-3-1 Qty'!$D53/1000000</f>
        <v>0</v>
      </c>
      <c r="G53" s="332">
        <f>'Prod &amp; Defects - Qty'!H$6*'Falhas UM-3-1 Qty'!$D53/1000000</f>
        <v>0</v>
      </c>
      <c r="H53" s="332">
        <f>'Prod &amp; Defects - Qty'!I$6*'Falhas UM-3-1 Qty'!$D53/1000000</f>
        <v>0</v>
      </c>
      <c r="I53" s="332">
        <f>'Prod &amp; Defects - Qty'!J$6*'Falhas UM-3-1 Qty'!$D53/1000000</f>
        <v>0</v>
      </c>
      <c r="J53" s="332">
        <f>'Prod &amp; Defects - Qty'!K$6*'Falhas UM-3-1 Qty'!$D53/1000000</f>
        <v>0</v>
      </c>
      <c r="K53" s="332">
        <f>'Prod &amp; Defects - Qty'!L$6*'Falhas UM-3-1 Qty'!$D53/1000000</f>
        <v>0</v>
      </c>
      <c r="L53" s="332">
        <f>'Prod &amp; Defects - Qty'!M$6*'Falhas UM-3-1 Qty'!$D53/1000000</f>
        <v>0</v>
      </c>
      <c r="M53" s="332">
        <f>'Prod &amp; Defects - Qty'!N$6*'Falhas UM-3-1 Qty'!$D53/1000000</f>
        <v>0</v>
      </c>
      <c r="N53" s="332">
        <f>'Prod &amp; Defects - Qty'!O$6*'Falhas UM-3-1 Qty'!$D53/1000000</f>
        <v>0</v>
      </c>
      <c r="O53" s="332">
        <f>'Prod &amp; Defects - Qty'!P$6*'Falhas UM-3-1 Qty'!$D53/1000000</f>
        <v>0</v>
      </c>
      <c r="P53" s="332">
        <f>'Prod &amp; Defects - Qty'!Q$6*'Falhas UM-3-1 Qty'!$D53/1000000</f>
        <v>0</v>
      </c>
      <c r="Q53" s="786">
        <f t="shared" si="2"/>
        <v>0</v>
      </c>
      <c r="R53" s="786">
        <f>Q53/SUM('Prod &amp; Defects - Qty'!$F$6:$K$6)*1000000</f>
        <v>0</v>
      </c>
      <c r="S53" s="786">
        <f t="shared" si="3"/>
        <v>0</v>
      </c>
      <c r="T53" s="786">
        <f>S53/SUM('Prod &amp; Defects - Qty'!$L$6:$Q$6)*1000000</f>
        <v>0</v>
      </c>
      <c r="U53" s="786">
        <f t="shared" si="4"/>
        <v>0</v>
      </c>
      <c r="V53" s="786">
        <f>U53/'Prod &amp; Defects - Qty'!$R$6*1000000</f>
        <v>0</v>
      </c>
      <c r="W53" s="786">
        <f t="shared" si="14"/>
        <v>0</v>
      </c>
      <c r="X53" s="786">
        <f t="shared" si="14"/>
        <v>0</v>
      </c>
      <c r="Y53" s="786">
        <f t="shared" si="5"/>
        <v>0</v>
      </c>
      <c r="Z53" s="786">
        <f>Y53*1</f>
        <v>0</v>
      </c>
    </row>
    <row r="54" spans="1:26" ht="18" customHeight="1">
      <c r="A54" s="1032"/>
      <c r="B54" s="101">
        <f>B53+10</f>
        <v>3370</v>
      </c>
      <c r="C54" s="90" t="s">
        <v>66</v>
      </c>
      <c r="D54" s="327">
        <f>'[3]Falhas UM-3-1 Qty'!Z54</f>
        <v>14613.144004564827</v>
      </c>
      <c r="E54" s="337">
        <f>'Prod &amp; Defects - Qty'!F$6*'Falhas UM-3-1 Qty'!$D54/1000000</f>
        <v>47405.757930277177</v>
      </c>
      <c r="F54" s="337">
        <f>'Prod &amp; Defects - Qty'!G$6*'Falhas UM-3-1 Qty'!$D54/1000000</f>
        <v>49613.267205270706</v>
      </c>
      <c r="G54" s="337">
        <f>'Prod &amp; Defects - Qty'!H$6*'Falhas UM-3-1 Qty'!$D54/1000000</f>
        <v>47747.04137185232</v>
      </c>
      <c r="H54" s="337">
        <f>'Prod &amp; Defects - Qty'!I$6*'Falhas UM-3-1 Qty'!$D54/1000000</f>
        <v>48055.728444870685</v>
      </c>
      <c r="I54" s="337">
        <f>'Prod &amp; Defects - Qty'!J$6*'Falhas UM-3-1 Qty'!$D54/1000000</f>
        <v>48642.79403695558</v>
      </c>
      <c r="J54" s="337">
        <f>'Prod &amp; Defects - Qty'!K$6*'Falhas UM-3-1 Qty'!$D54/1000000</f>
        <v>55305.958919124969</v>
      </c>
      <c r="K54" s="337">
        <f>'Prod &amp; Defects - Qty'!L$6*'Falhas UM-3-1 Qty'!$D54/1000000</f>
        <v>54625.688393982869</v>
      </c>
      <c r="L54" s="337">
        <f>'Prod &amp; Defects - Qty'!M$6*'Falhas UM-3-1 Qty'!$D54/1000000</f>
        <v>54654.341174570167</v>
      </c>
      <c r="M54" s="337">
        <f>'Prod &amp; Defects - Qty'!N$6*'Falhas UM-3-1 Qty'!$D54/1000000</f>
        <v>52002.02736555686</v>
      </c>
      <c r="N54" s="337">
        <f>'Prod &amp; Defects - Qty'!O$6*'Falhas UM-3-1 Qty'!$D54/1000000</f>
        <v>40329.091369508009</v>
      </c>
      <c r="O54" s="337">
        <f>'Prod &amp; Defects - Qty'!P$6*'Falhas UM-3-1 Qty'!$D54/1000000</f>
        <v>38708.617114120476</v>
      </c>
      <c r="P54" s="337">
        <f>'Prod &amp; Defects - Qty'!Q$6*'Falhas UM-3-1 Qty'!$D54/1000000</f>
        <v>49078.191841489919</v>
      </c>
      <c r="Q54" s="789">
        <f t="shared" si="2"/>
        <v>296770.54790835141</v>
      </c>
      <c r="R54" s="789">
        <f>Q54/SUM('Prod &amp; Defects - Qty'!$F$6:$K$6)*1000000</f>
        <v>14613.144004564825</v>
      </c>
      <c r="S54" s="789">
        <f t="shared" si="3"/>
        <v>289397.95725922828</v>
      </c>
      <c r="T54" s="789">
        <f>S54/SUM('Prod &amp; Defects - Qty'!$L$6:$Q$6)*1000000</f>
        <v>14613.144004564823</v>
      </c>
      <c r="U54" s="789">
        <f t="shared" si="4"/>
        <v>586168.50516757974</v>
      </c>
      <c r="V54" s="789">
        <f>U54/'Prod &amp; Defects - Qty'!$R$6*1000000</f>
        <v>14613.144004564827</v>
      </c>
      <c r="W54" s="789">
        <f t="shared" si="14"/>
        <v>13151.829604108345</v>
      </c>
      <c r="X54" s="789">
        <f t="shared" si="14"/>
        <v>11836.646643697512</v>
      </c>
      <c r="Y54" s="789">
        <f t="shared" si="5"/>
        <v>12494.238123902927</v>
      </c>
      <c r="Z54" s="789">
        <f>Y54*1</f>
        <v>12494.238123902927</v>
      </c>
    </row>
    <row r="55" spans="1:26" ht="18" customHeight="1" thickBot="1">
      <c r="A55" s="1033"/>
      <c r="B55" s="102"/>
      <c r="C55" s="103" t="s">
        <v>1</v>
      </c>
      <c r="D55" s="328">
        <f>'[3]Falhas UM-3-1 Qty'!Z55</f>
        <v>783.4372001307845</v>
      </c>
      <c r="E55" s="340">
        <f>SUBTOTAL(109,E51:E52)</f>
        <v>2541.5088122975135</v>
      </c>
      <c r="F55" s="340">
        <f t="shared" ref="F55:P55" si="16">SUBTOTAL(109,F51:F52)</f>
        <v>2659.8573952666152</v>
      </c>
      <c r="G55" s="340">
        <f t="shared" si="16"/>
        <v>2559.805637664806</v>
      </c>
      <c r="H55" s="340">
        <f t="shared" si="16"/>
        <v>2576.3549124907113</v>
      </c>
      <c r="I55" s="340">
        <f t="shared" si="16"/>
        <v>2607.8285654987458</v>
      </c>
      <c r="J55" s="340">
        <f t="shared" si="16"/>
        <v>2965.0529408738116</v>
      </c>
      <c r="K55" s="340">
        <f t="shared" si="16"/>
        <v>2928.5824020642067</v>
      </c>
      <c r="L55" s="340">
        <f t="shared" si="16"/>
        <v>2930.118529689601</v>
      </c>
      <c r="M55" s="340">
        <f t="shared" si="16"/>
        <v>2787.9231675038518</v>
      </c>
      <c r="N55" s="340">
        <f t="shared" si="16"/>
        <v>2162.1158606577924</v>
      </c>
      <c r="O55" s="340">
        <f t="shared" si="16"/>
        <v>2075.2392916505851</v>
      </c>
      <c r="P55" s="340">
        <f t="shared" si="16"/>
        <v>2631.1710328569634</v>
      </c>
      <c r="Q55" s="792">
        <f t="shared" si="2"/>
        <v>15910.408264092202</v>
      </c>
      <c r="R55" s="792">
        <f>Q55/SUM('Prod &amp; Defects - Qty'!$F$6:$K$6)*1000000</f>
        <v>783.43720013078439</v>
      </c>
      <c r="S55" s="792">
        <f t="shared" si="3"/>
        <v>15515.150284423002</v>
      </c>
      <c r="T55" s="792">
        <f>S55/SUM('Prod &amp; Defects - Qty'!$L$6:$Q$6)*1000000</f>
        <v>783.4372001307845</v>
      </c>
      <c r="U55" s="792">
        <f t="shared" si="4"/>
        <v>31425.558548515204</v>
      </c>
      <c r="V55" s="792">
        <f>U55/'Prod &amp; Defects - Qty'!$R$6*1000000</f>
        <v>783.4372001307845</v>
      </c>
      <c r="W55" s="792">
        <f t="shared" si="14"/>
        <v>705.09348011770612</v>
      </c>
      <c r="X55" s="792">
        <f t="shared" si="14"/>
        <v>634.58413210593551</v>
      </c>
      <c r="Y55" s="792">
        <f t="shared" si="5"/>
        <v>669.83880611182076</v>
      </c>
      <c r="Z55" s="792">
        <f>SUM(Z51:Z52)</f>
        <v>669.83880611182076</v>
      </c>
    </row>
    <row r="56" spans="1:26" ht="20.100000000000001" customHeight="1" thickTop="1">
      <c r="A56" s="104"/>
      <c r="B56" s="81"/>
      <c r="C56" s="82"/>
      <c r="D56" s="323">
        <f>'[3]Falhas UM-3-1 Qty'!Z56</f>
        <v>0</v>
      </c>
      <c r="E56" s="333">
        <f>'Prod &amp; Defects - Qty'!F$6*'Falhas UM-3-1 Qty'!$D56/1000000</f>
        <v>0</v>
      </c>
      <c r="F56" s="333"/>
      <c r="G56" s="333"/>
      <c r="H56" s="333"/>
      <c r="I56" s="333"/>
      <c r="J56" s="333"/>
      <c r="K56" s="333"/>
      <c r="L56" s="333"/>
      <c r="M56" s="333"/>
      <c r="N56" s="333"/>
      <c r="O56" s="333"/>
      <c r="P56" s="333"/>
      <c r="Q56" s="144">
        <f t="shared" si="2"/>
        <v>0</v>
      </c>
      <c r="R56" s="144">
        <f>Q56/SUM('Prod &amp; Defects - Qty'!$F$6:$K$6)*1000000</f>
        <v>0</v>
      </c>
      <c r="S56" s="144">
        <f t="shared" si="3"/>
        <v>0</v>
      </c>
      <c r="T56" s="144">
        <f>S56/SUM('Prod &amp; Defects - Qty'!$L$6:$Q$6)*1000000</f>
        <v>0</v>
      </c>
      <c r="U56" s="144">
        <f t="shared" si="4"/>
        <v>0</v>
      </c>
      <c r="V56" s="144">
        <f>U56/'Prod &amp; Defects - Qty'!$R$6*1000000</f>
        <v>0</v>
      </c>
      <c r="W56" s="144">
        <f t="shared" si="14"/>
        <v>0</v>
      </c>
      <c r="X56" s="144">
        <f t="shared" si="14"/>
        <v>0</v>
      </c>
      <c r="Y56" s="144">
        <f t="shared" si="5"/>
        <v>0</v>
      </c>
      <c r="Z56" s="144">
        <f>Y56*1</f>
        <v>0</v>
      </c>
    </row>
    <row r="57" spans="1:26" ht="20.100000000000001" customHeight="1" thickBot="1">
      <c r="A57" s="105"/>
      <c r="B57" s="106"/>
      <c r="C57" s="107" t="s">
        <v>59</v>
      </c>
      <c r="D57" s="331">
        <f>'[3]Falhas UM-3-1 Qty'!Z57</f>
        <v>3602.0416530124694</v>
      </c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  <c r="P57" s="341"/>
      <c r="Q57" s="793">
        <f t="shared" si="2"/>
        <v>0</v>
      </c>
      <c r="R57" s="793">
        <f>Q57/SUM('Prod &amp; Defects - Qty'!$F$6:$K$6)*1000000</f>
        <v>0</v>
      </c>
      <c r="S57" s="793">
        <f t="shared" si="3"/>
        <v>0</v>
      </c>
      <c r="T57" s="793">
        <f>S57/SUM('Prod &amp; Defects - Qty'!$L$6:$Q$6)*1000000</f>
        <v>0</v>
      </c>
      <c r="U57" s="793">
        <f t="shared" si="4"/>
        <v>0</v>
      </c>
      <c r="V57" s="793">
        <f>U57/'Prod &amp; Defects - Qty'!$R$6*1000000</f>
        <v>0</v>
      </c>
      <c r="W57" s="793">
        <f t="shared" si="14"/>
        <v>0</v>
      </c>
      <c r="X57" s="793">
        <f t="shared" si="14"/>
        <v>0</v>
      </c>
      <c r="Y57" s="793">
        <f t="shared" si="5"/>
        <v>0</v>
      </c>
      <c r="Z57" s="793">
        <f>Y57*1</f>
        <v>0</v>
      </c>
    </row>
    <row r="58" spans="1:26">
      <c r="C58" s="109"/>
      <c r="D58" s="109"/>
      <c r="E58" s="109"/>
    </row>
    <row r="59" spans="1:26">
      <c r="C59" s="109" t="s">
        <v>286</v>
      </c>
      <c r="D59" s="109"/>
      <c r="E59" s="261">
        <f>'[15]UM-3 - L1 - Noite'!$AT$109</f>
        <v>4303.0608695652172</v>
      </c>
      <c r="F59" s="261">
        <f>'[16]UM-3 - L1 - Noite'!$AT$109</f>
        <v>1196.09375</v>
      </c>
      <c r="G59" s="261">
        <f>'[17]UM-3 - L1 - Noite'!$AT$109</f>
        <v>1021.5749999999999</v>
      </c>
      <c r="H59" s="261">
        <f>'[18]UM-3 - L1 - Noite'!$AT$109</f>
        <v>2121.6</v>
      </c>
      <c r="I59" s="261">
        <f>'[19]UM-3 - L1 - Noite'!$AT$109</f>
        <v>4196.4285714285716</v>
      </c>
      <c r="J59" s="261">
        <f>'[20]UM-3 - L1 - Noite'!$AT$109</f>
        <v>1929.8500000000001</v>
      </c>
      <c r="K59" s="261">
        <f>'[21]UM-3 - L1 - Noite'!$AT$109</f>
        <v>224</v>
      </c>
      <c r="L59" s="261">
        <f>'[22]UM-3 - L1 - Noite'!$AT$109</f>
        <v>1759.5454545454545</v>
      </c>
      <c r="M59" s="261">
        <f>'[23]UM-3 - L1 - Noite'!$AT$109</f>
        <v>2663.73</v>
      </c>
      <c r="N59" s="261">
        <f>'[23]UM-3 - L1 - Noite'!$AT$109</f>
        <v>2663.73</v>
      </c>
      <c r="O59" s="261">
        <f>'[23]UM-3 - L1 - Noite'!$AT$109</f>
        <v>2663.73</v>
      </c>
      <c r="P59" s="261">
        <f>'[23]UM-3 - L1 - Noite'!$AT$109</f>
        <v>2663.73</v>
      </c>
    </row>
    <row r="60" spans="1:26">
      <c r="C60" s="109" t="s">
        <v>287</v>
      </c>
      <c r="D60" s="109"/>
      <c r="E60" s="261">
        <f>'[15]UM-3 - L1 - Noite'!$AT$110</f>
        <v>312.1391304347826</v>
      </c>
      <c r="F60" s="261">
        <f>'[16]UM-3 - L1 - Noite'!$AT$110</f>
        <v>76.55</v>
      </c>
      <c r="G60" s="261">
        <f>'[17]UM-3 - L1 - Noite'!$AT$110</f>
        <v>212.02500000000001</v>
      </c>
      <c r="H60" s="261">
        <f>'[18]UM-3 - L1 - Noite'!$AT$110</f>
        <v>209.36842105263156</v>
      </c>
      <c r="I60" s="261">
        <f>'[19]UM-3 - L1 - Noite'!$AT$110</f>
        <v>643.45238095238096</v>
      </c>
      <c r="J60" s="261">
        <f>'[20]UM-3 - L1 - Noite'!$AT$110</f>
        <v>197.93333333333334</v>
      </c>
      <c r="K60" s="261">
        <f>'[21]UM-3 - L1 - Noite'!$AT$110</f>
        <v>10.666666666666666</v>
      </c>
      <c r="L60" s="261">
        <f>'[22]UM-3 - L1 - Noite'!$AT$110</f>
        <v>465.02272727272725</v>
      </c>
      <c r="M60" s="261">
        <f>'[23]UM-3 - L1 - Noite'!$AT$110</f>
        <v>313.38</v>
      </c>
      <c r="N60" s="261">
        <f>'[23]UM-3 - L1 - Noite'!$AT$110</f>
        <v>313.38</v>
      </c>
      <c r="O60" s="261">
        <f>'[23]UM-3 - L1 - Noite'!$AT$110</f>
        <v>313.38</v>
      </c>
      <c r="P60" s="261">
        <f>'[23]UM-3 - L1 - Noite'!$AT$110</f>
        <v>313.38</v>
      </c>
    </row>
    <row r="61" spans="1:26" ht="13.5" thickBot="1">
      <c r="C61" s="75" t="s">
        <v>289</v>
      </c>
      <c r="E61" s="232">
        <f>'Prod &amp; Defects - Qty'!F6</f>
        <v>3244049.1871885103</v>
      </c>
      <c r="F61" s="232">
        <f>'Prod &amp; Defects - Qty'!G6</f>
        <v>3395112.4542242661</v>
      </c>
      <c r="G61" s="232">
        <f>'Prod &amp; Defects - Qty'!H6</f>
        <v>3267403.7398753604</v>
      </c>
      <c r="H61" s="232">
        <f>'Prod &amp; Defects - Qty'!I6</f>
        <v>3288527.6727485284</v>
      </c>
      <c r="I61" s="232">
        <f>'Prod &amp; Defects - Qty'!J6</f>
        <v>3328701.4773658998</v>
      </c>
      <c r="J61" s="232">
        <f>'Prod &amp; Defects - Qty'!K6</f>
        <v>3784672.1350209508</v>
      </c>
      <c r="K61" s="232">
        <f>'Prod &amp; Defects - Qty'!L6</f>
        <v>3738120.1729702381</v>
      </c>
      <c r="L61" s="232">
        <f>'Prod &amp; Defects - Qty'!M6</f>
        <v>3740080.9269721387</v>
      </c>
      <c r="M61" s="232">
        <f>'Prod &amp; Defects - Qty'!N6</f>
        <v>3558578.9991060491</v>
      </c>
      <c r="N61" s="232">
        <f>'Prod &amp; Defects - Qty'!O6</f>
        <v>2759781.9714162871</v>
      </c>
      <c r="O61" s="232">
        <f>'Prod &amp; Defects - Qty'!P6</f>
        <v>2648890.4168759817</v>
      </c>
      <c r="P61" s="232">
        <f>'Prod &amp; Defects - Qty'!Q6</f>
        <v>3358496.421178014</v>
      </c>
    </row>
    <row r="62" spans="1:26">
      <c r="A62" s="1010" t="s">
        <v>254</v>
      </c>
      <c r="B62" s="1011"/>
      <c r="C62" s="1011"/>
      <c r="D62" s="611" t="s">
        <v>65</v>
      </c>
      <c r="E62" s="627"/>
      <c r="F62" s="627"/>
      <c r="G62" s="627"/>
      <c r="H62" s="627"/>
      <c r="I62" s="627"/>
      <c r="J62" s="627"/>
      <c r="K62" s="627"/>
      <c r="L62" s="627"/>
      <c r="M62" s="627"/>
      <c r="N62" s="627"/>
      <c r="O62" s="627"/>
      <c r="P62" s="627"/>
      <c r="Q62" s="627"/>
      <c r="R62" s="627"/>
      <c r="S62" s="627"/>
      <c r="T62" s="627"/>
      <c r="U62" s="627"/>
      <c r="V62" s="627"/>
      <c r="W62" s="627"/>
      <c r="X62" s="627"/>
      <c r="Y62" s="627"/>
      <c r="Z62" s="627"/>
    </row>
    <row r="63" spans="1:26">
      <c r="A63" s="1012"/>
      <c r="B63" s="1013"/>
      <c r="C63" s="1013"/>
      <c r="D63" s="231" t="s">
        <v>64</v>
      </c>
      <c r="E63" s="628">
        <f t="shared" ref="E63:J63" si="17">E19+E37</f>
        <v>22608.323967043318</v>
      </c>
      <c r="F63" s="628">
        <f t="shared" si="17"/>
        <v>23661.109262085112</v>
      </c>
      <c r="G63" s="628">
        <f t="shared" si="17"/>
        <v>22771.085769587778</v>
      </c>
      <c r="H63" s="628">
        <f t="shared" si="17"/>
        <v>22918.30200778192</v>
      </c>
      <c r="I63" s="628">
        <f t="shared" si="17"/>
        <v>23198.280003604294</v>
      </c>
      <c r="J63" s="628">
        <f t="shared" si="17"/>
        <v>26376.016145350459</v>
      </c>
      <c r="K63" s="628">
        <f t="shared" ref="K63" si="18">K19+K37</f>
        <v>26051.587698488296</v>
      </c>
      <c r="L63" s="628">
        <f t="shared" ref="L63:M63" si="19">L19+L37</f>
        <v>26065.252522643772</v>
      </c>
      <c r="M63" s="628">
        <f t="shared" si="19"/>
        <v>24800.335084879585</v>
      </c>
      <c r="N63" s="628">
        <f t="shared" ref="N63:P63" si="20">N19+N37</f>
        <v>19233.384356375733</v>
      </c>
      <c r="O63" s="628">
        <f t="shared" si="20"/>
        <v>18460.562476807052</v>
      </c>
      <c r="P63" s="628">
        <f t="shared" si="20"/>
        <v>23405.925974246289</v>
      </c>
      <c r="Q63" s="628"/>
      <c r="R63" s="628"/>
      <c r="S63" s="628"/>
      <c r="T63" s="628"/>
      <c r="U63" s="628"/>
      <c r="V63" s="628"/>
      <c r="W63" s="628"/>
      <c r="X63" s="628"/>
      <c r="Y63" s="628"/>
      <c r="Z63" s="628"/>
    </row>
    <row r="64" spans="1:26">
      <c r="A64" s="1012"/>
      <c r="B64" s="1013"/>
      <c r="C64" s="1013"/>
      <c r="D64" s="231" t="s">
        <v>63</v>
      </c>
      <c r="E64" s="628">
        <f t="shared" ref="E64:J64" si="21">E50+E51</f>
        <v>3821.5718296396317</v>
      </c>
      <c r="F64" s="628">
        <f t="shared" si="21"/>
        <v>3999.5281713859467</v>
      </c>
      <c r="G64" s="628">
        <f t="shared" si="21"/>
        <v>3849.0840822264208</v>
      </c>
      <c r="H64" s="628">
        <f t="shared" si="21"/>
        <v>3873.9686083668093</v>
      </c>
      <c r="I64" s="628">
        <f t="shared" si="21"/>
        <v>3921.2943642836763</v>
      </c>
      <c r="J64" s="628">
        <f t="shared" si="21"/>
        <v>4458.4393087310127</v>
      </c>
      <c r="K64" s="628">
        <f t="shared" ref="K64:L64" si="22">K50+K51</f>
        <v>4403.5999223585641</v>
      </c>
      <c r="L64" s="628">
        <f t="shared" si="22"/>
        <v>4405.9097400666651</v>
      </c>
      <c r="M64" s="628">
        <f t="shared" ref="M64:P64" si="23">M50+M51</f>
        <v>4192.0958875216402</v>
      </c>
      <c r="N64" s="628">
        <f t="shared" si="23"/>
        <v>3251.0928254612018</v>
      </c>
      <c r="O64" s="628">
        <f t="shared" si="23"/>
        <v>3120.4597750593207</v>
      </c>
      <c r="P64" s="628">
        <f t="shared" si="23"/>
        <v>3956.3935601860517</v>
      </c>
      <c r="Q64" s="628"/>
      <c r="R64" s="628"/>
      <c r="S64" s="628"/>
      <c r="T64" s="628"/>
      <c r="U64" s="628"/>
      <c r="V64" s="628"/>
      <c r="W64" s="628"/>
      <c r="X64" s="628"/>
      <c r="Y64" s="628"/>
      <c r="Z64" s="628"/>
    </row>
    <row r="65" spans="1:26">
      <c r="A65" s="1012"/>
      <c r="B65" s="1013"/>
      <c r="C65" s="1013"/>
      <c r="D65" s="231" t="s">
        <v>256</v>
      </c>
      <c r="E65" s="628">
        <f t="shared" ref="E65:J65" si="24">SUM(E62:E64)</f>
        <v>26429.895796682948</v>
      </c>
      <c r="F65" s="628">
        <f t="shared" si="24"/>
        <v>27660.63743347106</v>
      </c>
      <c r="G65" s="628">
        <f t="shared" si="24"/>
        <v>26620.1698518142</v>
      </c>
      <c r="H65" s="628">
        <f t="shared" si="24"/>
        <v>26792.270616148729</v>
      </c>
      <c r="I65" s="628">
        <f t="shared" si="24"/>
        <v>27119.57436788797</v>
      </c>
      <c r="J65" s="628">
        <f t="shared" si="24"/>
        <v>30834.455454081472</v>
      </c>
      <c r="K65" s="628">
        <f t="shared" ref="K65" si="25">SUM(K62:K64)</f>
        <v>30455.18762084686</v>
      </c>
      <c r="L65" s="628">
        <f t="shared" ref="L65:M65" si="26">SUM(L62:L64)</f>
        <v>30471.162262710437</v>
      </c>
      <c r="M65" s="628">
        <f t="shared" si="26"/>
        <v>28992.430972401227</v>
      </c>
      <c r="N65" s="628">
        <f t="shared" ref="N65:P65" si="27">SUM(N62:N64)</f>
        <v>22484.477181836934</v>
      </c>
      <c r="O65" s="628">
        <f t="shared" si="27"/>
        <v>21581.022251866372</v>
      </c>
      <c r="P65" s="628">
        <f t="shared" si="27"/>
        <v>27362.319534432339</v>
      </c>
      <c r="Q65" s="628"/>
      <c r="R65" s="628"/>
      <c r="S65" s="628"/>
      <c r="T65" s="628"/>
      <c r="U65" s="628"/>
      <c r="V65" s="628"/>
      <c r="W65" s="628"/>
      <c r="X65" s="628"/>
      <c r="Y65" s="628"/>
      <c r="Z65" s="628"/>
    </row>
    <row r="66" spans="1:26" ht="13.5" thickBot="1">
      <c r="A66" s="1014"/>
      <c r="B66" s="1015"/>
      <c r="C66" s="1015"/>
      <c r="D66" s="612" t="s">
        <v>257</v>
      </c>
      <c r="E66" s="629">
        <f>E65/'Prod &amp; Defects - Qty'!F6*1000000</f>
        <v>8147.1932981351301</v>
      </c>
      <c r="F66" s="629">
        <f>F65/'Prod &amp; Defects - Qty'!G6*1000000</f>
        <v>8147.193298135132</v>
      </c>
      <c r="G66" s="629">
        <f>G65/'Prod &amp; Defects - Qty'!H6*1000000</f>
        <v>8147.193298135132</v>
      </c>
      <c r="H66" s="629">
        <f>H65/'Prod &amp; Defects - Qty'!I6*1000000</f>
        <v>8147.193298135132</v>
      </c>
      <c r="I66" s="629">
        <f>I65/'Prod &amp; Defects - Qty'!J6*1000000</f>
        <v>8147.193298135132</v>
      </c>
      <c r="J66" s="629">
        <f>J65/'Prod &amp; Defects - Qty'!K6*1000000</f>
        <v>8147.193298135132</v>
      </c>
      <c r="K66" s="629">
        <f>K65/'Prod &amp; Defects - Qty'!L6*1000000</f>
        <v>8147.193298135132</v>
      </c>
      <c r="L66" s="629">
        <f>L65/'Prod &amp; Defects - Qty'!M6*1000000</f>
        <v>8147.193298135132</v>
      </c>
      <c r="M66" s="629">
        <f>M65/'Prod &amp; Defects - Qty'!N6*1000000</f>
        <v>8147.193298135132</v>
      </c>
      <c r="N66" s="629">
        <f>N65/'Prod &amp; Defects - Qty'!O6*1000000</f>
        <v>8147.193298135132</v>
      </c>
      <c r="O66" s="629">
        <f>O65/'Prod &amp; Defects - Qty'!P6*1000000</f>
        <v>8147.193298135132</v>
      </c>
      <c r="P66" s="629">
        <f>P65/'Prod &amp; Defects - Qty'!Q6*1000000</f>
        <v>8147.193298135132</v>
      </c>
      <c r="Q66" s="629"/>
      <c r="R66" s="629"/>
      <c r="S66" s="629"/>
      <c r="T66" s="629"/>
      <c r="U66" s="629"/>
      <c r="V66" s="629"/>
      <c r="W66" s="629"/>
      <c r="X66" s="629"/>
      <c r="Y66" s="629"/>
      <c r="Z66" s="629"/>
    </row>
    <row r="67" spans="1:26">
      <c r="A67" s="1010" t="s">
        <v>258</v>
      </c>
      <c r="B67" s="1011"/>
      <c r="C67" s="1011"/>
      <c r="D67" s="611" t="s">
        <v>64</v>
      </c>
      <c r="E67" s="627">
        <f t="shared" ref="E67:J67" si="28">SUM(E20:E34)</f>
        <v>1436.3263360031849</v>
      </c>
      <c r="F67" s="627">
        <f t="shared" si="28"/>
        <v>1503.2106945089147</v>
      </c>
      <c r="G67" s="627">
        <f t="shared" si="28"/>
        <v>1446.6667338066993</v>
      </c>
      <c r="H67" s="627">
        <f t="shared" si="28"/>
        <v>1456.0195084888828</v>
      </c>
      <c r="I67" s="627">
        <f t="shared" si="28"/>
        <v>1473.8067522265112</v>
      </c>
      <c r="J67" s="627">
        <f t="shared" si="28"/>
        <v>1675.6910721748895</v>
      </c>
      <c r="K67" s="627">
        <f t="shared" ref="K67" si="29">SUM(K20:K34)</f>
        <v>1655.0798529152923</v>
      </c>
      <c r="L67" s="627">
        <f t="shared" ref="L67:M67" si="30">SUM(L20:L34)</f>
        <v>1655.9479909886843</v>
      </c>
      <c r="M67" s="627">
        <f t="shared" si="30"/>
        <v>1575.5866943539218</v>
      </c>
      <c r="N67" s="627">
        <f t="shared" ref="N67:P67" si="31">SUM(N20:N34)</f>
        <v>1221.9135094580361</v>
      </c>
      <c r="O67" s="627">
        <f t="shared" si="31"/>
        <v>1172.815468387761</v>
      </c>
      <c r="P67" s="627">
        <f t="shared" si="31"/>
        <v>1486.9986799710357</v>
      </c>
      <c r="Q67" s="627"/>
      <c r="R67" s="627"/>
      <c r="S67" s="627"/>
      <c r="T67" s="627"/>
      <c r="U67" s="627"/>
      <c r="V67" s="627"/>
      <c r="W67" s="627"/>
      <c r="X67" s="627"/>
      <c r="Y67" s="627"/>
      <c r="Z67" s="627"/>
    </row>
    <row r="68" spans="1:26">
      <c r="A68" s="1012"/>
      <c r="B68" s="1013"/>
      <c r="C68" s="1013"/>
      <c r="D68" s="231" t="s">
        <v>63</v>
      </c>
      <c r="E68" s="628">
        <f t="shared" ref="E68:J68" si="32">SUM(E40:E48)</f>
        <v>1309.5417492537449</v>
      </c>
      <c r="F68" s="628">
        <f t="shared" si="32"/>
        <v>1370.5222225903517</v>
      </c>
      <c r="G68" s="628">
        <f t="shared" si="32"/>
        <v>1318.9693997034849</v>
      </c>
      <c r="H68" s="628">
        <f t="shared" si="32"/>
        <v>1327.4966045668061</v>
      </c>
      <c r="I68" s="628">
        <f t="shared" si="32"/>
        <v>1343.7137675434271</v>
      </c>
      <c r="J68" s="628">
        <f t="shared" si="32"/>
        <v>1527.7777499861436</v>
      </c>
      <c r="K68" s="628">
        <f t="shared" ref="K68" si="33">SUM(K40:K48)</f>
        <v>1508.9858839269498</v>
      </c>
      <c r="L68" s="628">
        <f t="shared" ref="L68:M68" si="34">SUM(L40:L48)</f>
        <v>1509.7773914156912</v>
      </c>
      <c r="M68" s="628">
        <f t="shared" si="34"/>
        <v>1436.5095898517211</v>
      </c>
      <c r="N68" s="628">
        <f t="shared" ref="N68:P68" si="35">SUM(N40:N48)</f>
        <v>1114.0551520242479</v>
      </c>
      <c r="O68" s="628">
        <f t="shared" si="35"/>
        <v>1069.2909971268209</v>
      </c>
      <c r="P68" s="628">
        <f t="shared" si="35"/>
        <v>1355.7412432650417</v>
      </c>
      <c r="Q68" s="628"/>
      <c r="R68" s="628"/>
      <c r="S68" s="628"/>
      <c r="T68" s="628"/>
      <c r="U68" s="628"/>
      <c r="V68" s="628"/>
      <c r="W68" s="628"/>
      <c r="X68" s="628"/>
      <c r="Y68" s="628"/>
      <c r="Z68" s="628"/>
    </row>
    <row r="69" spans="1:26">
      <c r="A69" s="1012"/>
      <c r="B69" s="1013"/>
      <c r="C69" s="1013"/>
      <c r="D69" s="231" t="s">
        <v>256</v>
      </c>
      <c r="E69" s="628">
        <f t="shared" ref="E69:J69" si="36">SUM(E67:E68)</f>
        <v>2745.8680852569296</v>
      </c>
      <c r="F69" s="628">
        <f t="shared" si="36"/>
        <v>2873.7329170992662</v>
      </c>
      <c r="G69" s="628">
        <f t="shared" si="36"/>
        <v>2765.6361335101842</v>
      </c>
      <c r="H69" s="628">
        <f t="shared" si="36"/>
        <v>2783.5161130556889</v>
      </c>
      <c r="I69" s="628">
        <f t="shared" si="36"/>
        <v>2817.5205197699383</v>
      </c>
      <c r="J69" s="628">
        <f t="shared" si="36"/>
        <v>3203.4688221610331</v>
      </c>
      <c r="K69" s="628">
        <f t="shared" ref="K69" si="37">SUM(K67:K68)</f>
        <v>3164.0657368422421</v>
      </c>
      <c r="L69" s="628">
        <f t="shared" ref="L69:M69" si="38">SUM(L67:L68)</f>
        <v>3165.7253824043755</v>
      </c>
      <c r="M69" s="628">
        <f t="shared" si="38"/>
        <v>3012.0962842056429</v>
      </c>
      <c r="N69" s="628">
        <f t="shared" ref="N69:P69" si="39">SUM(N67:N68)</f>
        <v>2335.968661482284</v>
      </c>
      <c r="O69" s="628">
        <f t="shared" si="39"/>
        <v>2242.1064655145819</v>
      </c>
      <c r="P69" s="628">
        <f t="shared" si="39"/>
        <v>2842.7399232360776</v>
      </c>
      <c r="Q69" s="628"/>
      <c r="R69" s="628"/>
      <c r="S69" s="628"/>
      <c r="T69" s="628"/>
      <c r="U69" s="628"/>
      <c r="V69" s="628"/>
      <c r="W69" s="628"/>
      <c r="X69" s="628"/>
      <c r="Y69" s="628"/>
      <c r="Z69" s="628"/>
    </row>
    <row r="70" spans="1:26" ht="13.5" thickBot="1">
      <c r="A70" s="1014"/>
      <c r="B70" s="1015"/>
      <c r="C70" s="1015"/>
      <c r="D70" s="612" t="s">
        <v>257</v>
      </c>
      <c r="E70" s="629">
        <f>E69/'Prod &amp; Defects - Qty'!F6*1000000</f>
        <v>846.43232171108525</v>
      </c>
      <c r="F70" s="629">
        <f>F69/'Prod &amp; Defects - Qty'!G6*1000000</f>
        <v>846.43232171108525</v>
      </c>
      <c r="G70" s="629">
        <f>G69/'Prod &amp; Defects - Qty'!H6*1000000</f>
        <v>846.43232171108525</v>
      </c>
      <c r="H70" s="629">
        <f>H69/'Prod &amp; Defects - Qty'!I6*1000000</f>
        <v>846.43232171108525</v>
      </c>
      <c r="I70" s="629">
        <f>I69/'Prod &amp; Defects - Qty'!J6*1000000</f>
        <v>846.43232171108536</v>
      </c>
      <c r="J70" s="629">
        <f>J69/'Prod &amp; Defects - Qty'!K6*1000000</f>
        <v>846.43232171108525</v>
      </c>
      <c r="K70" s="629">
        <f>K69/'Prod &amp; Defects - Qty'!L6*1000000</f>
        <v>846.43232171108525</v>
      </c>
      <c r="L70" s="629">
        <f>L69/'Prod &amp; Defects - Qty'!M6*1000000</f>
        <v>846.43232171108536</v>
      </c>
      <c r="M70" s="629">
        <f>M69/'Prod &amp; Defects - Qty'!N6*1000000</f>
        <v>846.43232171108525</v>
      </c>
      <c r="N70" s="629">
        <f>N69/'Prod &amp; Defects - Qty'!O6*1000000</f>
        <v>846.43232171108536</v>
      </c>
      <c r="O70" s="629">
        <f>O69/'Prod &amp; Defects - Qty'!P6*1000000</f>
        <v>846.43232171108536</v>
      </c>
      <c r="P70" s="629">
        <f>P69/'Prod &amp; Defects - Qty'!Q6*1000000</f>
        <v>846.43232171108536</v>
      </c>
      <c r="Q70" s="629"/>
      <c r="R70" s="629"/>
      <c r="S70" s="629"/>
      <c r="T70" s="629"/>
      <c r="U70" s="629"/>
      <c r="V70" s="629"/>
      <c r="W70" s="629"/>
      <c r="X70" s="629"/>
      <c r="Y70" s="629"/>
      <c r="Z70" s="629"/>
    </row>
    <row r="71" spans="1:26">
      <c r="A71" s="1010" t="s">
        <v>259</v>
      </c>
      <c r="B71" s="1011"/>
      <c r="C71" s="1011"/>
      <c r="D71" s="611" t="s">
        <v>264</v>
      </c>
      <c r="E71" s="627">
        <f>E51/E$61*1000000</f>
        <v>674.46311558287073</v>
      </c>
      <c r="F71" s="627">
        <f t="shared" ref="F71:G71" si="40">F51/F$61*1000000</f>
        <v>674.46311558287073</v>
      </c>
      <c r="G71" s="627">
        <f t="shared" si="40"/>
        <v>674.46311558287061</v>
      </c>
      <c r="H71" s="627">
        <f t="shared" ref="H71:I71" si="41">H51/H$61*1000000</f>
        <v>674.46311558287061</v>
      </c>
      <c r="I71" s="627">
        <f t="shared" si="41"/>
        <v>674.46311558287061</v>
      </c>
      <c r="J71" s="627">
        <f t="shared" ref="J71:K71" si="42">J51/J$61*1000000</f>
        <v>674.46311558287061</v>
      </c>
      <c r="K71" s="627">
        <f t="shared" si="42"/>
        <v>674.46311558287061</v>
      </c>
      <c r="L71" s="627">
        <f t="shared" ref="L71:M71" si="43">L51/L$61*1000000</f>
        <v>674.46311558287061</v>
      </c>
      <c r="M71" s="627">
        <f t="shared" si="43"/>
        <v>674.46311558287061</v>
      </c>
      <c r="N71" s="627">
        <f t="shared" ref="N71:P71" si="44">N51/N$61*1000000</f>
        <v>674.46311558287061</v>
      </c>
      <c r="O71" s="627">
        <f t="shared" si="44"/>
        <v>674.46311558287061</v>
      </c>
      <c r="P71" s="627">
        <f t="shared" si="44"/>
        <v>674.46311558287073</v>
      </c>
      <c r="Q71" s="627"/>
      <c r="R71" s="627"/>
      <c r="S71" s="627"/>
      <c r="T71" s="627"/>
      <c r="U71" s="627"/>
      <c r="V71" s="627"/>
      <c r="W71" s="627"/>
      <c r="X71" s="627"/>
      <c r="Y71" s="627"/>
      <c r="Z71" s="627"/>
    </row>
    <row r="72" spans="1:26">
      <c r="A72" s="1012"/>
      <c r="B72" s="1013"/>
      <c r="C72" s="1013"/>
      <c r="D72" s="231" t="s">
        <v>265</v>
      </c>
      <c r="E72" s="628">
        <f>E52/E$61*1000000</f>
        <v>108.97408454791378</v>
      </c>
      <c r="F72" s="628">
        <f t="shared" ref="F72:G72" si="45">F52/F$61*1000000</f>
        <v>108.97408454791378</v>
      </c>
      <c r="G72" s="628">
        <f t="shared" si="45"/>
        <v>108.97408454791378</v>
      </c>
      <c r="H72" s="628">
        <f t="shared" ref="H72:I72" si="46">H52/H$61*1000000</f>
        <v>108.97408454791379</v>
      </c>
      <c r="I72" s="628">
        <f t="shared" si="46"/>
        <v>108.97408454791379</v>
      </c>
      <c r="J72" s="628">
        <f t="shared" ref="J72:K72" si="47">J52/J$61*1000000</f>
        <v>108.97408454791379</v>
      </c>
      <c r="K72" s="628">
        <f t="shared" si="47"/>
        <v>108.97408454791379</v>
      </c>
      <c r="L72" s="628">
        <f t="shared" ref="L72:M72" si="48">L52/L$61*1000000</f>
        <v>108.97408454791376</v>
      </c>
      <c r="M72" s="628">
        <f t="shared" si="48"/>
        <v>108.97408454791378</v>
      </c>
      <c r="N72" s="628">
        <f t="shared" ref="N72:P72" si="49">N52/N$61*1000000</f>
        <v>108.97408454791379</v>
      </c>
      <c r="O72" s="628">
        <f t="shared" si="49"/>
        <v>108.97408454791378</v>
      </c>
      <c r="P72" s="628">
        <f t="shared" si="49"/>
        <v>108.97408454791379</v>
      </c>
      <c r="Q72" s="628"/>
      <c r="R72" s="628"/>
      <c r="S72" s="628"/>
      <c r="T72" s="628"/>
      <c r="U72" s="628"/>
      <c r="V72" s="628"/>
      <c r="W72" s="628"/>
      <c r="X72" s="628"/>
      <c r="Y72" s="628"/>
      <c r="Z72" s="628"/>
    </row>
    <row r="73" spans="1:26" ht="13.5" thickBot="1">
      <c r="A73" s="1014"/>
      <c r="B73" s="1015"/>
      <c r="C73" s="1015"/>
      <c r="D73" s="612" t="s">
        <v>257</v>
      </c>
      <c r="E73" s="629">
        <f t="shared" ref="E73:J73" si="50">SUM(E71:E72)</f>
        <v>783.4372001307845</v>
      </c>
      <c r="F73" s="629">
        <f t="shared" si="50"/>
        <v>783.4372001307845</v>
      </c>
      <c r="G73" s="629">
        <f t="shared" si="50"/>
        <v>783.43720013078439</v>
      </c>
      <c r="H73" s="629">
        <f t="shared" si="50"/>
        <v>783.43720013078439</v>
      </c>
      <c r="I73" s="629">
        <f t="shared" si="50"/>
        <v>783.43720013078439</v>
      </c>
      <c r="J73" s="629">
        <f t="shared" si="50"/>
        <v>783.43720013078439</v>
      </c>
      <c r="K73" s="629">
        <f t="shared" ref="K73:L73" si="51">SUM(K71:K72)</f>
        <v>783.43720013078439</v>
      </c>
      <c r="L73" s="629">
        <f t="shared" si="51"/>
        <v>783.43720013078439</v>
      </c>
      <c r="M73" s="629">
        <f t="shared" ref="M73:P73" si="52">SUM(M71:M72)</f>
        <v>783.43720013078439</v>
      </c>
      <c r="N73" s="629">
        <f t="shared" si="52"/>
        <v>783.43720013078439</v>
      </c>
      <c r="O73" s="629">
        <f t="shared" si="52"/>
        <v>783.43720013078439</v>
      </c>
      <c r="P73" s="629">
        <f t="shared" si="52"/>
        <v>783.4372001307845</v>
      </c>
      <c r="Q73" s="629"/>
      <c r="R73" s="629"/>
      <c r="S73" s="629"/>
      <c r="T73" s="629"/>
      <c r="U73" s="629"/>
      <c r="V73" s="629"/>
      <c r="W73" s="629"/>
      <c r="X73" s="629"/>
      <c r="Y73" s="629"/>
      <c r="Z73" s="629"/>
    </row>
    <row r="74" spans="1:26">
      <c r="A74" s="1010" t="s">
        <v>285</v>
      </c>
      <c r="B74" s="1011"/>
      <c r="C74" s="1011"/>
      <c r="D74" s="611" t="s">
        <v>264</v>
      </c>
      <c r="E74" s="627">
        <f>E59/E$61*1000000</f>
        <v>1326.4474800687319</v>
      </c>
      <c r="F74" s="627">
        <f t="shared" ref="F74:G74" si="53">F59/F$61*1000000</f>
        <v>352.29871355565751</v>
      </c>
      <c r="G74" s="627">
        <f t="shared" si="53"/>
        <v>312.6564946757909</v>
      </c>
      <c r="H74" s="627">
        <f t="shared" ref="H74:I74" si="54">H59/H$61*1000000</f>
        <v>645.15193762282729</v>
      </c>
      <c r="I74" s="627">
        <f t="shared" si="54"/>
        <v>1260.6803583808692</v>
      </c>
      <c r="J74" s="627">
        <f t="shared" ref="J74:K74" si="55">J59/J$61*1000000</f>
        <v>509.91206930248853</v>
      </c>
      <c r="K74" s="627">
        <f t="shared" si="55"/>
        <v>59.923167162925616</v>
      </c>
      <c r="L74" s="627">
        <f t="shared" ref="L74:M74" si="56">L59/L$61*1000000</f>
        <v>470.45651923097068</v>
      </c>
      <c r="M74" s="627">
        <f t="shared" si="56"/>
        <v>748.53754846222489</v>
      </c>
      <c r="N74" s="627">
        <f t="shared" ref="N74:P74" si="57">N59/N$61*1000000</f>
        <v>965.19581169414096</v>
      </c>
      <c r="O74" s="627">
        <f t="shared" si="57"/>
        <v>1005.6021883840403</v>
      </c>
      <c r="P74" s="627">
        <f t="shared" si="57"/>
        <v>793.13170715414356</v>
      </c>
      <c r="Q74" s="627"/>
      <c r="R74" s="627"/>
      <c r="S74" s="627"/>
      <c r="T74" s="627"/>
      <c r="U74" s="627"/>
      <c r="V74" s="627"/>
      <c r="W74" s="627"/>
      <c r="X74" s="627"/>
      <c r="Y74" s="627"/>
      <c r="Z74" s="627"/>
    </row>
    <row r="75" spans="1:26">
      <c r="A75" s="1012"/>
      <c r="B75" s="1013"/>
      <c r="C75" s="1013"/>
      <c r="D75" s="231" t="s">
        <v>265</v>
      </c>
      <c r="E75" s="628">
        <f>E60/E$61*1000000</f>
        <v>96.218988191514228</v>
      </c>
      <c r="F75" s="628">
        <f t="shared" ref="F75:G75" si="58">F60/F$61*1000000</f>
        <v>22.547117667562077</v>
      </c>
      <c r="G75" s="628">
        <f t="shared" si="58"/>
        <v>64.890970593088682</v>
      </c>
      <c r="H75" s="628">
        <f t="shared" ref="H75:I75" si="59">H60/H$61*1000000</f>
        <v>63.666309633831631</v>
      </c>
      <c r="I75" s="628">
        <f t="shared" si="59"/>
        <v>193.30432161839994</v>
      </c>
      <c r="J75" s="628">
        <f t="shared" ref="J75:K75" si="60">J60/J$61*1000000</f>
        <v>52.298673774614201</v>
      </c>
      <c r="K75" s="628">
        <f t="shared" si="60"/>
        <v>2.8534841506155058</v>
      </c>
      <c r="L75" s="628">
        <f t="shared" ref="L75:M75" si="61">L60/L$61*1000000</f>
        <v>124.33493722532795</v>
      </c>
      <c r="M75" s="628">
        <f t="shared" si="61"/>
        <v>88.063240995555873</v>
      </c>
      <c r="N75" s="628">
        <f t="shared" ref="N75:P75" si="62">N60/N$61*1000000</f>
        <v>113.55244843460483</v>
      </c>
      <c r="O75" s="628">
        <f t="shared" si="62"/>
        <v>118.30613980988709</v>
      </c>
      <c r="P75" s="628">
        <f t="shared" si="62"/>
        <v>93.309612606369825</v>
      </c>
      <c r="Q75" s="628"/>
      <c r="R75" s="628"/>
      <c r="S75" s="628"/>
      <c r="T75" s="628"/>
      <c r="U75" s="628"/>
      <c r="V75" s="628"/>
      <c r="W75" s="628"/>
      <c r="X75" s="628"/>
      <c r="Y75" s="628"/>
      <c r="Z75" s="628"/>
    </row>
    <row r="76" spans="1:26" ht="13.5" thickBot="1">
      <c r="A76" s="1014"/>
      <c r="B76" s="1015"/>
      <c r="C76" s="1015"/>
      <c r="D76" s="612" t="s">
        <v>257</v>
      </c>
      <c r="E76" s="629">
        <f>SUM(E74:E75)</f>
        <v>1422.6664682602461</v>
      </c>
      <c r="F76" s="629">
        <f t="shared" ref="F76:G76" si="63">SUM(F74:F75)</f>
        <v>374.84583122321959</v>
      </c>
      <c r="G76" s="629">
        <f t="shared" si="63"/>
        <v>377.54746526887959</v>
      </c>
      <c r="H76" s="629">
        <f t="shared" ref="H76:I76" si="64">SUM(H74:H75)</f>
        <v>708.81824725665888</v>
      </c>
      <c r="I76" s="629">
        <f t="shared" si="64"/>
        <v>1453.984679999269</v>
      </c>
      <c r="J76" s="629">
        <f t="shared" ref="J76:K76" si="65">SUM(J74:J75)</f>
        <v>562.21074307710273</v>
      </c>
      <c r="K76" s="629">
        <f t="shared" si="65"/>
        <v>62.776651313541123</v>
      </c>
      <c r="L76" s="629">
        <f t="shared" ref="L76:M76" si="66">SUM(L74:L75)</f>
        <v>594.79145645629865</v>
      </c>
      <c r="M76" s="629">
        <f t="shared" si="66"/>
        <v>836.60078945778082</v>
      </c>
      <c r="N76" s="629">
        <f t="shared" ref="N76:P76" si="67">SUM(N74:N75)</f>
        <v>1078.7482601287459</v>
      </c>
      <c r="O76" s="629">
        <f t="shared" si="67"/>
        <v>1123.9083281939274</v>
      </c>
      <c r="P76" s="629">
        <f t="shared" si="67"/>
        <v>886.44131976051335</v>
      </c>
      <c r="Q76" s="629"/>
      <c r="R76" s="629"/>
      <c r="S76" s="629"/>
      <c r="T76" s="629"/>
      <c r="U76" s="629"/>
      <c r="V76" s="629"/>
      <c r="W76" s="629"/>
      <c r="X76" s="629"/>
      <c r="Y76" s="629"/>
      <c r="Z76" s="629"/>
    </row>
  </sheetData>
  <mergeCells count="9">
    <mergeCell ref="A74:C76"/>
    <mergeCell ref="A62:C66"/>
    <mergeCell ref="A67:C70"/>
    <mergeCell ref="A71:C73"/>
    <mergeCell ref="A1:E1"/>
    <mergeCell ref="B4:C4"/>
    <mergeCell ref="B5:C5"/>
    <mergeCell ref="A7:A37"/>
    <mergeCell ref="A38:A55"/>
  </mergeCells>
  <printOptions gridLinesSet="0"/>
  <pageMargins left="0.78740157480314965" right="0.19685039370078741" top="0.59055118110236227" bottom="0.59055118110236227" header="0.51181102362204722" footer="0.31496062992125984"/>
  <pageSetup paperSize="9" scale="42" orientation="landscape" r:id="rId1"/>
  <headerFooter alignWithMargins="0">
    <oddFooter>&amp;L&amp;A&amp;R&amp;F</oddFooter>
  </headerFooter>
  <ignoredErrors>
    <ignoredError sqref="T7:T57" evalError="1"/>
    <ignoredError sqref="Z19 Z37 Z50 Y56:Y57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1">
    <tabColor indexed="56"/>
    <pageSetUpPr fitToPage="1"/>
  </sheetPr>
  <dimension ref="A1:S94"/>
  <sheetViews>
    <sheetView showGridLines="0" topLeftCell="A31" zoomScale="106" zoomScaleNormal="106" zoomScaleSheetLayoutView="53" workbookViewId="0">
      <selection activeCell="F54" sqref="F54"/>
    </sheetView>
  </sheetViews>
  <sheetFormatPr defaultColWidth="11.42578125" defaultRowHeight="12.75"/>
  <cols>
    <col min="1" max="1" width="3.140625" style="75" bestFit="1" customWidth="1"/>
    <col min="2" max="2" width="10.85546875" style="75" customWidth="1"/>
    <col min="3" max="3" width="25.140625" style="75" bestFit="1" customWidth="1"/>
    <col min="4" max="4" width="8.5703125" style="75" customWidth="1"/>
    <col min="5" max="5" width="11.85546875" style="75" bestFit="1" customWidth="1"/>
    <col min="6" max="16" width="7.85546875" style="75" bestFit="1" customWidth="1"/>
    <col min="17" max="19" width="8.85546875" style="75" bestFit="1" customWidth="1"/>
    <col min="20" max="16384" width="11.42578125" style="75"/>
  </cols>
  <sheetData>
    <row r="1" spans="1:19" ht="18" customHeight="1">
      <c r="A1" s="1026" t="s">
        <v>80</v>
      </c>
      <c r="B1" s="1026"/>
      <c r="C1" s="1026"/>
      <c r="D1" s="1026"/>
      <c r="E1" s="1026"/>
    </row>
    <row r="2" spans="1:19" ht="18" customHeight="1"/>
    <row r="3" spans="1:19" ht="9.9499999999999993" customHeight="1" thickBot="1"/>
    <row r="4" spans="1:19" ht="38.25">
      <c r="A4" s="76"/>
      <c r="B4" s="1037" t="s">
        <v>57</v>
      </c>
      <c r="C4" s="1038"/>
      <c r="D4" s="780" t="s">
        <v>202</v>
      </c>
      <c r="E4" s="200">
        <f>'Falhas UM-1 - Qty'!F5</f>
        <v>44652</v>
      </c>
      <c r="F4" s="200">
        <f>'Falhas UM-1 - Qty'!G5</f>
        <v>44682</v>
      </c>
      <c r="G4" s="200">
        <f>'Falhas UM-1 - Qty'!H5</f>
        <v>44713</v>
      </c>
      <c r="H4" s="200">
        <f>'Falhas UM-1 - Qty'!I5</f>
        <v>44743</v>
      </c>
      <c r="I4" s="200">
        <f>'Falhas UM-1 - Qty'!J5</f>
        <v>44774</v>
      </c>
      <c r="J4" s="200">
        <f>'Falhas UM-1 - Qty'!K5</f>
        <v>44805</v>
      </c>
      <c r="K4" s="200">
        <f>'Falhas UM-1 - Qty'!L5</f>
        <v>44835</v>
      </c>
      <c r="L4" s="200">
        <f>'Falhas UM-1 - Qty'!M5</f>
        <v>44866</v>
      </c>
      <c r="M4" s="200">
        <f>'Falhas UM-1 - Qty'!N5</f>
        <v>44896</v>
      </c>
      <c r="N4" s="200">
        <f>'Falhas UM-1 - Qty'!O5</f>
        <v>44927</v>
      </c>
      <c r="O4" s="200">
        <f>'Falhas UM-1 - Qty'!P5</f>
        <v>44958</v>
      </c>
      <c r="P4" s="200">
        <f>'Falhas UM-1 - Qty'!Q5</f>
        <v>44986</v>
      </c>
      <c r="Q4" s="821" t="str">
        <f>'Falhas UM-1 - Cost'!R5</f>
        <v>1st Half</v>
      </c>
      <c r="R4" s="200" t="str">
        <f>'Falhas UM-1 - Cost'!S5</f>
        <v>2nd Half</v>
      </c>
      <c r="S4" s="781" t="str">
        <f>'Falhas UM-1 - Cost'!T5</f>
        <v>Total</v>
      </c>
    </row>
    <row r="5" spans="1:19" ht="13.5" thickBot="1">
      <c r="A5" s="105"/>
      <c r="B5" s="795" t="s">
        <v>51</v>
      </c>
      <c r="C5" s="782" t="s">
        <v>50</v>
      </c>
      <c r="D5" s="783">
        <f>'Falhas UM-1 - Qty'!E5</f>
        <v>2022</v>
      </c>
      <c r="E5" s="784"/>
      <c r="F5" s="784"/>
      <c r="G5" s="784"/>
      <c r="H5" s="784"/>
      <c r="I5" s="784"/>
      <c r="J5" s="784"/>
      <c r="K5" s="784"/>
      <c r="L5" s="784"/>
      <c r="M5" s="784"/>
      <c r="N5" s="784"/>
      <c r="O5" s="784"/>
      <c r="P5" s="817"/>
      <c r="Q5" s="822"/>
      <c r="R5" s="784"/>
      <c r="S5" s="785"/>
    </row>
    <row r="6" spans="1:19" ht="18" customHeight="1">
      <c r="A6" s="1039" t="s">
        <v>142</v>
      </c>
      <c r="B6" s="104">
        <v>3010</v>
      </c>
      <c r="C6" s="82" t="s">
        <v>46</v>
      </c>
      <c r="D6" s="314">
        <f>'[7]Falhas UM-3'!P7</f>
        <v>121.7338</v>
      </c>
      <c r="E6" s="343">
        <f>'Falhas UM-3-1 Qty'!E7*'Falhas UM-3-1 Cost'!$D6/1000</f>
        <v>50.850961716710842</v>
      </c>
      <c r="F6" s="343">
        <f>'Falhas UM-3-1 Qty'!F7*'Falhas UM-3-1 Cost'!$D6/1000</f>
        <v>53.218901277915187</v>
      </c>
      <c r="G6" s="343">
        <f>'Falhas UM-3-1 Qty'!G7*'Falhas UM-3-1 Cost'!$D6/1000</f>
        <v>51.217047862777932</v>
      </c>
      <c r="H6" s="343">
        <f>'Falhas UM-3-1 Qty'!H7*'Falhas UM-3-1 Cost'!$D6/1000</f>
        <v>51.548168705853307</v>
      </c>
      <c r="I6" s="343">
        <f>'Falhas UM-3-1 Qty'!I7*'Falhas UM-3-1 Cost'!$D6/1000</f>
        <v>52.177899170076955</v>
      </c>
      <c r="J6" s="343">
        <f>'Falhas UM-3-1 Qty'!J7*'Falhas UM-3-1 Cost'!$D6/1000</f>
        <v>59.325308200719711</v>
      </c>
      <c r="K6" s="343">
        <f>'Falhas UM-3-1 Qty'!K7*'Falhas UM-3-1 Cost'!$D6/1000</f>
        <v>58.595599153943468</v>
      </c>
      <c r="L6" s="343">
        <f>'Falhas UM-3-1 Qty'!L7*'Falhas UM-3-1 Cost'!$D6/1000</f>
        <v>58.626334269514558</v>
      </c>
      <c r="M6" s="343">
        <f>'Falhas UM-3-1 Qty'!M7*'Falhas UM-3-1 Cost'!$D6/1000</f>
        <v>55.781264095524179</v>
      </c>
      <c r="N6" s="343">
        <f>'Falhas UM-3-1 Qty'!N7*'Falhas UM-3-1 Cost'!$D6/1000</f>
        <v>43.259999857333675</v>
      </c>
      <c r="O6" s="343">
        <f>'Falhas UM-3-1 Qty'!O7*'Falhas UM-3-1 Cost'!$D6/1000</f>
        <v>41.521757966025405</v>
      </c>
      <c r="P6" s="818">
        <f>'Falhas UM-3-1 Qty'!P7*'Falhas UM-3-1 Cost'!$D6/1000</f>
        <v>52.644939421231236</v>
      </c>
      <c r="Q6" s="823">
        <f>SUM(E6:J6)</f>
        <v>318.33828693405388</v>
      </c>
      <c r="R6" s="343">
        <f>SUM(K6:P6)</f>
        <v>310.42989476357252</v>
      </c>
      <c r="S6" s="796">
        <f>SUM(Q6:R6)</f>
        <v>628.76818169762646</v>
      </c>
    </row>
    <row r="7" spans="1:19" ht="18" customHeight="1">
      <c r="A7" s="1039"/>
      <c r="B7" s="104">
        <f>B6+10</f>
        <v>3020</v>
      </c>
      <c r="C7" s="82" t="s">
        <v>79</v>
      </c>
      <c r="D7" s="314">
        <f>'[7]Falhas UM-3'!P8</f>
        <v>122.37650000000001</v>
      </c>
      <c r="E7" s="343">
        <f>'Falhas UM-3-1 Qty'!E8*'Falhas UM-3-1 Cost'!$D7/1000</f>
        <v>18.902722792821688</v>
      </c>
      <c r="F7" s="343">
        <f>'Falhas UM-3-1 Qty'!F8*'Falhas UM-3-1 Cost'!$D7/1000</f>
        <v>19.78295206685118</v>
      </c>
      <c r="G7" s="343">
        <f>'Falhas UM-3-1 Qty'!G8*'Falhas UM-3-1 Cost'!$D7/1000</f>
        <v>19.03880723849943</v>
      </c>
      <c r="H7" s="343">
        <f>'Falhas UM-3-1 Qty'!H8*'Falhas UM-3-1 Cost'!$D7/1000</f>
        <v>19.161894104436172</v>
      </c>
      <c r="I7" s="343">
        <f>'Falhas UM-3-1 Qty'!I8*'Falhas UM-3-1 Cost'!$D7/1000</f>
        <v>19.395982507045535</v>
      </c>
      <c r="J7" s="343">
        <f>'Falhas UM-3-1 Qty'!J8*'Falhas UM-3-1 Cost'!$D7/1000</f>
        <v>22.052874078650785</v>
      </c>
      <c r="K7" s="343">
        <f>'Falhas UM-3-1 Qty'!K8*'Falhas UM-3-1 Cost'!$D7/1000</f>
        <v>21.781620844395977</v>
      </c>
      <c r="L7" s="343">
        <f>'Falhas UM-3-1 Qty'!L8*'Falhas UM-3-1 Cost'!$D7/1000</f>
        <v>21.793045945318987</v>
      </c>
      <c r="M7" s="343">
        <f>'Falhas UM-3-1 Qty'!M8*'Falhas UM-3-1 Cost'!$D7/1000</f>
        <v>20.735453895739486</v>
      </c>
      <c r="N7" s="343">
        <f>'Falhas UM-3-1 Qty'!N8*'Falhas UM-3-1 Cost'!$D7/1000</f>
        <v>16.080950245862471</v>
      </c>
      <c r="O7" s="343">
        <f>'Falhas UM-3-1 Qty'!O8*'Falhas UM-3-1 Cost'!$D7/1000</f>
        <v>15.434797183874803</v>
      </c>
      <c r="P7" s="818">
        <f>'Falhas UM-3-1 Qty'!P8*'Falhas UM-3-1 Cost'!$D7/1000</f>
        <v>19.569594413342241</v>
      </c>
      <c r="Q7" s="823">
        <f t="shared" ref="Q7:Q56" si="0">SUM(E7:J7)</f>
        <v>118.33523278830479</v>
      </c>
      <c r="R7" s="343">
        <f t="shared" ref="R7:R56" si="1">SUM(K7:P7)</f>
        <v>115.39546252853397</v>
      </c>
      <c r="S7" s="796">
        <f t="shared" ref="S7:S56" si="2">SUM(Q7:R7)</f>
        <v>233.73069531683876</v>
      </c>
    </row>
    <row r="8" spans="1:19" ht="18" customHeight="1">
      <c r="A8" s="1039"/>
      <c r="B8" s="104">
        <f t="shared" ref="B8:B17" si="3">B7+10</f>
        <v>3030</v>
      </c>
      <c r="C8" s="82" t="s">
        <v>78</v>
      </c>
      <c r="D8" s="314">
        <f>'[7]Falhas UM-3'!P9</f>
        <v>132.37650000000002</v>
      </c>
      <c r="E8" s="343">
        <f>'Falhas UM-3-1 Qty'!E9*'Falhas UM-3-1 Cost'!$D8/1000</f>
        <v>26.49974978067625</v>
      </c>
      <c r="F8" s="343">
        <f>'Falhas UM-3-1 Qty'!F9*'Falhas UM-3-1 Cost'!$D8/1000</f>
        <v>27.733744256872331</v>
      </c>
      <c r="G8" s="343">
        <f>'Falhas UM-3-1 Qty'!G9*'Falhas UM-3-1 Cost'!$D8/1000</f>
        <v>26.690526728475096</v>
      </c>
      <c r="H8" s="343">
        <f>'Falhas UM-3-1 Qty'!H9*'Falhas UM-3-1 Cost'!$D8/1000</f>
        <v>26.863082353628212</v>
      </c>
      <c r="I8" s="343">
        <f>'Falhas UM-3-1 Qty'!I9*'Falhas UM-3-1 Cost'!$D8/1000</f>
        <v>27.191251166327611</v>
      </c>
      <c r="J8" s="343">
        <f>'Falhas UM-3-1 Qty'!J9*'Falhas UM-3-1 Cost'!$D8/1000</f>
        <v>30.915950650820076</v>
      </c>
      <c r="K8" s="343">
        <f>'Falhas UM-3-1 Qty'!K9*'Falhas UM-3-1 Cost'!$D8/1000</f>
        <v>30.535680416011292</v>
      </c>
      <c r="L8" s="343">
        <f>'Falhas UM-3-1 Qty'!L9*'Falhas UM-3-1 Cost'!$D8/1000</f>
        <v>30.551697278713934</v>
      </c>
      <c r="M8" s="343">
        <f>'Falhas UM-3-1 Qty'!M9*'Falhas UM-3-1 Cost'!$D8/1000</f>
        <v>29.069057714506169</v>
      </c>
      <c r="N8" s="343">
        <f>'Falhas UM-3-1 Qty'!N9*'Falhas UM-3-1 Cost'!$D8/1000</f>
        <v>22.543903458854452</v>
      </c>
      <c r="O8" s="343">
        <f>'Falhas UM-3-1 Qty'!O9*'Falhas UM-3-1 Cost'!$D8/1000</f>
        <v>21.638060705386501</v>
      </c>
      <c r="P8" s="818">
        <f>'Falhas UM-3-1 Qty'!P9*'Falhas UM-3-1 Cost'!$D8/1000</f>
        <v>27.434637906229238</v>
      </c>
      <c r="Q8" s="823">
        <f t="shared" si="0"/>
        <v>165.89430493679956</v>
      </c>
      <c r="R8" s="343">
        <f t="shared" si="1"/>
        <v>161.77303747970157</v>
      </c>
      <c r="S8" s="796">
        <f t="shared" si="2"/>
        <v>327.66734241650113</v>
      </c>
    </row>
    <row r="9" spans="1:19" ht="18" customHeight="1">
      <c r="A9" s="1039"/>
      <c r="B9" s="104">
        <f t="shared" si="3"/>
        <v>3040</v>
      </c>
      <c r="C9" s="82" t="s">
        <v>77</v>
      </c>
      <c r="D9" s="314">
        <f>'[7]Falhas UM-3'!P10</f>
        <v>132.37650000000002</v>
      </c>
      <c r="E9" s="343">
        <f>'Falhas UM-3-1 Qty'!E10*'Falhas UM-3-1 Cost'!$D9/1000</f>
        <v>111.56799986865313</v>
      </c>
      <c r="F9" s="343">
        <f>'Falhas UM-3-1 Qty'!F10*'Falhas UM-3-1 Cost'!$D9/1000</f>
        <v>116.76330536012443</v>
      </c>
      <c r="G9" s="343">
        <f>'Falhas UM-3-1 Qty'!G10*'Falhas UM-3-1 Cost'!$D9/1000</f>
        <v>112.37119999933829</v>
      </c>
      <c r="H9" s="343">
        <f>'Falhas UM-3-1 Qty'!H10*'Falhas UM-3-1 Cost'!$D9/1000</f>
        <v>113.09768557462685</v>
      </c>
      <c r="I9" s="343">
        <f>'Falhas UM-3-1 Qty'!I10*'Falhas UM-3-1 Cost'!$D9/1000</f>
        <v>114.47932647143419</v>
      </c>
      <c r="J9" s="343">
        <f>'Falhas UM-3-1 Qty'!J10*'Falhas UM-3-1 Cost'!$D9/1000</f>
        <v>130.16088101575875</v>
      </c>
      <c r="K9" s="343">
        <f>'Falhas UM-3-1 Qty'!K10*'Falhas UM-3-1 Cost'!$D9/1000</f>
        <v>128.55988516265313</v>
      </c>
      <c r="L9" s="343">
        <f>'Falhas UM-3-1 Qty'!L10*'Falhas UM-3-1 Cost'!$D9/1000</f>
        <v>128.62731860450427</v>
      </c>
      <c r="M9" s="343">
        <f>'Falhas UM-3-1 Qty'!M10*'Falhas UM-3-1 Cost'!$D9/1000</f>
        <v>122.3851792607806</v>
      </c>
      <c r="N9" s="343">
        <f>'Falhas UM-3-1 Qty'!N10*'Falhas UM-3-1 Cost'!$D9/1000</f>
        <v>94.913281783908872</v>
      </c>
      <c r="O9" s="343">
        <f>'Falhas UM-3-1 Qty'!O10*'Falhas UM-3-1 Cost'!$D9/1000</f>
        <v>91.0995452378518</v>
      </c>
      <c r="P9" s="818">
        <f>'Falhas UM-3-1 Qty'!P10*'Falhas UM-3-1 Cost'!$D9/1000</f>
        <v>115.50402187384803</v>
      </c>
      <c r="Q9" s="823">
        <f t="shared" si="0"/>
        <v>698.44039828993562</v>
      </c>
      <c r="R9" s="343">
        <f t="shared" si="1"/>
        <v>681.08923192354666</v>
      </c>
      <c r="S9" s="796">
        <f t="shared" si="2"/>
        <v>1379.5296302134823</v>
      </c>
    </row>
    <row r="10" spans="1:19" ht="18" customHeight="1">
      <c r="A10" s="1039"/>
      <c r="B10" s="104">
        <f t="shared" si="3"/>
        <v>3050</v>
      </c>
      <c r="C10" s="82" t="s">
        <v>76</v>
      </c>
      <c r="D10" s="314">
        <f>'[7]Falhas UM-3'!P11</f>
        <v>133.46250000000003</v>
      </c>
      <c r="E10" s="343">
        <f>'Falhas UM-3-1 Qty'!E11*'Falhas UM-3-1 Cost'!$D10/1000</f>
        <v>19.282843437357762</v>
      </c>
      <c r="F10" s="343">
        <f>'Falhas UM-3-1 Qty'!F11*'Falhas UM-3-1 Cost'!$D10/1000</f>
        <v>20.180773511565661</v>
      </c>
      <c r="G10" s="343">
        <f>'Falhas UM-3-1 Qty'!G11*'Falhas UM-3-1 Cost'!$D10/1000</f>
        <v>19.421664446850638</v>
      </c>
      <c r="H10" s="343">
        <f>'Falhas UM-3-1 Qty'!H11*'Falhas UM-3-1 Cost'!$D10/1000</f>
        <v>19.547226504288975</v>
      </c>
      <c r="I10" s="343">
        <f>'Falhas UM-3-1 Qty'!I11*'Falhas UM-3-1 Cost'!$D10/1000</f>
        <v>19.786022262312343</v>
      </c>
      <c r="J10" s="343">
        <f>'Falhas UM-3-1 Qty'!J11*'Falhas UM-3-1 Cost'!$D10/1000</f>
        <v>22.496342080616774</v>
      </c>
      <c r="K10" s="343">
        <f>'Falhas UM-3-1 Qty'!K11*'Falhas UM-3-1 Cost'!$D10/1000</f>
        <v>22.219634131960891</v>
      </c>
      <c r="L10" s="343">
        <f>'Falhas UM-3-1 Qty'!L11*'Falhas UM-3-1 Cost'!$D10/1000</f>
        <v>22.231288983739081</v>
      </c>
      <c r="M10" s="343">
        <f>'Falhas UM-3-1 Qty'!M11*'Falhas UM-3-1 Cost'!$D10/1000</f>
        <v>21.15242949158273</v>
      </c>
      <c r="N10" s="343">
        <f>'Falhas UM-3-1 Qty'!N11*'Falhas UM-3-1 Cost'!$D10/1000</f>
        <v>16.404327001645566</v>
      </c>
      <c r="O10" s="343">
        <f>'Falhas UM-3-1 Qty'!O11*'Falhas UM-3-1 Cost'!$D10/1000</f>
        <v>15.745180249749636</v>
      </c>
      <c r="P10" s="818">
        <f>'Falhas UM-3-1 Qty'!P11*'Falhas UM-3-1 Cost'!$D10/1000</f>
        <v>19.963125383628391</v>
      </c>
      <c r="Q10" s="823">
        <f t="shared" si="0"/>
        <v>120.71487224299214</v>
      </c>
      <c r="R10" s="343">
        <f t="shared" si="1"/>
        <v>117.7159852423063</v>
      </c>
      <c r="S10" s="796">
        <f t="shared" si="2"/>
        <v>238.43085748529845</v>
      </c>
    </row>
    <row r="11" spans="1:19" ht="18" customHeight="1">
      <c r="A11" s="1039"/>
      <c r="B11" s="104">
        <f t="shared" si="3"/>
        <v>3060</v>
      </c>
      <c r="C11" s="82" t="s">
        <v>75</v>
      </c>
      <c r="D11" s="314">
        <f>'[7]Falhas UM-3'!P12</f>
        <v>137.27490000000003</v>
      </c>
      <c r="E11" s="343">
        <f>'Falhas UM-3-1 Qty'!E12*'Falhas UM-3-1 Cost'!$D11/1000</f>
        <v>16.35080065758768</v>
      </c>
      <c r="F11" s="343">
        <f>'Falhas UM-3-1 Qty'!F12*'Falhas UM-3-1 Cost'!$D11/1000</f>
        <v>17.112196439051228</v>
      </c>
      <c r="G11" s="343">
        <f>'Falhas UM-3-1 Qty'!G12*'Falhas UM-3-1 Cost'!$D11/1000</f>
        <v>16.468513310323619</v>
      </c>
      <c r="H11" s="343">
        <f>'Falhas UM-3-1 Qty'!H12*'Falhas UM-3-1 Cost'!$D11/1000</f>
        <v>16.574983094098002</v>
      </c>
      <c r="I11" s="343">
        <f>'Falhas UM-3-1 Qty'!I12*'Falhas UM-3-1 Cost'!$D11/1000</f>
        <v>16.777468886714729</v>
      </c>
      <c r="J11" s="343">
        <f>'Falhas UM-3-1 Qty'!J12*'Falhas UM-3-1 Cost'!$D11/1000</f>
        <v>19.075672427669137</v>
      </c>
      <c r="K11" s="343">
        <f>'Falhas UM-3-1 Qty'!K12*'Falhas UM-3-1 Cost'!$D11/1000</f>
        <v>18.841039162946519</v>
      </c>
      <c r="L11" s="343">
        <f>'Falhas UM-3-1 Qty'!L12*'Falhas UM-3-1 Cost'!$D11/1000</f>
        <v>18.850921842269095</v>
      </c>
      <c r="M11" s="343">
        <f>'Falhas UM-3-1 Qty'!M12*'Falhas UM-3-1 Cost'!$D11/1000</f>
        <v>17.936107771870155</v>
      </c>
      <c r="N11" s="343">
        <f>'Falhas UM-3-1 Qty'!N12*'Falhas UM-3-1 Cost'!$D11/1000</f>
        <v>13.909975548841725</v>
      </c>
      <c r="O11" s="343">
        <f>'Falhas UM-3-1 Qty'!O12*'Falhas UM-3-1 Cost'!$D11/1000</f>
        <v>13.35105501518917</v>
      </c>
      <c r="P11" s="818">
        <f>'Falhas UM-3-1 Qty'!P12*'Falhas UM-3-1 Cost'!$D11/1000</f>
        <v>16.927642684572007</v>
      </c>
      <c r="Q11" s="823">
        <f t="shared" si="0"/>
        <v>102.35963481544439</v>
      </c>
      <c r="R11" s="343">
        <f t="shared" si="1"/>
        <v>99.816742025688683</v>
      </c>
      <c r="S11" s="796">
        <f t="shared" si="2"/>
        <v>202.17637684113308</v>
      </c>
    </row>
    <row r="12" spans="1:19" ht="18" customHeight="1">
      <c r="A12" s="1039"/>
      <c r="B12" s="104">
        <f t="shared" si="3"/>
        <v>3070</v>
      </c>
      <c r="C12" s="82" t="s">
        <v>41</v>
      </c>
      <c r="D12" s="314">
        <f>'[7]Falhas UM-3'!P13</f>
        <v>147.88660000000002</v>
      </c>
      <c r="E12" s="343">
        <f>'Falhas UM-3-1 Qty'!E13*'Falhas UM-3-1 Cost'!$D12/1000</f>
        <v>111.998263624459</v>
      </c>
      <c r="F12" s="343">
        <f>'Falhas UM-3-1 Qty'!F13*'Falhas UM-3-1 Cost'!$D12/1000</f>
        <v>117.21360489371563</v>
      </c>
      <c r="G12" s="343">
        <f>'Falhas UM-3-1 Qty'!G13*'Falhas UM-3-1 Cost'!$D12/1000</f>
        <v>112.80456130914979</v>
      </c>
      <c r="H12" s="343">
        <f>'Falhas UM-3-1 Qty'!H13*'Falhas UM-3-1 Cost'!$D12/1000</f>
        <v>113.53384858754795</v>
      </c>
      <c r="I12" s="343">
        <f>'Falhas UM-3-1 Qty'!I13*'Falhas UM-3-1 Cost'!$D12/1000</f>
        <v>114.92081780432278</v>
      </c>
      <c r="J12" s="343">
        <f>'Falhas UM-3-1 Qty'!J13*'Falhas UM-3-1 Cost'!$D12/1000</f>
        <v>130.66284851173228</v>
      </c>
      <c r="K12" s="343">
        <f>'Falhas UM-3-1 Qty'!K13*'Falhas UM-3-1 Cost'!$D12/1000</f>
        <v>129.05567839280135</v>
      </c>
      <c r="L12" s="343">
        <f>'Falhas UM-3-1 Qty'!L13*'Falhas UM-3-1 Cost'!$D12/1000</f>
        <v>129.12337189278736</v>
      </c>
      <c r="M12" s="343">
        <f>'Falhas UM-3-1 Qty'!M13*'Falhas UM-3-1 Cost'!$D12/1000</f>
        <v>122.85715963997278</v>
      </c>
      <c r="N12" s="343">
        <f>'Falhas UM-3-1 Qty'!N13*'Falhas UM-3-1 Cost'!$D12/1000</f>
        <v>95.279316356046792</v>
      </c>
      <c r="O12" s="343">
        <f>'Falhas UM-3-1 Qty'!O13*'Falhas UM-3-1 Cost'!$D12/1000</f>
        <v>91.450872074690238</v>
      </c>
      <c r="P12" s="818">
        <f>'Falhas UM-3-1 Qty'!P13*'Falhas UM-3-1 Cost'!$D12/1000</f>
        <v>115.94946496076037</v>
      </c>
      <c r="Q12" s="823">
        <f t="shared" si="0"/>
        <v>701.1339447309274</v>
      </c>
      <c r="R12" s="343">
        <f t="shared" si="1"/>
        <v>683.71586331705885</v>
      </c>
      <c r="S12" s="796">
        <f t="shared" si="2"/>
        <v>1384.8498080479862</v>
      </c>
    </row>
    <row r="13" spans="1:19" ht="18" customHeight="1">
      <c r="A13" s="1039"/>
      <c r="B13" s="104">
        <f t="shared" si="3"/>
        <v>3080</v>
      </c>
      <c r="C13" s="82" t="s">
        <v>62</v>
      </c>
      <c r="D13" s="314">
        <f>'[7]Falhas UM-3'!P14</f>
        <v>147.88660000000002</v>
      </c>
      <c r="E13" s="343">
        <f>'Falhas UM-3-1 Qty'!E14*'Falhas UM-3-1 Cost'!$D13/1000</f>
        <v>37.477932303511921</v>
      </c>
      <c r="F13" s="343">
        <f>'Falhas UM-3-1 Qty'!F14*'Falhas UM-3-1 Cost'!$D13/1000</f>
        <v>39.223139779980556</v>
      </c>
      <c r="G13" s="343">
        <f>'Falhas UM-3-1 Qty'!G14*'Falhas UM-3-1 Cost'!$D13/1000</f>
        <v>37.747743361874797</v>
      </c>
      <c r="H13" s="343">
        <f>'Falhas UM-3-1 Qty'!H14*'Falhas UM-3-1 Cost'!$D13/1000</f>
        <v>37.991784460058838</v>
      </c>
      <c r="I13" s="343">
        <f>'Falhas UM-3-1 Qty'!I14*'Falhas UM-3-1 Cost'!$D13/1000</f>
        <v>38.455905391322901</v>
      </c>
      <c r="J13" s="343">
        <f>'Falhas UM-3-1 Qty'!J14*'Falhas UM-3-1 Cost'!$D13/1000</f>
        <v>43.72365456956333</v>
      </c>
      <c r="K13" s="343">
        <f>'Falhas UM-3-1 Qty'!K14*'Falhas UM-3-1 Cost'!$D13/1000</f>
        <v>43.185847902135976</v>
      </c>
      <c r="L13" s="343">
        <f>'Falhas UM-3-1 Qty'!L14*'Falhas UM-3-1 Cost'!$D13/1000</f>
        <v>43.208500149838407</v>
      </c>
      <c r="M13" s="343">
        <f>'Falhas UM-3-1 Qty'!M14*'Falhas UM-3-1 Cost'!$D13/1000</f>
        <v>41.111640153884551</v>
      </c>
      <c r="N13" s="343">
        <f>'Falhas UM-3-1 Qty'!N14*'Falhas UM-3-1 Cost'!$D13/1000</f>
        <v>31.883277943400049</v>
      </c>
      <c r="O13" s="343">
        <f>'Falhas UM-3-1 Qty'!O14*'Falhas UM-3-1 Cost'!$D13/1000</f>
        <v>30.602167228277196</v>
      </c>
      <c r="P13" s="818">
        <f>'Falhas UM-3-1 Qty'!P14*'Falhas UM-3-1 Cost'!$D13/1000</f>
        <v>38.800121160796209</v>
      </c>
      <c r="Q13" s="823">
        <f t="shared" si="0"/>
        <v>234.62015986631235</v>
      </c>
      <c r="R13" s="343">
        <f t="shared" si="1"/>
        <v>228.79155453833238</v>
      </c>
      <c r="S13" s="796">
        <f t="shared" si="2"/>
        <v>463.41171440464473</v>
      </c>
    </row>
    <row r="14" spans="1:19" ht="18" customHeight="1">
      <c r="A14" s="1039"/>
      <c r="B14" s="104">
        <f t="shared" si="3"/>
        <v>3090</v>
      </c>
      <c r="C14" s="82" t="s">
        <v>74</v>
      </c>
      <c r="D14" s="314">
        <f>'[7]Falhas UM-3'!P15</f>
        <v>216.17370000000003</v>
      </c>
      <c r="E14" s="343">
        <f>'Falhas UM-3-1 Qty'!E15*'Falhas UM-3-1 Cost'!$D14/1000</f>
        <v>272.83391580273496</v>
      </c>
      <c r="F14" s="343">
        <f>'Falhas UM-3-1 Qty'!F15*'Falhas UM-3-1 Cost'!$D14/1000</f>
        <v>285.53877331293779</v>
      </c>
      <c r="G14" s="343">
        <f>'Falhas UM-3-1 Qty'!G15*'Falhas UM-3-1 Cost'!$D14/1000</f>
        <v>274.79810120613098</v>
      </c>
      <c r="H14" s="343">
        <f>'Falhas UM-3-1 Qty'!H15*'Falhas UM-3-1 Cost'!$D14/1000</f>
        <v>276.57468503405244</v>
      </c>
      <c r="I14" s="343">
        <f>'Falhas UM-3-1 Qty'!I15*'Falhas UM-3-1 Cost'!$D14/1000</f>
        <v>279.95341815244592</v>
      </c>
      <c r="J14" s="343">
        <f>'Falhas UM-3-1 Qty'!J15*'Falhas UM-3-1 Cost'!$D14/1000</f>
        <v>318.30186875870572</v>
      </c>
      <c r="K14" s="343">
        <f>'Falhas UM-3-1 Qty'!K15*'Falhas UM-3-1 Cost'!$D14/1000</f>
        <v>314.38671415970782</v>
      </c>
      <c r="L14" s="343">
        <f>'Falhas UM-3-1 Qty'!L15*'Falhas UM-3-1 Cost'!$D14/1000</f>
        <v>314.5516192401787</v>
      </c>
      <c r="M14" s="343">
        <f>'Falhas UM-3-1 Qty'!M15*'Falhas UM-3-1 Cost'!$D14/1000</f>
        <v>299.28678235021539</v>
      </c>
      <c r="N14" s="343">
        <f>'Falhas UM-3-1 Qty'!N15*'Falhas UM-3-1 Cost'!$D14/1000</f>
        <v>232.10564284811591</v>
      </c>
      <c r="O14" s="343">
        <f>'Falhas UM-3-1 Qty'!O15*'Falhas UM-3-1 Cost'!$D14/1000</f>
        <v>222.7793425028043</v>
      </c>
      <c r="P14" s="818">
        <f>'Falhas UM-3-1 Qty'!P15*'Falhas UM-3-1 Cost'!$D14/1000</f>
        <v>282.45925906986639</v>
      </c>
      <c r="Q14" s="823">
        <f t="shared" si="0"/>
        <v>1708.0007622670078</v>
      </c>
      <c r="R14" s="343">
        <f t="shared" si="1"/>
        <v>1665.5693601708883</v>
      </c>
      <c r="S14" s="796">
        <f t="shared" si="2"/>
        <v>3373.5701224378963</v>
      </c>
    </row>
    <row r="15" spans="1:19" ht="18" customHeight="1">
      <c r="A15" s="1039"/>
      <c r="B15" s="104">
        <f t="shared" si="3"/>
        <v>3100</v>
      </c>
      <c r="C15" s="89" t="s">
        <v>73</v>
      </c>
      <c r="D15" s="314">
        <f>'[7]Falhas UM-3'!P16</f>
        <v>16.5517</v>
      </c>
      <c r="E15" s="343">
        <f>'Falhas UM-3-1 Qty'!E16*'Falhas UM-3-1 Cost'!$D15/1000</f>
        <v>249.9010886430452</v>
      </c>
      <c r="F15" s="343">
        <f>'Falhas UM-3-1 Qty'!F16*'Falhas UM-3-1 Cost'!$D15/1000</f>
        <v>261.53804995525252</v>
      </c>
      <c r="G15" s="343">
        <f>'Falhas UM-3-1 Qty'!G16*'Falhas UM-3-1 Cost'!$D15/1000</f>
        <v>251.70017608113466</v>
      </c>
      <c r="H15" s="343">
        <f>'Falhas UM-3-1 Qty'!H16*'Falhas UM-3-1 Cost'!$D15/1000</f>
        <v>253.32743063765463</v>
      </c>
      <c r="I15" s="343">
        <f>'Falhas UM-3-1 Qty'!I16*'Falhas UM-3-1 Cost'!$D15/1000</f>
        <v>256.42216716275487</v>
      </c>
      <c r="J15" s="343">
        <f>'Falhas UM-3-1 Qty'!J16*'Falhas UM-3-1 Cost'!$D15/1000</f>
        <v>291.54727074851041</v>
      </c>
      <c r="K15" s="343">
        <f>'Falhas UM-3-1 Qty'!K16*'Falhas UM-3-1 Cost'!$D15/1000</f>
        <v>287.96120120280631</v>
      </c>
      <c r="L15" s="343">
        <f>'Falhas UM-3-1 Qty'!L16*'Falhas UM-3-1 Cost'!$D15/1000</f>
        <v>288.11224532432306</v>
      </c>
      <c r="M15" s="343">
        <f>'Falhas UM-3-1 Qty'!M16*'Falhas UM-3-1 Cost'!$D15/1000</f>
        <v>274.13048156325726</v>
      </c>
      <c r="N15" s="343">
        <f>'Falhas UM-3-1 Qty'!N16*'Falhas UM-3-1 Cost'!$D15/1000</f>
        <v>212.59619669086817</v>
      </c>
      <c r="O15" s="343">
        <f>'Falhas UM-3-1 Qty'!O16*'Falhas UM-3-1 Cost'!$D15/1000</f>
        <v>204.05381073988363</v>
      </c>
      <c r="P15" s="818">
        <f>'Falhas UM-3-1 Qty'!P16*'Falhas UM-3-1 Cost'!$D15/1000</f>
        <v>258.717381712556</v>
      </c>
      <c r="Q15" s="823">
        <f t="shared" si="0"/>
        <v>1564.4361832283521</v>
      </c>
      <c r="R15" s="343">
        <f t="shared" si="1"/>
        <v>1525.5713172336946</v>
      </c>
      <c r="S15" s="796">
        <f t="shared" si="2"/>
        <v>3090.0075004620467</v>
      </c>
    </row>
    <row r="16" spans="1:19" ht="18" customHeight="1">
      <c r="A16" s="1039"/>
      <c r="B16" s="104">
        <f t="shared" si="3"/>
        <v>3110</v>
      </c>
      <c r="C16" s="89" t="s">
        <v>72</v>
      </c>
      <c r="D16" s="315">
        <f>'[7]Falhas UM-3'!P17</f>
        <v>60.921500000000002</v>
      </c>
      <c r="E16" s="344">
        <f>'Falhas UM-3-1 Qty'!E17*'Falhas UM-3-1 Cost'!$D16/1000</f>
        <v>90.949436760081753</v>
      </c>
      <c r="F16" s="344">
        <f>'Falhas UM-3-1 Qty'!F17*'Falhas UM-3-1 Cost'!$D16/1000</f>
        <v>95.184612695853247</v>
      </c>
      <c r="G16" s="344">
        <f>'Falhas UM-3-1 Qty'!G17*'Falhas UM-3-1 Cost'!$D16/1000</f>
        <v>91.604199770778749</v>
      </c>
      <c r="H16" s="344">
        <f>'Falhas UM-3-1 Qty'!H17*'Falhas UM-3-1 Cost'!$D16/1000</f>
        <v>92.196425623752774</v>
      </c>
      <c r="I16" s="344">
        <f>'Falhas UM-3-1 Qty'!I17*'Falhas UM-3-1 Cost'!$D16/1000</f>
        <v>93.322729416213477</v>
      </c>
      <c r="J16" s="344">
        <f>'Falhas UM-3-1 Qty'!J17*'Falhas UM-3-1 Cost'!$D16/1000</f>
        <v>106.10622069514552</v>
      </c>
      <c r="K16" s="344">
        <f>'Falhas UM-3-1 Qty'!K17*'Falhas UM-3-1 Cost'!$D16/1000</f>
        <v>104.80110030877483</v>
      </c>
      <c r="L16" s="344">
        <f>'Falhas UM-3-1 Qty'!L17*'Falhas UM-3-1 Cost'!$D16/1000</f>
        <v>104.85607156901411</v>
      </c>
      <c r="M16" s="344">
        <f>'Falhas UM-3-1 Qty'!M17*'Falhas UM-3-1 Cost'!$D16/1000</f>
        <v>99.767524152568726</v>
      </c>
      <c r="N16" s="344">
        <f>'Falhas UM-3-1 Qty'!N17*'Falhas UM-3-1 Cost'!$D16/1000</f>
        <v>77.372629512585092</v>
      </c>
      <c r="O16" s="344">
        <f>'Falhas UM-3-1 Qty'!O17*'Falhas UM-3-1 Cost'!$D16/1000</f>
        <v>74.263698715012495</v>
      </c>
      <c r="P16" s="601">
        <f>'Falhas UM-3-1 Qty'!P17*'Falhas UM-3-1 Cost'!$D16/1000</f>
        <v>94.158053790674828</v>
      </c>
      <c r="Q16" s="824">
        <f t="shared" si="0"/>
        <v>569.36362496182551</v>
      </c>
      <c r="R16" s="344">
        <f t="shared" si="1"/>
        <v>555.21907804863008</v>
      </c>
      <c r="S16" s="797">
        <f t="shared" si="2"/>
        <v>1124.5827030104556</v>
      </c>
    </row>
    <row r="17" spans="1:19" ht="18" customHeight="1">
      <c r="A17" s="1039"/>
      <c r="B17" s="104">
        <f t="shared" si="3"/>
        <v>3120</v>
      </c>
      <c r="C17" s="89" t="s">
        <v>71</v>
      </c>
      <c r="D17" s="316">
        <f>'[7]Falhas UM-3'!P18</f>
        <v>0.31459999999999999</v>
      </c>
      <c r="E17" s="345">
        <f>'Falhas UM-3-1 Qty'!E18*'Falhas UM-3-1 Cost'!$D17/1000</f>
        <v>5.8950726282928901E-4</v>
      </c>
      <c r="F17" s="345">
        <f>'Falhas UM-3-1 Qty'!F18*'Falhas UM-3-1 Cost'!$D17/1000</f>
        <v>6.1695841659600392E-4</v>
      </c>
      <c r="G17" s="345">
        <f>'Falhas UM-3-1 Qty'!G18*'Falhas UM-3-1 Cost'!$D17/1000</f>
        <v>5.9375124238527082E-4</v>
      </c>
      <c r="H17" s="345">
        <f>'Falhas UM-3-1 Qty'!H18*'Falhas UM-3-1 Cost'!$D17/1000</f>
        <v>5.9758987464073401E-4</v>
      </c>
      <c r="I17" s="345">
        <f>'Falhas UM-3-1 Qty'!I18*'Falhas UM-3-1 Cost'!$D17/1000</f>
        <v>6.0489024162991342E-4</v>
      </c>
      <c r="J17" s="345">
        <f>'Falhas UM-3-1 Qty'!J18*'Falhas UM-3-1 Cost'!$D17/1000</f>
        <v>6.8774903901999153E-4</v>
      </c>
      <c r="K17" s="345">
        <f>'Falhas UM-3-1 Qty'!K18*'Falhas UM-3-1 Cost'!$D17/1000</f>
        <v>6.7928963592702167E-4</v>
      </c>
      <c r="L17" s="345">
        <f>'Falhas UM-3-1 Qty'!L18*'Falhas UM-3-1 Cost'!$D17/1000</f>
        <v>6.796459433249817E-4</v>
      </c>
      <c r="M17" s="345">
        <f>'Falhas UM-3-1 Qty'!M18*'Falhas UM-3-1 Cost'!$D17/1000</f>
        <v>6.4666348883041626E-4</v>
      </c>
      <c r="N17" s="345">
        <f>'Falhas UM-3-1 Qty'!N18*'Falhas UM-3-1 Cost'!$D17/1000</f>
        <v>5.0150642672135766E-4</v>
      </c>
      <c r="O17" s="345">
        <f>'Falhas UM-3-1 Qty'!O18*'Falhas UM-3-1 Cost'!$D17/1000</f>
        <v>4.8135525976430077E-4</v>
      </c>
      <c r="P17" s="819">
        <f>'Falhas UM-3-1 Qty'!P18*'Falhas UM-3-1 Cost'!$D17/1000</f>
        <v>6.1030456637017861E-4</v>
      </c>
      <c r="Q17" s="825">
        <f t="shared" si="0"/>
        <v>3.6904460771012022E-3</v>
      </c>
      <c r="R17" s="345">
        <f t="shared" si="1"/>
        <v>3.5987653209382567E-3</v>
      </c>
      <c r="S17" s="798">
        <f t="shared" si="2"/>
        <v>7.2892113980394593E-3</v>
      </c>
    </row>
    <row r="18" spans="1:19" ht="18" customHeight="1" thickBot="1">
      <c r="A18" s="1039"/>
      <c r="B18" s="799"/>
      <c r="C18" s="85" t="s">
        <v>1</v>
      </c>
      <c r="D18" s="317">
        <f>'[7]Falhas UM-3'!P19</f>
        <v>722.44073125823627</v>
      </c>
      <c r="E18" s="346">
        <f>SUBTOTAL(109,E6:E17)</f>
        <v>1006.616304894903</v>
      </c>
      <c r="F18" s="346">
        <f t="shared" ref="F18:P18" si="4">SUBTOTAL(109,F6:F17)</f>
        <v>1053.4906705085364</v>
      </c>
      <c r="G18" s="346">
        <f t="shared" si="4"/>
        <v>1013.8631350665763</v>
      </c>
      <c r="H18" s="346">
        <f t="shared" si="4"/>
        <v>1020.4178122698728</v>
      </c>
      <c r="I18" s="346">
        <f t="shared" si="4"/>
        <v>1032.8835932812131</v>
      </c>
      <c r="J18" s="346">
        <f t="shared" si="4"/>
        <v>1174.3695794869318</v>
      </c>
      <c r="K18" s="346">
        <f t="shared" si="4"/>
        <v>1159.9246801277734</v>
      </c>
      <c r="L18" s="346">
        <f t="shared" si="4"/>
        <v>1160.533094746145</v>
      </c>
      <c r="M18" s="346">
        <f t="shared" si="4"/>
        <v>1104.2137267533908</v>
      </c>
      <c r="N18" s="346">
        <f t="shared" si="4"/>
        <v>856.3500027538895</v>
      </c>
      <c r="O18" s="346">
        <f t="shared" si="4"/>
        <v>821.94076897400498</v>
      </c>
      <c r="P18" s="346">
        <f t="shared" si="4"/>
        <v>1042.1288526820713</v>
      </c>
      <c r="Q18" s="826">
        <f t="shared" si="0"/>
        <v>6301.6410955080328</v>
      </c>
      <c r="R18" s="346">
        <f t="shared" si="1"/>
        <v>6145.0911260372741</v>
      </c>
      <c r="S18" s="800">
        <f t="shared" si="2"/>
        <v>12446.732221545306</v>
      </c>
    </row>
    <row r="19" spans="1:19" ht="18" customHeight="1" thickTop="1">
      <c r="A19" s="1039"/>
      <c r="B19" s="104">
        <v>3130</v>
      </c>
      <c r="C19" s="82" t="s">
        <v>108</v>
      </c>
      <c r="D19" s="314">
        <f>'[7]Falhas UM-3'!P20</f>
        <v>216.17370000000003</v>
      </c>
      <c r="E19" s="343">
        <f>'Falhas UM-3-1 Qty'!E20*'Falhas UM-3-1 Cost'!$D19/1000</f>
        <v>11.656682385650734</v>
      </c>
      <c r="F19" s="343">
        <f>'Falhas UM-3-1 Qty'!F20*'Falhas UM-3-1 Cost'!$D19/1000</f>
        <v>12.199490593038195</v>
      </c>
      <c r="G19" s="343">
        <f>'Falhas UM-3-1 Qty'!G20*'Falhas UM-3-1 Cost'!$D19/1000</f>
        <v>11.740601151125894</v>
      </c>
      <c r="H19" s="343">
        <f>'Falhas UM-3-1 Qty'!H20*'Falhas UM-3-1 Cost'!$D19/1000</f>
        <v>11.816504740137665</v>
      </c>
      <c r="I19" s="343">
        <f>'Falhas UM-3-1 Qty'!I20*'Falhas UM-3-1 Cost'!$D19/1000</f>
        <v>11.960859296319267</v>
      </c>
      <c r="J19" s="343">
        <f>'Falhas UM-3-1 Qty'!J20*'Falhas UM-3-1 Cost'!$D19/1000</f>
        <v>13.599276233538276</v>
      </c>
      <c r="K19" s="343">
        <f>'Falhas UM-3-1 Qty'!K20*'Falhas UM-3-1 Cost'!$D19/1000</f>
        <v>13.432003357961348</v>
      </c>
      <c r="L19" s="343">
        <f>'Falhas UM-3-1 Qty'!L20*'Falhas UM-3-1 Cost'!$D19/1000</f>
        <v>13.439048838876623</v>
      </c>
      <c r="M19" s="343">
        <f>'Falhas UM-3-1 Qty'!M20*'Falhas UM-3-1 Cost'!$D19/1000</f>
        <v>12.786866888654128</v>
      </c>
      <c r="N19" s="343">
        <f>'Falhas UM-3-1 Qty'!N20*'Falhas UM-3-1 Cost'!$D19/1000</f>
        <v>9.9165888179164998</v>
      </c>
      <c r="O19" s="343">
        <f>'Falhas UM-3-1 Qty'!O20*'Falhas UM-3-1 Cost'!$D19/1000</f>
        <v>9.5181276491918414</v>
      </c>
      <c r="P19" s="818">
        <f>'Falhas UM-3-1 Qty'!P20*'Falhas UM-3-1 Cost'!$D19/1000</f>
        <v>12.067920002453976</v>
      </c>
      <c r="Q19" s="823">
        <f t="shared" si="0"/>
        <v>72.973414399810039</v>
      </c>
      <c r="R19" s="343">
        <f t="shared" si="1"/>
        <v>71.160555555054415</v>
      </c>
      <c r="S19" s="796">
        <f t="shared" si="2"/>
        <v>144.13396995486445</v>
      </c>
    </row>
    <row r="20" spans="1:19" ht="18" customHeight="1">
      <c r="A20" s="1039"/>
      <c r="B20" s="104">
        <v>3135</v>
      </c>
      <c r="C20" s="89" t="s">
        <v>109</v>
      </c>
      <c r="D20" s="314">
        <f>'[7]Falhas UM-3'!P21</f>
        <v>216.17370000000003</v>
      </c>
      <c r="E20" s="343">
        <f>'Falhas UM-3-1 Qty'!E21*'Falhas UM-3-1 Cost'!$D20/1000</f>
        <v>9.1865426151151013</v>
      </c>
      <c r="F20" s="343">
        <f>'Falhas UM-3-1 Qty'!F21*'Falhas UM-3-1 Cost'!$D20/1000</f>
        <v>9.6143256295290076</v>
      </c>
      <c r="G20" s="343">
        <f>'Falhas UM-3-1 Qty'!G21*'Falhas UM-3-1 Cost'!$D20/1000</f>
        <v>9.2526783550915486</v>
      </c>
      <c r="H20" s="343">
        <f>'Falhas UM-3-1 Qty'!H21*'Falhas UM-3-1 Cost'!$D20/1000</f>
        <v>9.3124973955378394</v>
      </c>
      <c r="I20" s="343">
        <f>'Falhas UM-3-1 Qty'!I21*'Falhas UM-3-1 Cost'!$D20/1000</f>
        <v>9.4262621219132257</v>
      </c>
      <c r="J20" s="343">
        <f>'Falhas UM-3-1 Qty'!J21*'Falhas UM-3-1 Cost'!$D20/1000</f>
        <v>10.717486032553262</v>
      </c>
      <c r="K20" s="343">
        <f>'Falhas UM-3-1 Qty'!K21*'Falhas UM-3-1 Cost'!$D20/1000</f>
        <v>10.585659553199934</v>
      </c>
      <c r="L20" s="343">
        <f>'Falhas UM-3-1 Qty'!L21*'Falhas UM-3-1 Cost'!$D20/1000</f>
        <v>10.591212043053462</v>
      </c>
      <c r="M20" s="343">
        <f>'Falhas UM-3-1 Qty'!M21*'Falhas UM-3-1 Cost'!$D20/1000</f>
        <v>10.077232414861564</v>
      </c>
      <c r="N20" s="343">
        <f>'Falhas UM-3-1 Qty'!N21*'Falhas UM-3-1 Cost'!$D20/1000</f>
        <v>7.8151881262979277</v>
      </c>
      <c r="O20" s="343">
        <f>'Falhas UM-3-1 Qty'!O21*'Falhas UM-3-1 Cost'!$D20/1000</f>
        <v>7.5011639137600925</v>
      </c>
      <c r="P20" s="818">
        <f>'Falhas UM-3-1 Qty'!P21*'Falhas UM-3-1 Cost'!$D20/1000</f>
        <v>9.510635849082929</v>
      </c>
      <c r="Q20" s="823">
        <f t="shared" si="0"/>
        <v>57.50979214973998</v>
      </c>
      <c r="R20" s="343">
        <f t="shared" si="1"/>
        <v>56.081091900255913</v>
      </c>
      <c r="S20" s="796">
        <f t="shared" si="2"/>
        <v>113.59088404999589</v>
      </c>
    </row>
    <row r="21" spans="1:19" ht="18" customHeight="1">
      <c r="A21" s="1039"/>
      <c r="B21" s="104">
        <v>3140</v>
      </c>
      <c r="C21" s="89" t="s">
        <v>110</v>
      </c>
      <c r="D21" s="314">
        <f>'[7]Falhas UM-3'!P22</f>
        <v>216.17370000000003</v>
      </c>
      <c r="E21" s="343">
        <f>'Falhas UM-3-1 Qty'!E22*'Falhas UM-3-1 Cost'!$D21/1000</f>
        <v>3.1634051060152295</v>
      </c>
      <c r="F21" s="343">
        <f>'Falhas UM-3-1 Qty'!F22*'Falhas UM-3-1 Cost'!$D21/1000</f>
        <v>3.310713079075406</v>
      </c>
      <c r="G21" s="343">
        <f>'Falhas UM-3-1 Qty'!G22*'Falhas UM-3-1 Cost'!$D21/1000</f>
        <v>3.1861790859875589</v>
      </c>
      <c r="H21" s="343">
        <f>'Falhas UM-3-1 Qty'!H22*'Falhas UM-3-1 Cost'!$D21/1000</f>
        <v>3.2067778973046019</v>
      </c>
      <c r="I21" s="343">
        <f>'Falhas UM-3-1 Qty'!I22*'Falhas UM-3-1 Cost'!$D21/1000</f>
        <v>3.2459530180631107</v>
      </c>
      <c r="J21" s="343">
        <f>'Falhas UM-3-1 Qty'!J22*'Falhas UM-3-1 Cost'!$D21/1000</f>
        <v>3.6905886642535428</v>
      </c>
      <c r="K21" s="343">
        <f>'Falhas UM-3-1 Qty'!K22*'Falhas UM-3-1 Cost'!$D21/1000</f>
        <v>3.6451939411932925</v>
      </c>
      <c r="L21" s="343">
        <f>'Falhas UM-3-1 Qty'!L22*'Falhas UM-3-1 Cost'!$D21/1000</f>
        <v>3.647105952652844</v>
      </c>
      <c r="M21" s="343">
        <f>'Falhas UM-3-1 Qty'!M22*'Falhas UM-3-1 Cost'!$D21/1000</f>
        <v>3.4701159958942656</v>
      </c>
      <c r="N21" s="343">
        <f>'Falhas UM-3-1 Qty'!N22*'Falhas UM-3-1 Cost'!$D21/1000</f>
        <v>2.6911763281349237</v>
      </c>
      <c r="O21" s="343">
        <f>'Falhas UM-3-1 Qty'!O22*'Falhas UM-3-1 Cost'!$D21/1000</f>
        <v>2.5830414357195628</v>
      </c>
      <c r="P21" s="818">
        <f>'Falhas UM-3-1 Qty'!P22*'Falhas UM-3-1 Cost'!$D21/1000</f>
        <v>3.2750072869567224</v>
      </c>
      <c r="Q21" s="823">
        <f t="shared" si="0"/>
        <v>19.803616850699452</v>
      </c>
      <c r="R21" s="343">
        <f t="shared" si="1"/>
        <v>19.311640940551612</v>
      </c>
      <c r="S21" s="796">
        <f t="shared" si="2"/>
        <v>39.115257791251068</v>
      </c>
    </row>
    <row r="22" spans="1:19" ht="18" customHeight="1">
      <c r="A22" s="1039"/>
      <c r="B22" s="104">
        <f>B21+5</f>
        <v>3145</v>
      </c>
      <c r="C22" s="89" t="s">
        <v>111</v>
      </c>
      <c r="D22" s="314">
        <f>'[7]Falhas UM-3'!P23</f>
        <v>216.17370000000003</v>
      </c>
      <c r="E22" s="343">
        <f>'Falhas UM-3-1 Qty'!E23*'Falhas UM-3-1 Cost'!$D22/1000</f>
        <v>36.839738586130771</v>
      </c>
      <c r="F22" s="343">
        <f>'Falhas UM-3-1 Qty'!F23*'Falhas UM-3-1 Cost'!$D22/1000</f>
        <v>38.555227762294344</v>
      </c>
      <c r="G22" s="343">
        <f>'Falhas UM-3-1 Qty'!G23*'Falhas UM-3-1 Cost'!$D22/1000</f>
        <v>37.104955161507434</v>
      </c>
      <c r="H22" s="343">
        <f>'Falhas UM-3-1 Qty'!H23*'Falhas UM-3-1 Cost'!$D22/1000</f>
        <v>37.344840600985904</v>
      </c>
      <c r="I22" s="343">
        <f>'Falhas UM-3-1 Qty'!I23*'Falhas UM-3-1 Cost'!$D22/1000</f>
        <v>37.801058239719332</v>
      </c>
      <c r="J22" s="343">
        <f>'Falhas UM-3-1 Qty'!J23*'Falhas UM-3-1 Cost'!$D22/1000</f>
        <v>42.979105446061546</v>
      </c>
      <c r="K22" s="343">
        <f>'Falhas UM-3-1 Qty'!K23*'Falhas UM-3-1 Cost'!$D22/1000</f>
        <v>42.45045683019206</v>
      </c>
      <c r="L22" s="343">
        <f>'Falhas UM-3-1 Qty'!L23*'Falhas UM-3-1 Cost'!$D22/1000</f>
        <v>42.472723343642912</v>
      </c>
      <c r="M22" s="343">
        <f>'Falhas UM-3-1 Qty'!M23*'Falhas UM-3-1 Cost'!$D22/1000</f>
        <v>40.411569769932633</v>
      </c>
      <c r="N22" s="343">
        <f>'Falhas UM-3-1 Qty'!N23*'Falhas UM-3-1 Cost'!$D22/1000</f>
        <v>31.340352909323705</v>
      </c>
      <c r="O22" s="343">
        <f>'Falhas UM-3-1 Qty'!O23*'Falhas UM-3-1 Cost'!$D22/1000</f>
        <v>30.081057613553238</v>
      </c>
      <c r="P22" s="818">
        <f>'Falhas UM-3-1 Qty'!P23*'Falhas UM-3-1 Cost'!$D22/1000</f>
        <v>38.139412524099967</v>
      </c>
      <c r="Q22" s="823">
        <f t="shared" si="0"/>
        <v>230.62492579669933</v>
      </c>
      <c r="R22" s="343">
        <f t="shared" si="1"/>
        <v>224.89557299074454</v>
      </c>
      <c r="S22" s="796">
        <f t="shared" si="2"/>
        <v>455.5204987874439</v>
      </c>
    </row>
    <row r="23" spans="1:19" ht="18" customHeight="1">
      <c r="A23" s="1039"/>
      <c r="B23" s="607">
        <f t="shared" ref="B23:B35" si="5">B22+5</f>
        <v>3150</v>
      </c>
      <c r="C23" s="90" t="s">
        <v>112</v>
      </c>
      <c r="D23" s="318">
        <f>'[7]Falhas UM-3'!P24</f>
        <v>216.17370000000003</v>
      </c>
      <c r="E23" s="347">
        <f>'Falhas UM-3-1 Qty'!E24*'Falhas UM-3-1 Cost'!$D23/1000</f>
        <v>1.2715061584023561</v>
      </c>
      <c r="F23" s="347">
        <f>'Falhas UM-3-1 Qty'!F24*'Falhas UM-3-1 Cost'!$D23/1000</f>
        <v>1.3307154561845544</v>
      </c>
      <c r="G23" s="347">
        <f>'Falhas UM-3-1 Qty'!G24*'Falhas UM-3-1 Cost'!$D23/1000</f>
        <v>1.2806599830993848</v>
      </c>
      <c r="H23" s="347">
        <f>'Falhas UM-3-1 Qty'!H24*'Falhas UM-3-1 Cost'!$D23/1000</f>
        <v>1.288939515618184</v>
      </c>
      <c r="I23" s="347">
        <f>'Falhas UM-3-1 Qty'!I24*'Falhas UM-3-1 Cost'!$D23/1000</f>
        <v>1.3046856517061236</v>
      </c>
      <c r="J23" s="347">
        <f>'Falhas UM-3-1 Qty'!J24*'Falhas UM-3-1 Cost'!$D23/1000</f>
        <v>1.4834035027019754</v>
      </c>
      <c r="K23" s="347">
        <f>'Falhas UM-3-1 Qty'!K24*'Falhas UM-3-1 Cost'!$D23/1000</f>
        <v>1.4651574456856533</v>
      </c>
      <c r="L23" s="347">
        <f>'Falhas UM-3-1 Qty'!L24*'Falhas UM-3-1 Cost'!$D23/1000</f>
        <v>1.4659259638691551</v>
      </c>
      <c r="M23" s="347">
        <f>'Falhas UM-3-1 Qty'!M24*'Falhas UM-3-1 Cost'!$D23/1000</f>
        <v>1.394786222845795</v>
      </c>
      <c r="N23" s="347">
        <f>'Falhas UM-3-1 Qty'!N24*'Falhas UM-3-1 Cost'!$D23/1000</f>
        <v>1.0816974620365682</v>
      </c>
      <c r="O23" s="347">
        <f>'Falhas UM-3-1 Qty'!O24*'Falhas UM-3-1 Cost'!$D23/1000</f>
        <v>1.0382334803344266</v>
      </c>
      <c r="P23" s="377">
        <f>'Falhas UM-3-1 Qty'!P24*'Falhas UM-3-1 Cost'!$D23/1000</f>
        <v>1.3163637898477922</v>
      </c>
      <c r="Q23" s="827">
        <f t="shared" si="0"/>
        <v>7.9599102677125781</v>
      </c>
      <c r="R23" s="347">
        <f t="shared" si="1"/>
        <v>7.762164364619391</v>
      </c>
      <c r="S23" s="801">
        <f t="shared" si="2"/>
        <v>15.722074632331969</v>
      </c>
    </row>
    <row r="24" spans="1:19" ht="18" customHeight="1">
      <c r="A24" s="1039"/>
      <c r="B24" s="104">
        <f t="shared" si="5"/>
        <v>3155</v>
      </c>
      <c r="C24" s="82" t="s">
        <v>115</v>
      </c>
      <c r="D24" s="314">
        <f>'[7]Falhas UM-3'!P25</f>
        <v>216.17370000000003</v>
      </c>
      <c r="E24" s="343">
        <f>'Falhas UM-3-1 Qty'!E25*'Falhas UM-3-1 Cost'!$D24/1000</f>
        <v>31.217872261805809</v>
      </c>
      <c r="F24" s="343">
        <f>'Falhas UM-3-1 Qty'!F25*'Falhas UM-3-1 Cost'!$D24/1000</f>
        <v>32.671572098539897</v>
      </c>
      <c r="G24" s="343">
        <f>'Falhas UM-3-1 Qty'!G25*'Falhas UM-3-1 Cost'!$D24/1000</f>
        <v>31.44261590792221</v>
      </c>
      <c r="H24" s="343">
        <f>'Falhas UM-3-1 Qty'!H25*'Falhas UM-3-1 Cost'!$D24/1000</f>
        <v>31.645894033514701</v>
      </c>
      <c r="I24" s="343">
        <f>'Falhas UM-3-1 Qty'!I25*'Falhas UM-3-1 Cost'!$D24/1000</f>
        <v>32.032491347072309</v>
      </c>
      <c r="J24" s="343">
        <f>'Falhas UM-3-1 Qty'!J25*'Falhas UM-3-1 Cost'!$D24/1000</f>
        <v>36.420351371520162</v>
      </c>
      <c r="K24" s="343">
        <f>'Falhas UM-3-1 Qty'!K25*'Falhas UM-3-1 Cost'!$D24/1000</f>
        <v>35.9723762882277</v>
      </c>
      <c r="L24" s="343">
        <f>'Falhas UM-3-1 Qty'!L25*'Falhas UM-3-1 Cost'!$D24/1000</f>
        <v>35.991244857856643</v>
      </c>
      <c r="M24" s="343">
        <f>'Falhas UM-3-1 Qty'!M25*'Falhas UM-3-1 Cost'!$D24/1000</f>
        <v>34.244630157385444</v>
      </c>
      <c r="N24" s="343">
        <f>'Falhas UM-3-1 Qty'!N25*'Falhas UM-3-1 Cost'!$D24/1000</f>
        <v>26.557711083528609</v>
      </c>
      <c r="O24" s="343">
        <f>'Falhas UM-3-1 Qty'!O25*'Falhas UM-3-1 Cost'!$D24/1000</f>
        <v>25.49058842761335</v>
      </c>
      <c r="P24" s="818">
        <f>'Falhas UM-3-1 Qty'!P25*'Falhas UM-3-1 Cost'!$D24/1000</f>
        <v>32.31921164516384</v>
      </c>
      <c r="Q24" s="823">
        <f t="shared" si="0"/>
        <v>195.43079702037511</v>
      </c>
      <c r="R24" s="343">
        <f t="shared" si="1"/>
        <v>190.57576245977558</v>
      </c>
      <c r="S24" s="796">
        <f t="shared" si="2"/>
        <v>386.00655948015071</v>
      </c>
    </row>
    <row r="25" spans="1:19" ht="18" customHeight="1">
      <c r="A25" s="1039"/>
      <c r="B25" s="104">
        <f t="shared" si="5"/>
        <v>3160</v>
      </c>
      <c r="C25" s="89" t="s">
        <v>126</v>
      </c>
      <c r="D25" s="314">
        <f>'[7]Falhas UM-3'!P26</f>
        <v>216.17370000000003</v>
      </c>
      <c r="E25" s="343">
        <f>'Falhas UM-3-1 Qty'!E26*'Falhas UM-3-1 Cost'!$D25/1000</f>
        <v>17.827366219030303</v>
      </c>
      <c r="F25" s="343">
        <f>'Falhas UM-3-1 Qty'!F26*'Falhas UM-3-1 Cost'!$D25/1000</f>
        <v>18.657520149594951</v>
      </c>
      <c r="G25" s="343">
        <f>'Falhas UM-3-1 Qty'!G26*'Falhas UM-3-1 Cost'!$D25/1000</f>
        <v>17.955708959724369</v>
      </c>
      <c r="H25" s="343">
        <f>'Falhas UM-3-1 Qty'!H26*'Falhas UM-3-1 Cost'!$D25/1000</f>
        <v>18.071793539700341</v>
      </c>
      <c r="I25" s="343">
        <f>'Falhas UM-3-1 Qty'!I26*'Falhas UM-3-1 Cost'!$D25/1000</f>
        <v>18.29256489241412</v>
      </c>
      <c r="J25" s="343">
        <f>'Falhas UM-3-1 Qty'!J26*'Falhas UM-3-1 Cost'!$D25/1000</f>
        <v>20.79830861888134</v>
      </c>
      <c r="K25" s="343">
        <f>'Falhas UM-3-1 Qty'!K26*'Falhas UM-3-1 Cost'!$D25/1000</f>
        <v>20.542486703797586</v>
      </c>
      <c r="L25" s="343">
        <f>'Falhas UM-3-1 Qty'!L26*'Falhas UM-3-1 Cost'!$D25/1000</f>
        <v>20.55326184240996</v>
      </c>
      <c r="M25" s="343">
        <f>'Falhas UM-3-1 Qty'!M26*'Falhas UM-3-1 Cost'!$D25/1000</f>
        <v>19.555835123262998</v>
      </c>
      <c r="N25" s="343">
        <f>'Falhas UM-3-1 Qty'!N26*'Falhas UM-3-1 Cost'!$D25/1000</f>
        <v>15.166121427324896</v>
      </c>
      <c r="O25" s="343">
        <f>'Falhas UM-3-1 Qty'!O26*'Falhas UM-3-1 Cost'!$D25/1000</f>
        <v>14.556727352415415</v>
      </c>
      <c r="P25" s="818">
        <f>'Falhas UM-3-1 Qty'!P26*'Falhas UM-3-1 Cost'!$D25/1000</f>
        <v>18.456300194860116</v>
      </c>
      <c r="Q25" s="823">
        <f t="shared" si="0"/>
        <v>111.60326237934542</v>
      </c>
      <c r="R25" s="343">
        <f t="shared" si="1"/>
        <v>108.83073264407096</v>
      </c>
      <c r="S25" s="796">
        <f t="shared" si="2"/>
        <v>220.4339950234164</v>
      </c>
    </row>
    <row r="26" spans="1:19" ht="18" customHeight="1">
      <c r="A26" s="1039"/>
      <c r="B26" s="104">
        <f t="shared" si="5"/>
        <v>3165</v>
      </c>
      <c r="C26" s="89" t="s">
        <v>127</v>
      </c>
      <c r="D26" s="314">
        <f>'[7]Falhas UM-3'!P27</f>
        <v>216.17370000000003</v>
      </c>
      <c r="E26" s="343">
        <f>'Falhas UM-3-1 Qty'!E27*'Falhas UM-3-1 Cost'!$D26/1000</f>
        <v>1.4323135224628309</v>
      </c>
      <c r="F26" s="343">
        <f>'Falhas UM-3-1 Qty'!F27*'Falhas UM-3-1 Cost'!$D26/1000</f>
        <v>1.499011019213873</v>
      </c>
      <c r="G26" s="343">
        <f>'Falhas UM-3-1 Qty'!G27*'Falhas UM-3-1 Cost'!$D26/1000</f>
        <v>1.4426250312268014</v>
      </c>
      <c r="H26" s="343">
        <f>'Falhas UM-3-1 Qty'!H27*'Falhas UM-3-1 Cost'!$D26/1000</f>
        <v>1.4519516760943711</v>
      </c>
      <c r="I26" s="343">
        <f>'Falhas UM-3-1 Qty'!I27*'Falhas UM-3-1 Cost'!$D26/1000</f>
        <v>1.4696892257682435</v>
      </c>
      <c r="J26" s="343">
        <f>'Falhas UM-3-1 Qty'!J27*'Falhas UM-3-1 Cost'!$D26/1000</f>
        <v>1.6710095205975612</v>
      </c>
      <c r="K26" s="343">
        <f>'Falhas UM-3-1 Qty'!K27*'Falhas UM-3-1 Cost'!$D26/1000</f>
        <v>1.6504558850344091</v>
      </c>
      <c r="L26" s="343">
        <f>'Falhas UM-3-1 Qty'!L27*'Falhas UM-3-1 Cost'!$D26/1000</f>
        <v>1.6513215977006155</v>
      </c>
      <c r="M26" s="343">
        <f>'Falhas UM-3-1 Qty'!M27*'Falhas UM-3-1 Cost'!$D26/1000</f>
        <v>1.5711848147374146</v>
      </c>
      <c r="N26" s="343">
        <f>'Falhas UM-3-1 Qty'!N27*'Falhas UM-3-1 Cost'!$D26/1000</f>
        <v>1.2184997232222847</v>
      </c>
      <c r="O26" s="343">
        <f>'Falhas UM-3-1 Qty'!O27*'Falhas UM-3-1 Cost'!$D26/1000</f>
        <v>1.1695388524308477</v>
      </c>
      <c r="P26" s="818">
        <f>'Falhas UM-3-1 Qty'!P27*'Falhas UM-3-1 Cost'!$D26/1000</f>
        <v>1.4828442978589034</v>
      </c>
      <c r="Q26" s="823">
        <f t="shared" si="0"/>
        <v>8.9665999953636817</v>
      </c>
      <c r="R26" s="343">
        <f t="shared" si="1"/>
        <v>8.7438451709844749</v>
      </c>
      <c r="S26" s="796">
        <f t="shared" si="2"/>
        <v>17.710445166348158</v>
      </c>
    </row>
    <row r="27" spans="1:19" ht="18" customHeight="1">
      <c r="A27" s="1039"/>
      <c r="B27" s="104">
        <f t="shared" si="5"/>
        <v>3170</v>
      </c>
      <c r="C27" s="89" t="s">
        <v>128</v>
      </c>
      <c r="D27" s="314">
        <f>'[7]Falhas UM-3'!P28</f>
        <v>216.17370000000003</v>
      </c>
      <c r="E27" s="343">
        <f>'Falhas UM-3-1 Qty'!E28*'Falhas UM-3-1 Cost'!$D27/1000</f>
        <v>58.29723773312373</v>
      </c>
      <c r="F27" s="343">
        <f>'Falhas UM-3-1 Qty'!F28*'Falhas UM-3-1 Cost'!$D27/1000</f>
        <v>61.011922586209486</v>
      </c>
      <c r="G27" s="343">
        <f>'Falhas UM-3-1 Qty'!G28*'Falhas UM-3-1 Cost'!$D27/1000</f>
        <v>58.716931095207443</v>
      </c>
      <c r="H27" s="343">
        <f>'Falhas UM-3-1 Qty'!H28*'Falhas UM-3-1 Cost'!$D27/1000</f>
        <v>59.096539068301375</v>
      </c>
      <c r="I27" s="343">
        <f>'Falhas UM-3-1 Qty'!I28*'Falhas UM-3-1 Cost'!$D27/1000</f>
        <v>59.818483065843751</v>
      </c>
      <c r="J27" s="343">
        <f>'Falhas UM-3-1 Qty'!J28*'Falhas UM-3-1 Cost'!$D27/1000</f>
        <v>68.012511052109488</v>
      </c>
      <c r="K27" s="343">
        <f>'Falhas UM-3-1 Qty'!K28*'Falhas UM-3-1 Cost'!$D27/1000</f>
        <v>67.17594827453776</v>
      </c>
      <c r="L27" s="343">
        <f>'Falhas UM-3-1 Qty'!L28*'Falhas UM-3-1 Cost'!$D27/1000</f>
        <v>67.211184035646539</v>
      </c>
      <c r="M27" s="343">
        <f>'Falhas UM-3-1 Qty'!M28*'Falhas UM-3-1 Cost'!$D27/1000</f>
        <v>63.949500741935481</v>
      </c>
      <c r="N27" s="343">
        <f>'Falhas UM-3-1 Qty'!N28*'Falhas UM-3-1 Cost'!$D27/1000</f>
        <v>49.594705997253762</v>
      </c>
      <c r="O27" s="343">
        <f>'Falhas UM-3-1 Qty'!O28*'Falhas UM-3-1 Cost'!$D27/1000</f>
        <v>47.601927545199977</v>
      </c>
      <c r="P27" s="818">
        <f>'Falhas UM-3-1 Qty'!P28*'Falhas UM-3-1 Cost'!$D27/1000</f>
        <v>60.35391357951152</v>
      </c>
      <c r="Q27" s="823">
        <f t="shared" si="0"/>
        <v>364.95362460079525</v>
      </c>
      <c r="R27" s="343">
        <f t="shared" si="1"/>
        <v>355.88718017408507</v>
      </c>
      <c r="S27" s="796">
        <f t="shared" si="2"/>
        <v>720.84080477488033</v>
      </c>
    </row>
    <row r="28" spans="1:19" ht="18" customHeight="1">
      <c r="A28" s="1039"/>
      <c r="B28" s="104">
        <f t="shared" si="5"/>
        <v>3175</v>
      </c>
      <c r="C28" s="89" t="s">
        <v>129</v>
      </c>
      <c r="D28" s="314">
        <f>'[7]Falhas UM-3'!P29</f>
        <v>216.17370000000003</v>
      </c>
      <c r="E28" s="343">
        <f>'Falhas UM-3-1 Qty'!E29*'Falhas UM-3-1 Cost'!$D28/1000</f>
        <v>1.8999526969666904</v>
      </c>
      <c r="F28" s="343">
        <f>'Falhas UM-3-1 Qty'!F29*'Falhas UM-3-1 Cost'!$D28/1000</f>
        <v>1.9884264053033776</v>
      </c>
      <c r="G28" s="343">
        <f>'Falhas UM-3-1 Qty'!G29*'Falhas UM-3-1 Cost'!$D28/1000</f>
        <v>1.9136308327788936</v>
      </c>
      <c r="H28" s="343">
        <f>'Falhas UM-3-1 Qty'!H29*'Falhas UM-3-1 Cost'!$D28/1000</f>
        <v>1.9260025543272044</v>
      </c>
      <c r="I28" s="343">
        <f>'Falhas UM-3-1 Qty'!I29*'Falhas UM-3-1 Cost'!$D28/1000</f>
        <v>1.9495312753871759</v>
      </c>
      <c r="J28" s="343">
        <f>'Falhas UM-3-1 Qty'!J29*'Falhas UM-3-1 Cost'!$D28/1000</f>
        <v>2.2165810735747917</v>
      </c>
      <c r="K28" s="343">
        <f>'Falhas UM-3-1 Qty'!K29*'Falhas UM-3-1 Cost'!$D28/1000</f>
        <v>2.189316836584601</v>
      </c>
      <c r="L28" s="343">
        <f>'Falhas UM-3-1 Qty'!L29*'Falhas UM-3-1 Cost'!$D28/1000</f>
        <v>2.190465197672562</v>
      </c>
      <c r="M28" s="343">
        <f>'Falhas UM-3-1 Qty'!M29*'Falhas UM-3-1 Cost'!$D28/1000</f>
        <v>2.0841643811757891</v>
      </c>
      <c r="N28" s="343">
        <f>'Falhas UM-3-1 Qty'!N29*'Falhas UM-3-1 Cost'!$D28/1000</f>
        <v>1.6163303627885868</v>
      </c>
      <c r="O28" s="343">
        <f>'Falhas UM-3-1 Qty'!O29*'Falhas UM-3-1 Cost'!$D28/1000</f>
        <v>1.5513841502121128</v>
      </c>
      <c r="P28" s="818">
        <f>'Falhas UM-3-1 Qty'!P29*'Falhas UM-3-1 Cost'!$D28/1000</f>
        <v>1.9669813757356416</v>
      </c>
      <c r="Q28" s="823">
        <f t="shared" si="0"/>
        <v>11.894124838338135</v>
      </c>
      <c r="R28" s="343">
        <f t="shared" si="1"/>
        <v>11.598642304169294</v>
      </c>
      <c r="S28" s="796">
        <f t="shared" si="2"/>
        <v>23.492767142507429</v>
      </c>
    </row>
    <row r="29" spans="1:19" ht="18" customHeight="1">
      <c r="A29" s="1039"/>
      <c r="B29" s="802">
        <f t="shared" si="5"/>
        <v>3180</v>
      </c>
      <c r="C29" s="92" t="s">
        <v>130</v>
      </c>
      <c r="D29" s="316">
        <f>'[7]Falhas UM-3'!P30</f>
        <v>216.17370000000003</v>
      </c>
      <c r="E29" s="345">
        <f>'Falhas UM-3-1 Qty'!E30*'Falhas UM-3-1 Cost'!$D29/1000</f>
        <v>2.7024815305822485</v>
      </c>
      <c r="F29" s="345">
        <f>'Falhas UM-3-1 Qty'!F30*'Falhas UM-3-1 Cost'!$D29/1000</f>
        <v>2.8283260124494776</v>
      </c>
      <c r="G29" s="345">
        <f>'Falhas UM-3-1 Qty'!G30*'Falhas UM-3-1 Cost'!$D29/1000</f>
        <v>2.7219372304342975</v>
      </c>
      <c r="H29" s="345">
        <f>'Falhas UM-3-1 Qty'!H30*'Falhas UM-3-1 Cost'!$D29/1000</f>
        <v>2.7395346943286323</v>
      </c>
      <c r="I29" s="345">
        <f>'Falhas UM-3-1 Qty'!I30*'Falhas UM-3-1 Cost'!$D29/1000</f>
        <v>2.7730018086438002</v>
      </c>
      <c r="J29" s="345">
        <f>'Falhas UM-3-1 Qty'!J30*'Falhas UM-3-1 Cost'!$D29/1000</f>
        <v>3.1528518693847598</v>
      </c>
      <c r="K29" s="345">
        <f>'Falhas UM-3-1 Qty'!K30*'Falhas UM-3-1 Cost'!$D29/1000</f>
        <v>3.1140713792025356</v>
      </c>
      <c r="L29" s="345">
        <f>'Falhas UM-3-1 Qty'!L30*'Falhas UM-3-1 Cost'!$D29/1000</f>
        <v>3.1157048012533104</v>
      </c>
      <c r="M29" s="345">
        <f>'Falhas UM-3-1 Qty'!M30*'Falhas UM-3-1 Cost'!$D29/1000</f>
        <v>2.964503145692631</v>
      </c>
      <c r="N29" s="345">
        <f>'Falhas UM-3-1 Qty'!N30*'Falhas UM-3-1 Cost'!$D29/1000</f>
        <v>2.2990587922158365</v>
      </c>
      <c r="O29" s="345">
        <f>'Falhas UM-3-1 Qty'!O30*'Falhas UM-3-1 Cost'!$D29/1000</f>
        <v>2.2066796818046122</v>
      </c>
      <c r="P29" s="819">
        <f>'Falhas UM-3-1 Qty'!P30*'Falhas UM-3-1 Cost'!$D29/1000</f>
        <v>2.7978227286455586</v>
      </c>
      <c r="Q29" s="825">
        <f t="shared" si="0"/>
        <v>16.918133145823216</v>
      </c>
      <c r="R29" s="345">
        <f t="shared" si="1"/>
        <v>16.497840528814486</v>
      </c>
      <c r="S29" s="798">
        <f t="shared" si="2"/>
        <v>33.415973674637698</v>
      </c>
    </row>
    <row r="30" spans="1:19" ht="18" customHeight="1">
      <c r="A30" s="1039"/>
      <c r="B30" s="803">
        <f t="shared" si="5"/>
        <v>3185</v>
      </c>
      <c r="C30" s="89" t="s">
        <v>131</v>
      </c>
      <c r="D30" s="315">
        <f>'[7]Falhas UM-3'!P31</f>
        <v>216.17370000000003</v>
      </c>
      <c r="E30" s="344">
        <f>'Falhas UM-3-1 Qty'!E31*'Falhas UM-3-1 Cost'!$D30/1000</f>
        <v>42.353067012099551</v>
      </c>
      <c r="F30" s="344">
        <f>'Falhas UM-3-1 Qty'!F31*'Falhas UM-3-1 Cost'!$D30/1000</f>
        <v>44.325291322723189</v>
      </c>
      <c r="G30" s="344">
        <f>'Falhas UM-3-1 Qty'!G31*'Falhas UM-3-1 Cost'!$D30/1000</f>
        <v>42.657975130906777</v>
      </c>
      <c r="H30" s="344">
        <f>'Falhas UM-3-1 Qty'!H31*'Falhas UM-3-1 Cost'!$D30/1000</f>
        <v>42.93376112948831</v>
      </c>
      <c r="I30" s="344">
        <f>'Falhas UM-3-1 Qty'!I31*'Falhas UM-3-1 Cost'!$D30/1000</f>
        <v>43.458254976810373</v>
      </c>
      <c r="J30" s="344">
        <f>'Falhas UM-3-1 Qty'!J31*'Falhas UM-3-1 Cost'!$D30/1000</f>
        <v>49.411233709525646</v>
      </c>
      <c r="K30" s="344">
        <f>'Falhas UM-3-1 Qty'!K31*'Falhas UM-3-1 Cost'!$D30/1000</f>
        <v>48.803469075109831</v>
      </c>
      <c r="L30" s="344">
        <f>'Falhas UM-3-1 Qty'!L31*'Falhas UM-3-1 Cost'!$D30/1000</f>
        <v>48.82906793038142</v>
      </c>
      <c r="M30" s="344">
        <f>'Falhas UM-3-1 Qty'!M31*'Falhas UM-3-1 Cost'!$D30/1000</f>
        <v>46.459448091047264</v>
      </c>
      <c r="N30" s="344">
        <f>'Falhas UM-3-1 Qty'!N31*'Falhas UM-3-1 Cost'!$D30/1000</f>
        <v>36.030659225447202</v>
      </c>
      <c r="O30" s="344">
        <f>'Falhas UM-3-1 Qty'!O31*'Falhas UM-3-1 Cost'!$D30/1000</f>
        <v>34.582901448200985</v>
      </c>
      <c r="P30" s="601">
        <f>'Falhas UM-3-1 Qty'!P31*'Falhas UM-3-1 Cost'!$D30/1000</f>
        <v>43.847246382020799</v>
      </c>
      <c r="Q30" s="824">
        <f t="shared" si="0"/>
        <v>265.13958328155388</v>
      </c>
      <c r="R30" s="344">
        <f t="shared" si="1"/>
        <v>258.55279215220747</v>
      </c>
      <c r="S30" s="797">
        <f t="shared" si="2"/>
        <v>523.6923754337613</v>
      </c>
    </row>
    <row r="31" spans="1:19" ht="18" customHeight="1">
      <c r="A31" s="1039"/>
      <c r="B31" s="104">
        <f t="shared" si="5"/>
        <v>3190</v>
      </c>
      <c r="C31" s="89" t="s">
        <v>113</v>
      </c>
      <c r="D31" s="314">
        <f>'[7]Falhas UM-3'!P32</f>
        <v>216.17370000000003</v>
      </c>
      <c r="E31" s="343">
        <f>'Falhas UM-3-1 Qty'!E32*'Falhas UM-3-1 Cost'!$D31/1000</f>
        <v>80.515134965026263</v>
      </c>
      <c r="F31" s="343">
        <f>'Falhas UM-3-1 Qty'!F32*'Falhas UM-3-1 Cost'!$D31/1000</f>
        <v>84.264424396788144</v>
      </c>
      <c r="G31" s="343">
        <f>'Falhas UM-3-1 Qty'!G32*'Falhas UM-3-1 Cost'!$D31/1000</f>
        <v>81.094779370251558</v>
      </c>
      <c r="H31" s="343">
        <f>'Falhas UM-3-1 Qty'!H32*'Falhas UM-3-1 Cost'!$D31/1000</f>
        <v>81.619061280955066</v>
      </c>
      <c r="I31" s="343">
        <f>'Falhas UM-3-1 Qty'!I32*'Falhas UM-3-1 Cost'!$D31/1000</f>
        <v>82.616148289869841</v>
      </c>
      <c r="J31" s="343">
        <f>'Falhas UM-3-1 Qty'!J32*'Falhas UM-3-1 Cost'!$D31/1000</f>
        <v>93.933035588057052</v>
      </c>
      <c r="K31" s="343">
        <f>'Falhas UM-3-1 Qty'!K32*'Falhas UM-3-1 Cost'!$D31/1000</f>
        <v>92.777646969967606</v>
      </c>
      <c r="L31" s="343">
        <f>'Falhas UM-3-1 Qty'!L32*'Falhas UM-3-1 Cost'!$D31/1000</f>
        <v>92.826311575214561</v>
      </c>
      <c r="M31" s="343">
        <f>'Falhas UM-3-1 Qty'!M32*'Falhas UM-3-1 Cost'!$D31/1000</f>
        <v>88.321554903748762</v>
      </c>
      <c r="N31" s="343">
        <f>'Falhas UM-3-1 Qty'!N32*'Falhas UM-3-1 Cost'!$D31/1000</f>
        <v>68.495945986319711</v>
      </c>
      <c r="O31" s="343">
        <f>'Falhas UM-3-1 Qty'!O32*'Falhas UM-3-1 Cost'!$D31/1000</f>
        <v>65.743691638403305</v>
      </c>
      <c r="P31" s="818">
        <f>'Falhas UM-3-1 Qty'!P32*'Falhas UM-3-1 Cost'!$D31/1000</f>
        <v>83.355638902953544</v>
      </c>
      <c r="Q31" s="823">
        <f t="shared" si="0"/>
        <v>504.04258389094792</v>
      </c>
      <c r="R31" s="343">
        <f t="shared" si="1"/>
        <v>491.52078997660755</v>
      </c>
      <c r="S31" s="796">
        <f t="shared" si="2"/>
        <v>995.56337386755547</v>
      </c>
    </row>
    <row r="32" spans="1:19" ht="18" customHeight="1">
      <c r="A32" s="1039"/>
      <c r="B32" s="104">
        <f t="shared" si="5"/>
        <v>3195</v>
      </c>
      <c r="C32" s="89" t="s">
        <v>132</v>
      </c>
      <c r="D32" s="314">
        <f>'[7]Falhas UM-3'!P33</f>
        <v>216.17370000000003</v>
      </c>
      <c r="E32" s="343">
        <f>'Falhas UM-3-1 Qty'!E33*'Falhas UM-3-1 Cost'!$D32/1000</f>
        <v>6.0403571388019452</v>
      </c>
      <c r="F32" s="343">
        <f>'Falhas UM-3-1 Qty'!F33*'Falhas UM-3-1 Cost'!$D32/1000</f>
        <v>6.3216340340641226</v>
      </c>
      <c r="G32" s="343">
        <f>'Falhas UM-3-1 Qty'!G33*'Falhas UM-3-1 Cost'!$D32/1000</f>
        <v>6.0838428663311879</v>
      </c>
      <c r="H32" s="343">
        <f>'Falhas UM-3-1 Qty'!H33*'Falhas UM-3-1 Cost'!$D32/1000</f>
        <v>6.1231752227066476</v>
      </c>
      <c r="I32" s="343">
        <f>'Falhas UM-3-1 Qty'!I33*'Falhas UM-3-1 Cost'!$D32/1000</f>
        <v>6.1979780735609777</v>
      </c>
      <c r="J32" s="343">
        <f>'Falhas UM-3-1 Qty'!J33*'Falhas UM-3-1 Cost'!$D32/1000</f>
        <v>7.0469866607081668</v>
      </c>
      <c r="K32" s="343">
        <f>'Falhas UM-3-1 Qty'!K33*'Falhas UM-3-1 Cost'!$D32/1000</f>
        <v>6.9603078034920847</v>
      </c>
      <c r="L32" s="343">
        <f>'Falhas UM-3-1 Qty'!L33*'Falhas UM-3-1 Cost'!$D32/1000</f>
        <v>6.9639586896992327</v>
      </c>
      <c r="M32" s="343">
        <f>'Falhas UM-3-1 Qty'!M33*'Falhas UM-3-1 Cost'!$D32/1000</f>
        <v>6.6260055939132814</v>
      </c>
      <c r="N32" s="343">
        <f>'Falhas UM-3-1 Qty'!N33*'Falhas UM-3-1 Cost'!$D32/1000</f>
        <v>5.1386609051475478</v>
      </c>
      <c r="O32" s="343">
        <f>'Falhas UM-3-1 Qty'!O33*'Falhas UM-3-1 Cost'!$D32/1000</f>
        <v>4.9321829652489582</v>
      </c>
      <c r="P32" s="818">
        <f>'Falhas UM-3-1 Qty'!P33*'Falhas UM-3-1 Cost'!$D32/1000</f>
        <v>6.253455685388337</v>
      </c>
      <c r="Q32" s="823">
        <f t="shared" si="0"/>
        <v>37.813973996173047</v>
      </c>
      <c r="R32" s="343">
        <f t="shared" si="1"/>
        <v>36.874571642889443</v>
      </c>
      <c r="S32" s="796">
        <f t="shared" si="2"/>
        <v>74.688545639062482</v>
      </c>
    </row>
    <row r="33" spans="1:19" ht="18" customHeight="1">
      <c r="A33" s="1039"/>
      <c r="B33" s="104">
        <f t="shared" si="5"/>
        <v>3200</v>
      </c>
      <c r="C33" s="89" t="s">
        <v>114</v>
      </c>
      <c r="D33" s="314">
        <f>'[7]Falhas UM-3'!P34</f>
        <v>216.17370000000003</v>
      </c>
      <c r="E33" s="343">
        <f>'Falhas UM-3-1 Qty'!E34*'Falhas UM-3-1 Cost'!$D33/1000</f>
        <v>6.0923205300381413</v>
      </c>
      <c r="F33" s="343">
        <f>'Falhas UM-3-1 Qty'!F34*'Falhas UM-3-1 Cost'!$D33/1000</f>
        <v>6.3760171665537477</v>
      </c>
      <c r="G33" s="343">
        <f>'Falhas UM-3-1 Qty'!G34*'Falhas UM-3-1 Cost'!$D33/1000</f>
        <v>6.1361803523139136</v>
      </c>
      <c r="H33" s="343">
        <f>'Falhas UM-3-1 Qty'!H34*'Falhas UM-3-1 Cost'!$D33/1000</f>
        <v>6.1758510732223968</v>
      </c>
      <c r="I33" s="343">
        <f>'Falhas UM-3-1 Qty'!I34*'Falhas UM-3-1 Cost'!$D33/1000</f>
        <v>6.2512974306964875</v>
      </c>
      <c r="J33" s="343">
        <f>'Falhas UM-3-1 Qty'!J34*'Falhas UM-3-1 Cost'!$D33/1000</f>
        <v>7.1076097855453275</v>
      </c>
      <c r="K33" s="343">
        <f>'Falhas UM-3-1 Qty'!K34*'Falhas UM-3-1 Cost'!$D33/1000</f>
        <v>7.0201852559681699</v>
      </c>
      <c r="L33" s="343">
        <f>'Falhas UM-3-1 Qty'!L34*'Falhas UM-3-1 Cost'!$D33/1000</f>
        <v>7.0238675496606673</v>
      </c>
      <c r="M33" s="343">
        <f>'Falhas UM-3-1 Qty'!M34*'Falhas UM-3-1 Cost'!$D33/1000</f>
        <v>6.6830071441689718</v>
      </c>
      <c r="N33" s="343">
        <f>'Falhas UM-3-1 Qty'!N34*'Falhas UM-3-1 Cost'!$D33/1000</f>
        <v>5.182867272570598</v>
      </c>
      <c r="O33" s="343">
        <f>'Falhas UM-3-1 Qty'!O34*'Falhas UM-3-1 Cost'!$D33/1000</f>
        <v>4.9746130645265909</v>
      </c>
      <c r="P33" s="818">
        <f>'Falhas UM-3-1 Qty'!P34*'Falhas UM-3-1 Cost'!$D33/1000</f>
        <v>6.3072522998750244</v>
      </c>
      <c r="Q33" s="823">
        <f t="shared" si="0"/>
        <v>38.139276338370017</v>
      </c>
      <c r="R33" s="343">
        <f t="shared" si="1"/>
        <v>37.191792586770021</v>
      </c>
      <c r="S33" s="796">
        <f t="shared" si="2"/>
        <v>75.331068925140045</v>
      </c>
    </row>
    <row r="34" spans="1:19" ht="18" customHeight="1">
      <c r="A34" s="1039"/>
      <c r="B34" s="104">
        <f t="shared" si="5"/>
        <v>3205</v>
      </c>
      <c r="C34" s="89" t="s">
        <v>133</v>
      </c>
      <c r="D34" s="314">
        <f>'[7]Falhas UM-3'!P35</f>
        <v>216.17370000000003</v>
      </c>
      <c r="E34" s="343">
        <f>'Falhas UM-3-1 Qty'!E35*'Falhas UM-3-1 Cost'!$D34/1000</f>
        <v>49.049581434370239</v>
      </c>
      <c r="F34" s="343">
        <f>'Falhas UM-3-1 Qty'!F35*'Falhas UM-3-1 Cost'!$D34/1000</f>
        <v>51.333637436811415</v>
      </c>
      <c r="G34" s="343">
        <f>'Falhas UM-3-1 Qty'!G35*'Falhas UM-3-1 Cost'!$D34/1000</f>
        <v>49.402699086963452</v>
      </c>
      <c r="H34" s="343">
        <f>'Falhas UM-3-1 Qty'!H35*'Falhas UM-3-1 Cost'!$D34/1000</f>
        <v>49.722090072084299</v>
      </c>
      <c r="I34" s="343">
        <f>'Falhas UM-3-1 Qty'!I35*'Falhas UM-3-1 Cost'!$D34/1000</f>
        <v>50.329512520822199</v>
      </c>
      <c r="J34" s="343">
        <f>'Falhas UM-3-1 Qty'!J35*'Falhas UM-3-1 Cost'!$D34/1000</f>
        <v>57.223726700021437</v>
      </c>
      <c r="K34" s="343">
        <f>'Falhas UM-3-1 Qty'!K35*'Falhas UM-3-1 Cost'!$D34/1000</f>
        <v>56.519867380454521</v>
      </c>
      <c r="L34" s="343">
        <f>'Falhas UM-3-1 Qty'!L35*'Falhas UM-3-1 Cost'!$D34/1000</f>
        <v>56.549513713644771</v>
      </c>
      <c r="M34" s="343">
        <f>'Falhas UM-3-1 Qty'!M35*'Falhas UM-3-1 Cost'!$D34/1000</f>
        <v>53.805229309289459</v>
      </c>
      <c r="N34" s="343">
        <f>'Falhas UM-3-1 Qty'!N35*'Falhas UM-3-1 Cost'!$D34/1000</f>
        <v>41.727527154237301</v>
      </c>
      <c r="O34" s="343">
        <f>'Falhas UM-3-1 Qty'!O35*'Falhas UM-3-1 Cost'!$D34/1000</f>
        <v>40.050861967935809</v>
      </c>
      <c r="P34" s="818">
        <f>'Falhas UM-3-1 Qty'!P35*'Falhas UM-3-1 Cost'!$D34/1000</f>
        <v>50.780008009181721</v>
      </c>
      <c r="Q34" s="823">
        <f t="shared" si="0"/>
        <v>307.06124725107304</v>
      </c>
      <c r="R34" s="343">
        <f t="shared" si="1"/>
        <v>299.43300753474358</v>
      </c>
      <c r="S34" s="796">
        <f t="shared" si="2"/>
        <v>606.49425478581657</v>
      </c>
    </row>
    <row r="35" spans="1:19" ht="18" customHeight="1">
      <c r="A35" s="1039"/>
      <c r="B35" s="104">
        <f t="shared" si="5"/>
        <v>3210</v>
      </c>
      <c r="C35" s="89" t="s">
        <v>116</v>
      </c>
      <c r="D35" s="314">
        <f>'[7]Falhas UM-3'!P36</f>
        <v>216.17370000000003</v>
      </c>
      <c r="E35" s="343">
        <f>'Falhas UM-3-1 Qty'!E36*'Falhas UM-3-1 Cost'!$D35/1000</f>
        <v>43.341158385458982</v>
      </c>
      <c r="F35" s="343">
        <f>'Falhas UM-3-1 Qty'!F36*'Falhas UM-3-1 Cost'!$D35/1000</f>
        <v>45.359394424751542</v>
      </c>
      <c r="G35" s="343">
        <f>'Falhas UM-3-1 Qty'!G36*'Falhas UM-3-1 Cost'!$D35/1000</f>
        <v>43.653179969786301</v>
      </c>
      <c r="H35" s="343">
        <f>'Falhas UM-3-1 Qty'!H36*'Falhas UM-3-1 Cost'!$D35/1000</f>
        <v>43.935400018728672</v>
      </c>
      <c r="I35" s="343">
        <f>'Falhas UM-3-1 Qty'!I36*'Falhas UM-3-1 Cost'!$D35/1000</f>
        <v>44.472130237168102</v>
      </c>
      <c r="J35" s="343">
        <f>'Falhas UM-3-1 Qty'!J36*'Falhas UM-3-1 Cost'!$D35/1000</f>
        <v>50.5639911653548</v>
      </c>
      <c r="K35" s="343">
        <f>'Falhas UM-3-1 Qty'!K36*'Falhas UM-3-1 Cost'!$D35/1000</f>
        <v>49.942047463526272</v>
      </c>
      <c r="L35" s="343">
        <f>'Falhas UM-3-1 Qty'!L36*'Falhas UM-3-1 Cost'!$D35/1000</f>
        <v>49.968243536658242</v>
      </c>
      <c r="M35" s="343">
        <f>'Falhas UM-3-1 Qty'!M36*'Falhas UM-3-1 Cost'!$D35/1000</f>
        <v>47.543340784265666</v>
      </c>
      <c r="N35" s="343">
        <f>'Falhas UM-3-1 Qty'!N36*'Falhas UM-3-1 Cost'!$D35/1000</f>
        <v>36.871249673051558</v>
      </c>
      <c r="O35" s="343">
        <f>'Falhas UM-3-1 Qty'!O36*'Falhas UM-3-1 Cost'!$D35/1000</f>
        <v>35.389715901023131</v>
      </c>
      <c r="P35" s="818">
        <f>'Falhas UM-3-1 Qty'!P36*'Falhas UM-3-1 Cost'!$D35/1000</f>
        <v>44.870196759693883</v>
      </c>
      <c r="Q35" s="823">
        <f t="shared" si="0"/>
        <v>271.32525420124841</v>
      </c>
      <c r="R35" s="343">
        <f t="shared" si="1"/>
        <v>264.58479411821872</v>
      </c>
      <c r="S35" s="796">
        <f t="shared" si="2"/>
        <v>535.91004831946714</v>
      </c>
    </row>
    <row r="36" spans="1:19" ht="18" customHeight="1" thickBot="1">
      <c r="A36" s="1040"/>
      <c r="B36" s="804"/>
      <c r="C36" s="88" t="s">
        <v>1</v>
      </c>
      <c r="D36" s="319">
        <f>'[7]Falhas UM-3'!P37</f>
        <v>427.29127968078274</v>
      </c>
      <c r="E36" s="346">
        <f>SUBTOTAL(109,E19:E35)</f>
        <v>402.8867182810809</v>
      </c>
      <c r="F36" s="346">
        <f t="shared" ref="F36:P36" si="6">SUBTOTAL(109,F19:F35)</f>
        <v>421.64764957312474</v>
      </c>
      <c r="G36" s="346">
        <f t="shared" si="6"/>
        <v>405.78717957065902</v>
      </c>
      <c r="H36" s="346">
        <f t="shared" si="6"/>
        <v>408.41061451303625</v>
      </c>
      <c r="I36" s="346">
        <f t="shared" si="6"/>
        <v>413.39990147177843</v>
      </c>
      <c r="J36" s="346">
        <f t="shared" si="6"/>
        <v>470.02805699438915</v>
      </c>
      <c r="K36" s="346">
        <f t="shared" si="6"/>
        <v>464.2466504441353</v>
      </c>
      <c r="L36" s="346">
        <f t="shared" si="6"/>
        <v>464.49016146989351</v>
      </c>
      <c r="M36" s="346">
        <f t="shared" si="6"/>
        <v>441.94897548281165</v>
      </c>
      <c r="N36" s="346">
        <f t="shared" si="6"/>
        <v>342.74434124681756</v>
      </c>
      <c r="O36" s="346">
        <f t="shared" si="6"/>
        <v>328.97243708757424</v>
      </c>
      <c r="P36" s="346">
        <f t="shared" si="6"/>
        <v>417.10021131333031</v>
      </c>
      <c r="Q36" s="826">
        <f t="shared" si="0"/>
        <v>2522.1601204040685</v>
      </c>
      <c r="R36" s="346">
        <f t="shared" si="1"/>
        <v>2459.5027770445627</v>
      </c>
      <c r="S36" s="800">
        <f t="shared" si="2"/>
        <v>4981.6628974486312</v>
      </c>
    </row>
    <row r="37" spans="1:19" ht="18" customHeight="1" thickTop="1">
      <c r="A37" s="1041" t="s">
        <v>172</v>
      </c>
      <c r="B37" s="104">
        <f>B35+10</f>
        <v>3220</v>
      </c>
      <c r="C37" s="82" t="s">
        <v>19</v>
      </c>
      <c r="D37" s="314">
        <f>'[7]Falhas UM-3'!P38</f>
        <v>216.17370000000003</v>
      </c>
      <c r="E37" s="344">
        <f>'Falhas UM-3-1 Qty'!E38*'Falhas UM-3-1 Cost'!$D37/1000</f>
        <v>2.2488763627683941</v>
      </c>
      <c r="F37" s="344">
        <f>'Falhas UM-3-1 Qty'!F38*'Falhas UM-3-1 Cost'!$D37/1000</f>
        <v>2.3535981443803764</v>
      </c>
      <c r="G37" s="344">
        <f>'Falhas UM-3-1 Qty'!G38*'Falhas UM-3-1 Cost'!$D37/1000</f>
        <v>2.2650664691662588</v>
      </c>
      <c r="H37" s="344">
        <f>'Falhas UM-3-1 Qty'!H38*'Falhas UM-3-1 Cost'!$D37/1000</f>
        <v>2.2797102401407501</v>
      </c>
      <c r="I37" s="344">
        <f>'Falhas UM-3-1 Qty'!I38*'Falhas UM-3-1 Cost'!$D37/1000</f>
        <v>2.3075599780433933</v>
      </c>
      <c r="J37" s="344">
        <f>'Falhas UM-3-1 Qty'!J38*'Falhas UM-3-1 Cost'!$D37/1000</f>
        <v>2.623653099616897</v>
      </c>
      <c r="K37" s="344">
        <f>'Falhas UM-3-1 Qty'!K38*'Falhas UM-3-1 Cost'!$D37/1000</f>
        <v>2.5913818234877364</v>
      </c>
      <c r="L37" s="344">
        <f>'Falhas UM-3-1 Qty'!L38*'Falhas UM-3-1 Cost'!$D37/1000</f>
        <v>2.592741079489616</v>
      </c>
      <c r="M37" s="344">
        <f>'Falhas UM-3-1 Qty'!M38*'Falhas UM-3-1 Cost'!$D37/1000</f>
        <v>2.4669182661405085</v>
      </c>
      <c r="N37" s="344">
        <f>'Falhas UM-3-1 Qty'!N38*'Falhas UM-3-1 Cost'!$D37/1000</f>
        <v>1.9131671820584508</v>
      </c>
      <c r="O37" s="344">
        <f>'Falhas UM-3-1 Qty'!O38*'Falhas UM-3-1 Cost'!$D37/1000</f>
        <v>1.8362936880247598</v>
      </c>
      <c r="P37" s="601">
        <f>'Falhas UM-3-1 Qty'!P38*'Falhas UM-3-1 Cost'!$D37/1000</f>
        <v>2.3282147650095388</v>
      </c>
      <c r="Q37" s="824">
        <f t="shared" si="0"/>
        <v>14.078464294116069</v>
      </c>
      <c r="R37" s="344">
        <f t="shared" si="1"/>
        <v>13.728716804210611</v>
      </c>
      <c r="S37" s="797">
        <f t="shared" si="2"/>
        <v>27.80718109832668</v>
      </c>
    </row>
    <row r="38" spans="1:19" ht="18" customHeight="1">
      <c r="A38" s="1039"/>
      <c r="B38" s="104">
        <f>B37+10</f>
        <v>3230</v>
      </c>
      <c r="C38" s="82" t="s">
        <v>61</v>
      </c>
      <c r="D38" s="314">
        <f>'[7]Falhas UM-3'!P39</f>
        <v>216.17370000000003</v>
      </c>
      <c r="E38" s="344">
        <f>'Falhas UM-3-1 Qty'!E39*'Falhas UM-3-1 Cost'!$D38/1000</f>
        <v>0.68238258029407917</v>
      </c>
      <c r="F38" s="344">
        <f>'Falhas UM-3-1 Qty'!F39*'Falhas UM-3-1 Cost'!$D38/1000</f>
        <v>0.71415859107548485</v>
      </c>
      <c r="G38" s="344">
        <f>'Falhas UM-3-1 Qty'!G39*'Falhas UM-3-1 Cost'!$D38/1000</f>
        <v>0.6872951876574338</v>
      </c>
      <c r="H38" s="344">
        <f>'Falhas UM-3-1 Qty'!H39*'Falhas UM-3-1 Cost'!$D38/1000</f>
        <v>0.69173858632009211</v>
      </c>
      <c r="I38" s="344">
        <f>'Falhas UM-3-1 Qty'!I39*'Falhas UM-3-1 Cost'!$D38/1000</f>
        <v>0.7001891069112397</v>
      </c>
      <c r="J38" s="344">
        <f>'Falhas UM-3-1 Qty'!J39*'Falhas UM-3-1 Cost'!$D38/1000</f>
        <v>0.79610208971613361</v>
      </c>
      <c r="K38" s="344">
        <f>'Falhas UM-3-1 Qty'!K39*'Falhas UM-3-1 Cost'!$D38/1000</f>
        <v>0.78630992993404114</v>
      </c>
      <c r="L38" s="344">
        <f>'Falhas UM-3-1 Qty'!L39*'Falhas UM-3-1 Cost'!$D38/1000</f>
        <v>0.7867223726246213</v>
      </c>
      <c r="M38" s="344">
        <f>'Falhas UM-3-1 Qty'!M39*'Falhas UM-3-1 Cost'!$D38/1000</f>
        <v>0.74854361924605406</v>
      </c>
      <c r="N38" s="344">
        <f>'Falhas UM-3-1 Qty'!N39*'Falhas UM-3-1 Cost'!$D38/1000</f>
        <v>0.58051744410701911</v>
      </c>
      <c r="O38" s="344">
        <f>'Falhas UM-3-1 Qty'!O39*'Falhas UM-3-1 Cost'!$D38/1000</f>
        <v>0.55719151384095678</v>
      </c>
      <c r="P38" s="601">
        <f>'Falhas UM-3-1 Qty'!P39*'Falhas UM-3-1 Cost'!$D38/1000</f>
        <v>0.70645644426189436</v>
      </c>
      <c r="Q38" s="824">
        <f t="shared" si="0"/>
        <v>4.2718661419744635</v>
      </c>
      <c r="R38" s="344">
        <f t="shared" si="1"/>
        <v>4.1657413240145873</v>
      </c>
      <c r="S38" s="797">
        <f t="shared" si="2"/>
        <v>8.4376074659890499</v>
      </c>
    </row>
    <row r="39" spans="1:19" ht="18" customHeight="1">
      <c r="A39" s="1039"/>
      <c r="B39" s="104">
        <f t="shared" ref="B39:B48" si="7">B38+10</f>
        <v>3240</v>
      </c>
      <c r="C39" s="82" t="s">
        <v>70</v>
      </c>
      <c r="D39" s="314">
        <f>'[7]Falhas UM-3'!P40</f>
        <v>216.17370000000003</v>
      </c>
      <c r="E39" s="344">
        <f>'Falhas UM-3-1 Qty'!E40*'Falhas UM-3-1 Cost'!$D39/1000</f>
        <v>22.944302033546975</v>
      </c>
      <c r="F39" s="344">
        <f>'Falhas UM-3-1 Qty'!F40*'Falhas UM-3-1 Cost'!$D39/1000</f>
        <v>24.012732573605039</v>
      </c>
      <c r="G39" s="344">
        <f>'Falhas UM-3-1 Qty'!G40*'Falhas UM-3-1 Cost'!$D39/1000</f>
        <v>23.109482608743456</v>
      </c>
      <c r="H39" s="344">
        <f>'Falhas UM-3-1 Qty'!H40*'Falhas UM-3-1 Cost'!$D39/1000</f>
        <v>23.258886599870479</v>
      </c>
      <c r="I39" s="344">
        <f>'Falhas UM-3-1 Qty'!I40*'Falhas UM-3-1 Cost'!$D39/1000</f>
        <v>23.543025296231164</v>
      </c>
      <c r="J39" s="344">
        <f>'Falhas UM-3-1 Qty'!J40*'Falhas UM-3-1 Cost'!$D39/1000</f>
        <v>26.767985179388631</v>
      </c>
      <c r="K39" s="344">
        <f>'Falhas UM-3-1 Qty'!K40*'Falhas UM-3-1 Cost'!$D39/1000</f>
        <v>26.438735462163642</v>
      </c>
      <c r="L39" s="344">
        <f>'Falhas UM-3-1 Qty'!L40*'Falhas UM-3-1 Cost'!$D39/1000</f>
        <v>26.452603356710608</v>
      </c>
      <c r="M39" s="344">
        <f>'Falhas UM-3-1 Qty'!M40*'Falhas UM-3-1 Cost'!$D39/1000</f>
        <v>25.168888217902932</v>
      </c>
      <c r="N39" s="344">
        <f>'Falhas UM-3-1 Qty'!N40*'Falhas UM-3-1 Cost'!$D39/1000</f>
        <v>19.519208077665137</v>
      </c>
      <c r="O39" s="344">
        <f>'Falhas UM-3-1 Qty'!O40*'Falhas UM-3-1 Cost'!$D39/1000</f>
        <v>18.734901436942653</v>
      </c>
      <c r="P39" s="601">
        <f>'Falhas UM-3-1 Qty'!P40*'Falhas UM-3-1 Cost'!$D39/1000</f>
        <v>23.753757054737626</v>
      </c>
      <c r="Q39" s="824">
        <f t="shared" si="0"/>
        <v>143.63641429138573</v>
      </c>
      <c r="R39" s="344">
        <f t="shared" si="1"/>
        <v>140.0680936061226</v>
      </c>
      <c r="S39" s="797">
        <f t="shared" si="2"/>
        <v>283.70450789750834</v>
      </c>
    </row>
    <row r="40" spans="1:19" ht="18" customHeight="1">
      <c r="A40" s="1039"/>
      <c r="B40" s="104">
        <f t="shared" si="7"/>
        <v>3250</v>
      </c>
      <c r="C40" s="82" t="s">
        <v>69</v>
      </c>
      <c r="D40" s="314">
        <f>'[7]Falhas UM-3'!P41</f>
        <v>216.17370000000003</v>
      </c>
      <c r="E40" s="344">
        <f>'Falhas UM-3-1 Qty'!E41*'Falhas UM-3-1 Cost'!$D40/1000</f>
        <v>11.736158561753298</v>
      </c>
      <c r="F40" s="344">
        <f>'Falhas UM-3-1 Qty'!F41*'Falhas UM-3-1 Cost'!$D40/1000</f>
        <v>12.282667678134674</v>
      </c>
      <c r="G40" s="344">
        <f>'Falhas UM-3-1 Qty'!G41*'Falhas UM-3-1 Cost'!$D40/1000</f>
        <v>11.820649491963033</v>
      </c>
      <c r="H40" s="344">
        <f>'Falhas UM-3-1 Qty'!H41*'Falhas UM-3-1 Cost'!$D40/1000</f>
        <v>11.897070597606684</v>
      </c>
      <c r="I40" s="344">
        <f>'Falhas UM-3-1 Qty'!I41*'Falhas UM-3-1 Cost'!$D40/1000</f>
        <v>12.042409374490948</v>
      </c>
      <c r="J40" s="344">
        <f>'Falhas UM-3-1 Qty'!J41*'Falhas UM-3-1 Cost'!$D40/1000</f>
        <v>13.691997167080617</v>
      </c>
      <c r="K40" s="344">
        <f>'Falhas UM-3-1 Qty'!K41*'Falhas UM-3-1 Cost'!$D40/1000</f>
        <v>13.523583811899227</v>
      </c>
      <c r="L40" s="344">
        <f>'Falhas UM-3-1 Qty'!L41*'Falhas UM-3-1 Cost'!$D40/1000</f>
        <v>13.530677329456781</v>
      </c>
      <c r="M40" s="344">
        <f>'Falhas UM-3-1 Qty'!M41*'Falhas UM-3-1 Cost'!$D40/1000</f>
        <v>12.874048751470749</v>
      </c>
      <c r="N40" s="344">
        <f>'Falhas UM-3-1 Qty'!N41*'Falhas UM-3-1 Cost'!$D40/1000</f>
        <v>9.9842008993951588</v>
      </c>
      <c r="O40" s="344">
        <f>'Falhas UM-3-1 Qty'!O41*'Falhas UM-3-1 Cost'!$D40/1000</f>
        <v>9.5830229911242153</v>
      </c>
      <c r="P40" s="601">
        <f>'Falhas UM-3-1 Qty'!P41*'Falhas UM-3-1 Cost'!$D40/1000</f>
        <v>12.150200028929378</v>
      </c>
      <c r="Q40" s="824">
        <f t="shared" si="0"/>
        <v>73.470952871029255</v>
      </c>
      <c r="R40" s="344">
        <f t="shared" si="1"/>
        <v>71.645733812275523</v>
      </c>
      <c r="S40" s="797">
        <f t="shared" si="2"/>
        <v>145.11668668330478</v>
      </c>
    </row>
    <row r="41" spans="1:19" ht="18" customHeight="1">
      <c r="A41" s="1039"/>
      <c r="B41" s="104">
        <f t="shared" si="7"/>
        <v>3260</v>
      </c>
      <c r="C41" s="82" t="s">
        <v>15</v>
      </c>
      <c r="D41" s="314">
        <f>'[7]Falhas UM-3'!P42</f>
        <v>216.17370000000003</v>
      </c>
      <c r="E41" s="344">
        <f>'Falhas UM-3-1 Qty'!E42*'Falhas UM-3-1 Cost'!$D41/1000</f>
        <v>12.525976631567842</v>
      </c>
      <c r="F41" s="344">
        <f>'Falhas UM-3-1 Qty'!F42*'Falhas UM-3-1 Cost'!$D41/1000</f>
        <v>13.109264628633657</v>
      </c>
      <c r="G41" s="344">
        <f>'Falhas UM-3-1 Qty'!G42*'Falhas UM-3-1 Cost'!$D41/1000</f>
        <v>12.616153618511044</v>
      </c>
      <c r="H41" s="344">
        <f>'Falhas UM-3-1 Qty'!H42*'Falhas UM-3-1 Cost'!$D41/1000</f>
        <v>12.69771769916095</v>
      </c>
      <c r="I41" s="344">
        <f>'Falhas UM-3-1 Qty'!I42*'Falhas UM-3-1 Cost'!$D41/1000</f>
        <v>12.852837461162613</v>
      </c>
      <c r="J41" s="344">
        <f>'Falhas UM-3-1 Qty'!J42*'Falhas UM-3-1 Cost'!$D41/1000</f>
        <v>14.613438941874962</v>
      </c>
      <c r="K41" s="344">
        <f>'Falhas UM-3-1 Qty'!K42*'Falhas UM-3-1 Cost'!$D41/1000</f>
        <v>14.433691732398703</v>
      </c>
      <c r="L41" s="344">
        <f>'Falhas UM-3-1 Qty'!L42*'Falhas UM-3-1 Cost'!$D41/1000</f>
        <v>14.441262628334885</v>
      </c>
      <c r="M41" s="344">
        <f>'Falhas UM-3-1 Qty'!M42*'Falhas UM-3-1 Cost'!$D41/1000</f>
        <v>13.740444368237696</v>
      </c>
      <c r="N41" s="344">
        <f>'Falhas UM-3-1 Qty'!N42*'Falhas UM-3-1 Cost'!$D41/1000</f>
        <v>10.656116010417895</v>
      </c>
      <c r="O41" s="344">
        <f>'Falhas UM-3-1 Qty'!O42*'Falhas UM-3-1 Cost'!$D41/1000</f>
        <v>10.227939697217815</v>
      </c>
      <c r="P41" s="601">
        <f>'Falhas UM-3-1 Qty'!P42*'Falhas UM-3-1 Cost'!$D41/1000</f>
        <v>12.96788219334587</v>
      </c>
      <c r="Q41" s="824">
        <f t="shared" si="0"/>
        <v>78.415388980911075</v>
      </c>
      <c r="R41" s="344">
        <f t="shared" si="1"/>
        <v>76.467336629952868</v>
      </c>
      <c r="S41" s="797">
        <f t="shared" si="2"/>
        <v>154.88272561086393</v>
      </c>
    </row>
    <row r="42" spans="1:19" ht="18" customHeight="1">
      <c r="A42" s="1039"/>
      <c r="B42" s="104">
        <f t="shared" si="7"/>
        <v>3270</v>
      </c>
      <c r="C42" s="82" t="s">
        <v>14</v>
      </c>
      <c r="D42" s="314">
        <f>'[7]Falhas UM-3'!P43</f>
        <v>216.17370000000003</v>
      </c>
      <c r="E42" s="344">
        <f>'Falhas UM-3-1 Qty'!E43*'Falhas UM-3-1 Cost'!$D42/1000</f>
        <v>12.967828562155333</v>
      </c>
      <c r="F42" s="344">
        <f>'Falhas UM-3-1 Qty'!F43*'Falhas UM-3-1 Cost'!$D42/1000</f>
        <v>13.571691955070323</v>
      </c>
      <c r="G42" s="344">
        <f>'Falhas UM-3-1 Qty'!G43*'Falhas UM-3-1 Cost'!$D42/1000</f>
        <v>13.061186528669822</v>
      </c>
      <c r="H42" s="344">
        <f>'Falhas UM-3-1 Qty'!H43*'Falhas UM-3-1 Cost'!$D42/1000</f>
        <v>13.145627769924591</v>
      </c>
      <c r="I42" s="344">
        <f>'Falhas UM-3-1 Qty'!I43*'Falhas UM-3-1 Cost'!$D42/1000</f>
        <v>13.306219358062346</v>
      </c>
      <c r="J42" s="344">
        <f>'Falhas UM-3-1 Qty'!J43*'Falhas UM-3-1 Cost'!$D42/1000</f>
        <v>15.128925789640357</v>
      </c>
      <c r="K42" s="344">
        <f>'Falhas UM-3-1 Qty'!K43*'Falhas UM-3-1 Cost'!$D42/1000</f>
        <v>14.942838024544296</v>
      </c>
      <c r="L42" s="344">
        <f>'Falhas UM-3-1 Qty'!L43*'Falhas UM-3-1 Cost'!$D42/1000</f>
        <v>14.950675982689203</v>
      </c>
      <c r="M42" s="344">
        <f>'Falhas UM-3-1 Qty'!M43*'Falhas UM-3-1 Cost'!$D42/1000</f>
        <v>14.225136464495899</v>
      </c>
      <c r="N42" s="344">
        <f>'Falhas UM-3-1 Qty'!N43*'Falhas UM-3-1 Cost'!$D42/1000</f>
        <v>11.032008890490919</v>
      </c>
      <c r="O42" s="344">
        <f>'Falhas UM-3-1 Qty'!O43*'Falhas UM-3-1 Cost'!$D42/1000</f>
        <v>10.588728722622731</v>
      </c>
      <c r="P42" s="601">
        <f>'Falhas UM-3-1 Qty'!P43*'Falhas UM-3-1 Cost'!$D42/1000</f>
        <v>13.425322275767918</v>
      </c>
      <c r="Q42" s="824">
        <f t="shared" si="0"/>
        <v>81.181479963522776</v>
      </c>
      <c r="R42" s="344">
        <f t="shared" si="1"/>
        <v>79.164710360610968</v>
      </c>
      <c r="S42" s="797">
        <f t="shared" si="2"/>
        <v>160.34619032413374</v>
      </c>
    </row>
    <row r="43" spans="1:19" ht="18" customHeight="1">
      <c r="A43" s="1039"/>
      <c r="B43" s="104">
        <f t="shared" si="7"/>
        <v>3280</v>
      </c>
      <c r="C43" s="82" t="s">
        <v>68</v>
      </c>
      <c r="D43" s="314">
        <f>'[7]Falhas UM-3'!P44</f>
        <v>216.17370000000003</v>
      </c>
      <c r="E43" s="344">
        <f>'Falhas UM-3-1 Qty'!E44*'Falhas UM-3-1 Cost'!$D43/1000</f>
        <v>37.323099606591612</v>
      </c>
      <c r="F43" s="344">
        <f>'Falhas UM-3-1 Qty'!F44*'Falhas UM-3-1 Cost'!$D43/1000</f>
        <v>39.061097102048521</v>
      </c>
      <c r="G43" s="344">
        <f>'Falhas UM-3-1 Qty'!G44*'Falhas UM-3-1 Cost'!$D43/1000</f>
        <v>37.591795993699762</v>
      </c>
      <c r="H43" s="344">
        <f>'Falhas UM-3-1 Qty'!H44*'Falhas UM-3-1 Cost'!$D43/1000</f>
        <v>37.83482888414477</v>
      </c>
      <c r="I43" s="344">
        <f>'Falhas UM-3-1 Qty'!I44*'Falhas UM-3-1 Cost'!$D43/1000</f>
        <v>38.297032391178952</v>
      </c>
      <c r="J43" s="344">
        <f>'Falhas UM-3-1 Qty'!J44*'Falhas UM-3-1 Cost'!$D43/1000</f>
        <v>43.543018901047986</v>
      </c>
      <c r="K43" s="344">
        <f>'Falhas UM-3-1 Qty'!K44*'Falhas UM-3-1 Cost'!$D43/1000</f>
        <v>43.007434075958834</v>
      </c>
      <c r="L43" s="344">
        <f>'Falhas UM-3-1 Qty'!L44*'Falhas UM-3-1 Cost'!$D43/1000</f>
        <v>43.02999274036069</v>
      </c>
      <c r="M43" s="344">
        <f>'Falhas UM-3-1 Qty'!M44*'Falhas UM-3-1 Cost'!$D43/1000</f>
        <v>40.941795508553177</v>
      </c>
      <c r="N43" s="344">
        <f>'Falhas UM-3-1 Qty'!N44*'Falhas UM-3-1 Cost'!$D43/1000</f>
        <v>31.751558459233795</v>
      </c>
      <c r="O43" s="344">
        <f>'Falhas UM-3-1 Qty'!O44*'Falhas UM-3-1 Cost'!$D43/1000</f>
        <v>30.475740400746044</v>
      </c>
      <c r="P43" s="601">
        <f>'Falhas UM-3-1 Qty'!P44*'Falhas UM-3-1 Cost'!$D43/1000</f>
        <v>38.639826100985836</v>
      </c>
      <c r="Q43" s="824">
        <f t="shared" si="0"/>
        <v>233.65087287871162</v>
      </c>
      <c r="R43" s="344">
        <f t="shared" si="1"/>
        <v>227.84634728583836</v>
      </c>
      <c r="S43" s="797">
        <f t="shared" si="2"/>
        <v>461.49722016454996</v>
      </c>
    </row>
    <row r="44" spans="1:19" ht="18" customHeight="1">
      <c r="A44" s="1039"/>
      <c r="B44" s="104">
        <f t="shared" si="7"/>
        <v>3290</v>
      </c>
      <c r="C44" s="82" t="s">
        <v>13</v>
      </c>
      <c r="D44" s="314">
        <f>'[7]Falhas UM-3'!P45</f>
        <v>216.17370000000003</v>
      </c>
      <c r="E44" s="344">
        <f>'Falhas UM-3-1 Qty'!E45*'Falhas UM-3-1 Cost'!$D44/1000</f>
        <v>41.594470586579639</v>
      </c>
      <c r="F44" s="344">
        <f>'Falhas UM-3-1 Qty'!F45*'Falhas UM-3-1 Cost'!$D44/1000</f>
        <v>43.531369892005081</v>
      </c>
      <c r="G44" s="344">
        <f>'Falhas UM-3-1 Qty'!G45*'Falhas UM-3-1 Cost'!$D44/1000</f>
        <v>41.893917419455128</v>
      </c>
      <c r="H44" s="344">
        <f>'Falhas UM-3-1 Qty'!H45*'Falhas UM-3-1 Cost'!$D44/1000</f>
        <v>42.164763745717941</v>
      </c>
      <c r="I44" s="344">
        <f>'Falhas UM-3-1 Qty'!I45*'Falhas UM-3-1 Cost'!$D44/1000</f>
        <v>42.679863251948447</v>
      </c>
      <c r="J44" s="344">
        <f>'Falhas UM-3-1 Qty'!J45*'Falhas UM-3-1 Cost'!$D44/1000</f>
        <v>48.526216686747425</v>
      </c>
      <c r="K44" s="344">
        <f>'Falhas UM-3-1 Qty'!K45*'Falhas UM-3-1 Cost'!$D44/1000</f>
        <v>47.929337877414675</v>
      </c>
      <c r="L44" s="344">
        <f>'Falhas UM-3-1 Qty'!L45*'Falhas UM-3-1 Cost'!$D44/1000</f>
        <v>47.954478225157146</v>
      </c>
      <c r="M44" s="344">
        <f>'Falhas UM-3-1 Qty'!M45*'Falhas UM-3-1 Cost'!$D44/1000</f>
        <v>45.627301242191479</v>
      </c>
      <c r="N44" s="344">
        <f>'Falhas UM-3-1 Qty'!N45*'Falhas UM-3-1 Cost'!$D44/1000</f>
        <v>35.385305034456941</v>
      </c>
      <c r="O44" s="344">
        <f>'Falhas UM-3-1 Qty'!O45*'Falhas UM-3-1 Cost'!$D44/1000</f>
        <v>33.963478410544283</v>
      </c>
      <c r="P44" s="601">
        <f>'Falhas UM-3-1 Qty'!P45*'Falhas UM-3-1 Cost'!$D44/1000</f>
        <v>43.061887334356342</v>
      </c>
      <c r="Q44" s="824">
        <f t="shared" si="0"/>
        <v>260.39060158245366</v>
      </c>
      <c r="R44" s="344">
        <f t="shared" si="1"/>
        <v>253.92178812412089</v>
      </c>
      <c r="S44" s="797">
        <f t="shared" si="2"/>
        <v>514.31238970657455</v>
      </c>
    </row>
    <row r="45" spans="1:19" ht="18" customHeight="1">
      <c r="A45" s="1039"/>
      <c r="B45" s="104">
        <f t="shared" si="7"/>
        <v>3300</v>
      </c>
      <c r="C45" s="82" t="s">
        <v>12</v>
      </c>
      <c r="D45" s="314">
        <f>'[7]Falhas UM-3'!P46</f>
        <v>216.17370000000003</v>
      </c>
      <c r="E45" s="344">
        <f>'Falhas UM-3-1 Qty'!E46*'Falhas UM-3-1 Cost'!$D45/1000</f>
        <v>4.2561412577399134</v>
      </c>
      <c r="F45" s="344">
        <f>'Falhas UM-3-1 Qty'!F46*'Falhas UM-3-1 Cost'!$D45/1000</f>
        <v>4.4543338763657356</v>
      </c>
      <c r="G45" s="344">
        <f>'Falhas UM-3-1 Qty'!G46*'Falhas UM-3-1 Cost'!$D45/1000</f>
        <v>4.2867820617200483</v>
      </c>
      <c r="H45" s="344">
        <f>'Falhas UM-3-1 Qty'!H46*'Falhas UM-3-1 Cost'!$D45/1000</f>
        <v>4.314496327762094</v>
      </c>
      <c r="I45" s="344">
        <f>'Falhas UM-3-1 Qty'!I46*'Falhas UM-3-1 Cost'!$D45/1000</f>
        <v>4.3672037244278519</v>
      </c>
      <c r="J45" s="344">
        <f>'Falhas UM-3-1 Qty'!J46*'Falhas UM-3-1 Cost'!$D45/1000</f>
        <v>4.9654300201414419</v>
      </c>
      <c r="K45" s="344">
        <f>'Falhas UM-3-1 Qty'!K46*'Falhas UM-3-1 Cost'!$D45/1000</f>
        <v>4.9043545817371017</v>
      </c>
      <c r="L45" s="344">
        <f>'Falhas UM-3-1 Qty'!L46*'Falhas UM-3-1 Cost'!$D45/1000</f>
        <v>4.9069270599956694</v>
      </c>
      <c r="M45" s="344">
        <f>'Falhas UM-3-1 Qty'!M46*'Falhas UM-3-1 Cost'!$D45/1000</f>
        <v>4.6687993994777681</v>
      </c>
      <c r="N45" s="344">
        <f>'Falhas UM-3-1 Qty'!N46*'Falhas UM-3-1 Cost'!$D45/1000</f>
        <v>3.6207903250355673</v>
      </c>
      <c r="O45" s="344">
        <f>'Falhas UM-3-1 Qty'!O46*'Falhas UM-3-1 Cost'!$D45/1000</f>
        <v>3.475302358244611</v>
      </c>
      <c r="P45" s="601">
        <f>'Falhas UM-3-1 Qty'!P46*'Falhas UM-3-1 Cost'!$D45/1000</f>
        <v>4.406294219766699</v>
      </c>
      <c r="Q45" s="824">
        <f t="shared" si="0"/>
        <v>26.644387268157089</v>
      </c>
      <c r="R45" s="344">
        <f t="shared" si="1"/>
        <v>25.982467944257419</v>
      </c>
      <c r="S45" s="797">
        <f t="shared" si="2"/>
        <v>52.626855212414512</v>
      </c>
    </row>
    <row r="46" spans="1:19" ht="18" customHeight="1">
      <c r="A46" s="1039"/>
      <c r="B46" s="104">
        <f t="shared" si="7"/>
        <v>3310</v>
      </c>
      <c r="C46" s="82" t="s">
        <v>133</v>
      </c>
      <c r="D46" s="314">
        <f>'[7]Falhas UM-3'!P47</f>
        <v>216.17370000000003</v>
      </c>
      <c r="E46" s="344">
        <f>'Falhas UM-3-1 Qty'!E47*'Falhas UM-3-1 Cost'!$D46/1000</f>
        <v>60.699286125264081</v>
      </c>
      <c r="F46" s="344">
        <f>'Falhas UM-3-1 Qty'!F47*'Falhas UM-3-1 Cost'!$D46/1000</f>
        <v>63.525825409881804</v>
      </c>
      <c r="G46" s="344">
        <f>'Falhas UM-3-1 Qty'!G47*'Falhas UM-3-1 Cost'!$D46/1000</f>
        <v>61.136272309525751</v>
      </c>
      <c r="H46" s="344">
        <f>'Falhas UM-3-1 Qty'!H47*'Falhas UM-3-1 Cost'!$D46/1000</f>
        <v>61.531521447739507</v>
      </c>
      <c r="I46" s="344">
        <f>'Falhas UM-3-1 Qty'!I47*'Falhas UM-3-1 Cost'!$D46/1000</f>
        <v>62.283212041963715</v>
      </c>
      <c r="J46" s="344">
        <f>'Falhas UM-3-1 Qty'!J47*'Falhas UM-3-1 Cost'!$D46/1000</f>
        <v>70.814862401345422</v>
      </c>
      <c r="K46" s="344">
        <f>'Falhas UM-3-1 Qty'!K47*'Falhas UM-3-1 Cost'!$D46/1000</f>
        <v>69.943830335812052</v>
      </c>
      <c r="L46" s="344">
        <f>'Falhas UM-3-1 Qty'!L47*'Falhas UM-3-1 Cost'!$D46/1000</f>
        <v>69.980517932489875</v>
      </c>
      <c r="M46" s="344">
        <f>'Falhas UM-3-1 Qty'!M47*'Falhas UM-3-1 Cost'!$D46/1000</f>
        <v>66.584441974289362</v>
      </c>
      <c r="N46" s="344">
        <f>'Falhas UM-3-1 Qty'!N47*'Falhas UM-3-1 Cost'!$D46/1000</f>
        <v>51.638179898105307</v>
      </c>
      <c r="O46" s="344">
        <f>'Falhas UM-3-1 Qty'!O47*'Falhas UM-3-1 Cost'!$D46/1000</f>
        <v>49.56329206209476</v>
      </c>
      <c r="P46" s="601">
        <f>'Falhas UM-3-1 Qty'!P47*'Falhas UM-3-1 Cost'!$D46/1000</f>
        <v>62.840704149876245</v>
      </c>
      <c r="Q46" s="824">
        <f t="shared" si="0"/>
        <v>379.99097973572032</v>
      </c>
      <c r="R46" s="344">
        <f t="shared" si="1"/>
        <v>370.55096635266761</v>
      </c>
      <c r="S46" s="797">
        <f t="shared" si="2"/>
        <v>750.54194608838793</v>
      </c>
    </row>
    <row r="47" spans="1:19" ht="18" customHeight="1">
      <c r="A47" s="1039"/>
      <c r="B47" s="104">
        <f t="shared" si="7"/>
        <v>3320</v>
      </c>
      <c r="C47" s="82" t="s">
        <v>11</v>
      </c>
      <c r="D47" s="314">
        <f>'[7]Falhas UM-3'!P48</f>
        <v>216.17370000000003</v>
      </c>
      <c r="E47" s="344">
        <f>'Falhas UM-3-1 Qty'!E48*'Falhas UM-3-1 Cost'!$D47/1000</f>
        <v>79.041221875455619</v>
      </c>
      <c r="F47" s="344">
        <f>'Falhas UM-3-1 Qty'!F48*'Falhas UM-3-1 Cost'!$D47/1000</f>
        <v>82.721876673835084</v>
      </c>
      <c r="G47" s="344">
        <f>'Falhas UM-3-1 Qty'!G48*'Falhas UM-3-1 Cost'!$D47/1000</f>
        <v>79.610255288393219</v>
      </c>
      <c r="H47" s="344">
        <f>'Falhas UM-3-1 Qty'!H48*'Falhas UM-3-1 Cost'!$D47/1000</f>
        <v>80.124939674716401</v>
      </c>
      <c r="I47" s="344">
        <f>'Falhas UM-3-1 Qty'!I48*'Falhas UM-3-1 Cost'!$D47/1000</f>
        <v>81.103773971336565</v>
      </c>
      <c r="J47" s="344">
        <f>'Falhas UM-3-1 Qty'!J48*'Falhas UM-3-1 Cost'!$D47/1000</f>
        <v>92.21349390491288</v>
      </c>
      <c r="K47" s="344">
        <f>'Falhas UM-3-1 Qty'!K48*'Falhas UM-3-1 Cost'!$D47/1000</f>
        <v>91.079255874330784</v>
      </c>
      <c r="L47" s="344">
        <f>'Falhas UM-3-1 Qty'!L48*'Falhas UM-3-1 Cost'!$D47/1000</f>
        <v>91.127029623483381</v>
      </c>
      <c r="M47" s="344">
        <f>'Falhas UM-3-1 Qty'!M48*'Falhas UM-3-1 Cost'!$D47/1000</f>
        <v>86.704737197109978</v>
      </c>
      <c r="N47" s="344">
        <f>'Falhas UM-3-1 Qty'!N48*'Falhas UM-3-1 Cost'!$D47/1000</f>
        <v>67.242056622343455</v>
      </c>
      <c r="O47" s="344">
        <f>'Falhas UM-3-1 Qty'!O48*'Falhas UM-3-1 Cost'!$D47/1000</f>
        <v>64.540185146057127</v>
      </c>
      <c r="P47" s="601">
        <f>'Falhas UM-3-1 Qty'!P48*'Falhas UM-3-1 Cost'!$D47/1000</f>
        <v>81.829727441438237</v>
      </c>
      <c r="Q47" s="824">
        <f t="shared" si="0"/>
        <v>494.81556138864977</v>
      </c>
      <c r="R47" s="344">
        <f t="shared" si="1"/>
        <v>482.52299190476299</v>
      </c>
      <c r="S47" s="797">
        <f t="shared" si="2"/>
        <v>977.33855329341282</v>
      </c>
    </row>
    <row r="48" spans="1:19" ht="18" customHeight="1">
      <c r="A48" s="1039"/>
      <c r="B48" s="104">
        <f t="shared" si="7"/>
        <v>3330</v>
      </c>
      <c r="C48" s="82" t="s">
        <v>6</v>
      </c>
      <c r="D48" s="314">
        <f>'[7]Falhas UM-3'!P49</f>
        <v>216.17370000000003</v>
      </c>
      <c r="E48" s="344">
        <f>'Falhas UM-3-1 Qty'!E49*'Falhas UM-3-1 Cost'!$D48/1000</f>
        <v>67.117355188526645</v>
      </c>
      <c r="F48" s="344">
        <f>'Falhas UM-3-1 Qty'!F49*'Falhas UM-3-1 Cost'!$D48/1000</f>
        <v>70.24276000347804</v>
      </c>
      <c r="G48" s="344">
        <f>'Falhas UM-3-1 Qty'!G49*'Falhas UM-3-1 Cost'!$D48/1000</f>
        <v>67.600546323279758</v>
      </c>
      <c r="H48" s="344">
        <f>'Falhas UM-3-1 Qty'!H49*'Falhas UM-3-1 Cost'!$D48/1000</f>
        <v>68.037587324762157</v>
      </c>
      <c r="I48" s="344">
        <f>'Falhas UM-3-1 Qty'!I49*'Falhas UM-3-1 Cost'!$D48/1000</f>
        <v>68.868758296036916</v>
      </c>
      <c r="J48" s="344">
        <f>'Falhas UM-3-1 Qty'!J49*'Falhas UM-3-1 Cost'!$D48/1000</f>
        <v>78.302506929146588</v>
      </c>
      <c r="K48" s="344">
        <f>'Falhas UM-3-1 Qty'!K49*'Falhas UM-3-1 Cost'!$D48/1000</f>
        <v>77.339375857022389</v>
      </c>
      <c r="L48" s="344">
        <f>'Falhas UM-3-1 Qty'!L49*'Falhas UM-3-1 Cost'!$D48/1000</f>
        <v>77.379942634894519</v>
      </c>
      <c r="M48" s="344">
        <f>'Falhas UM-3-1 Qty'!M49*'Falhas UM-3-1 Cost'!$D48/1000</f>
        <v>73.624780904270978</v>
      </c>
      <c r="N48" s="344">
        <f>'Falhas UM-3-1 Qty'!N49*'Falhas UM-3-1 Cost'!$D48/1000</f>
        <v>57.098168409391533</v>
      </c>
      <c r="O48" s="344">
        <f>'Falhas UM-3-1 Qty'!O49*'Falhas UM-3-1 Cost'!$D48/1000</f>
        <v>54.803891281016703</v>
      </c>
      <c r="P48" s="601">
        <f>'Falhas UM-3-1 Qty'!P49*'Falhas UM-3-1 Cost'!$D48/1000</f>
        <v>69.485197107925885</v>
      </c>
      <c r="Q48" s="824">
        <f t="shared" si="0"/>
        <v>420.16951406523009</v>
      </c>
      <c r="R48" s="344">
        <f t="shared" si="1"/>
        <v>409.73135619452205</v>
      </c>
      <c r="S48" s="797">
        <f t="shared" si="2"/>
        <v>829.90087025975208</v>
      </c>
    </row>
    <row r="49" spans="1:19" ht="18" customHeight="1">
      <c r="A49" s="1039"/>
      <c r="B49" s="805"/>
      <c r="C49" s="97" t="s">
        <v>1</v>
      </c>
      <c r="D49" s="320">
        <f>'[7]Falhas UM-3'!P50</f>
        <v>574.22454028454183</v>
      </c>
      <c r="E49" s="348">
        <f>SUBTOTAL(109,E37:E48)</f>
        <v>353.13709937224343</v>
      </c>
      <c r="F49" s="348">
        <f t="shared" ref="F49:P49" si="8">SUBTOTAL(109,F37:F48)</f>
        <v>369.58137652851383</v>
      </c>
      <c r="G49" s="348">
        <f t="shared" si="8"/>
        <v>355.67940330078477</v>
      </c>
      <c r="H49" s="348">
        <f t="shared" si="8"/>
        <v>357.97888889786645</v>
      </c>
      <c r="I49" s="348">
        <f t="shared" si="8"/>
        <v>362.35208425179411</v>
      </c>
      <c r="J49" s="348">
        <f t="shared" si="8"/>
        <v>411.98763111065932</v>
      </c>
      <c r="K49" s="348">
        <f t="shared" si="8"/>
        <v>406.92012938670348</v>
      </c>
      <c r="L49" s="348">
        <f t="shared" si="8"/>
        <v>407.133570965687</v>
      </c>
      <c r="M49" s="348">
        <f t="shared" si="8"/>
        <v>387.3758359133866</v>
      </c>
      <c r="N49" s="348">
        <f t="shared" si="8"/>
        <v>300.42127725270115</v>
      </c>
      <c r="O49" s="348">
        <f t="shared" si="8"/>
        <v>288.34996770847664</v>
      </c>
      <c r="P49" s="348">
        <f t="shared" si="8"/>
        <v>365.59546911640149</v>
      </c>
      <c r="Q49" s="828">
        <f t="shared" si="0"/>
        <v>2210.716483461862</v>
      </c>
      <c r="R49" s="348">
        <f t="shared" si="1"/>
        <v>2155.7962503433564</v>
      </c>
      <c r="S49" s="806">
        <f t="shared" si="2"/>
        <v>4366.5127338052189</v>
      </c>
    </row>
    <row r="50" spans="1:19" ht="18" customHeight="1">
      <c r="A50" s="1039"/>
      <c r="B50" s="104">
        <f>B48+10</f>
        <v>3340</v>
      </c>
      <c r="C50" s="82" t="s">
        <v>2</v>
      </c>
      <c r="D50" s="314">
        <f>'[7]Falhas UM-3'!P51</f>
        <v>216.17370000000003</v>
      </c>
      <c r="E50" s="343">
        <f>'Falhas UM-3-1 Qty'!E51*'Falhas UM-3-1 Cost'!$D50/1000</f>
        <v>472.98622285672553</v>
      </c>
      <c r="F50" s="343">
        <f>'Falhas UM-3-1 Qty'!F51*'Falhas UM-3-1 Cost'!$D50/1000</f>
        <v>495.01142653422045</v>
      </c>
      <c r="G50" s="343">
        <f>'Falhas UM-3-1 Qty'!G51*'Falhas UM-3-1 Cost'!$D50/1000</f>
        <v>476.3913443652051</v>
      </c>
      <c r="H50" s="343">
        <f>'Falhas UM-3-1 Qty'!H51*'Falhas UM-3-1 Cost'!$D50/1000</f>
        <v>479.47123885663785</v>
      </c>
      <c r="I50" s="343">
        <f>'Falhas UM-3-1 Qty'!I51*'Falhas UM-3-1 Cost'!$D50/1000</f>
        <v>485.32862726455608</v>
      </c>
      <c r="J50" s="343">
        <f>'Falhas UM-3-1 Qty'!J51*'Falhas UM-3-1 Cost'!$D50/1000</f>
        <v>551.80969048316604</v>
      </c>
      <c r="K50" s="343">
        <f>'Falhas UM-3-1 Qty'!K51*'Falhas UM-3-1 Cost'!$D50/1000</f>
        <v>545.02235914926018</v>
      </c>
      <c r="L50" s="343">
        <f>'Falhas UM-3-1 Qty'!L51*'Falhas UM-3-1 Cost'!$D50/1000</f>
        <v>545.30823941056235</v>
      </c>
      <c r="M50" s="343">
        <f>'Falhas UM-3-1 Qty'!M51*'Falhas UM-3-1 Cost'!$D50/1000</f>
        <v>518.84504284695026</v>
      </c>
      <c r="N50" s="343">
        <f>'Falhas UM-3-1 Qty'!N51*'Falhas UM-3-1 Cost'!$D50/1000</f>
        <v>402.3794878707011</v>
      </c>
      <c r="O50" s="343">
        <f>'Falhas UM-3-1 Qty'!O51*'Falhas UM-3-1 Cost'!$D50/1000</f>
        <v>386.21136756726452</v>
      </c>
      <c r="P50" s="818">
        <f>'Falhas UM-3-1 Qty'!P51*'Falhas UM-3-1 Cost'!$D50/1000</f>
        <v>489.67276544519018</v>
      </c>
      <c r="Q50" s="823">
        <f t="shared" si="0"/>
        <v>2960.9985503605112</v>
      </c>
      <c r="R50" s="343">
        <f t="shared" si="1"/>
        <v>2887.4392622899286</v>
      </c>
      <c r="S50" s="796">
        <f t="shared" si="2"/>
        <v>5848.4378126504398</v>
      </c>
    </row>
    <row r="51" spans="1:19" ht="18" customHeight="1">
      <c r="A51" s="1039"/>
      <c r="B51" s="805">
        <f>B50+10</f>
        <v>3350</v>
      </c>
      <c r="C51" s="99" t="s">
        <v>60</v>
      </c>
      <c r="D51" s="321">
        <f>'[7]Falhas UM-3'!P52</f>
        <v>216.17370000000003</v>
      </c>
      <c r="E51" s="349">
        <f>'Falhas UM-3-1 Qty'!E52*'Falhas UM-3-1 Cost'!$D51/1000</f>
        <v>76.421140680233563</v>
      </c>
      <c r="F51" s="349">
        <f>'Falhas UM-3-1 Qty'!F52*'Falhas UM-3-1 Cost'!$D51/1000</f>
        <v>79.97978807292624</v>
      </c>
      <c r="G51" s="349">
        <f>'Falhas UM-3-1 Qty'!G52*'Falhas UM-3-1 Cost'!$D51/1000</f>
        <v>76.971311609655416</v>
      </c>
      <c r="H51" s="349">
        <f>'Falhas UM-3-1 Qty'!H52*'Falhas UM-3-1 Cost'!$D51/1000</f>
        <v>77.468935089655503</v>
      </c>
      <c r="I51" s="349">
        <f>'Falhas UM-3-1 Qty'!I52*'Falhas UM-3-1 Cost'!$D51/1000</f>
        <v>78.41532270500025</v>
      </c>
      <c r="J51" s="349">
        <f>'Falhas UM-3-1 Qty'!J52*'Falhas UM-3-1 Cost'!$D51/1000</f>
        <v>89.156774441407094</v>
      </c>
      <c r="K51" s="349">
        <f>'Falhas UM-3-1 Qty'!K52*'Falhas UM-3-1 Cost'!$D51/1000</f>
        <v>88.060134459847006</v>
      </c>
      <c r="L51" s="349">
        <f>'Falhas UM-3-1 Qty'!L52*'Falhas UM-3-1 Cost'!$D51/1000</f>
        <v>88.106324590998625</v>
      </c>
      <c r="M51" s="349">
        <f>'Falhas UM-3-1 Qty'!M52*'Falhas UM-3-1 Cost'!$D51/1000</f>
        <v>83.830623588077302</v>
      </c>
      <c r="N51" s="349">
        <f>'Falhas UM-3-1 Qty'!N52*'Falhas UM-3-1 Cost'!$D51/1000</f>
        <v>65.013097556378327</v>
      </c>
      <c r="O51" s="349">
        <f>'Falhas UM-3-1 Qty'!O52*'Falhas UM-3-1 Cost'!$D51/1000</f>
        <v>62.400788494221672</v>
      </c>
      <c r="P51" s="375">
        <f>'Falhas UM-3-1 Qty'!P52*'Falhas UM-3-1 Cost'!$D51/1000</f>
        <v>79.117212060321194</v>
      </c>
      <c r="Q51" s="829">
        <f t="shared" si="0"/>
        <v>478.413272598878</v>
      </c>
      <c r="R51" s="349">
        <f t="shared" si="1"/>
        <v>466.52818074984413</v>
      </c>
      <c r="S51" s="807">
        <f t="shared" si="2"/>
        <v>944.94145334872212</v>
      </c>
    </row>
    <row r="52" spans="1:19" ht="18" customHeight="1">
      <c r="A52" s="1039"/>
      <c r="B52" s="808">
        <f>B51+10</f>
        <v>3360</v>
      </c>
      <c r="C52" s="79" t="s">
        <v>67</v>
      </c>
      <c r="D52" s="313">
        <f>'[7]Falhas UM-3'!P53</f>
        <v>120</v>
      </c>
      <c r="E52" s="342">
        <f>'Falhas UM-3-1 Qty'!E53*'Falhas UM-3-1 Cost'!$D52/1000</f>
        <v>0</v>
      </c>
      <c r="F52" s="342">
        <f>'Falhas UM-3-1 Qty'!F53*'Falhas UM-3-1 Cost'!$D52/1000</f>
        <v>0</v>
      </c>
      <c r="G52" s="342">
        <f>'Falhas UM-3-1 Qty'!G53*'Falhas UM-3-1 Cost'!$D52/1000</f>
        <v>0</v>
      </c>
      <c r="H52" s="342">
        <f>'Falhas UM-3-1 Qty'!H53*'Falhas UM-3-1 Cost'!$D52/1000</f>
        <v>0</v>
      </c>
      <c r="I52" s="342">
        <f>'Falhas UM-3-1 Qty'!I53*'Falhas UM-3-1 Cost'!$D52/1000</f>
        <v>0</v>
      </c>
      <c r="J52" s="342">
        <f>'Falhas UM-3-1 Qty'!J53*'Falhas UM-3-1 Cost'!$D52/1000</f>
        <v>0</v>
      </c>
      <c r="K52" s="342">
        <f>'Falhas UM-3-1 Qty'!K53*'Falhas UM-3-1 Cost'!$D52/1000</f>
        <v>0</v>
      </c>
      <c r="L52" s="342">
        <f>'Falhas UM-3-1 Qty'!L53*'Falhas UM-3-1 Cost'!$D52/1000</f>
        <v>0</v>
      </c>
      <c r="M52" s="342">
        <f>'Falhas UM-3-1 Qty'!M53*'Falhas UM-3-1 Cost'!$D52/1000</f>
        <v>0</v>
      </c>
      <c r="N52" s="342">
        <f>'Falhas UM-3-1 Qty'!N53*'Falhas UM-3-1 Cost'!$D52/1000</f>
        <v>0</v>
      </c>
      <c r="O52" s="342">
        <f>'Falhas UM-3-1 Qty'!O53*'Falhas UM-3-1 Cost'!$D52/1000</f>
        <v>0</v>
      </c>
      <c r="P52" s="376">
        <f>'Falhas UM-3-1 Qty'!P53*'Falhas UM-3-1 Cost'!$D52/1000</f>
        <v>0</v>
      </c>
      <c r="Q52" s="830">
        <f t="shared" si="0"/>
        <v>0</v>
      </c>
      <c r="R52" s="342">
        <f t="shared" si="1"/>
        <v>0</v>
      </c>
      <c r="S52" s="809">
        <f t="shared" si="2"/>
        <v>0</v>
      </c>
    </row>
    <row r="53" spans="1:19" ht="18" customHeight="1">
      <c r="A53" s="1039"/>
      <c r="B53" s="810">
        <f>B52+10</f>
        <v>3370</v>
      </c>
      <c r="C53" s="90" t="s">
        <v>66</v>
      </c>
      <c r="D53" s="318">
        <f>'[7]Falhas UM-3'!P54</f>
        <v>2.1146400000000001</v>
      </c>
      <c r="E53" s="347">
        <f>'Falhas UM-3-1 Qty'!E54*'Falhas UM-3-1 Cost'!$D53/1000</f>
        <v>100.24611194968134</v>
      </c>
      <c r="F53" s="347">
        <f>'Falhas UM-3-1 Qty'!F54*'Falhas UM-3-1 Cost'!$D53/1000</f>
        <v>104.91419936295364</v>
      </c>
      <c r="G53" s="347">
        <f>'Falhas UM-3-1 Qty'!G54*'Falhas UM-3-1 Cost'!$D53/1000</f>
        <v>100.96780356657379</v>
      </c>
      <c r="H53" s="347">
        <f>'Falhas UM-3-1 Qty'!H54*'Falhas UM-3-1 Cost'!$D53/1000</f>
        <v>101.62056559866134</v>
      </c>
      <c r="I53" s="347">
        <f>'Falhas UM-3-1 Qty'!I54*'Falhas UM-3-1 Cost'!$D53/1000</f>
        <v>102.86199798230774</v>
      </c>
      <c r="J53" s="347">
        <f>'Falhas UM-3-1 Qty'!J54*'Falhas UM-3-1 Cost'!$D53/1000</f>
        <v>116.95219296873843</v>
      </c>
      <c r="K53" s="347">
        <f>'Falhas UM-3-1 Qty'!K54*'Falhas UM-3-1 Cost'!$D53/1000</f>
        <v>115.51366570545194</v>
      </c>
      <c r="L53" s="347">
        <f>'Falhas UM-3-1 Qty'!L54*'Falhas UM-3-1 Cost'!$D53/1000</f>
        <v>115.57425602139305</v>
      </c>
      <c r="M53" s="347">
        <f>'Falhas UM-3-1 Qty'!M54*'Falhas UM-3-1 Cost'!$D53/1000</f>
        <v>109.96556714830116</v>
      </c>
      <c r="N53" s="347">
        <f>'Falhas UM-3-1 Qty'!N54*'Falhas UM-3-1 Cost'!$D53/1000</f>
        <v>85.28150977361642</v>
      </c>
      <c r="O53" s="347">
        <f>'Falhas UM-3-1 Qty'!O54*'Falhas UM-3-1 Cost'!$D53/1000</f>
        <v>81.854790094203722</v>
      </c>
      <c r="P53" s="377">
        <f>'Falhas UM-3-1 Qty'!P54*'Falhas UM-3-1 Cost'!$D53/1000</f>
        <v>103.78270759568825</v>
      </c>
      <c r="Q53" s="827">
        <f t="shared" si="0"/>
        <v>627.56287142891631</v>
      </c>
      <c r="R53" s="347">
        <f t="shared" si="1"/>
        <v>611.97249633865465</v>
      </c>
      <c r="S53" s="801">
        <f t="shared" si="2"/>
        <v>1239.535367767571</v>
      </c>
    </row>
    <row r="54" spans="1:19" ht="18" customHeight="1" thickBot="1">
      <c r="A54" s="1040"/>
      <c r="B54" s="126"/>
      <c r="C54" s="103" t="s">
        <v>1</v>
      </c>
      <c r="D54" s="319">
        <f>'[7]Falhas UM-3'!P55</f>
        <v>866.19875992895845</v>
      </c>
      <c r="E54" s="794">
        <f>SUBTOTAL(109,E50:E53)</f>
        <v>649.65347548664045</v>
      </c>
      <c r="F54" s="794">
        <f t="shared" ref="F54:P54" si="9">SUBTOTAL(109,F50:F53)</f>
        <v>679.90541397010043</v>
      </c>
      <c r="G54" s="794">
        <f t="shared" si="9"/>
        <v>654.33045954143438</v>
      </c>
      <c r="H54" s="794">
        <f t="shared" si="9"/>
        <v>658.56073954495469</v>
      </c>
      <c r="I54" s="794">
        <f t="shared" si="9"/>
        <v>666.60594795186398</v>
      </c>
      <c r="J54" s="794">
        <f t="shared" si="9"/>
        <v>757.91865789331155</v>
      </c>
      <c r="K54" s="794">
        <f t="shared" si="9"/>
        <v>748.59615931455903</v>
      </c>
      <c r="L54" s="794">
        <f t="shared" si="9"/>
        <v>748.98882002295397</v>
      </c>
      <c r="M54" s="794">
        <f t="shared" si="9"/>
        <v>712.6412335833287</v>
      </c>
      <c r="N54" s="794">
        <f t="shared" si="9"/>
        <v>552.67409520069589</v>
      </c>
      <c r="O54" s="794">
        <f t="shared" si="9"/>
        <v>530.46694615568993</v>
      </c>
      <c r="P54" s="554">
        <f t="shared" si="9"/>
        <v>672.57268510119968</v>
      </c>
      <c r="Q54" s="831">
        <f t="shared" si="0"/>
        <v>4066.9746943883056</v>
      </c>
      <c r="R54" s="350">
        <f t="shared" si="1"/>
        <v>3965.939939378427</v>
      </c>
      <c r="S54" s="811">
        <f t="shared" si="2"/>
        <v>8032.9146337667325</v>
      </c>
    </row>
    <row r="55" spans="1:19" ht="20.100000000000001" customHeight="1" thickTop="1">
      <c r="A55" s="104"/>
      <c r="B55" s="104"/>
      <c r="C55" s="82"/>
      <c r="D55" s="314">
        <f>'[7]Falhas UM-3'!P56</f>
        <v>0</v>
      </c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818"/>
      <c r="Q55" s="823">
        <f t="shared" si="0"/>
        <v>0</v>
      </c>
      <c r="R55" s="343">
        <f t="shared" si="1"/>
        <v>0</v>
      </c>
      <c r="S55" s="796">
        <f t="shared" si="2"/>
        <v>0</v>
      </c>
    </row>
    <row r="56" spans="1:19" ht="20.100000000000001" customHeight="1" thickBot="1">
      <c r="A56" s="607"/>
      <c r="B56" s="812"/>
      <c r="C56" s="813" t="s">
        <v>59</v>
      </c>
      <c r="D56" s="814">
        <f>'[7]Falhas UM-3'!P57</f>
        <v>2590.1553111525195</v>
      </c>
      <c r="E56" s="815">
        <f>SUMIF($C$6:$C$54,$C$54,E6:E54)</f>
        <v>2412.2935980348675</v>
      </c>
      <c r="F56" s="815">
        <f t="shared" ref="F56:P56" si="10">SUMIF($C$6:$C$54,$C$54,F6:F54)</f>
        <v>2524.6251105802753</v>
      </c>
      <c r="G56" s="815">
        <f t="shared" si="10"/>
        <v>2429.6601774794544</v>
      </c>
      <c r="H56" s="815">
        <f t="shared" si="10"/>
        <v>2445.3680552257301</v>
      </c>
      <c r="I56" s="815">
        <f t="shared" si="10"/>
        <v>2475.2415269566495</v>
      </c>
      <c r="J56" s="815">
        <f t="shared" si="10"/>
        <v>2814.303925485292</v>
      </c>
      <c r="K56" s="815">
        <f t="shared" si="10"/>
        <v>2779.6876192731711</v>
      </c>
      <c r="L56" s="815">
        <f t="shared" si="10"/>
        <v>2781.1456472046793</v>
      </c>
      <c r="M56" s="815">
        <f t="shared" si="10"/>
        <v>2646.1797717329177</v>
      </c>
      <c r="N56" s="815">
        <f t="shared" si="10"/>
        <v>2052.1897164541042</v>
      </c>
      <c r="O56" s="815">
        <f t="shared" si="10"/>
        <v>1969.7301199257458</v>
      </c>
      <c r="P56" s="820">
        <f t="shared" si="10"/>
        <v>2497.3972182130028</v>
      </c>
      <c r="Q56" s="832">
        <f t="shared" si="0"/>
        <v>15101.49239376227</v>
      </c>
      <c r="R56" s="815">
        <f t="shared" si="1"/>
        <v>14726.330092803619</v>
      </c>
      <c r="S56" s="816">
        <f t="shared" si="2"/>
        <v>29827.822486565889</v>
      </c>
    </row>
    <row r="57" spans="1:19" ht="20.100000000000001" customHeight="1">
      <c r="C57" s="229"/>
      <c r="D57" s="229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</row>
    <row r="58" spans="1:19" ht="20.100000000000001" customHeight="1">
      <c r="B58" s="173" t="s">
        <v>173</v>
      </c>
      <c r="C58" s="207" t="s">
        <v>175</v>
      </c>
      <c r="D58" s="207"/>
      <c r="E58" s="206">
        <f t="shared" ref="E58:P58" si="11">E18+E36</f>
        <v>1409.5030231759838</v>
      </c>
      <c r="F58" s="206">
        <f t="shared" si="11"/>
        <v>1475.138320081661</v>
      </c>
      <c r="G58" s="206">
        <f t="shared" ref="G58:H58" si="12">G18+G36</f>
        <v>1419.6503146372354</v>
      </c>
      <c r="H58" s="206">
        <f t="shared" si="12"/>
        <v>1428.828426782909</v>
      </c>
      <c r="I58" s="206">
        <f t="shared" ref="I58:J58" si="13">I18+I36</f>
        <v>1446.2834947529914</v>
      </c>
      <c r="J58" s="206">
        <f t="shared" si="13"/>
        <v>1644.3976364813209</v>
      </c>
      <c r="K58" s="206">
        <f t="shared" ref="K58:L58" si="14">K18+K36</f>
        <v>1624.1713305719086</v>
      </c>
      <c r="L58" s="206">
        <f t="shared" si="14"/>
        <v>1625.0232562160386</v>
      </c>
      <c r="M58" s="206">
        <f t="shared" ref="M58" si="15">M18+M36</f>
        <v>1546.1627022362024</v>
      </c>
      <c r="N58" s="206">
        <f t="shared" si="11"/>
        <v>1199.094344000707</v>
      </c>
      <c r="O58" s="206">
        <f t="shared" si="11"/>
        <v>1150.9132060615793</v>
      </c>
      <c r="P58" s="206">
        <f t="shared" si="11"/>
        <v>1459.2290639954017</v>
      </c>
      <c r="Q58" s="206">
        <f>SUM(E58)</f>
        <v>1409.5030231759838</v>
      </c>
      <c r="R58" s="206">
        <f>SUM(K58:P58)</f>
        <v>8604.5939030818372</v>
      </c>
      <c r="S58" s="206">
        <f>Q58+R58</f>
        <v>10014.096926257822</v>
      </c>
    </row>
    <row r="59" spans="1:19" ht="20.100000000000001" customHeight="1">
      <c r="B59" s="173"/>
      <c r="C59" s="173" t="s">
        <v>176</v>
      </c>
      <c r="D59" s="173"/>
      <c r="E59" s="206">
        <v>1190.8029009647009</v>
      </c>
      <c r="F59" s="206">
        <v>926.52675128865383</v>
      </c>
      <c r="G59" s="206">
        <f>'[8]Falhas UM-3'!$Y$19+'[8]Falhas UM-3'!$Y$37</f>
        <v>584.0993046204859</v>
      </c>
      <c r="H59" s="206">
        <f>'[9]Falhas UM-3'!$Y$19+'[9]Falhas UM-3'!$Y$37</f>
        <v>861.51738487245518</v>
      </c>
      <c r="I59" s="206">
        <f>'[10]Falhas UM-3'!$Y$19+'[10]Falhas UM-3'!$Y$37</f>
        <v>1107.0162482890798</v>
      </c>
      <c r="J59" s="206">
        <f>'[11]Falhas UM-3'!$Y$19+'[11]Falhas UM-3'!$Y$37</f>
        <v>1283.2354819092016</v>
      </c>
      <c r="K59" s="206">
        <f>'[12]Falhas UM-3'!$Y$19+'[12]Falhas UM-3'!$Y$37</f>
        <v>31.417183892457579</v>
      </c>
      <c r="L59" s="206">
        <f>'[13]Falhas UM-3'!$Y$19+'[13]Falhas UM-3'!$Y$37</f>
        <v>1039.2224000967167</v>
      </c>
      <c r="M59" s="206">
        <f>'[2]Falhas UM-3'!$Y$19+'[2]Falhas UM-3'!$Y$37</f>
        <v>1212.7891820992293</v>
      </c>
      <c r="N59" s="206">
        <f>'[14]Falhas UM-3-1 Cost'!N$60</f>
        <v>630.50599336081393</v>
      </c>
      <c r="O59" s="206">
        <f>'[14]Falhas UM-3-1 Cost'!O$60</f>
        <v>702.46654607120627</v>
      </c>
      <c r="P59" s="206">
        <f>'[14]Falhas UM-3-1 Cost'!P$60</f>
        <v>719.79999365194942</v>
      </c>
      <c r="Q59" s="206">
        <f t="shared" ref="Q59:Q63" si="16">SUM(E59)</f>
        <v>1190.8029009647009</v>
      </c>
      <c r="R59" s="206">
        <f t="shared" ref="R59:R63" si="17">SUM(K59:P59)</f>
        <v>4336.2012991723732</v>
      </c>
      <c r="S59" s="206">
        <f t="shared" ref="S59:S65" si="18">Q59+R59</f>
        <v>5527.0042001370739</v>
      </c>
    </row>
    <row r="60" spans="1:19" ht="20.100000000000001" customHeight="1">
      <c r="B60" s="173" t="s">
        <v>174</v>
      </c>
      <c r="C60" s="173" t="s">
        <v>175</v>
      </c>
      <c r="D60" s="173"/>
      <c r="E60" s="206">
        <f t="shared" ref="E60:P60" si="19">E49</f>
        <v>353.13709937224343</v>
      </c>
      <c r="F60" s="206">
        <f t="shared" si="19"/>
        <v>369.58137652851383</v>
      </c>
      <c r="G60" s="206">
        <f t="shared" ref="G60:H60" si="20">G49</f>
        <v>355.67940330078477</v>
      </c>
      <c r="H60" s="206">
        <f t="shared" si="20"/>
        <v>357.97888889786645</v>
      </c>
      <c r="I60" s="206">
        <f t="shared" ref="I60:J60" si="21">I49</f>
        <v>362.35208425179411</v>
      </c>
      <c r="J60" s="206">
        <f t="shared" si="21"/>
        <v>411.98763111065932</v>
      </c>
      <c r="K60" s="206">
        <f t="shared" ref="K60:L60" si="22">K49</f>
        <v>406.92012938670348</v>
      </c>
      <c r="L60" s="206">
        <f t="shared" si="22"/>
        <v>407.133570965687</v>
      </c>
      <c r="M60" s="206">
        <f t="shared" ref="M60" si="23">M49</f>
        <v>387.3758359133866</v>
      </c>
      <c r="N60" s="206">
        <f t="shared" si="19"/>
        <v>300.42127725270115</v>
      </c>
      <c r="O60" s="206">
        <f t="shared" si="19"/>
        <v>288.34996770847664</v>
      </c>
      <c r="P60" s="206">
        <f t="shared" si="19"/>
        <v>365.59546911640149</v>
      </c>
      <c r="Q60" s="206">
        <f t="shared" si="16"/>
        <v>353.13709937224343</v>
      </c>
      <c r="R60" s="206">
        <f t="shared" si="17"/>
        <v>2155.7962503433564</v>
      </c>
      <c r="S60" s="206">
        <f t="shared" si="18"/>
        <v>2508.9333497155999</v>
      </c>
    </row>
    <row r="61" spans="1:19" ht="20.100000000000001" customHeight="1">
      <c r="B61" s="173"/>
      <c r="C61" s="173" t="s">
        <v>176</v>
      </c>
      <c r="D61" s="173"/>
      <c r="E61" s="206">
        <v>315.6649599265636</v>
      </c>
      <c r="F61" s="206">
        <v>311.16657766515908</v>
      </c>
      <c r="G61" s="206">
        <f>'[8]Falhas UM-3'!$Y$50</f>
        <v>147.79891108979984</v>
      </c>
      <c r="H61" s="206">
        <f>'[9]Falhas UM-3'!$Y$50</f>
        <v>272.89789702033005</v>
      </c>
      <c r="I61" s="206">
        <f>'[10]Falhas UM-3'!$Y$50</f>
        <v>333.11905185955891</v>
      </c>
      <c r="J61" s="206">
        <f>'[11]Falhas UM-3'!$Y$50</f>
        <v>372.0545826009282</v>
      </c>
      <c r="K61" s="206">
        <f>'[12]Falhas UM-3'!$Y$50</f>
        <v>36.779923915723444</v>
      </c>
      <c r="L61" s="206">
        <f>'[13]Falhas UM-3'!$Y$50</f>
        <v>307.44403039765626</v>
      </c>
      <c r="M61" s="206">
        <f>'[2]Falhas UM-3'!$Y$50</f>
        <v>423.17849626951363</v>
      </c>
      <c r="N61" s="206">
        <f>'[14]Falhas UM-3-1 Cost'!N$62</f>
        <v>183.32949260428899</v>
      </c>
      <c r="O61" s="206">
        <f>'[14]Falhas UM-3-1 Cost'!O$62</f>
        <v>204.2531503566918</v>
      </c>
      <c r="P61" s="206">
        <f>'[14]Falhas UM-3-1 Cost'!P$62</f>
        <v>209.29312171861702</v>
      </c>
      <c r="Q61" s="206">
        <f t="shared" si="16"/>
        <v>315.6649599265636</v>
      </c>
      <c r="R61" s="206">
        <f t="shared" si="17"/>
        <v>1364.2782152624911</v>
      </c>
      <c r="S61" s="206">
        <f t="shared" si="18"/>
        <v>1679.9431751890547</v>
      </c>
    </row>
    <row r="62" spans="1:19" ht="20.100000000000001" customHeight="1">
      <c r="B62" s="173" t="s">
        <v>104</v>
      </c>
      <c r="C62" s="173" t="s">
        <v>175</v>
      </c>
      <c r="D62" s="173"/>
      <c r="E62" s="206">
        <f t="shared" ref="E62:P62" si="24">E54</f>
        <v>649.65347548664045</v>
      </c>
      <c r="F62" s="206">
        <f t="shared" si="24"/>
        <v>679.90541397010043</v>
      </c>
      <c r="G62" s="206">
        <f t="shared" ref="G62:H62" si="25">G54</f>
        <v>654.33045954143438</v>
      </c>
      <c r="H62" s="206">
        <f t="shared" si="25"/>
        <v>658.56073954495469</v>
      </c>
      <c r="I62" s="206">
        <f t="shared" ref="I62:J62" si="26">I54</f>
        <v>666.60594795186398</v>
      </c>
      <c r="J62" s="206">
        <f t="shared" si="26"/>
        <v>757.91865789331155</v>
      </c>
      <c r="K62" s="206">
        <f t="shared" ref="K62:L62" si="27">K54</f>
        <v>748.59615931455903</v>
      </c>
      <c r="L62" s="206">
        <f t="shared" si="27"/>
        <v>748.98882002295397</v>
      </c>
      <c r="M62" s="206">
        <f t="shared" ref="M62" si="28">M54</f>
        <v>712.6412335833287</v>
      </c>
      <c r="N62" s="206">
        <f t="shared" si="24"/>
        <v>552.67409520069589</v>
      </c>
      <c r="O62" s="206">
        <f t="shared" si="24"/>
        <v>530.46694615568993</v>
      </c>
      <c r="P62" s="206">
        <f t="shared" si="24"/>
        <v>672.57268510119968</v>
      </c>
      <c r="Q62" s="206">
        <f t="shared" si="16"/>
        <v>649.65347548664045</v>
      </c>
      <c r="R62" s="206">
        <f t="shared" si="17"/>
        <v>3965.939939378427</v>
      </c>
      <c r="S62" s="206">
        <f t="shared" si="18"/>
        <v>4615.5934148650676</v>
      </c>
    </row>
    <row r="63" spans="1:19" ht="20.100000000000001" customHeight="1">
      <c r="B63" s="231"/>
      <c r="C63" s="173" t="s">
        <v>176</v>
      </c>
      <c r="D63" s="173"/>
      <c r="E63" s="564">
        <v>571.29758528589423</v>
      </c>
      <c r="F63" s="564">
        <v>778.13336257278365</v>
      </c>
      <c r="G63" s="564">
        <f>'[8]Falhas UM-3'!$Y$55</f>
        <v>478.44612276004136</v>
      </c>
      <c r="H63" s="564">
        <f>'[9]Falhas UM-3'!$Y$55</f>
        <v>730.38913438793463</v>
      </c>
      <c r="I63" s="564">
        <f>'[10]Falhas UM-3'!$Y$55</f>
        <v>921.17541290654276</v>
      </c>
      <c r="J63" s="564">
        <f>'[11]Falhas UM-3'!$Y$55</f>
        <v>1065.1368996321614</v>
      </c>
      <c r="K63" s="564">
        <f>'[12]Falhas UM-3'!$Y$55</f>
        <v>33.96795775255481</v>
      </c>
      <c r="L63" s="564">
        <f>'[13]Falhas UM-3'!$Y$55</f>
        <v>978.83208763188259</v>
      </c>
      <c r="M63" s="564">
        <f>'[2]Falhas UM-3'!$Y$55</f>
        <v>1029.1483895574513</v>
      </c>
      <c r="N63" s="564">
        <f>'[14]Falhas UM-3-1 Cost'!N$64</f>
        <v>288.40235432438345</v>
      </c>
      <c r="O63" s="564">
        <f>'[14]Falhas UM-3-1 Cost'!O$64</f>
        <v>321.31812838314738</v>
      </c>
      <c r="P63" s="564">
        <f>'[14]Falhas UM-3-1 Cost'!P$64</f>
        <v>329.24669233572496</v>
      </c>
      <c r="Q63" s="206">
        <f t="shared" si="16"/>
        <v>571.29758528589423</v>
      </c>
      <c r="R63" s="206">
        <f t="shared" si="17"/>
        <v>2980.9156099851448</v>
      </c>
      <c r="S63" s="206">
        <f t="shared" si="18"/>
        <v>3552.2131952710388</v>
      </c>
    </row>
    <row r="64" spans="1:19" ht="20.100000000000001" customHeight="1">
      <c r="B64" s="1035" t="s">
        <v>220</v>
      </c>
      <c r="C64" s="173" t="s">
        <v>175</v>
      </c>
      <c r="D64" s="173"/>
      <c r="E64" s="646">
        <f>SUMIF($C$58:$C$63,$C64,E$58:E$63)</f>
        <v>2412.2935980348675</v>
      </c>
      <c r="F64" s="646">
        <f t="shared" ref="F64:R64" si="29">SUMIF($C$58:$C$63,$C64,F$58:F$63)</f>
        <v>2524.6251105802753</v>
      </c>
      <c r="G64" s="646">
        <f t="shared" si="29"/>
        <v>2429.6601774794544</v>
      </c>
      <c r="H64" s="646">
        <f t="shared" si="29"/>
        <v>2445.3680552257301</v>
      </c>
      <c r="I64" s="646">
        <f t="shared" si="29"/>
        <v>2475.2415269566495</v>
      </c>
      <c r="J64" s="646">
        <f t="shared" si="29"/>
        <v>2814.303925485292</v>
      </c>
      <c r="K64" s="646">
        <f t="shared" si="29"/>
        <v>2779.6876192731711</v>
      </c>
      <c r="L64" s="646">
        <f t="shared" si="29"/>
        <v>2781.1456472046793</v>
      </c>
      <c r="M64" s="646">
        <f t="shared" si="29"/>
        <v>2646.1797717329177</v>
      </c>
      <c r="N64" s="646">
        <f t="shared" si="29"/>
        <v>2052.1897164541042</v>
      </c>
      <c r="O64" s="646">
        <f t="shared" si="29"/>
        <v>1969.7301199257458</v>
      </c>
      <c r="P64" s="646">
        <f t="shared" si="29"/>
        <v>2497.3972182130028</v>
      </c>
      <c r="Q64" s="646">
        <f t="shared" si="29"/>
        <v>2412.2935980348675</v>
      </c>
      <c r="R64" s="646">
        <f t="shared" si="29"/>
        <v>14726.330092803619</v>
      </c>
      <c r="S64" s="647">
        <f t="shared" si="18"/>
        <v>17138.623690838485</v>
      </c>
    </row>
    <row r="65" spans="2:19" ht="20.100000000000001" customHeight="1">
      <c r="B65" s="1036"/>
      <c r="C65" s="173" t="s">
        <v>176</v>
      </c>
      <c r="D65" s="173"/>
      <c r="E65" s="646">
        <f>SUMIF($C$58:$C$63,$C65,E$58:E$63)</f>
        <v>2077.765446177159</v>
      </c>
      <c r="F65" s="646">
        <f t="shared" ref="F65:R65" si="30">SUMIF($C$58:$C$63,$C65,F$58:F$63)</f>
        <v>2015.8266915265965</v>
      </c>
      <c r="G65" s="646">
        <f t="shared" si="30"/>
        <v>1210.3443384703271</v>
      </c>
      <c r="H65" s="646">
        <f t="shared" si="30"/>
        <v>1864.80441628072</v>
      </c>
      <c r="I65" s="646">
        <f t="shared" si="30"/>
        <v>2361.3107130551816</v>
      </c>
      <c r="J65" s="646">
        <f t="shared" si="30"/>
        <v>2720.4269641422911</v>
      </c>
      <c r="K65" s="646">
        <f t="shared" si="30"/>
        <v>102.16506556073583</v>
      </c>
      <c r="L65" s="646">
        <f t="shared" si="30"/>
        <v>2325.4985181262555</v>
      </c>
      <c r="M65" s="646">
        <f t="shared" si="30"/>
        <v>2665.1160679261939</v>
      </c>
      <c r="N65" s="646">
        <f t="shared" si="30"/>
        <v>1102.2378402894863</v>
      </c>
      <c r="O65" s="646">
        <f t="shared" si="30"/>
        <v>1228.0378248110455</v>
      </c>
      <c r="P65" s="646">
        <f t="shared" si="30"/>
        <v>1258.3398077062914</v>
      </c>
      <c r="Q65" s="646">
        <f t="shared" si="30"/>
        <v>2077.765446177159</v>
      </c>
      <c r="R65" s="646">
        <f t="shared" si="30"/>
        <v>8681.3951244200089</v>
      </c>
      <c r="S65" s="647">
        <f t="shared" si="18"/>
        <v>10759.160570597167</v>
      </c>
    </row>
    <row r="91" spans="5:6">
      <c r="E91" s="1" t="s">
        <v>221</v>
      </c>
      <c r="F91" s="833">
        <f>12-COUNTIF($F$64:$Q$64,"=0")</f>
        <v>12</v>
      </c>
    </row>
    <row r="92" spans="5:6">
      <c r="E92" s="1" t="s">
        <v>222</v>
      </c>
      <c r="F92" s="833">
        <f ca="1">OFFSET($E$4,0,0,,COUNTIF($E$64:$Q$64,"&gt;0"))</f>
        <v>44682</v>
      </c>
    </row>
    <row r="93" spans="5:6">
      <c r="E93" s="1" t="s">
        <v>223</v>
      </c>
      <c r="F93" s="833">
        <f ca="1">OFFSET($F$64,0,0,,COUNTIF($E$64:$Q$64,"&gt;0"))</f>
        <v>2524.6251105802753</v>
      </c>
    </row>
    <row r="94" spans="5:6">
      <c r="E94" s="1" t="s">
        <v>224</v>
      </c>
      <c r="F94" s="833">
        <f ca="1">OFFSET($F$65,0,0,,COUNTIF($E$64:$Q$64,"&gt;0"))</f>
        <v>2015.8266915265965</v>
      </c>
    </row>
  </sheetData>
  <mergeCells count="5">
    <mergeCell ref="B64:B65"/>
    <mergeCell ref="A1:E1"/>
    <mergeCell ref="B4:C4"/>
    <mergeCell ref="A6:A36"/>
    <mergeCell ref="A37:A54"/>
  </mergeCells>
  <printOptions gridLinesSet="0"/>
  <pageMargins left="0.78740157480314965" right="0.19685039370078741" top="0.59055118110236227" bottom="0.59055118110236227" header="0.51181102362204722" footer="0.31496062992125984"/>
  <pageSetup paperSize="9" scale="32" orientation="landscape" r:id="rId1"/>
  <headerFooter alignWithMargins="0">
    <oddFooter>&amp;L&amp;A&amp;R&amp;F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>
    <tabColor indexed="56"/>
    <pageSetUpPr fitToPage="1"/>
  </sheetPr>
  <dimension ref="A1:AA75"/>
  <sheetViews>
    <sheetView showGridLines="0" zoomScale="90" zoomScaleNormal="90" zoomScaleSheetLayoutView="53" workbookViewId="0">
      <pane xSplit="3" ySplit="5" topLeftCell="D45" activePane="bottomRight" state="frozen"/>
      <selection activeCell="E6" sqref="E6"/>
      <selection pane="topRight" activeCell="E6" sqref="E6"/>
      <selection pane="bottomLeft" activeCell="E6" sqref="E6"/>
      <selection pane="bottomRight" activeCell="Z14" sqref="Z14"/>
    </sheetView>
  </sheetViews>
  <sheetFormatPr defaultColWidth="11.42578125" defaultRowHeight="12.75"/>
  <cols>
    <col min="1" max="1" width="3.140625" style="75" bestFit="1" customWidth="1"/>
    <col min="2" max="2" width="6.42578125" style="75" bestFit="1" customWidth="1"/>
    <col min="3" max="3" width="25.140625" style="75" bestFit="1" customWidth="1"/>
    <col min="4" max="4" width="11.140625" style="75" bestFit="1" customWidth="1"/>
    <col min="5" max="6" width="9" style="75" bestFit="1" customWidth="1"/>
    <col min="7" max="7" width="8" style="75" bestFit="1" customWidth="1"/>
    <col min="8" max="10" width="9" style="75" bestFit="1" customWidth="1"/>
    <col min="11" max="11" width="8" style="75" bestFit="1" customWidth="1"/>
    <col min="12" max="12" width="9" style="75" bestFit="1" customWidth="1"/>
    <col min="13" max="13" width="8" style="75" bestFit="1" customWidth="1"/>
    <col min="14" max="15" width="7" style="75" bestFit="1" customWidth="1"/>
    <col min="16" max="16" width="7.140625" style="75" bestFit="1" customWidth="1"/>
    <col min="17" max="16384" width="11.42578125" style="75"/>
  </cols>
  <sheetData>
    <row r="1" spans="1:27" ht="18" customHeight="1">
      <c r="A1" s="1026" t="s">
        <v>80</v>
      </c>
      <c r="B1" s="1026"/>
      <c r="C1" s="1026"/>
      <c r="D1" s="1026"/>
      <c r="E1" s="1026"/>
    </row>
    <row r="2" spans="1:27" ht="18" customHeight="1"/>
    <row r="3" spans="1:27" ht="9.9499999999999993" customHeight="1" thickBot="1"/>
    <row r="4" spans="1:27" ht="27" customHeight="1">
      <c r="A4" s="189"/>
      <c r="B4" s="1029" t="s">
        <v>57</v>
      </c>
      <c r="C4" s="1030"/>
      <c r="D4" s="306" t="str">
        <f>'Falhas UM-3-1 Qty'!D4</f>
        <v>Objetivo</v>
      </c>
      <c r="E4" s="200">
        <f>'Falhas UM-1 - Qty'!F5</f>
        <v>44652</v>
      </c>
      <c r="F4" s="200">
        <f>'Falhas UM-1 - Qty'!G5</f>
        <v>44682</v>
      </c>
      <c r="G4" s="200">
        <f>'Falhas UM-1 - Qty'!H5</f>
        <v>44713</v>
      </c>
      <c r="H4" s="200">
        <f>'Falhas UM-1 - Qty'!I5</f>
        <v>44743</v>
      </c>
      <c r="I4" s="200">
        <f>'Falhas UM-1 - Qty'!J5</f>
        <v>44774</v>
      </c>
      <c r="J4" s="200">
        <f>'Falhas UM-1 - Qty'!K5</f>
        <v>44805</v>
      </c>
      <c r="K4" s="200">
        <f>'Falhas UM-1 - Qty'!L5</f>
        <v>44835</v>
      </c>
      <c r="L4" s="200">
        <f>'Falhas UM-1 - Qty'!M5</f>
        <v>44866</v>
      </c>
      <c r="M4" s="200">
        <f>'Falhas UM-1 - Qty'!N5</f>
        <v>44896</v>
      </c>
      <c r="N4" s="200">
        <f>'Falhas UM-1 - Qty'!O5</f>
        <v>44927</v>
      </c>
      <c r="O4" s="200">
        <f>'Falhas UM-1 - Qty'!P5</f>
        <v>44958</v>
      </c>
      <c r="P4" s="200">
        <f>'Falhas UM-1 - Qty'!Q5</f>
        <v>44986</v>
      </c>
      <c r="Q4" s="61" t="s">
        <v>55</v>
      </c>
      <c r="R4" s="13"/>
      <c r="S4" s="12" t="s">
        <v>54</v>
      </c>
      <c r="T4" s="13"/>
      <c r="U4" s="12" t="s">
        <v>1</v>
      </c>
      <c r="V4" s="11"/>
      <c r="W4" s="61" t="s">
        <v>55</v>
      </c>
      <c r="X4" s="11" t="s">
        <v>54</v>
      </c>
      <c r="Y4" s="61" t="s">
        <v>53</v>
      </c>
      <c r="Z4" s="11" t="s">
        <v>52</v>
      </c>
    </row>
    <row r="5" spans="1:27" ht="13.5" thickBot="1">
      <c r="A5" s="189"/>
      <c r="B5" s="190" t="s">
        <v>51</v>
      </c>
      <c r="C5" s="191" t="s">
        <v>50</v>
      </c>
      <c r="D5" s="834">
        <f>'Falhas UM-1 - Qty'!E5</f>
        <v>2022</v>
      </c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415"/>
      <c r="Q5" s="62" t="s">
        <v>49</v>
      </c>
      <c r="R5" s="7" t="s">
        <v>48</v>
      </c>
      <c r="S5" s="6" t="s">
        <v>49</v>
      </c>
      <c r="T5" s="7" t="s">
        <v>48</v>
      </c>
      <c r="U5" s="6" t="s">
        <v>49</v>
      </c>
      <c r="V5" s="5" t="s">
        <v>48</v>
      </c>
      <c r="W5" s="62"/>
      <c r="X5" s="5"/>
      <c r="Y5" s="62"/>
      <c r="Z5" s="5"/>
    </row>
    <row r="6" spans="1:27" ht="18" customHeight="1" thickTop="1">
      <c r="A6" s="1031" t="s">
        <v>142</v>
      </c>
      <c r="B6" s="78">
        <v>3010</v>
      </c>
      <c r="C6" s="79" t="s">
        <v>46</v>
      </c>
      <c r="D6" s="351">
        <f>'[3]Falhas UM-3-2 Qty'!Z7</f>
        <v>125.8486745747057</v>
      </c>
      <c r="E6" s="332">
        <f>'Prod &amp; Defects - Qty'!F$7*'Falhas UM-3-2 Qty'!$D6/1000000</f>
        <v>1357.7690382498668</v>
      </c>
      <c r="F6" s="332">
        <f>'Prod &amp; Defects - Qty'!G$7*'Falhas UM-3-2 Qty'!$D6/1000000</f>
        <v>1420.9952764980544</v>
      </c>
      <c r="G6" s="332">
        <f>'Prod &amp; Defects - Qty'!H$7*'Falhas UM-3-2 Qty'!$D6/1000000</f>
        <v>1367.5438865060557</v>
      </c>
      <c r="H6" s="332">
        <f>'Prod &amp; Defects - Qty'!I$7*'Falhas UM-3-2 Qty'!$D6/1000000</f>
        <v>1376.3851279195721</v>
      </c>
      <c r="I6" s="332">
        <f>'Prod &amp; Defects - Qty'!J$7*'Falhas UM-3-2 Qty'!$D6/1000000</f>
        <v>1393.1995302022456</v>
      </c>
      <c r="J6" s="332">
        <f>'Prod &amp; Defects - Qty'!K$7*'Falhas UM-3-2 Qty'!$D6/1000000</f>
        <v>1584.0421486679074</v>
      </c>
      <c r="K6" s="332">
        <f>'Prod &amp; Defects - Qty'!L$7*'Falhas UM-3-2 Qty'!$D6/1000000</f>
        <v>1564.558223149189</v>
      </c>
      <c r="L6" s="332">
        <f>'Prod &amp; Defects - Qty'!M$7*'Falhas UM-3-2 Qty'!$D6/1000000</f>
        <v>1565.3788799647264</v>
      </c>
      <c r="M6" s="332">
        <f>'Prod &amp; Defects - Qty'!N$7*'Falhas UM-3-2 Qty'!$D6/1000000</f>
        <v>1489.4128005931573</v>
      </c>
      <c r="N6" s="332">
        <f>'Prod &amp; Defects - Qty'!O$7*'Falhas UM-3-2 Qty'!$D6/1000000</f>
        <v>1155.0831374282329</v>
      </c>
      <c r="O6" s="332">
        <f>'Prod &amp; Defects - Qty'!P$7*'Falhas UM-3-2 Qty'!$D6/1000000</f>
        <v>1108.670425822984</v>
      </c>
      <c r="P6" s="332">
        <f>'Prod &amp; Defects - Qty'!Q$7*'Falhas UM-3-2 Qty'!$D6/1000000</f>
        <v>1405.6699490738977</v>
      </c>
      <c r="Q6" s="427">
        <f>SUM(E6:J6)</f>
        <v>8499.9350080437034</v>
      </c>
      <c r="R6" s="80">
        <f>Q6/SUM('Prod &amp; Defects - Qty'!$F$7:$K$7)*1000000</f>
        <v>125.84867457470574</v>
      </c>
      <c r="S6" s="80">
        <f>SUM(K6:P6)</f>
        <v>8288.773416032187</v>
      </c>
      <c r="T6" s="80">
        <f>S6/SUM('Prod &amp; Defects - Qty'!$L$7:$Q$7)*1000000</f>
        <v>125.84867457470568</v>
      </c>
      <c r="U6" s="80">
        <f>Q6+S6</f>
        <v>16788.708424075892</v>
      </c>
      <c r="V6" s="80">
        <f>U6/'Prod &amp; Defects - Qty'!$R$7*1000000</f>
        <v>125.84867457470571</v>
      </c>
      <c r="W6" s="80">
        <f t="shared" ref="W6:X25" si="0">V6*Redutor</f>
        <v>113.26380711723515</v>
      </c>
      <c r="X6" s="80">
        <f t="shared" si="0"/>
        <v>101.93742640551163</v>
      </c>
      <c r="Y6" s="80">
        <f>(W6+X6)/2</f>
        <v>107.60061676137339</v>
      </c>
      <c r="Z6" s="428">
        <f t="shared" ref="Z6:Z17" si="1">Y6*1</f>
        <v>107.60061676137339</v>
      </c>
      <c r="AA6" s="75">
        <f>'Falhas UM-3-1 Qty'!AA7</f>
        <v>1</v>
      </c>
    </row>
    <row r="7" spans="1:27" ht="18" customHeight="1">
      <c r="A7" s="1032"/>
      <c r="B7" s="81">
        <f>B6+10</f>
        <v>3020</v>
      </c>
      <c r="C7" s="82" t="s">
        <v>79</v>
      </c>
      <c r="D7" s="352">
        <f>'[3]Falhas UM-3-2 Qty'!Z8</f>
        <v>43.434088477220399</v>
      </c>
      <c r="E7" s="333">
        <f>'Prod &amp; Defects - Qty'!F$7*'Falhas UM-3-2 Qty'!$D7/1000000</f>
        <v>468.60613143738442</v>
      </c>
      <c r="F7" s="333">
        <f>'Prod &amp; Defects - Qty'!G$7*'Falhas UM-3-2 Qty'!$D7/1000000</f>
        <v>490.42737059968835</v>
      </c>
      <c r="G7" s="333">
        <f>'Prod &amp; Defects - Qty'!H$7*'Falhas UM-3-2 Qty'!$D7/1000000</f>
        <v>471.9797198001184</v>
      </c>
      <c r="H7" s="333">
        <f>'Prod &amp; Defects - Qty'!I$7*'Falhas UM-3-2 Qty'!$D7/1000000</f>
        <v>475.03109291231738</v>
      </c>
      <c r="I7" s="333">
        <f>'Prod &amp; Defects - Qty'!J$7*'Falhas UM-3-2 Qty'!$D7/1000000</f>
        <v>480.83423894389261</v>
      </c>
      <c r="J7" s="333">
        <f>'Prod &amp; Defects - Qty'!K$7*'Falhas UM-3-2 Qty'!$D7/1000000</f>
        <v>546.69965392481447</v>
      </c>
      <c r="K7" s="333">
        <f>'Prod &amp; Defects - Qty'!L$7*'Falhas UM-3-2 Qty'!$D7/1000000</f>
        <v>539.97517670863817</v>
      </c>
      <c r="L7" s="333">
        <f>'Prod &amp; Defects - Qty'!M$7*'Falhas UM-3-2 Qty'!$D7/1000000</f>
        <v>540.25840957426783</v>
      </c>
      <c r="M7" s="333">
        <f>'Prod &amp; Defects - Qty'!N$7*'Falhas UM-3-2 Qty'!$D7/1000000</f>
        <v>514.04027558245025</v>
      </c>
      <c r="N7" s="333">
        <f>'Prod &amp; Defects - Qty'!O$7*'Falhas UM-3-2 Qty'!$D7/1000000</f>
        <v>398.6532504942794</v>
      </c>
      <c r="O7" s="333">
        <f>'Prod &amp; Defects - Qty'!P$7*'Falhas UM-3-2 Qty'!$D7/1000000</f>
        <v>382.63485515445853</v>
      </c>
      <c r="P7" s="333">
        <f>'Prod &amp; Defects - Qty'!Q$7*'Falhas UM-3-2 Qty'!$D7/1000000</f>
        <v>485.13814820991996</v>
      </c>
      <c r="Q7" s="429">
        <f t="shared" ref="Q7:Q56" si="2">SUM(E7:J7)</f>
        <v>2933.5782076182154</v>
      </c>
      <c r="R7" s="83">
        <f>Q7/SUM('Prod &amp; Defects - Qty'!$F$7:$K$7)*1000000</f>
        <v>43.434088477220399</v>
      </c>
      <c r="S7" s="83">
        <f t="shared" ref="S7:S56" si="3">SUM(K7:P7)</f>
        <v>2860.7001157240138</v>
      </c>
      <c r="T7" s="83">
        <f>S7/SUM('Prod &amp; Defects - Qty'!$L$7:$Q$7)*1000000</f>
        <v>43.434088477220392</v>
      </c>
      <c r="U7" s="83">
        <f t="shared" ref="U7:U56" si="4">Q7+S7</f>
        <v>5794.2783233422288</v>
      </c>
      <c r="V7" s="83">
        <f>U7/'Prod &amp; Defects - Qty'!$R$7*1000000</f>
        <v>43.434088477220385</v>
      </c>
      <c r="W7" s="83">
        <f t="shared" si="0"/>
        <v>39.090679629498347</v>
      </c>
      <c r="X7" s="83">
        <f t="shared" si="0"/>
        <v>35.181611666548513</v>
      </c>
      <c r="Y7" s="83">
        <f t="shared" ref="Y7:Y56" si="5">(W7+X7)/2</f>
        <v>37.13614564802343</v>
      </c>
      <c r="Z7" s="430">
        <f t="shared" si="1"/>
        <v>37.13614564802343</v>
      </c>
    </row>
    <row r="8" spans="1:27" ht="18" customHeight="1">
      <c r="A8" s="1032"/>
      <c r="B8" s="81">
        <f t="shared" ref="B8:B17" si="6">B7+10</f>
        <v>3030</v>
      </c>
      <c r="C8" s="82" t="s">
        <v>78</v>
      </c>
      <c r="D8" s="352">
        <f>'[3]Falhas UM-3-2 Qty'!Z9</f>
        <v>40.130026725290833</v>
      </c>
      <c r="E8" s="333">
        <f>'Prod &amp; Defects - Qty'!F$7*'Falhas UM-3-2 Qty'!$D8/1000000</f>
        <v>432.95893243114836</v>
      </c>
      <c r="F8" s="333">
        <f>'Prod &amp; Defects - Qty'!G$7*'Falhas UM-3-2 Qty'!$D8/1000000</f>
        <v>453.12021453613568</v>
      </c>
      <c r="G8" s="333">
        <f>'Prod &amp; Defects - Qty'!H$7*'Falhas UM-3-2 Qty'!$D8/1000000</f>
        <v>436.07588954716209</v>
      </c>
      <c r="H8" s="333">
        <f>'Prod &amp; Defects - Qty'!I$7*'Falhas UM-3-2 Qty'!$D8/1000000</f>
        <v>438.89514255406249</v>
      </c>
      <c r="I8" s="333">
        <f>'Prod &amp; Defects - Qty'!J$7*'Falhas UM-3-2 Qty'!$D8/1000000</f>
        <v>444.25683917306753</v>
      </c>
      <c r="J8" s="333">
        <f>'Prod &amp; Defects - Qty'!K$7*'Falhas UM-3-2 Qty'!$D8/1000000</f>
        <v>505.11182557028451</v>
      </c>
      <c r="K8" s="333">
        <f>'Prod &amp; Defects - Qty'!L$7*'Falhas UM-3-2 Qty'!$D8/1000000</f>
        <v>498.89888407986291</v>
      </c>
      <c r="L8" s="333">
        <f>'Prod &amp; Defects - Qty'!M$7*'Falhas UM-3-2 Qty'!$D8/1000000</f>
        <v>499.16057122159174</v>
      </c>
      <c r="M8" s="333">
        <f>'Prod &amp; Defects - Qty'!N$7*'Falhas UM-3-2 Qty'!$D8/1000000</f>
        <v>474.93686917865131</v>
      </c>
      <c r="N8" s="333">
        <f>'Prod &amp; Defects - Qty'!O$7*'Falhas UM-3-2 Qty'!$D8/1000000</f>
        <v>368.32741649107805</v>
      </c>
      <c r="O8" s="333">
        <f>'Prod &amp; Defects - Qty'!P$7*'Falhas UM-3-2 Qty'!$D8/1000000</f>
        <v>353.52755178526252</v>
      </c>
      <c r="P8" s="333">
        <f>'Prod &amp; Defects - Qty'!Q$7*'Falhas UM-3-2 Qty'!$D8/1000000</f>
        <v>448.23334702494725</v>
      </c>
      <c r="Q8" s="429">
        <f t="shared" si="2"/>
        <v>2710.4188438118608</v>
      </c>
      <c r="R8" s="83">
        <f>Q8/SUM('Prod &amp; Defects - Qty'!$F$7:$K$7)*1000000</f>
        <v>40.13002672529084</v>
      </c>
      <c r="S8" s="83">
        <f t="shared" si="3"/>
        <v>2643.0846397813939</v>
      </c>
      <c r="T8" s="83">
        <f>S8/SUM('Prod &amp; Defects - Qty'!$L$7:$Q$7)*1000000</f>
        <v>40.130026725290833</v>
      </c>
      <c r="U8" s="83">
        <f t="shared" si="4"/>
        <v>5353.5034835932547</v>
      </c>
      <c r="V8" s="83">
        <f>U8/'Prod &amp; Defects - Qty'!$R$7*1000000</f>
        <v>40.130026725290826</v>
      </c>
      <c r="W8" s="83">
        <f t="shared" si="0"/>
        <v>36.117024052761742</v>
      </c>
      <c r="X8" s="83">
        <f t="shared" si="0"/>
        <v>32.505321647485566</v>
      </c>
      <c r="Y8" s="83">
        <f t="shared" si="5"/>
        <v>34.311172850123654</v>
      </c>
      <c r="Z8" s="430">
        <f t="shared" si="1"/>
        <v>34.311172850123654</v>
      </c>
    </row>
    <row r="9" spans="1:27" ht="18" customHeight="1">
      <c r="A9" s="1032"/>
      <c r="B9" s="81">
        <f t="shared" si="6"/>
        <v>3040</v>
      </c>
      <c r="C9" s="82" t="s">
        <v>77</v>
      </c>
      <c r="D9" s="352">
        <f>'[3]Falhas UM-3-2 Qty'!Z10</f>
        <v>230.16542341742658</v>
      </c>
      <c r="E9" s="333">
        <f>'Prod &amp; Defects - Qty'!F$7*'Falhas UM-3-2 Qty'!$D9/1000000</f>
        <v>2483.2322362389368</v>
      </c>
      <c r="F9" s="333">
        <f>'Prod &amp; Defects - Qty'!G$7*'Falhas UM-3-2 Qty'!$D9/1000000</f>
        <v>2598.867096492047</v>
      </c>
      <c r="G9" s="333">
        <f>'Prod &amp; Defects - Qty'!H$7*'Falhas UM-3-2 Qty'!$D9/1000000</f>
        <v>2501.1095169916339</v>
      </c>
      <c r="H9" s="333">
        <f>'Prod &amp; Defects - Qty'!I$7*'Falhas UM-3-2 Qty'!$D9/1000000</f>
        <v>2517.2793183848917</v>
      </c>
      <c r="I9" s="333">
        <f>'Prod &amp; Defects - Qty'!J$7*'Falhas UM-3-2 Qty'!$D9/1000000</f>
        <v>2548.0312832663735</v>
      </c>
      <c r="J9" s="333">
        <f>'Prod &amp; Defects - Qty'!K$7*'Falhas UM-3-2 Qty'!$D9/1000000</f>
        <v>2897.0645347780114</v>
      </c>
      <c r="K9" s="333">
        <f>'Prod &amp; Defects - Qty'!L$7*'Falhas UM-3-2 Qty'!$D9/1000000</f>
        <v>2861.4302622518644</v>
      </c>
      <c r="L9" s="333">
        <f>'Prod &amp; Defects - Qty'!M$7*'Falhas UM-3-2 Qty'!$D9/1000000</f>
        <v>2862.9311666043886</v>
      </c>
      <c r="M9" s="333">
        <f>'Prod &amp; Defects - Qty'!N$7*'Falhas UM-3-2 Qty'!$D9/1000000</f>
        <v>2723.9963317083734</v>
      </c>
      <c r="N9" s="333">
        <f>'Prod &amp; Defects - Qty'!O$7*'Falhas UM-3-2 Qty'!$D9/1000000</f>
        <v>2112.5387319886322</v>
      </c>
      <c r="O9" s="333">
        <f>'Prod &amp; Defects - Qty'!P$7*'Falhas UM-3-2 Qty'!$D9/1000000</f>
        <v>2027.6542351540495</v>
      </c>
      <c r="P9" s="333">
        <f>'Prod &amp; Defects - Qty'!Q$7*'Falhas UM-3-2 Qty'!$D9/1000000</f>
        <v>2570.8385098779072</v>
      </c>
      <c r="Q9" s="429">
        <f t="shared" si="2"/>
        <v>15545.583986151894</v>
      </c>
      <c r="R9" s="83">
        <f>Q9/SUM('Prod &amp; Defects - Qty'!$F$7:$K$7)*1000000</f>
        <v>230.16542341742661</v>
      </c>
      <c r="S9" s="83">
        <f t="shared" si="3"/>
        <v>15159.389237585216</v>
      </c>
      <c r="T9" s="83">
        <f>S9/SUM('Prod &amp; Defects - Qty'!$L$7:$Q$7)*1000000</f>
        <v>230.16542341742658</v>
      </c>
      <c r="U9" s="83">
        <f t="shared" si="4"/>
        <v>30704.97322373711</v>
      </c>
      <c r="V9" s="83">
        <f>U9/'Prod &amp; Defects - Qty'!$R$7*1000000</f>
        <v>230.16542341742655</v>
      </c>
      <c r="W9" s="83">
        <f t="shared" si="0"/>
        <v>207.1488810756839</v>
      </c>
      <c r="X9" s="83">
        <f t="shared" si="0"/>
        <v>186.43399296811552</v>
      </c>
      <c r="Y9" s="83">
        <f t="shared" si="5"/>
        <v>196.7914370218997</v>
      </c>
      <c r="Z9" s="430">
        <f t="shared" si="1"/>
        <v>196.7914370218997</v>
      </c>
    </row>
    <row r="10" spans="1:27" ht="18" customHeight="1">
      <c r="A10" s="1032"/>
      <c r="B10" s="81">
        <f t="shared" si="6"/>
        <v>3050</v>
      </c>
      <c r="C10" s="82" t="s">
        <v>76</v>
      </c>
      <c r="D10" s="352">
        <f>'[3]Falhas UM-3-2 Qty'!Z11</f>
        <v>34.99790601644154</v>
      </c>
      <c r="E10" s="333">
        <f>'Prod &amp; Defects - Qty'!F$7*'Falhas UM-3-2 Qty'!$D10/1000000</f>
        <v>377.58898417714369</v>
      </c>
      <c r="F10" s="333">
        <f>'Prod &amp; Defects - Qty'!G$7*'Falhas UM-3-2 Qty'!$D10/1000000</f>
        <v>395.17189437831291</v>
      </c>
      <c r="G10" s="333">
        <f>'Prod &amp; Defects - Qty'!H$7*'Falhas UM-3-2 Qty'!$D10/1000000</f>
        <v>380.30732206787769</v>
      </c>
      <c r="H10" s="333">
        <f>'Prod &amp; Defects - Qty'!I$7*'Falhas UM-3-2 Qty'!$D10/1000000</f>
        <v>382.76602842378168</v>
      </c>
      <c r="I10" s="333">
        <f>'Prod &amp; Defects - Qty'!J$7*'Falhas UM-3-2 Qty'!$D10/1000000</f>
        <v>387.44203214650918</v>
      </c>
      <c r="J10" s="333">
        <f>'Prod &amp; Defects - Qty'!K$7*'Falhas UM-3-2 Qty'!$D10/1000000</f>
        <v>440.51443872976671</v>
      </c>
      <c r="K10" s="333">
        <f>'Prod &amp; Defects - Qty'!L$7*'Falhas UM-3-2 Qty'!$D10/1000000</f>
        <v>435.09605354263726</v>
      </c>
      <c r="L10" s="333">
        <f>'Prod &amp; Defects - Qty'!M$7*'Falhas UM-3-2 Qty'!$D10/1000000</f>
        <v>435.32427422274372</v>
      </c>
      <c r="M10" s="333">
        <f>'Prod &amp; Defects - Qty'!N$7*'Falhas UM-3-2 Qty'!$D10/1000000</f>
        <v>414.19847599508341</v>
      </c>
      <c r="N10" s="333">
        <f>'Prod &amp; Defects - Qty'!O$7*'Falhas UM-3-2 Qty'!$D10/1000000</f>
        <v>321.22301821218258</v>
      </c>
      <c r="O10" s="333">
        <f>'Prod &amp; Defects - Qty'!P$7*'Falhas UM-3-2 Qty'!$D10/1000000</f>
        <v>308.31586822257765</v>
      </c>
      <c r="P10" s="333">
        <f>'Prod &amp; Defects - Qty'!Q$7*'Falhas UM-3-2 Qty'!$D10/1000000</f>
        <v>390.90999515152799</v>
      </c>
      <c r="Q10" s="429">
        <f t="shared" si="2"/>
        <v>2363.7906999233919</v>
      </c>
      <c r="R10" s="83">
        <f>Q10/SUM('Prod &amp; Defects - Qty'!$F$7:$K$7)*1000000</f>
        <v>34.99790601644154</v>
      </c>
      <c r="S10" s="83">
        <f t="shared" si="3"/>
        <v>2305.0676853467526</v>
      </c>
      <c r="T10" s="83">
        <f>S10/SUM('Prod &amp; Defects - Qty'!$L$7:$Q$7)*1000000</f>
        <v>34.997906016441533</v>
      </c>
      <c r="U10" s="83">
        <f t="shared" si="4"/>
        <v>4668.8583852701449</v>
      </c>
      <c r="V10" s="83">
        <f>U10/'Prod &amp; Defects - Qty'!$R$7*1000000</f>
        <v>34.997906016441533</v>
      </c>
      <c r="W10" s="83">
        <f t="shared" si="0"/>
        <v>31.498115414797379</v>
      </c>
      <c r="X10" s="83">
        <f t="shared" si="0"/>
        <v>28.34830387331764</v>
      </c>
      <c r="Y10" s="83">
        <f t="shared" si="5"/>
        <v>29.923209644057508</v>
      </c>
      <c r="Z10" s="430">
        <f t="shared" si="1"/>
        <v>29.923209644057508</v>
      </c>
    </row>
    <row r="11" spans="1:27" ht="18" customHeight="1">
      <c r="A11" s="1032"/>
      <c r="B11" s="81">
        <f t="shared" si="6"/>
        <v>3060</v>
      </c>
      <c r="C11" s="82" t="s">
        <v>75</v>
      </c>
      <c r="D11" s="352">
        <f>'[3]Falhas UM-3-2 Qty'!Z12</f>
        <v>26.612987952075841</v>
      </c>
      <c r="E11" s="333">
        <f>'Prod &amp; Defects - Qty'!F$7*'Falhas UM-3-2 Qty'!$D11/1000000</f>
        <v>287.12492347462455</v>
      </c>
      <c r="F11" s="333">
        <f>'Prod &amp; Defects - Qty'!G$7*'Falhas UM-3-2 Qty'!$D11/1000000</f>
        <v>300.49525989207535</v>
      </c>
      <c r="G11" s="333">
        <f>'Prod &amp; Defects - Qty'!H$7*'Falhas UM-3-2 Qty'!$D11/1000000</f>
        <v>289.1919926730443</v>
      </c>
      <c r="H11" s="333">
        <f>'Prod &amp; Defects - Qty'!I$7*'Falhas UM-3-2 Qty'!$D11/1000000</f>
        <v>291.06163374804538</v>
      </c>
      <c r="I11" s="333">
        <f>'Prod &amp; Defects - Qty'!J$7*'Falhas UM-3-2 Qty'!$D11/1000000</f>
        <v>294.61734450052143</v>
      </c>
      <c r="J11" s="333">
        <f>'Prod &amp; Defects - Qty'!K$7*'Falhas UM-3-2 Qty'!$D11/1000000</f>
        <v>334.97448233397836</v>
      </c>
      <c r="K11" s="333">
        <f>'Prod &amp; Defects - Qty'!L$7*'Falhas UM-3-2 Qty'!$D11/1000000</f>
        <v>330.85425240830682</v>
      </c>
      <c r="L11" s="333">
        <f>'Prod &amp; Defects - Qty'!M$7*'Falhas UM-3-2 Qty'!$D11/1000000</f>
        <v>331.02779519704495</v>
      </c>
      <c r="M11" s="333">
        <f>'Prod &amp; Defects - Qty'!N$7*'Falhas UM-3-2 Qty'!$D11/1000000</f>
        <v>314.96338798803691</v>
      </c>
      <c r="N11" s="333">
        <f>'Prod &amp; Defects - Qty'!O$7*'Falhas UM-3-2 Qty'!$D11/1000000</f>
        <v>244.263308484633</v>
      </c>
      <c r="O11" s="333">
        <f>'Prod &amp; Defects - Qty'!P$7*'Falhas UM-3-2 Qty'!$D11/1000000</f>
        <v>234.4484976497327</v>
      </c>
      <c r="P11" s="333">
        <f>'Prod &amp; Defects - Qty'!Q$7*'Falhas UM-3-2 Qty'!$D11/1000000</f>
        <v>297.25444106359731</v>
      </c>
      <c r="Q11" s="429">
        <f t="shared" si="2"/>
        <v>1797.4656366222894</v>
      </c>
      <c r="R11" s="83">
        <f>Q11/SUM('Prod &amp; Defects - Qty'!$F$7:$K$7)*1000000</f>
        <v>26.612987952075841</v>
      </c>
      <c r="S11" s="83">
        <f t="shared" si="3"/>
        <v>1752.8116827913516</v>
      </c>
      <c r="T11" s="83">
        <f>S11/SUM('Prod &amp; Defects - Qty'!$L$7:$Q$7)*1000000</f>
        <v>26.612987952075837</v>
      </c>
      <c r="U11" s="83">
        <f t="shared" si="4"/>
        <v>3550.2773194136407</v>
      </c>
      <c r="V11" s="83">
        <f>U11/'Prod &amp; Defects - Qty'!$R$7*1000000</f>
        <v>26.612987952075834</v>
      </c>
      <c r="W11" s="83">
        <f t="shared" si="0"/>
        <v>23.951689156868252</v>
      </c>
      <c r="X11" s="83">
        <f t="shared" si="0"/>
        <v>21.556520241181428</v>
      </c>
      <c r="Y11" s="83">
        <f t="shared" si="5"/>
        <v>22.75410469902484</v>
      </c>
      <c r="Z11" s="430">
        <f t="shared" si="1"/>
        <v>22.75410469902484</v>
      </c>
    </row>
    <row r="12" spans="1:27" ht="18" customHeight="1">
      <c r="A12" s="1032"/>
      <c r="B12" s="81">
        <f t="shared" si="6"/>
        <v>3070</v>
      </c>
      <c r="C12" s="82" t="s">
        <v>41</v>
      </c>
      <c r="D12" s="352">
        <f>'[3]Falhas UM-3-2 Qty'!Z13</f>
        <v>260.37021591091559</v>
      </c>
      <c r="E12" s="333">
        <f>'Prod &amp; Defects - Qty'!F$7*'Falhas UM-3-2 Qty'!$D12/1000000</f>
        <v>2809.1087875257481</v>
      </c>
      <c r="F12" s="333">
        <f>'Prod &amp; Defects - Qty'!G$7*'Falhas UM-3-2 Qty'!$D12/1000000</f>
        <v>2939.9185029204341</v>
      </c>
      <c r="G12" s="333">
        <f>'Prod &amp; Defects - Qty'!H$7*'Falhas UM-3-2 Qty'!$D12/1000000</f>
        <v>2829.3321181214915</v>
      </c>
      <c r="H12" s="333">
        <f>'Prod &amp; Defects - Qty'!I$7*'Falhas UM-3-2 Qty'!$D12/1000000</f>
        <v>2847.6238954766145</v>
      </c>
      <c r="I12" s="333">
        <f>'Prod &amp; Defects - Qty'!J$7*'Falhas UM-3-2 Qty'!$D12/1000000</f>
        <v>2882.4114652905005</v>
      </c>
      <c r="J12" s="333">
        <f>'Prod &amp; Defects - Qty'!K$7*'Falhas UM-3-2 Qty'!$D12/1000000</f>
        <v>3277.2486293912025</v>
      </c>
      <c r="K12" s="333">
        <f>'Prod &amp; Defects - Qty'!L$7*'Falhas UM-3-2 Qty'!$D12/1000000</f>
        <v>3236.9380427978608</v>
      </c>
      <c r="L12" s="333">
        <f>'Prod &amp; Defects - Qty'!M$7*'Falhas UM-3-2 Qty'!$D12/1000000</f>
        <v>3238.6359120282868</v>
      </c>
      <c r="M12" s="333">
        <f>'Prod &amp; Defects - Qty'!N$7*'Falhas UM-3-2 Qty'!$D12/1000000</f>
        <v>3081.4685476939098</v>
      </c>
      <c r="N12" s="333">
        <f>'Prod &amp; Defects - Qty'!O$7*'Falhas UM-3-2 Qty'!$D12/1000000</f>
        <v>2389.7688784057668</v>
      </c>
      <c r="O12" s="333">
        <f>'Prod &amp; Defects - Qty'!P$7*'Falhas UM-3-2 Qty'!$D12/1000000</f>
        <v>2293.7449212007496</v>
      </c>
      <c r="P12" s="333">
        <f>'Prod &amp; Defects - Qty'!Q$7*'Falhas UM-3-2 Qty'!$D12/1000000</f>
        <v>2908.2117024807953</v>
      </c>
      <c r="Q12" s="429">
        <f t="shared" si="2"/>
        <v>17585.643398725992</v>
      </c>
      <c r="R12" s="83">
        <f>Q12/SUM('Prod &amp; Defects - Qty'!$F$7:$K$7)*1000000</f>
        <v>260.37021591091559</v>
      </c>
      <c r="S12" s="83">
        <f t="shared" si="3"/>
        <v>17148.768004607369</v>
      </c>
      <c r="T12" s="83">
        <f>S12/SUM('Prod &amp; Defects - Qty'!$L$7:$Q$7)*1000000</f>
        <v>260.37021591091559</v>
      </c>
      <c r="U12" s="83">
        <f t="shared" si="4"/>
        <v>34734.411403333361</v>
      </c>
      <c r="V12" s="83">
        <f>U12/'Prod &amp; Defects - Qty'!$R$7*1000000</f>
        <v>260.37021591091553</v>
      </c>
      <c r="W12" s="83">
        <f t="shared" si="0"/>
        <v>234.33319431982397</v>
      </c>
      <c r="X12" s="83">
        <f t="shared" si="0"/>
        <v>210.89987488784158</v>
      </c>
      <c r="Y12" s="83">
        <f t="shared" si="5"/>
        <v>222.61653460383278</v>
      </c>
      <c r="Z12" s="430">
        <f t="shared" si="1"/>
        <v>222.61653460383278</v>
      </c>
    </row>
    <row r="13" spans="1:27" ht="18" customHeight="1">
      <c r="A13" s="1032"/>
      <c r="B13" s="81">
        <f t="shared" si="6"/>
        <v>3080</v>
      </c>
      <c r="C13" s="82" t="s">
        <v>62</v>
      </c>
      <c r="D13" s="352">
        <f>'[3]Falhas UM-3-2 Qty'!Z14</f>
        <v>85.569345804223403</v>
      </c>
      <c r="E13" s="333">
        <f>'Prod &amp; Defects - Qty'!F$7*'Falhas UM-3-2 Qty'!$D13/1000000</f>
        <v>923.19930065932022</v>
      </c>
      <c r="F13" s="333">
        <f>'Prod &amp; Defects - Qty'!G$7*'Falhas UM-3-2 Qty'!$D13/1000000</f>
        <v>966.18924761619348</v>
      </c>
      <c r="G13" s="333">
        <f>'Prod &amp; Defects - Qty'!H$7*'Falhas UM-3-2 Qty'!$D13/1000000</f>
        <v>929.84559529408125</v>
      </c>
      <c r="H13" s="333">
        <f>'Prod &amp; Defects - Qty'!I$7*'Falhas UM-3-2 Qty'!$D13/1000000</f>
        <v>935.85709479066679</v>
      </c>
      <c r="I13" s="333">
        <f>'Prod &amp; Defects - Qty'!J$7*'Falhas UM-3-2 Qty'!$D13/1000000</f>
        <v>947.28985249176833</v>
      </c>
      <c r="J13" s="333">
        <f>'Prod &amp; Defects - Qty'!K$7*'Falhas UM-3-2 Qty'!$D13/1000000</f>
        <v>1077.0510761904559</v>
      </c>
      <c r="K13" s="333">
        <f>'Prod &amp; Defects - Qty'!L$7*'Falhas UM-3-2 Qty'!$D13/1000000</f>
        <v>1063.8032071448008</v>
      </c>
      <c r="L13" s="333">
        <f>'Prod &amp; Defects - Qty'!M$7*'Falhas UM-3-2 Qty'!$D13/1000000</f>
        <v>1064.36120322281</v>
      </c>
      <c r="M13" s="333">
        <f>'Prod &amp; Defects - Qty'!N$7*'Falhas UM-3-2 Qty'!$D13/1000000</f>
        <v>1012.7089491398464</v>
      </c>
      <c r="N13" s="333">
        <f>'Prod &amp; Defects - Qty'!O$7*'Falhas UM-3-2 Qty'!$D13/1000000</f>
        <v>785.38537456388553</v>
      </c>
      <c r="O13" s="333">
        <f>'Prod &amp; Defects - Qty'!P$7*'Falhas UM-3-2 Qty'!$D13/1000000</f>
        <v>753.82758992703828</v>
      </c>
      <c r="P13" s="333">
        <f>'Prod &amp; Defects - Qty'!Q$7*'Falhas UM-3-2 Qty'!$D13/1000000</f>
        <v>955.76896908443848</v>
      </c>
      <c r="Q13" s="429">
        <f t="shared" si="2"/>
        <v>5779.4321670424861</v>
      </c>
      <c r="R13" s="83">
        <f>Q13/SUM('Prod &amp; Defects - Qty'!$F$7:$K$7)*1000000</f>
        <v>85.569345804223417</v>
      </c>
      <c r="S13" s="83">
        <f t="shared" si="3"/>
        <v>5635.8552930828191</v>
      </c>
      <c r="T13" s="83">
        <f>S13/SUM('Prod &amp; Defects - Qty'!$L$7:$Q$7)*1000000</f>
        <v>85.569345804223403</v>
      </c>
      <c r="U13" s="83">
        <f t="shared" si="4"/>
        <v>11415.287460125306</v>
      </c>
      <c r="V13" s="83">
        <f>U13/'Prod &amp; Defects - Qty'!$R$7*1000000</f>
        <v>85.569345804223403</v>
      </c>
      <c r="W13" s="83">
        <f t="shared" si="0"/>
        <v>77.012411223801067</v>
      </c>
      <c r="X13" s="83">
        <f t="shared" si="0"/>
        <v>69.311170101420956</v>
      </c>
      <c r="Y13" s="83">
        <f t="shared" si="5"/>
        <v>73.161790662611011</v>
      </c>
      <c r="Z13" s="430">
        <f t="shared" si="1"/>
        <v>73.161790662611011</v>
      </c>
    </row>
    <row r="14" spans="1:27" ht="18" customHeight="1">
      <c r="A14" s="1032"/>
      <c r="B14" s="81">
        <f t="shared" si="6"/>
        <v>3090</v>
      </c>
      <c r="C14" s="82" t="s">
        <v>74</v>
      </c>
      <c r="D14" s="352">
        <f>'[3]Falhas UM-3-2 Qty'!Z15</f>
        <v>143.44767310619184</v>
      </c>
      <c r="E14" s="333">
        <f>'Prod &amp; Defects - Qty'!F$7*'Falhas UM-3-2 Qty'!$D14/1000000</f>
        <v>1547.6429117015264</v>
      </c>
      <c r="F14" s="333">
        <f>'Prod &amp; Defects - Qty'!G$7*'Falhas UM-3-2 Qty'!$D14/1000000</f>
        <v>1619.7108678131844</v>
      </c>
      <c r="G14" s="333">
        <f>'Prod &amp; Defects - Qty'!H$7*'Falhas UM-3-2 Qty'!$D14/1000000</f>
        <v>1558.7846995833213</v>
      </c>
      <c r="H14" s="333">
        <f>'Prod &amp; Defects - Qty'!I$7*'Falhas UM-3-2 Qty'!$D14/1000000</f>
        <v>1568.8623226685465</v>
      </c>
      <c r="I14" s="333">
        <f>'Prod &amp; Defects - Qty'!J$7*'Falhas UM-3-2 Qty'!$D14/1000000</f>
        <v>1588.0280937048487</v>
      </c>
      <c r="J14" s="333">
        <f>'Prod &amp; Defects - Qty'!K$7*'Falhas UM-3-2 Qty'!$D14/1000000</f>
        <v>1805.5586290156612</v>
      </c>
      <c r="K14" s="333">
        <f>'Prod &amp; Defects - Qty'!L$7*'Falhas UM-3-2 Qty'!$D14/1000000</f>
        <v>1783.3500218286588</v>
      </c>
      <c r="L14" s="333">
        <f>'Prod &amp; Defects - Qty'!M$7*'Falhas UM-3-2 Qty'!$D14/1000000</f>
        <v>1784.2854413792058</v>
      </c>
      <c r="M14" s="333">
        <f>'Prod &amp; Defects - Qty'!N$7*'Falhas UM-3-2 Qty'!$D14/1000000</f>
        <v>1697.6960723796685</v>
      </c>
      <c r="N14" s="333">
        <f>'Prod &amp; Defects - Qty'!O$7*'Falhas UM-3-2 Qty'!$D14/1000000</f>
        <v>1316.6128993271291</v>
      </c>
      <c r="O14" s="333">
        <f>'Prod &amp; Defects - Qty'!P$7*'Falhas UM-3-2 Qty'!$D14/1000000</f>
        <v>1263.7097161603526</v>
      </c>
      <c r="P14" s="333">
        <f>'Prod &amp; Defects - Qty'!Q$7*'Falhas UM-3-2 Qty'!$D14/1000000</f>
        <v>1602.2424076485061</v>
      </c>
      <c r="Q14" s="429">
        <f t="shared" si="2"/>
        <v>9688.5875244870876</v>
      </c>
      <c r="R14" s="83">
        <f>Q14/SUM('Prod &amp; Defects - Qty'!$F$7:$K$7)*1000000</f>
        <v>143.44767310619181</v>
      </c>
      <c r="S14" s="83">
        <f t="shared" si="3"/>
        <v>9447.8965587235198</v>
      </c>
      <c r="T14" s="83">
        <f>S14/SUM('Prod &amp; Defects - Qty'!$L$7:$Q$7)*1000000</f>
        <v>143.44767310619181</v>
      </c>
      <c r="U14" s="83">
        <f t="shared" si="4"/>
        <v>19136.484083210606</v>
      </c>
      <c r="V14" s="83">
        <f>U14/'Prod &amp; Defects - Qty'!$R$7*1000000</f>
        <v>143.44767310619179</v>
      </c>
      <c r="W14" s="83">
        <f t="shared" si="0"/>
        <v>129.10290579557261</v>
      </c>
      <c r="X14" s="83">
        <f t="shared" si="0"/>
        <v>116.19261521601535</v>
      </c>
      <c r="Y14" s="83">
        <f t="shared" si="5"/>
        <v>122.64776050579398</v>
      </c>
      <c r="Z14" s="430">
        <f t="shared" si="1"/>
        <v>122.64776050579398</v>
      </c>
    </row>
    <row r="15" spans="1:27" ht="18" customHeight="1">
      <c r="A15" s="1032"/>
      <c r="B15" s="81">
        <f t="shared" si="6"/>
        <v>3100</v>
      </c>
      <c r="C15" s="89" t="s">
        <v>73</v>
      </c>
      <c r="D15" s="352">
        <f>'[3]Falhas UM-3-2 Qty'!Z16</f>
        <v>4965.5690387042778</v>
      </c>
      <c r="E15" s="333">
        <f>'Prod &amp; Defects - Qty'!F$7*'Falhas UM-3-2 Qty'!$D15/1000000</f>
        <v>53573.038578508123</v>
      </c>
      <c r="F15" s="333">
        <f>'Prod &amp; Defects - Qty'!G$7*'Falhas UM-3-2 Qty'!$D15/1000000</f>
        <v>56067.735103043815</v>
      </c>
      <c r="G15" s="333">
        <f>'Prod &amp; Defects - Qty'!H$7*'Falhas UM-3-2 Qty'!$D15/1000000</f>
        <v>53958.721495098172</v>
      </c>
      <c r="H15" s="333">
        <f>'Prod &amp; Defects - Qty'!I$7*'Falhas UM-3-2 Qty'!$D15/1000000</f>
        <v>54307.567398919004</v>
      </c>
      <c r="I15" s="333">
        <f>'Prod &amp; Defects - Qty'!J$7*'Falhas UM-3-2 Qty'!$D15/1000000</f>
        <v>54971.007643016281</v>
      </c>
      <c r="J15" s="333">
        <f>'Prod &amp; Defects - Qty'!K$7*'Falhas UM-3-2 Qty'!$D15/1000000</f>
        <v>62501.020976258093</v>
      </c>
      <c r="K15" s="333">
        <f>'Prod &amp; Defects - Qty'!L$7*'Falhas UM-3-2 Qty'!$D15/1000000</f>
        <v>61732.250247165211</v>
      </c>
      <c r="L15" s="333">
        <f>'Prod &amp; Defects - Qty'!M$7*'Falhas UM-3-2 Qty'!$D15/1000000</f>
        <v>61764.630628511353</v>
      </c>
      <c r="M15" s="333">
        <f>'Prod &amp; Defects - Qty'!N$7*'Falhas UM-3-2 Qty'!$D15/1000000</f>
        <v>58767.262456029763</v>
      </c>
      <c r="N15" s="333">
        <f>'Prod &amp; Defects - Qty'!O$7*'Falhas UM-3-2 Qty'!$D15/1000000</f>
        <v>45575.728816581744</v>
      </c>
      <c r="O15" s="333">
        <f>'Prod &amp; Defects - Qty'!P$7*'Falhas UM-3-2 Qty'!$D15/1000000</f>
        <v>43744.437986319346</v>
      </c>
      <c r="P15" s="333">
        <f>'Prod &amp; Defects - Qty'!Q$7*'Falhas UM-3-2 Qty'!$D15/1000000</f>
        <v>55463.04878733513</v>
      </c>
      <c r="Q15" s="429">
        <f t="shared" si="2"/>
        <v>335379.09119484347</v>
      </c>
      <c r="R15" s="83">
        <f>Q15/SUM('Prod &amp; Defects - Qty'!$F$7:$K$7)*1000000</f>
        <v>4965.5690387042778</v>
      </c>
      <c r="S15" s="83">
        <f t="shared" si="3"/>
        <v>327047.35892194253</v>
      </c>
      <c r="T15" s="83">
        <f>S15/SUM('Prod &amp; Defects - Qty'!$L$7:$Q$7)*1000000</f>
        <v>4965.5690387042769</v>
      </c>
      <c r="U15" s="83">
        <f t="shared" si="4"/>
        <v>662426.45011678594</v>
      </c>
      <c r="V15" s="83">
        <f>U15/'Prod &amp; Defects - Qty'!$R$7*1000000</f>
        <v>4965.569038704276</v>
      </c>
      <c r="W15" s="83">
        <f t="shared" si="0"/>
        <v>4469.0121348338489</v>
      </c>
      <c r="X15" s="83">
        <f t="shared" si="0"/>
        <v>4022.1109213504642</v>
      </c>
      <c r="Y15" s="83">
        <f t="shared" si="5"/>
        <v>4245.5615280921565</v>
      </c>
      <c r="Z15" s="430">
        <f t="shared" si="1"/>
        <v>4245.5615280921565</v>
      </c>
    </row>
    <row r="16" spans="1:27" ht="18" customHeight="1">
      <c r="A16" s="1032"/>
      <c r="B16" s="81">
        <f t="shared" si="6"/>
        <v>3110</v>
      </c>
      <c r="C16" s="89" t="s">
        <v>72</v>
      </c>
      <c r="D16" s="353">
        <f>'[3]Falhas UM-3-2 Qty'!Z17</f>
        <v>515.67089650065054</v>
      </c>
      <c r="E16" s="334">
        <f>'Prod &amp; Defects - Qty'!F$7*'Falhas UM-3-2 Qty'!$D16/1000000</f>
        <v>5563.5228544223401</v>
      </c>
      <c r="F16" s="334">
        <f>'Prod &amp; Defects - Qty'!G$7*'Falhas UM-3-2 Qty'!$D16/1000000</f>
        <v>5822.5953561390952</v>
      </c>
      <c r="G16" s="334">
        <f>'Prod &amp; Defects - Qty'!H$7*'Falhas UM-3-2 Qty'!$D16/1000000</f>
        <v>5603.575757485969</v>
      </c>
      <c r="H16" s="334">
        <f>'Prod &amp; Defects - Qty'!I$7*'Falhas UM-3-2 Qty'!$D16/1000000</f>
        <v>5639.8031623537117</v>
      </c>
      <c r="I16" s="334">
        <f>'Prod &amp; Defects - Qty'!J$7*'Falhas UM-3-2 Qty'!$D16/1000000</f>
        <v>5708.7009709999329</v>
      </c>
      <c r="J16" s="334">
        <f>'Prod &amp; Defects - Qty'!K$7*'Falhas UM-3-2 Qty'!$D16/1000000</f>
        <v>6490.6876266980889</v>
      </c>
      <c r="K16" s="334">
        <f>'Prod &amp; Defects - Qty'!L$7*'Falhas UM-3-2 Qty'!$D16/1000000</f>
        <v>6410.8513203282091</v>
      </c>
      <c r="L16" s="334">
        <f>'Prod &amp; Defects - Qty'!M$7*'Falhas UM-3-2 Qty'!$D16/1000000</f>
        <v>6414.2140004455623</v>
      </c>
      <c r="M16" s="334">
        <f>'Prod &amp; Defects - Qty'!N$7*'Falhas UM-3-2 Qty'!$D16/1000000</f>
        <v>6102.9393971526788</v>
      </c>
      <c r="N16" s="334">
        <f>'Prod &amp; Defects - Qty'!O$7*'Falhas UM-3-2 Qty'!$D16/1000000</f>
        <v>4733.0077891032406</v>
      </c>
      <c r="O16" s="334">
        <f>'Prod &amp; Defects - Qty'!P$7*'Falhas UM-3-2 Qty'!$D16/1000000</f>
        <v>4542.8295080574799</v>
      </c>
      <c r="P16" s="334">
        <f>'Prod &amp; Defects - Qty'!Q$7*'Falhas UM-3-2 Qty'!$D16/1000000</f>
        <v>5759.7991021563812</v>
      </c>
      <c r="Q16" s="431">
        <f t="shared" si="2"/>
        <v>34828.885728099136</v>
      </c>
      <c r="R16" s="94">
        <f>Q16/SUM('Prod &amp; Defects - Qty'!$F$7:$K$7)*1000000</f>
        <v>515.67089650065054</v>
      </c>
      <c r="S16" s="94">
        <f t="shared" si="3"/>
        <v>33963.641117243555</v>
      </c>
      <c r="T16" s="94">
        <f>S16/SUM('Prod &amp; Defects - Qty'!$L$7:$Q$7)*1000000</f>
        <v>515.67089650065066</v>
      </c>
      <c r="U16" s="94">
        <f t="shared" si="4"/>
        <v>68792.526845342683</v>
      </c>
      <c r="V16" s="94">
        <f>U16/'Prod &amp; Defects - Qty'!$R$7*1000000</f>
        <v>515.67089650065043</v>
      </c>
      <c r="W16" s="94">
        <f t="shared" si="0"/>
        <v>464.10380685058539</v>
      </c>
      <c r="X16" s="94">
        <f t="shared" si="0"/>
        <v>417.69342616552683</v>
      </c>
      <c r="Y16" s="94">
        <f t="shared" si="5"/>
        <v>440.89861650805608</v>
      </c>
      <c r="Z16" s="432">
        <f t="shared" si="1"/>
        <v>440.89861650805608</v>
      </c>
    </row>
    <row r="17" spans="1:26" ht="18" customHeight="1">
      <c r="A17" s="1032"/>
      <c r="B17" s="81">
        <f t="shared" si="6"/>
        <v>3120</v>
      </c>
      <c r="C17" s="89" t="s">
        <v>71</v>
      </c>
      <c r="D17" s="354">
        <f>'[3]Falhas UM-3-2 Qty'!Z18</f>
        <v>0</v>
      </c>
      <c r="E17" s="335">
        <f>'Prod &amp; Defects - Qty'!F$7*'Falhas UM-3-2 Qty'!$D17/1000000</f>
        <v>0</v>
      </c>
      <c r="F17" s="335">
        <f>'Prod &amp; Defects - Qty'!G$7*'Falhas UM-3-2 Qty'!$D17/1000000</f>
        <v>0</v>
      </c>
      <c r="G17" s="335">
        <f>'Prod &amp; Defects - Qty'!H$7*'Falhas UM-3-2 Qty'!$D17/1000000</f>
        <v>0</v>
      </c>
      <c r="H17" s="335">
        <f>'Prod &amp; Defects - Qty'!I$7*'Falhas UM-3-2 Qty'!$D17/1000000</f>
        <v>0</v>
      </c>
      <c r="I17" s="335">
        <f>'Prod &amp; Defects - Qty'!J$7*'Falhas UM-3-2 Qty'!$D17/1000000</f>
        <v>0</v>
      </c>
      <c r="J17" s="335">
        <f>'Prod &amp; Defects - Qty'!K$7*'Falhas UM-3-2 Qty'!$D17/1000000</f>
        <v>0</v>
      </c>
      <c r="K17" s="335">
        <f>'Prod &amp; Defects - Qty'!L$7*'Falhas UM-3-2 Qty'!$D17/1000000</f>
        <v>0</v>
      </c>
      <c r="L17" s="335">
        <f>'Prod &amp; Defects - Qty'!M$7*'Falhas UM-3-2 Qty'!$D17/1000000</f>
        <v>0</v>
      </c>
      <c r="M17" s="335">
        <f>'Prod &amp; Defects - Qty'!N$7*'Falhas UM-3-2 Qty'!$D17/1000000</f>
        <v>0</v>
      </c>
      <c r="N17" s="335">
        <f>'Prod &amp; Defects - Qty'!O$7*'Falhas UM-3-2 Qty'!$D17/1000000</f>
        <v>0</v>
      </c>
      <c r="O17" s="335">
        <f>'Prod &amp; Defects - Qty'!P$7*'Falhas UM-3-2 Qty'!$D17/1000000</f>
        <v>0</v>
      </c>
      <c r="P17" s="335">
        <f>'Prod &amp; Defects - Qty'!Q$7*'Falhas UM-3-2 Qty'!$D17/1000000</f>
        <v>0</v>
      </c>
      <c r="Q17" s="433">
        <f t="shared" si="2"/>
        <v>0</v>
      </c>
      <c r="R17" s="93">
        <f>Q17/SUM('Prod &amp; Defects - Qty'!$F$7:$K$7)*1000000</f>
        <v>0</v>
      </c>
      <c r="S17" s="93">
        <f t="shared" si="3"/>
        <v>0</v>
      </c>
      <c r="T17" s="93">
        <f>S17/SUM('Prod &amp; Defects - Qty'!$L$7:$Q$7)*1000000</f>
        <v>0</v>
      </c>
      <c r="U17" s="93">
        <f t="shared" si="4"/>
        <v>0</v>
      </c>
      <c r="V17" s="93">
        <f>U17/'Prod &amp; Defects - Qty'!$R$7*1000000</f>
        <v>0</v>
      </c>
      <c r="W17" s="93">
        <f t="shared" si="0"/>
        <v>0</v>
      </c>
      <c r="X17" s="93">
        <f t="shared" si="0"/>
        <v>0</v>
      </c>
      <c r="Y17" s="93">
        <f t="shared" si="5"/>
        <v>0</v>
      </c>
      <c r="Z17" s="434">
        <f t="shared" si="1"/>
        <v>0</v>
      </c>
    </row>
    <row r="18" spans="1:26" ht="18" customHeight="1" thickBot="1">
      <c r="A18" s="1032"/>
      <c r="B18" s="84"/>
      <c r="C18" s="85" t="s">
        <v>1</v>
      </c>
      <c r="D18" s="355">
        <f>'[3]Falhas UM-3-2 Qty'!Z19</f>
        <v>992.7003743097921</v>
      </c>
      <c r="E18" s="336">
        <f>SUBTOTAL(109,E6:E17)</f>
        <v>69823.792678826168</v>
      </c>
      <c r="F18" s="336">
        <f t="shared" ref="F18:P18" si="7">SUBTOTAL(109,F6:F17)</f>
        <v>73075.226189929032</v>
      </c>
      <c r="G18" s="336">
        <f t="shared" si="7"/>
        <v>70326.467993168932</v>
      </c>
      <c r="H18" s="336">
        <f t="shared" si="7"/>
        <v>70781.132218151208</v>
      </c>
      <c r="I18" s="336">
        <f t="shared" si="7"/>
        <v>71645.819293735927</v>
      </c>
      <c r="J18" s="336">
        <f t="shared" si="7"/>
        <v>81459.974021558257</v>
      </c>
      <c r="K18" s="336">
        <f t="shared" si="7"/>
        <v>80458.00569140524</v>
      </c>
      <c r="L18" s="336">
        <f t="shared" si="7"/>
        <v>80500.208282371983</v>
      </c>
      <c r="M18" s="336">
        <f t="shared" si="7"/>
        <v>76593.623563441608</v>
      </c>
      <c r="N18" s="336">
        <f t="shared" si="7"/>
        <v>59400.59262108081</v>
      </c>
      <c r="O18" s="336">
        <f t="shared" si="7"/>
        <v>57013.801155454035</v>
      </c>
      <c r="P18" s="336">
        <f t="shared" si="7"/>
        <v>72287.115359107047</v>
      </c>
      <c r="Q18" s="435">
        <f t="shared" si="2"/>
        <v>437112.41239536944</v>
      </c>
      <c r="R18" s="86">
        <f>Q18/SUM('Prod &amp; Defects - Qty'!$F$7:$K$7)*1000000</f>
        <v>6471.8162771894195</v>
      </c>
      <c r="S18" s="86">
        <f t="shared" si="3"/>
        <v>426253.34667286067</v>
      </c>
      <c r="T18" s="86">
        <f>S18/SUM('Prod &amp; Defects - Qty'!$L$7:$Q$7)*1000000</f>
        <v>6471.8162771894195</v>
      </c>
      <c r="U18" s="86">
        <f t="shared" si="4"/>
        <v>863365.75906823017</v>
      </c>
      <c r="V18" s="86">
        <f>U18/'Prod &amp; Defects - Qty'!$R$7*1000000</f>
        <v>6471.8162771894185</v>
      </c>
      <c r="W18" s="86">
        <f t="shared" si="0"/>
        <v>5824.6346494704767</v>
      </c>
      <c r="X18" s="86">
        <f t="shared" si="0"/>
        <v>5242.1711845234295</v>
      </c>
      <c r="Y18" s="86">
        <f t="shared" si="5"/>
        <v>5533.4029169969526</v>
      </c>
      <c r="Z18" s="436">
        <f>Y18</f>
        <v>5533.4029169969526</v>
      </c>
    </row>
    <row r="19" spans="1:26" ht="18" customHeight="1" thickTop="1">
      <c r="A19" s="1032"/>
      <c r="B19" s="81">
        <v>3130</v>
      </c>
      <c r="C19" s="82" t="s">
        <v>108</v>
      </c>
      <c r="D19" s="352">
        <f>'[3]Falhas UM-3-2 Qty'!Z20</f>
        <v>18.078622542295637</v>
      </c>
      <c r="E19" s="333">
        <f>'Prod &amp; Defects - Qty'!F$7*'Falhas UM-3-2 Qty'!$D19/1000000</f>
        <v>195.04848998281562</v>
      </c>
      <c r="F19" s="333">
        <f>'Prod &amp; Defects - Qty'!G$7*'Falhas UM-3-2 Qty'!$D19/1000000</f>
        <v>204.13117043154546</v>
      </c>
      <c r="G19" s="333">
        <f>'Prod &amp; Defects - Qty'!H$7*'Falhas UM-3-2 Qty'!$D19/1000000</f>
        <v>196.45268269782875</v>
      </c>
      <c r="H19" s="333">
        <f>'Prod &amp; Defects - Qty'!I$7*'Falhas UM-3-2 Qty'!$D19/1000000</f>
        <v>197.72275937412613</v>
      </c>
      <c r="I19" s="333">
        <f>'Prod &amp; Defects - Qty'!J$7*'Falhas UM-3-2 Qty'!$D19/1000000</f>
        <v>200.13820978049745</v>
      </c>
      <c r="J19" s="333">
        <f>'Prod &amp; Defects - Qty'!K$7*'Falhas UM-3-2 Qty'!$D19/1000000</f>
        <v>227.55345015457044</v>
      </c>
      <c r="K19" s="333">
        <f>'Prod &amp; Defects - Qty'!L$7*'Falhas UM-3-2 Qty'!$D19/1000000</f>
        <v>224.7545129684182</v>
      </c>
      <c r="L19" s="333">
        <f>'Prod &amp; Defects - Qty'!M$7*'Falhas UM-3-2 Qty'!$D19/1000000</f>
        <v>224.87240332248831</v>
      </c>
      <c r="M19" s="333">
        <f>'Prod &amp; Defects - Qty'!N$7*'Falhas UM-3-2 Qty'!$D19/1000000</f>
        <v>213.95959808542224</v>
      </c>
      <c r="N19" s="333">
        <f>'Prod &amp; Defects - Qty'!O$7*'Falhas UM-3-2 Qty'!$D19/1000000</f>
        <v>165.93191876756367</v>
      </c>
      <c r="O19" s="333">
        <f>'Prod &amp; Defects - Qty'!P$7*'Falhas UM-3-2 Qty'!$D19/1000000</f>
        <v>159.26456293635363</v>
      </c>
      <c r="P19" s="333">
        <f>'Prod &amp; Defects - Qty'!Q$7*'Falhas UM-3-2 Qty'!$D19/1000000</f>
        <v>201.9296310766438</v>
      </c>
      <c r="Q19" s="429">
        <f t="shared" si="2"/>
        <v>1221.0467624213838</v>
      </c>
      <c r="R19" s="83">
        <f>Q19/SUM('Prod &amp; Defects - Qty'!$F$7:$K$7)*1000000</f>
        <v>18.078622542295637</v>
      </c>
      <c r="S19" s="83">
        <f t="shared" si="3"/>
        <v>1190.71262715689</v>
      </c>
      <c r="T19" s="83">
        <f>S19/SUM('Prod &amp; Defects - Qty'!$L$7:$Q$7)*1000000</f>
        <v>18.078622542295641</v>
      </c>
      <c r="U19" s="83">
        <f t="shared" si="4"/>
        <v>2411.7593895782738</v>
      </c>
      <c r="V19" s="83">
        <f>U19/'Prod &amp; Defects - Qty'!$R$7*1000000</f>
        <v>18.078622542295637</v>
      </c>
      <c r="W19" s="83">
        <f t="shared" si="0"/>
        <v>16.270760288066075</v>
      </c>
      <c r="X19" s="83">
        <f t="shared" si="0"/>
        <v>14.643684259259468</v>
      </c>
      <c r="Y19" s="83">
        <f t="shared" si="5"/>
        <v>15.457222273662772</v>
      </c>
      <c r="Z19" s="430">
        <f t="shared" ref="Z19:Z35" si="8">Y19*1</f>
        <v>15.457222273662772</v>
      </c>
    </row>
    <row r="20" spans="1:26" ht="18" customHeight="1">
      <c r="A20" s="1032"/>
      <c r="B20" s="81">
        <v>3135</v>
      </c>
      <c r="C20" s="89" t="s">
        <v>109</v>
      </c>
      <c r="D20" s="352">
        <f>'[3]Falhas UM-3-2 Qty'!Z21</f>
        <v>9.5573810188990773</v>
      </c>
      <c r="E20" s="333">
        <f>'Prod &amp; Defects - Qty'!F$7*'Falhas UM-3-2 Qty'!$D20/1000000</f>
        <v>103.11364881729409</v>
      </c>
      <c r="F20" s="333">
        <f>'Prod &amp; Defects - Qty'!G$7*'Falhas UM-3-2 Qty'!$D20/1000000</f>
        <v>107.91526672365444</v>
      </c>
      <c r="G20" s="333">
        <f>'Prod &amp; Defects - Qty'!H$7*'Falhas UM-3-2 Qty'!$D20/1000000</f>
        <v>103.8559844001044</v>
      </c>
      <c r="H20" s="333">
        <f>'Prod &amp; Defects - Qty'!I$7*'Falhas UM-3-2 Qty'!$D20/1000000</f>
        <v>104.52741866951251</v>
      </c>
      <c r="I20" s="333">
        <f>'Prod &amp; Defects - Qty'!J$7*'Falhas UM-3-2 Qty'!$D20/1000000</f>
        <v>105.80436218730189</v>
      </c>
      <c r="J20" s="333">
        <f>'Prod &amp; Defects - Qty'!K$7*'Falhas UM-3-2 Qty'!$D20/1000000</f>
        <v>120.29760675650066</v>
      </c>
      <c r="K20" s="333">
        <f>'Prod &amp; Defects - Qty'!L$7*'Falhas UM-3-2 Qty'!$D20/1000000</f>
        <v>118.81793046626129</v>
      </c>
      <c r="L20" s="333">
        <f>'Prod &amp; Defects - Qty'!M$7*'Falhas UM-3-2 Qty'!$D20/1000000</f>
        <v>118.88025396627711</v>
      </c>
      <c r="M20" s="333">
        <f>'Prod &amp; Defects - Qty'!N$7*'Falhas UM-3-2 Qty'!$D20/1000000</f>
        <v>113.11112872503327</v>
      </c>
      <c r="N20" s="333">
        <f>'Prod &amp; Defects - Qty'!O$7*'Falhas UM-3-2 Qty'!$D20/1000000</f>
        <v>87.720984668406118</v>
      </c>
      <c r="O20" s="333">
        <f>'Prod &amp; Defects - Qty'!P$7*'Falhas UM-3-2 Qty'!$D20/1000000</f>
        <v>84.196243780743245</v>
      </c>
      <c r="P20" s="333">
        <f>'Prod &amp; Defects - Qty'!Q$7*'Falhas UM-3-2 Qty'!$D20/1000000</f>
        <v>106.75140867010691</v>
      </c>
      <c r="Q20" s="429">
        <f t="shared" si="2"/>
        <v>645.51428755436791</v>
      </c>
      <c r="R20" s="83">
        <f>Q20/SUM('Prod &amp; Defects - Qty'!$F$7:$K$7)*1000000</f>
        <v>9.5573810188990755</v>
      </c>
      <c r="S20" s="83">
        <f t="shared" si="3"/>
        <v>629.47795027682787</v>
      </c>
      <c r="T20" s="83">
        <f>S20/SUM('Prod &amp; Defects - Qty'!$L$7:$Q$7)*1000000</f>
        <v>9.5573810188990755</v>
      </c>
      <c r="U20" s="83">
        <f t="shared" si="4"/>
        <v>1274.9922378311958</v>
      </c>
      <c r="V20" s="83">
        <f>U20/'Prod &amp; Defects - Qty'!$R$7*1000000</f>
        <v>9.5573810188990738</v>
      </c>
      <c r="W20" s="83">
        <f t="shared" si="0"/>
        <v>8.6016429170091673</v>
      </c>
      <c r="X20" s="83">
        <f t="shared" si="0"/>
        <v>7.7414786253082504</v>
      </c>
      <c r="Y20" s="83">
        <f t="shared" si="5"/>
        <v>8.1715607711587097</v>
      </c>
      <c r="Z20" s="430">
        <f t="shared" si="8"/>
        <v>8.1715607711587097</v>
      </c>
    </row>
    <row r="21" spans="1:26" ht="18" customHeight="1">
      <c r="A21" s="1032"/>
      <c r="B21" s="81">
        <v>3140</v>
      </c>
      <c r="C21" s="89" t="s">
        <v>110</v>
      </c>
      <c r="D21" s="352">
        <f>'[3]Falhas UM-3-2 Qty'!Z22</f>
        <v>9.9974040609287016</v>
      </c>
      <c r="E21" s="333">
        <f>'Prod &amp; Defects - Qty'!F$7*'Falhas UM-3-2 Qty'!$D21/1000000</f>
        <v>107.86101437043456</v>
      </c>
      <c r="F21" s="333">
        <f>'Prod &amp; Defects - Qty'!G$7*'Falhas UM-3-2 Qty'!$D21/1000000</f>
        <v>112.88369937808999</v>
      </c>
      <c r="G21" s="333">
        <f>'Prod &amp; Defects - Qty'!H$7*'Falhas UM-3-2 Qty'!$D21/1000000</f>
        <v>108.63752717823037</v>
      </c>
      <c r="H21" s="333">
        <f>'Prod &amp; Defects - Qty'!I$7*'Falhas UM-3-2 Qty'!$D21/1000000</f>
        <v>109.339874367105</v>
      </c>
      <c r="I21" s="333">
        <f>'Prod &amp; Defects - Qty'!J$7*'Falhas UM-3-2 Qty'!$D21/1000000</f>
        <v>110.67560852744451</v>
      </c>
      <c r="J21" s="333">
        <f>'Prod &amp; Defects - Qty'!K$7*'Falhas UM-3-2 Qty'!$D21/1000000</f>
        <v>125.83612392655029</v>
      </c>
      <c r="K21" s="333">
        <f>'Prod &amp; Defects - Qty'!L$7*'Falhas UM-3-2 Qty'!$D21/1000000</f>
        <v>124.28832315104002</v>
      </c>
      <c r="L21" s="333">
        <f>'Prod &amp; Defects - Qty'!M$7*'Falhas UM-3-2 Qty'!$D21/1000000</f>
        <v>124.35351603295163</v>
      </c>
      <c r="M21" s="333">
        <f>'Prod &amp; Defects - Qty'!N$7*'Falhas UM-3-2 Qty'!$D21/1000000</f>
        <v>118.31877952922049</v>
      </c>
      <c r="N21" s="333">
        <f>'Prod &amp; Defects - Qty'!O$7*'Falhas UM-3-2 Qty'!$D21/1000000</f>
        <v>91.759669999387341</v>
      </c>
      <c r="O21" s="333">
        <f>'Prod &amp; Defects - Qty'!P$7*'Falhas UM-3-2 Qty'!$D21/1000000</f>
        <v>88.072649591352871</v>
      </c>
      <c r="P21" s="333">
        <f>'Prod &amp; Defects - Qty'!Q$7*'Falhas UM-3-2 Qty'!$D21/1000000</f>
        <v>111.66625715120041</v>
      </c>
      <c r="Q21" s="429">
        <f t="shared" si="2"/>
        <v>675.23384774785461</v>
      </c>
      <c r="R21" s="83">
        <f>Q21/SUM('Prod &amp; Defects - Qty'!$F$7:$K$7)*1000000</f>
        <v>9.9974040609286998</v>
      </c>
      <c r="S21" s="83">
        <f t="shared" si="3"/>
        <v>658.45919545515267</v>
      </c>
      <c r="T21" s="83">
        <f>S21/SUM('Prod &amp; Defects - Qty'!$L$7:$Q$7)*1000000</f>
        <v>9.9974040609286998</v>
      </c>
      <c r="U21" s="83">
        <f t="shared" si="4"/>
        <v>1333.6930432030072</v>
      </c>
      <c r="V21" s="83">
        <f>U21/'Prod &amp; Defects - Qty'!$R$7*1000000</f>
        <v>9.997404060928698</v>
      </c>
      <c r="W21" s="83">
        <f t="shared" si="0"/>
        <v>8.9976636548358293</v>
      </c>
      <c r="X21" s="83">
        <f t="shared" si="0"/>
        <v>8.0978972893522467</v>
      </c>
      <c r="Y21" s="83">
        <f t="shared" si="5"/>
        <v>8.547780472094038</v>
      </c>
      <c r="Z21" s="430">
        <f t="shared" si="8"/>
        <v>8.547780472094038</v>
      </c>
    </row>
    <row r="22" spans="1:26" ht="18" customHeight="1">
      <c r="A22" s="1032"/>
      <c r="B22" s="81">
        <f>B21+5</f>
        <v>3145</v>
      </c>
      <c r="C22" s="89" t="s">
        <v>111</v>
      </c>
      <c r="D22" s="352">
        <f>'[3]Falhas UM-3-2 Qty'!Z23</f>
        <v>47.215368807492517</v>
      </c>
      <c r="E22" s="333">
        <f>'Prod &amp; Defects - Qty'!F$7*'Falhas UM-3-2 Qty'!$D22/1000000</f>
        <v>509.40199499921346</v>
      </c>
      <c r="F22" s="333">
        <f>'Prod &amp; Defects - Qty'!G$7*'Falhas UM-3-2 Qty'!$D22/1000000</f>
        <v>533.12294531741873</v>
      </c>
      <c r="G22" s="333">
        <f>'Prod &amp; Defects - Qty'!H$7*'Falhas UM-3-2 Qty'!$D22/1000000</f>
        <v>513.06928086466189</v>
      </c>
      <c r="H22" s="333">
        <f>'Prod &amp; Defects - Qty'!I$7*'Falhas UM-3-2 Qty'!$D22/1000000</f>
        <v>516.3863000980067</v>
      </c>
      <c r="I22" s="333">
        <f>'Prod &amp; Defects - Qty'!J$7*'Falhas UM-3-2 Qty'!$D22/1000000</f>
        <v>522.69465580963322</v>
      </c>
      <c r="J22" s="333">
        <f>'Prod &amp; Defects - Qty'!K$7*'Falhas UM-3-2 Qty'!$D22/1000000</f>
        <v>594.29417519666436</v>
      </c>
      <c r="K22" s="333">
        <f>'Prod &amp; Defects - Qty'!L$7*'Falhas UM-3-2 Qty'!$D22/1000000</f>
        <v>586.98427914656384</v>
      </c>
      <c r="L22" s="333">
        <f>'Prod &amp; Defects - Qty'!M$7*'Falhas UM-3-2 Qty'!$D22/1000000</f>
        <v>587.29216966937577</v>
      </c>
      <c r="M22" s="333">
        <f>'Prod &amp; Defects - Qty'!N$7*'Falhas UM-3-2 Qty'!$D22/1000000</f>
        <v>558.79154011162279</v>
      </c>
      <c r="N22" s="333">
        <f>'Prod &amp; Defects - Qty'!O$7*'Falhas UM-3-2 Qty'!$D22/1000000</f>
        <v>433.35916346592262</v>
      </c>
      <c r="O22" s="333">
        <f>'Prod &amp; Defects - Qty'!P$7*'Falhas UM-3-2 Qty'!$D22/1000000</f>
        <v>415.94624034056403</v>
      </c>
      <c r="P22" s="333">
        <f>'Prod &amp; Defects - Qty'!Q$7*'Falhas UM-3-2 Qty'!$D22/1000000</f>
        <v>527.37325435823732</v>
      </c>
      <c r="Q22" s="429">
        <f t="shared" si="2"/>
        <v>3188.9693522855987</v>
      </c>
      <c r="R22" s="83">
        <f>Q22/SUM('Prod &amp; Defects - Qty'!$F$7:$K$7)*1000000</f>
        <v>47.215368807492531</v>
      </c>
      <c r="S22" s="83">
        <f t="shared" si="3"/>
        <v>3109.7466470922864</v>
      </c>
      <c r="T22" s="83">
        <f>S22/SUM('Prod &amp; Defects - Qty'!$L$7:$Q$7)*1000000</f>
        <v>47.215368807492517</v>
      </c>
      <c r="U22" s="83">
        <f t="shared" si="4"/>
        <v>6298.7159993778851</v>
      </c>
      <c r="V22" s="83">
        <f>U22/'Prod &amp; Defects - Qty'!$R$7*1000000</f>
        <v>47.215368807492517</v>
      </c>
      <c r="W22" s="83">
        <f t="shared" si="0"/>
        <v>42.493831926743269</v>
      </c>
      <c r="X22" s="83">
        <f t="shared" si="0"/>
        <v>38.244448734068946</v>
      </c>
      <c r="Y22" s="83">
        <f t="shared" si="5"/>
        <v>40.369140330406111</v>
      </c>
      <c r="Z22" s="430">
        <f t="shared" si="8"/>
        <v>40.369140330406111</v>
      </c>
    </row>
    <row r="23" spans="1:26" ht="18" customHeight="1">
      <c r="A23" s="1032"/>
      <c r="B23" s="193">
        <f t="shared" ref="B23:B35" si="9">B22+5</f>
        <v>3150</v>
      </c>
      <c r="C23" s="90" t="s">
        <v>112</v>
      </c>
      <c r="D23" s="356">
        <f>'[3]Falhas UM-3-2 Qty'!Z24</f>
        <v>4.8774535461344541</v>
      </c>
      <c r="E23" s="337">
        <f>'Prod &amp; Defects - Qty'!F$7*'Falhas UM-3-2 Qty'!$D23/1000000</f>
        <v>52.62236914948349</v>
      </c>
      <c r="F23" s="337">
        <f>'Prod &amp; Defects - Qty'!G$7*'Falhas UM-3-2 Qty'!$D23/1000000</f>
        <v>55.072796545675928</v>
      </c>
      <c r="G23" s="337">
        <f>'Prod &amp; Defects - Qty'!H$7*'Falhas UM-3-2 Qty'!$D23/1000000</f>
        <v>53.00120800854333</v>
      </c>
      <c r="H23" s="337">
        <f>'Prod &amp; Defects - Qty'!I$7*'Falhas UM-3-2 Qty'!$D23/1000000</f>
        <v>53.343863538530563</v>
      </c>
      <c r="I23" s="337">
        <f>'Prod &amp; Defects - Qty'!J$7*'Falhas UM-3-2 Qty'!$D23/1000000</f>
        <v>53.995530839095359</v>
      </c>
      <c r="J23" s="337">
        <f>'Prod &amp; Defects - Qty'!K$7*'Falhas UM-3-2 Qty'!$D23/1000000</f>
        <v>61.391921856597691</v>
      </c>
      <c r="K23" s="337">
        <f>'Prod &amp; Defects - Qty'!L$7*'Falhas UM-3-2 Qty'!$D23/1000000</f>
        <v>60.636793191674961</v>
      </c>
      <c r="L23" s="337">
        <f>'Prod &amp; Defects - Qty'!M$7*'Falhas UM-3-2 Qty'!$D23/1000000</f>
        <v>60.668598973568407</v>
      </c>
      <c r="M23" s="337">
        <f>'Prod &amp; Defects - Qty'!N$7*'Falhas UM-3-2 Qty'!$D23/1000000</f>
        <v>57.724419986630849</v>
      </c>
      <c r="N23" s="337">
        <f>'Prod &amp; Defects - Qty'!O$7*'Falhas UM-3-2 Qty'!$D23/1000000</f>
        <v>44.766974016759292</v>
      </c>
      <c r="O23" s="337">
        <f>'Prod &amp; Defects - Qty'!P$7*'Falhas UM-3-2 Qty'!$D23/1000000</f>
        <v>42.968179984404536</v>
      </c>
      <c r="P23" s="337">
        <f>'Prod &amp; Defects - Qty'!Q$7*'Falhas UM-3-2 Qty'!$D23/1000000</f>
        <v>54.478840567647296</v>
      </c>
      <c r="Q23" s="437">
        <f t="shared" si="2"/>
        <v>329.4276899379264</v>
      </c>
      <c r="R23" s="91">
        <f>Q23/SUM('Prod &amp; Defects - Qty'!$F$7:$K$7)*1000000</f>
        <v>4.877453546134455</v>
      </c>
      <c r="S23" s="91">
        <f t="shared" si="3"/>
        <v>321.24380672068537</v>
      </c>
      <c r="T23" s="91">
        <f>S23/SUM('Prod &amp; Defects - Qty'!$L$7:$Q$7)*1000000</f>
        <v>4.877453546134455</v>
      </c>
      <c r="U23" s="91">
        <f t="shared" si="4"/>
        <v>650.67149665861177</v>
      </c>
      <c r="V23" s="91">
        <f>U23/'Prod &amp; Defects - Qty'!$R$7*1000000</f>
        <v>4.8774535461344541</v>
      </c>
      <c r="W23" s="91">
        <f t="shared" si="0"/>
        <v>4.3897081915210086</v>
      </c>
      <c r="X23" s="91">
        <f t="shared" si="0"/>
        <v>3.9507373723689079</v>
      </c>
      <c r="Y23" s="91">
        <f t="shared" si="5"/>
        <v>4.1702227819449584</v>
      </c>
      <c r="Z23" s="438">
        <f t="shared" si="8"/>
        <v>4.1702227819449584</v>
      </c>
    </row>
    <row r="24" spans="1:26" ht="18" customHeight="1">
      <c r="A24" s="1032"/>
      <c r="B24" s="81">
        <f t="shared" si="9"/>
        <v>3155</v>
      </c>
      <c r="C24" s="82" t="s">
        <v>115</v>
      </c>
      <c r="D24" s="352">
        <f>'[3]Falhas UM-3-2 Qty'!Z25</f>
        <v>9.1856259631184258</v>
      </c>
      <c r="E24" s="333">
        <f>'Prod &amp; Defects - Qty'!F$7*'Falhas UM-3-2 Qty'!$D24/1000000</f>
        <v>99.102819889157956</v>
      </c>
      <c r="F24" s="333">
        <f>'Prod &amp; Defects - Qty'!G$7*'Falhas UM-3-2 Qty'!$D24/1000000</f>
        <v>103.71766845681697</v>
      </c>
      <c r="G24" s="333">
        <f>'Prod &amp; Defects - Qty'!H$7*'Falhas UM-3-2 Qty'!$D24/1000000</f>
        <v>99.81628072004095</v>
      </c>
      <c r="H24" s="333">
        <f>'Prod &amp; Defects - Qty'!I$7*'Falhas UM-3-2 Qty'!$D24/1000000</f>
        <v>100.46159809782536</v>
      </c>
      <c r="I24" s="333">
        <f>'Prod &amp; Defects - Qty'!J$7*'Falhas UM-3-2 Qty'!$D24/1000000</f>
        <v>101.68887212899013</v>
      </c>
      <c r="J24" s="333">
        <f>'Prod &amp; Defects - Qty'!K$7*'Falhas UM-3-2 Qty'!$D24/1000000</f>
        <v>115.61837052833224</v>
      </c>
      <c r="K24" s="333">
        <f>'Prod &amp; Defects - Qty'!L$7*'Falhas UM-3-2 Qty'!$D24/1000000</f>
        <v>114.19624945544031</v>
      </c>
      <c r="L24" s="333">
        <f>'Prod &amp; Defects - Qty'!M$7*'Falhas UM-3-2 Qty'!$D24/1000000</f>
        <v>114.25614874780145</v>
      </c>
      <c r="M24" s="333">
        <f>'Prod &amp; Defects - Qty'!N$7*'Falhas UM-3-2 Qty'!$D24/1000000</f>
        <v>108.71142614067078</v>
      </c>
      <c r="N24" s="333">
        <f>'Prod &amp; Defects - Qty'!O$7*'Falhas UM-3-2 Qty'!$D24/1000000</f>
        <v>84.30888678468132</v>
      </c>
      <c r="O24" s="333">
        <f>'Prod &amp; Defects - Qty'!P$7*'Falhas UM-3-2 Qty'!$D24/1000000</f>
        <v>80.921248335721529</v>
      </c>
      <c r="P24" s="333">
        <f>'Prod &amp; Defects - Qty'!Q$7*'Falhas UM-3-2 Qty'!$D24/1000000</f>
        <v>102.5990811855854</v>
      </c>
      <c r="Q24" s="429">
        <f t="shared" si="2"/>
        <v>620.40560982116358</v>
      </c>
      <c r="R24" s="83">
        <f>Q24/SUM('Prod &amp; Defects - Qty'!$F$7:$K$7)*1000000</f>
        <v>9.1856259631184258</v>
      </c>
      <c r="S24" s="83">
        <f t="shared" si="3"/>
        <v>604.99304064990076</v>
      </c>
      <c r="T24" s="83">
        <f>S24/SUM('Prod &amp; Defects - Qty'!$L$7:$Q$7)*1000000</f>
        <v>9.1856259631184258</v>
      </c>
      <c r="U24" s="83">
        <f t="shared" si="4"/>
        <v>1225.3986504710642</v>
      </c>
      <c r="V24" s="83">
        <f>U24/'Prod &amp; Defects - Qty'!$R$7*1000000</f>
        <v>9.1856259631184241</v>
      </c>
      <c r="W24" s="83">
        <f t="shared" si="0"/>
        <v>8.2670633668065818</v>
      </c>
      <c r="X24" s="83">
        <f t="shared" si="0"/>
        <v>7.4403570301259236</v>
      </c>
      <c r="Y24" s="83">
        <f t="shared" si="5"/>
        <v>7.8537101984662527</v>
      </c>
      <c r="Z24" s="430">
        <f t="shared" si="8"/>
        <v>7.8537101984662527</v>
      </c>
    </row>
    <row r="25" spans="1:26" ht="18" customHeight="1">
      <c r="A25" s="1032"/>
      <c r="B25" s="81">
        <f t="shared" si="9"/>
        <v>3160</v>
      </c>
      <c r="C25" s="89" t="s">
        <v>126</v>
      </c>
      <c r="D25" s="352">
        <f>'[3]Falhas UM-3-2 Qty'!Z26</f>
        <v>2.609786452627576</v>
      </c>
      <c r="E25" s="333">
        <f>'Prod &amp; Defects - Qty'!F$7*'Falhas UM-3-2 Qty'!$D25/1000000</f>
        <v>28.156730722803179</v>
      </c>
      <c r="F25" s="333">
        <f>'Prod &amp; Defects - Qty'!G$7*'Falhas UM-3-2 Qty'!$D25/1000000</f>
        <v>29.467884619245478</v>
      </c>
      <c r="G25" s="333">
        <f>'Prod &amp; Defects - Qty'!H$7*'Falhas UM-3-2 Qty'!$D25/1000000</f>
        <v>28.359436604622768</v>
      </c>
      <c r="H25" s="333">
        <f>'Prod &amp; Defects - Qty'!I$7*'Falhas UM-3-2 Qty'!$D25/1000000</f>
        <v>28.542781817779609</v>
      </c>
      <c r="I25" s="333">
        <f>'Prod &amp; Defects - Qty'!J$7*'Falhas UM-3-2 Qty'!$D25/1000000</f>
        <v>28.891470426814596</v>
      </c>
      <c r="J25" s="333">
        <f>'Prod &amp; Defects - Qty'!K$7*'Falhas UM-3-2 Qty'!$D25/1000000</f>
        <v>32.849068565522074</v>
      </c>
      <c r="K25" s="333">
        <f>'Prod &amp; Defects - Qty'!L$7*'Falhas UM-3-2 Qty'!$D25/1000000</f>
        <v>32.44502072763585</v>
      </c>
      <c r="L25" s="333">
        <f>'Prod &amp; Defects - Qty'!M$7*'Falhas UM-3-2 Qty'!$D25/1000000</f>
        <v>32.462039095502526</v>
      </c>
      <c r="M25" s="333">
        <f>'Prod &amp; Defects - Qty'!N$7*'Falhas UM-3-2 Qty'!$D25/1000000</f>
        <v>30.886692787938003</v>
      </c>
      <c r="N25" s="333">
        <f>'Prod &amp; Defects - Qty'!O$7*'Falhas UM-3-2 Qty'!$D25/1000000</f>
        <v>23.95353255730392</v>
      </c>
      <c r="O25" s="333">
        <f>'Prod &amp; Defects - Qty'!P$7*'Falhas UM-3-2 Qty'!$D25/1000000</f>
        <v>22.991049111320656</v>
      </c>
      <c r="P25" s="333">
        <f>'Prod &amp; Defects - Qty'!Q$7*'Falhas UM-3-2 Qty'!$D25/1000000</f>
        <v>29.150075694925782</v>
      </c>
      <c r="Q25" s="429">
        <f t="shared" si="2"/>
        <v>176.26737275678772</v>
      </c>
      <c r="R25" s="83">
        <f>Q25/SUM('Prod &amp; Defects - Qty'!$F$7:$K$7)*1000000</f>
        <v>2.6097864526275765</v>
      </c>
      <c r="S25" s="83">
        <f t="shared" si="3"/>
        <v>171.88840997462674</v>
      </c>
      <c r="T25" s="83">
        <f>S25/SUM('Prod &amp; Defects - Qty'!$L$7:$Q$7)*1000000</f>
        <v>2.609786452627576</v>
      </c>
      <c r="U25" s="83">
        <f t="shared" si="4"/>
        <v>348.15578273141443</v>
      </c>
      <c r="V25" s="83">
        <f>U25/'Prod &amp; Defects - Qty'!$R$7*1000000</f>
        <v>2.6097864526275756</v>
      </c>
      <c r="W25" s="83">
        <f t="shared" si="0"/>
        <v>2.348807807364818</v>
      </c>
      <c r="X25" s="83">
        <f t="shared" si="0"/>
        <v>2.1139270266283363</v>
      </c>
      <c r="Y25" s="83">
        <f t="shared" si="5"/>
        <v>2.2313674169965774</v>
      </c>
      <c r="Z25" s="430">
        <f t="shared" si="8"/>
        <v>2.2313674169965774</v>
      </c>
    </row>
    <row r="26" spans="1:26" ht="18" customHeight="1">
      <c r="A26" s="1032"/>
      <c r="B26" s="81">
        <f t="shared" si="9"/>
        <v>3165</v>
      </c>
      <c r="C26" s="89" t="s">
        <v>127</v>
      </c>
      <c r="D26" s="352">
        <f>'[3]Falhas UM-3-2 Qty'!Z27</f>
        <v>0.1346561969170022</v>
      </c>
      <c r="E26" s="333">
        <f>'Prod &amp; Defects - Qty'!F$7*'Falhas UM-3-2 Qty'!$D26/1000000</f>
        <v>1.4527925351637365</v>
      </c>
      <c r="F26" s="333">
        <f>'Prod &amp; Defects - Qty'!G$7*'Falhas UM-3-2 Qty'!$D26/1000000</f>
        <v>1.5204436631286586</v>
      </c>
      <c r="G26" s="333">
        <f>'Prod &amp; Defects - Qty'!H$7*'Falhas UM-3-2 Qty'!$D26/1000000</f>
        <v>1.4632514763966682</v>
      </c>
      <c r="H26" s="333">
        <f>'Prod &amp; Defects - Qty'!I$7*'Falhas UM-3-2 Qty'!$D26/1000000</f>
        <v>1.4727114722908841</v>
      </c>
      <c r="I26" s="333">
        <f>'Prod &amp; Defects - Qty'!J$7*'Falhas UM-3-2 Qty'!$D26/1000000</f>
        <v>1.4907026308983853</v>
      </c>
      <c r="J26" s="333">
        <f>'Prod &amp; Defects - Qty'!K$7*'Falhas UM-3-2 Qty'!$D26/1000000</f>
        <v>1.6949013743425501</v>
      </c>
      <c r="K26" s="333">
        <f>'Prod &amp; Defects - Qty'!L$7*'Falhas UM-3-2 Qty'!$D26/1000000</f>
        <v>1.6740538658548278</v>
      </c>
      <c r="L26" s="333">
        <f>'Prod &amp; Defects - Qty'!M$7*'Falhas UM-3-2 Qty'!$D26/1000000</f>
        <v>1.6749319563562</v>
      </c>
      <c r="M26" s="333">
        <f>'Prod &amp; Defects - Qty'!N$7*'Falhas UM-3-2 Qty'!$D26/1000000</f>
        <v>1.5936493891981454</v>
      </c>
      <c r="N26" s="333">
        <f>'Prod &amp; Defects - Qty'!O$7*'Falhas UM-3-2 Qty'!$D26/1000000</f>
        <v>1.2359216569795057</v>
      </c>
      <c r="O26" s="333">
        <f>'Prod &amp; Defects - Qty'!P$7*'Falhas UM-3-2 Qty'!$D26/1000000</f>
        <v>1.1862607507006835</v>
      </c>
      <c r="P26" s="333">
        <f>'Prod &amp; Defects - Qty'!Q$7*'Falhas UM-3-2 Qty'!$D26/1000000</f>
        <v>1.5040457923173949</v>
      </c>
      <c r="Q26" s="429">
        <f t="shared" si="2"/>
        <v>9.0948031522208819</v>
      </c>
      <c r="R26" s="83">
        <f>Q26/SUM('Prod &amp; Defects - Qty'!$F$7:$K$7)*1000000</f>
        <v>0.1346561969170022</v>
      </c>
      <c r="S26" s="83">
        <f t="shared" si="3"/>
        <v>8.8688634114067586</v>
      </c>
      <c r="T26" s="83">
        <f>S26/SUM('Prod &amp; Defects - Qty'!$L$7:$Q$7)*1000000</f>
        <v>0.13465619691700223</v>
      </c>
      <c r="U26" s="83">
        <f t="shared" si="4"/>
        <v>17.96366656362764</v>
      </c>
      <c r="V26" s="83">
        <f>U26/'Prod &amp; Defects - Qty'!$R$7*1000000</f>
        <v>0.1346561969170022</v>
      </c>
      <c r="W26" s="83">
        <f t="shared" ref="W26:X45" si="10">V26*Redutor</f>
        <v>0.12119057722530198</v>
      </c>
      <c r="X26" s="83">
        <f t="shared" si="10"/>
        <v>0.10907151950277179</v>
      </c>
      <c r="Y26" s="83">
        <f t="shared" si="5"/>
        <v>0.11513104836403688</v>
      </c>
      <c r="Z26" s="430">
        <f t="shared" si="8"/>
        <v>0.11513104836403688</v>
      </c>
    </row>
    <row r="27" spans="1:26" ht="18" customHeight="1">
      <c r="A27" s="1032"/>
      <c r="B27" s="81">
        <f t="shared" si="9"/>
        <v>3170</v>
      </c>
      <c r="C27" s="89" t="s">
        <v>128</v>
      </c>
      <c r="D27" s="352">
        <f>'[3]Falhas UM-3-2 Qty'!Z28</f>
        <v>79.629640420652549</v>
      </c>
      <c r="E27" s="333">
        <f>'Prod &amp; Defects - Qty'!F$7*'Falhas UM-3-2 Qty'!$D27/1000000</f>
        <v>859.11640035550192</v>
      </c>
      <c r="F27" s="333">
        <f>'Prod &amp; Defects - Qty'!G$7*'Falhas UM-3-2 Qty'!$D27/1000000</f>
        <v>899.12224573979347</v>
      </c>
      <c r="G27" s="333">
        <f>'Prod &amp; Defects - Qty'!H$7*'Falhas UM-3-2 Qty'!$D27/1000000</f>
        <v>865.30134949729609</v>
      </c>
      <c r="H27" s="333">
        <f>'Prod &amp; Defects - Qty'!I$7*'Falhas UM-3-2 Qty'!$D27/1000000</f>
        <v>870.89556713216336</v>
      </c>
      <c r="I27" s="333">
        <f>'Prod &amp; Defects - Qty'!J$7*'Falhas UM-3-2 Qty'!$D27/1000000</f>
        <v>881.53473208310356</v>
      </c>
      <c r="J27" s="333">
        <f>'Prod &amp; Defects - Qty'!K$7*'Falhas UM-3-2 Qty'!$D27/1000000</f>
        <v>1002.2887180643817</v>
      </c>
      <c r="K27" s="333">
        <f>'Prod &amp; Defects - Qty'!L$7*'Falhas UM-3-2 Qty'!$D27/1000000</f>
        <v>989.96043579775085</v>
      </c>
      <c r="L27" s="333">
        <f>'Prod &amp; Defects - Qty'!M$7*'Falhas UM-3-2 Qty'!$D27/1000000</f>
        <v>990.47969916981936</v>
      </c>
      <c r="M27" s="333">
        <f>'Prod &amp; Defects - Qty'!N$7*'Falhas UM-3-2 Qty'!$D27/1000000</f>
        <v>942.41283152129324</v>
      </c>
      <c r="N27" s="333">
        <f>'Prod &amp; Defects - Qty'!O$7*'Falhas UM-3-2 Qty'!$D27/1000000</f>
        <v>730.86868177359565</v>
      </c>
      <c r="O27" s="333">
        <f>'Prod &amp; Defects - Qty'!P$7*'Falhas UM-3-2 Qty'!$D27/1000000</f>
        <v>701.50144728691441</v>
      </c>
      <c r="P27" s="333">
        <f>'Prod &amp; Defects - Qty'!Q$7*'Falhas UM-3-2 Qty'!$D27/1000000</f>
        <v>889.42527979050192</v>
      </c>
      <c r="Q27" s="429">
        <f t="shared" si="2"/>
        <v>5378.2590128722404</v>
      </c>
      <c r="R27" s="83">
        <f>Q27/SUM('Prod &amp; Defects - Qty'!$F$7:$K$7)*1000000</f>
        <v>79.629640420652564</v>
      </c>
      <c r="S27" s="83">
        <f t="shared" si="3"/>
        <v>5244.6483753398752</v>
      </c>
      <c r="T27" s="83">
        <f>S27/SUM('Prod &amp; Defects - Qty'!$L$7:$Q$7)*1000000</f>
        <v>79.629640420652535</v>
      </c>
      <c r="U27" s="83">
        <f t="shared" si="4"/>
        <v>10622.907388212116</v>
      </c>
      <c r="V27" s="83">
        <f>U27/'Prod &amp; Defects - Qty'!$R$7*1000000</f>
        <v>79.629640420652535</v>
      </c>
      <c r="W27" s="83">
        <f t="shared" si="10"/>
        <v>71.666676378587283</v>
      </c>
      <c r="X27" s="83">
        <f t="shared" si="10"/>
        <v>64.50000874072856</v>
      </c>
      <c r="Y27" s="83">
        <f t="shared" si="5"/>
        <v>68.083342559657922</v>
      </c>
      <c r="Z27" s="430">
        <f t="shared" si="8"/>
        <v>68.083342559657922</v>
      </c>
    </row>
    <row r="28" spans="1:26" ht="18" customHeight="1">
      <c r="A28" s="1032"/>
      <c r="B28" s="81">
        <f t="shared" si="9"/>
        <v>3175</v>
      </c>
      <c r="C28" s="89" t="s">
        <v>129</v>
      </c>
      <c r="D28" s="352">
        <f>'[3]Falhas UM-3-2 Qty'!Z29</f>
        <v>0.21058019598540123</v>
      </c>
      <c r="E28" s="333">
        <f>'Prod &amp; Defects - Qty'!F$7*'Falhas UM-3-2 Qty'!$D28/1000000</f>
        <v>2.2719291334915144</v>
      </c>
      <c r="F28" s="333">
        <f>'Prod &amp; Defects - Qty'!G$7*'Falhas UM-3-2 Qty'!$D28/1000000</f>
        <v>2.3777243966257284</v>
      </c>
      <c r="G28" s="333">
        <f>'Prod &amp; Defects - Qty'!H$7*'Falhas UM-3-2 Qty'!$D28/1000000</f>
        <v>2.2882852013521573</v>
      </c>
      <c r="H28" s="333">
        <f>'Prod &amp; Defects - Qty'!I$7*'Falhas UM-3-2 Qty'!$D28/1000000</f>
        <v>2.3030790826218985</v>
      </c>
      <c r="I28" s="333">
        <f>'Prod &amp; Defects - Qty'!J$7*'Falhas UM-3-2 Qty'!$D28/1000000</f>
        <v>2.3312143024804186</v>
      </c>
      <c r="J28" s="333">
        <f>'Prod &amp; Defects - Qty'!K$7*'Falhas UM-3-2 Qty'!$D28/1000000</f>
        <v>2.65054762986489</v>
      </c>
      <c r="K28" s="333">
        <f>'Prod &amp; Defects - Qty'!L$7*'Falhas UM-3-2 Qty'!$D28/1000000</f>
        <v>2.6179455474976168</v>
      </c>
      <c r="L28" s="333">
        <f>'Prod &amp; Defects - Qty'!M$7*'Falhas UM-3-2 Qty'!$D28/1000000</f>
        <v>2.6193187369542135</v>
      </c>
      <c r="M28" s="333">
        <f>'Prod &amp; Defects - Qty'!N$7*'Falhas UM-3-2 Qty'!$D28/1000000</f>
        <v>2.4922061397308588</v>
      </c>
      <c r="N28" s="333">
        <f>'Prod &amp; Defects - Qty'!O$7*'Falhas UM-3-2 Qty'!$D28/1000000</f>
        <v>1.9327786667683964</v>
      </c>
      <c r="O28" s="333">
        <f>'Prod &amp; Defects - Qty'!P$7*'Falhas UM-3-2 Qty'!$D28/1000000</f>
        <v>1.8551171583013726</v>
      </c>
      <c r="P28" s="333">
        <f>'Prod &amp; Defects - Qty'!Q$7*'Falhas UM-3-2 Qty'!$D28/1000000</f>
        <v>2.3520808174348828</v>
      </c>
      <c r="Q28" s="429">
        <f t="shared" si="2"/>
        <v>14.222779746436608</v>
      </c>
      <c r="R28" s="83">
        <f>Q28/SUM('Prod &amp; Defects - Qty'!$F$7:$K$7)*1000000</f>
        <v>0.21058019598540126</v>
      </c>
      <c r="S28" s="83">
        <f t="shared" si="3"/>
        <v>13.869447066687341</v>
      </c>
      <c r="T28" s="83">
        <f>S28/SUM('Prod &amp; Defects - Qty'!$L$7:$Q$7)*1000000</f>
        <v>0.21058019598540126</v>
      </c>
      <c r="U28" s="83">
        <f t="shared" si="4"/>
        <v>28.092226813123951</v>
      </c>
      <c r="V28" s="83">
        <f>U28/'Prod &amp; Defects - Qty'!$R$7*1000000</f>
        <v>0.21058019598540123</v>
      </c>
      <c r="W28" s="83">
        <f t="shared" si="10"/>
        <v>0.18952217638686111</v>
      </c>
      <c r="X28" s="83">
        <f t="shared" si="10"/>
        <v>0.17056995874817502</v>
      </c>
      <c r="Y28" s="83">
        <f t="shared" si="5"/>
        <v>0.18004606756751806</v>
      </c>
      <c r="Z28" s="430">
        <f t="shared" si="8"/>
        <v>0.18004606756751806</v>
      </c>
    </row>
    <row r="29" spans="1:26" ht="18" customHeight="1">
      <c r="A29" s="1032"/>
      <c r="B29" s="194">
        <f t="shared" si="9"/>
        <v>3180</v>
      </c>
      <c r="C29" s="92" t="s">
        <v>130</v>
      </c>
      <c r="D29" s="354">
        <f>'[3]Falhas UM-3-2 Qty'!Z30</f>
        <v>22.616599720663977</v>
      </c>
      <c r="E29" s="335">
        <f>'Prod &amp; Defects - Qty'!F$7*'Falhas UM-3-2 Qty'!$D29/1000000</f>
        <v>244.00828181133784</v>
      </c>
      <c r="F29" s="335">
        <f>'Prod &amp; Defects - Qty'!G$7*'Falhas UM-3-2 Qty'!$D29/1000000</f>
        <v>255.37083709557129</v>
      </c>
      <c r="G29" s="335">
        <f>'Prod &amp; Defects - Qty'!H$7*'Falhas UM-3-2 Qty'!$D29/1000000</f>
        <v>245.76494576578594</v>
      </c>
      <c r="H29" s="335">
        <f>'Prod &amp; Defects - Qty'!I$7*'Falhas UM-3-2 Qty'!$D29/1000000</f>
        <v>247.35382875369982</v>
      </c>
      <c r="I29" s="335">
        <f>'Prod &amp; Defects - Qty'!J$7*'Falhas UM-3-2 Qty'!$D29/1000000</f>
        <v>250.37558966818364</v>
      </c>
      <c r="J29" s="335">
        <f>'Prod &amp; Defects - Qty'!K$7*'Falhas UM-3-2 Qty'!$D29/1000000</f>
        <v>284.67242375139921</v>
      </c>
      <c r="K29" s="335">
        <f>'Prod &amp; Defects - Qty'!L$7*'Falhas UM-3-2 Qty'!$D29/1000000</f>
        <v>281.17091572254424</v>
      </c>
      <c r="L29" s="335">
        <f>'Prod &amp; Defects - Qty'!M$7*'Falhas UM-3-2 Qty'!$D29/1000000</f>
        <v>281.31839813956435</v>
      </c>
      <c r="M29" s="335">
        <f>'Prod &amp; Defects - Qty'!N$7*'Falhas UM-3-2 Qty'!$D29/1000000</f>
        <v>267.66633215395808</v>
      </c>
      <c r="N29" s="335">
        <f>'Prod &amp; Defects - Qty'!O$7*'Falhas UM-3-2 Qty'!$D29/1000000</f>
        <v>207.58305998523176</v>
      </c>
      <c r="O29" s="335">
        <f>'Prod &amp; Defects - Qty'!P$7*'Falhas UM-3-2 Qty'!$D29/1000000</f>
        <v>199.24210825193867</v>
      </c>
      <c r="P29" s="335">
        <f>'Prod &amp; Defects - Qty'!Q$7*'Falhas UM-3-2 Qty'!$D29/1000000</f>
        <v>252.61668178077278</v>
      </c>
      <c r="Q29" s="433">
        <f t="shared" si="2"/>
        <v>1527.5459068459779</v>
      </c>
      <c r="R29" s="93">
        <f>Q29/SUM('Prod &amp; Defects - Qty'!$F$7:$K$7)*1000000</f>
        <v>22.616599720663981</v>
      </c>
      <c r="S29" s="93">
        <f t="shared" si="3"/>
        <v>1489.5974960340097</v>
      </c>
      <c r="T29" s="93">
        <f>S29/SUM('Prod &amp; Defects - Qty'!$L$7:$Q$7)*1000000</f>
        <v>22.616599720663977</v>
      </c>
      <c r="U29" s="93">
        <f t="shared" si="4"/>
        <v>3017.1434028799877</v>
      </c>
      <c r="V29" s="93">
        <f>U29/'Prod &amp; Defects - Qty'!$R$7*1000000</f>
        <v>22.616599720663974</v>
      </c>
      <c r="W29" s="93">
        <f t="shared" si="10"/>
        <v>20.354939748597577</v>
      </c>
      <c r="X29" s="93">
        <f t="shared" si="10"/>
        <v>18.319445773737819</v>
      </c>
      <c r="Y29" s="93">
        <f t="shared" si="5"/>
        <v>19.337192761167699</v>
      </c>
      <c r="Z29" s="434">
        <f t="shared" si="8"/>
        <v>19.337192761167699</v>
      </c>
    </row>
    <row r="30" spans="1:26" ht="18" customHeight="1">
      <c r="A30" s="1032"/>
      <c r="B30" s="195">
        <f t="shared" si="9"/>
        <v>3185</v>
      </c>
      <c r="C30" s="89" t="s">
        <v>131</v>
      </c>
      <c r="D30" s="353">
        <f>'[3]Falhas UM-3-2 Qty'!Z31</f>
        <v>29.739533261718613</v>
      </c>
      <c r="E30" s="334">
        <f>'Prod &amp; Defects - Qty'!F$7*'Falhas UM-3-2 Qty'!$D30/1000000</f>
        <v>320.85691495140674</v>
      </c>
      <c r="F30" s="334">
        <f>'Prod &amp; Defects - Qty'!G$7*'Falhas UM-3-2 Qty'!$D30/1000000</f>
        <v>335.79802435720455</v>
      </c>
      <c r="G30" s="334">
        <f>'Prod &amp; Defects - Qty'!H$7*'Falhas UM-3-2 Qty'!$D30/1000000</f>
        <v>323.16682743817364</v>
      </c>
      <c r="H30" s="334">
        <f>'Prod &amp; Defects - Qty'!I$7*'Falhas UM-3-2 Qty'!$D30/1000000</f>
        <v>325.25611756364157</v>
      </c>
      <c r="I30" s="334">
        <f>'Prod &amp; Defects - Qty'!J$7*'Falhas UM-3-2 Qty'!$D30/1000000</f>
        <v>329.22956009413588</v>
      </c>
      <c r="J30" s="334">
        <f>'Prod &amp; Defects - Qty'!K$7*'Falhas UM-3-2 Qty'!$D30/1000000</f>
        <v>374.32793255449843</v>
      </c>
      <c r="K30" s="334">
        <f>'Prod &amp; Defects - Qty'!L$7*'Falhas UM-3-2 Qty'!$D30/1000000</f>
        <v>369.72365004623242</v>
      </c>
      <c r="L30" s="334">
        <f>'Prod &amp; Defects - Qty'!M$7*'Falhas UM-3-2 Qty'!$D30/1000000</f>
        <v>369.91758097752438</v>
      </c>
      <c r="M30" s="334">
        <f>'Prod &amp; Defects - Qty'!N$7*'Falhas UM-3-2 Qty'!$D30/1000000</f>
        <v>351.96589613167367</v>
      </c>
      <c r="N30" s="334">
        <f>'Prod &amp; Defects - Qty'!O$7*'Falhas UM-3-2 Qty'!$D30/1000000</f>
        <v>272.95983451304107</v>
      </c>
      <c r="O30" s="334">
        <f>'Prod &amp; Defects - Qty'!P$7*'Falhas UM-3-2 Qty'!$D30/1000000</f>
        <v>261.99196071369096</v>
      </c>
      <c r="P30" s="334">
        <f>'Prod &amp; Defects - Qty'!Q$7*'Falhas UM-3-2 Qty'!$D30/1000000</f>
        <v>332.17646786312406</v>
      </c>
      <c r="Q30" s="431">
        <f t="shared" si="2"/>
        <v>2008.6353769590607</v>
      </c>
      <c r="R30" s="94">
        <f>Q30/SUM('Prod &amp; Defects - Qty'!$F$7:$K$7)*1000000</f>
        <v>29.739533261718613</v>
      </c>
      <c r="S30" s="94">
        <f t="shared" si="3"/>
        <v>1958.7353902452865</v>
      </c>
      <c r="T30" s="94">
        <f>S30/SUM('Prod &amp; Defects - Qty'!$L$7:$Q$7)*1000000</f>
        <v>29.739533261718609</v>
      </c>
      <c r="U30" s="94">
        <f t="shared" si="4"/>
        <v>3967.3707672043474</v>
      </c>
      <c r="V30" s="94">
        <f>U30/'Prod &amp; Defects - Qty'!$R$7*1000000</f>
        <v>29.739533261718609</v>
      </c>
      <c r="W30" s="94">
        <f t="shared" si="10"/>
        <v>26.76557993554675</v>
      </c>
      <c r="X30" s="94">
        <f t="shared" si="10"/>
        <v>24.089021941992076</v>
      </c>
      <c r="Y30" s="94">
        <f t="shared" si="5"/>
        <v>25.427300938769413</v>
      </c>
      <c r="Z30" s="432">
        <f t="shared" si="8"/>
        <v>25.427300938769413</v>
      </c>
    </row>
    <row r="31" spans="1:26" ht="18" customHeight="1">
      <c r="A31" s="1032"/>
      <c r="B31" s="81">
        <f t="shared" si="9"/>
        <v>3190</v>
      </c>
      <c r="C31" s="89" t="s">
        <v>113</v>
      </c>
      <c r="D31" s="352">
        <f>'[3]Falhas UM-3-2 Qty'!Z32</f>
        <v>24.162005960926862</v>
      </c>
      <c r="E31" s="333">
        <f>'Prod &amp; Defects - Qty'!F$7*'Falhas UM-3-2 Qty'!$D31/1000000</f>
        <v>260.68151855092299</v>
      </c>
      <c r="F31" s="333">
        <f>'Prod &amp; Defects - Qty'!G$7*'Falhas UM-3-2 Qty'!$D31/1000000</f>
        <v>272.82048426194319</v>
      </c>
      <c r="G31" s="333">
        <f>'Prod &amp; Defects - Qty'!H$7*'Falhas UM-3-2 Qty'!$D31/1000000</f>
        <v>262.55821643933018</v>
      </c>
      <c r="H31" s="333">
        <f>'Prod &amp; Defects - Qty'!I$7*'Falhas UM-3-2 Qty'!$D31/1000000</f>
        <v>264.25566878403936</v>
      </c>
      <c r="I31" s="333">
        <f>'Prod &amp; Defects - Qty'!J$7*'Falhas UM-3-2 Qty'!$D31/1000000</f>
        <v>267.48390848983144</v>
      </c>
      <c r="J31" s="333">
        <f>'Prod &amp; Defects - Qty'!K$7*'Falhas UM-3-2 Qty'!$D31/1000000</f>
        <v>304.12426644790412</v>
      </c>
      <c r="K31" s="333">
        <f>'Prod &amp; Defects - Qty'!L$7*'Falhas UM-3-2 Qty'!$D31/1000000</f>
        <v>300.3834982108412</v>
      </c>
      <c r="L31" s="333">
        <f>'Prod &amp; Defects - Qty'!M$7*'Falhas UM-3-2 Qty'!$D31/1000000</f>
        <v>300.54105819258831</v>
      </c>
      <c r="M31" s="333">
        <f>'Prod &amp; Defects - Qty'!N$7*'Falhas UM-3-2 Qty'!$D31/1000000</f>
        <v>285.95613809861845</v>
      </c>
      <c r="N31" s="333">
        <f>'Prod &amp; Defects - Qty'!O$7*'Falhas UM-3-2 Qty'!$D31/1000000</f>
        <v>221.76733879974068</v>
      </c>
      <c r="O31" s="333">
        <f>'Prod &amp; Defects - Qty'!P$7*'Falhas UM-3-2 Qty'!$D31/1000000</f>
        <v>212.85644467822087</v>
      </c>
      <c r="P31" s="333">
        <f>'Prod &amp; Defects - Qty'!Q$7*'Falhas UM-3-2 Qty'!$D31/1000000</f>
        <v>269.87813581189391</v>
      </c>
      <c r="Q31" s="429">
        <f t="shared" si="2"/>
        <v>1631.9240629739713</v>
      </c>
      <c r="R31" s="83">
        <f>Q31/SUM('Prod &amp; Defects - Qty'!$F$7:$K$7)*1000000</f>
        <v>24.162005960926866</v>
      </c>
      <c r="S31" s="83">
        <f t="shared" si="3"/>
        <v>1591.3826137919036</v>
      </c>
      <c r="T31" s="83">
        <f>S31/SUM('Prod &amp; Defects - Qty'!$L$7:$Q$7)*1000000</f>
        <v>24.162005960926866</v>
      </c>
      <c r="U31" s="83">
        <f t="shared" si="4"/>
        <v>3223.3066767658747</v>
      </c>
      <c r="V31" s="83">
        <f>U31/'Prod &amp; Defects - Qty'!$R$7*1000000</f>
        <v>24.162005960926859</v>
      </c>
      <c r="W31" s="83">
        <f t="shared" si="10"/>
        <v>21.745805364834172</v>
      </c>
      <c r="X31" s="83">
        <f t="shared" si="10"/>
        <v>19.571224828350754</v>
      </c>
      <c r="Y31" s="83">
        <f t="shared" si="5"/>
        <v>20.658515096592463</v>
      </c>
      <c r="Z31" s="430">
        <f t="shared" si="8"/>
        <v>20.658515096592463</v>
      </c>
    </row>
    <row r="32" spans="1:26" ht="18" customHeight="1">
      <c r="A32" s="1032"/>
      <c r="B32" s="81">
        <f t="shared" si="9"/>
        <v>3195</v>
      </c>
      <c r="C32" s="89" t="s">
        <v>132</v>
      </c>
      <c r="D32" s="352">
        <f>'[3]Falhas UM-3-2 Qty'!Z33</f>
        <v>0.56076154358404895</v>
      </c>
      <c r="E32" s="333">
        <f>'Prod &amp; Defects - Qty'!F$7*'Falhas UM-3-2 Qty'!$D32/1000000</f>
        <v>6.0500014346011675</v>
      </c>
      <c r="F32" s="333">
        <f>'Prod &amp; Defects - Qty'!G$7*'Falhas UM-3-2 Qty'!$D32/1000000</f>
        <v>6.3317274287356549</v>
      </c>
      <c r="G32" s="333">
        <f>'Prod &amp; Defects - Qty'!H$7*'Falhas UM-3-2 Qty'!$D32/1000000</f>
        <v>6.0935565933262321</v>
      </c>
      <c r="H32" s="333">
        <f>'Prod &amp; Defects - Qty'!I$7*'Falhas UM-3-2 Qty'!$D32/1000000</f>
        <v>6.1329517494452555</v>
      </c>
      <c r="I32" s="333">
        <f>'Prod &amp; Defects - Qty'!J$7*'Falhas UM-3-2 Qty'!$D32/1000000</f>
        <v>6.2078740337707679</v>
      </c>
      <c r="J32" s="333">
        <f>'Prod &amp; Defects - Qty'!K$7*'Falhas UM-3-2 Qty'!$D32/1000000</f>
        <v>7.058238184796445</v>
      </c>
      <c r="K32" s="333">
        <f>'Prod &amp; Defects - Qty'!L$7*'Falhas UM-3-2 Qty'!$D32/1000000</f>
        <v>6.9714209323631069</v>
      </c>
      <c r="L32" s="333">
        <f>'Prod &amp; Defects - Qty'!M$7*'Falhas UM-3-2 Qty'!$D32/1000000</f>
        <v>6.9750776477332836</v>
      </c>
      <c r="M32" s="333">
        <f>'Prod &amp; Defects - Qty'!N$7*'Falhas UM-3-2 Qty'!$D32/1000000</f>
        <v>6.6365849613987749</v>
      </c>
      <c r="N32" s="333">
        <f>'Prod &amp; Defects - Qty'!O$7*'Falhas UM-3-2 Qty'!$D32/1000000</f>
        <v>5.1468655136901091</v>
      </c>
      <c r="O32" s="333">
        <f>'Prod &amp; Defects - Qty'!P$7*'Falhas UM-3-2 Qty'!$D32/1000000</f>
        <v>4.9400579021706816</v>
      </c>
      <c r="P32" s="333">
        <f>'Prod &amp; Defects - Qty'!Q$7*'Falhas UM-3-2 Qty'!$D32/1000000</f>
        <v>6.2634402235557554</v>
      </c>
      <c r="Q32" s="429">
        <f t="shared" si="2"/>
        <v>37.874349424675522</v>
      </c>
      <c r="R32" s="83">
        <f>Q32/SUM('Prod &amp; Defects - Qty'!$F$7:$K$7)*1000000</f>
        <v>0.56076154358404895</v>
      </c>
      <c r="S32" s="83">
        <f t="shared" si="3"/>
        <v>36.933447180911713</v>
      </c>
      <c r="T32" s="83">
        <f>S32/SUM('Prod &amp; Defects - Qty'!$L$7:$Q$7)*1000000</f>
        <v>0.56076154358404895</v>
      </c>
      <c r="U32" s="83">
        <f t="shared" si="4"/>
        <v>74.807796605587242</v>
      </c>
      <c r="V32" s="83">
        <f>U32/'Prod &amp; Defects - Qty'!$R$7*1000000</f>
        <v>0.56076154358404895</v>
      </c>
      <c r="W32" s="83">
        <f t="shared" si="10"/>
        <v>0.5046853892256441</v>
      </c>
      <c r="X32" s="83">
        <f t="shared" si="10"/>
        <v>0.45421685030307968</v>
      </c>
      <c r="Y32" s="83">
        <f t="shared" si="5"/>
        <v>0.47945111976436189</v>
      </c>
      <c r="Z32" s="430">
        <f t="shared" si="8"/>
        <v>0.47945111976436189</v>
      </c>
    </row>
    <row r="33" spans="1:26" ht="18" customHeight="1">
      <c r="A33" s="1032"/>
      <c r="B33" s="81">
        <f t="shared" si="9"/>
        <v>3200</v>
      </c>
      <c r="C33" s="89" t="s">
        <v>114</v>
      </c>
      <c r="D33" s="352">
        <f>'[3]Falhas UM-3-2 Qty'!Z34</f>
        <v>32.524937521154648</v>
      </c>
      <c r="E33" s="333">
        <f>'Prod &amp; Defects - Qty'!F$7*'Falhas UM-3-2 Qty'!$D33/1000000</f>
        <v>350.908369011231</v>
      </c>
      <c r="F33" s="333">
        <f>'Prod &amp; Defects - Qty'!G$7*'Falhas UM-3-2 Qty'!$D33/1000000</f>
        <v>367.24886251002596</v>
      </c>
      <c r="G33" s="333">
        <f>'Prod &amp; Defects - Qty'!H$7*'Falhas UM-3-2 Qty'!$D33/1000000</f>
        <v>353.43462786843168</v>
      </c>
      <c r="H33" s="333">
        <f>'Prod &amp; Defects - Qty'!I$7*'Falhas UM-3-2 Qty'!$D33/1000000</f>
        <v>355.71960087713319</v>
      </c>
      <c r="I33" s="333">
        <f>'Prod &amp; Defects - Qty'!J$7*'Falhas UM-3-2 Qty'!$D33/1000000</f>
        <v>360.06519597813576</v>
      </c>
      <c r="J33" s="333">
        <f>'Prod &amp; Defects - Qty'!K$7*'Falhas UM-3-2 Qty'!$D33/1000000</f>
        <v>409.38748135734772</v>
      </c>
      <c r="K33" s="333">
        <f>'Prod &amp; Defects - Qty'!L$7*'Falhas UM-3-2 Qty'!$D33/1000000</f>
        <v>404.3519618152888</v>
      </c>
      <c r="L33" s="333">
        <f>'Prod &amp; Defects - Qty'!M$7*'Falhas UM-3-2 Qty'!$D33/1000000</f>
        <v>404.56405631482858</v>
      </c>
      <c r="M33" s="333">
        <f>'Prod &amp; Defects - Qty'!N$7*'Falhas UM-3-2 Qty'!$D33/1000000</f>
        <v>384.93101692337541</v>
      </c>
      <c r="N33" s="333">
        <f>'Prod &amp; Defects - Qty'!O$7*'Falhas UM-3-2 Qty'!$D33/1000000</f>
        <v>298.52524870487235</v>
      </c>
      <c r="O33" s="333">
        <f>'Prod &amp; Defects - Qty'!P$7*'Falhas UM-3-2 Qty'!$D33/1000000</f>
        <v>286.53012400253004</v>
      </c>
      <c r="P33" s="333">
        <f>'Prod &amp; Defects - Qty'!Q$7*'Falhas UM-3-2 Qty'!$D33/1000000</f>
        <v>363.28811108656902</v>
      </c>
      <c r="Q33" s="429">
        <f t="shared" si="2"/>
        <v>2196.7641376023053</v>
      </c>
      <c r="R33" s="83">
        <f>Q33/SUM('Prod &amp; Defects - Qty'!$F$7:$K$7)*1000000</f>
        <v>32.524937521154648</v>
      </c>
      <c r="S33" s="83">
        <f t="shared" si="3"/>
        <v>2142.1905188474643</v>
      </c>
      <c r="T33" s="83">
        <f>S33/SUM('Prod &amp; Defects - Qty'!$L$7:$Q$7)*1000000</f>
        <v>32.524937521154648</v>
      </c>
      <c r="U33" s="83">
        <f t="shared" si="4"/>
        <v>4338.9546564497696</v>
      </c>
      <c r="V33" s="83">
        <f>U33/'Prod &amp; Defects - Qty'!$R$7*1000000</f>
        <v>32.524937521154648</v>
      </c>
      <c r="W33" s="83">
        <f t="shared" si="10"/>
        <v>29.272443769039185</v>
      </c>
      <c r="X33" s="83">
        <f t="shared" si="10"/>
        <v>26.345199392135267</v>
      </c>
      <c r="Y33" s="83">
        <f t="shared" si="5"/>
        <v>27.808821580587228</v>
      </c>
      <c r="Z33" s="430">
        <f t="shared" si="8"/>
        <v>27.808821580587228</v>
      </c>
    </row>
    <row r="34" spans="1:26" ht="18" customHeight="1">
      <c r="A34" s="1032"/>
      <c r="B34" s="81">
        <f t="shared" si="9"/>
        <v>3205</v>
      </c>
      <c r="C34" s="89" t="s">
        <v>133</v>
      </c>
      <c r="D34" s="352">
        <f>'[3]Falhas UM-3-2 Qty'!Z35</f>
        <v>23.76923337809761</v>
      </c>
      <c r="E34" s="333">
        <f>'Prod &amp; Defects - Qty'!F$7*'Falhas UM-3-2 Qty'!$D34/1000000</f>
        <v>256.44393357959763</v>
      </c>
      <c r="F34" s="333">
        <f>'Prod &amp; Defects - Qty'!G$7*'Falhas UM-3-2 Qty'!$D34/1000000</f>
        <v>268.38557076901645</v>
      </c>
      <c r="G34" s="333">
        <f>'Prod &amp; Defects - Qty'!H$7*'Falhas UM-3-2 Qty'!$D34/1000000</f>
        <v>258.29012425440624</v>
      </c>
      <c r="H34" s="333">
        <f>'Prod &amp; Defects - Qty'!I$7*'Falhas UM-3-2 Qty'!$D34/1000000</f>
        <v>259.95998316408611</v>
      </c>
      <c r="I34" s="333">
        <f>'Prod &amp; Defects - Qty'!J$7*'Falhas UM-3-2 Qty'!$D34/1000000</f>
        <v>263.13574527140037</v>
      </c>
      <c r="J34" s="333">
        <f>'Prod &amp; Defects - Qty'!K$7*'Falhas UM-3-2 Qty'!$D34/1000000</f>
        <v>299.18048513161091</v>
      </c>
      <c r="K34" s="333">
        <f>'Prod &amp; Defects - Qty'!L$7*'Falhas UM-3-2 Qty'!$D34/1000000</f>
        <v>295.50052605106475</v>
      </c>
      <c r="L34" s="333">
        <f>'Prod &amp; Defects - Qty'!M$7*'Falhas UM-3-2 Qty'!$D34/1000000</f>
        <v>295.65552477026267</v>
      </c>
      <c r="M34" s="333">
        <f>'Prod &amp; Defects - Qty'!N$7*'Falhas UM-3-2 Qty'!$D34/1000000</f>
        <v>281.30769412759628</v>
      </c>
      <c r="N34" s="333">
        <f>'Prod &amp; Defects - Qty'!O$7*'Falhas UM-3-2 Qty'!$D34/1000000</f>
        <v>218.16233470412033</v>
      </c>
      <c r="O34" s="333">
        <f>'Prod &amp; Defects - Qty'!P$7*'Falhas UM-3-2 Qty'!$D34/1000000</f>
        <v>209.39629423858781</v>
      </c>
      <c r="P34" s="333">
        <f>'Prod &amp; Defects - Qty'!Q$7*'Falhas UM-3-2 Qty'!$D34/1000000</f>
        <v>265.49105252818822</v>
      </c>
      <c r="Q34" s="429">
        <f t="shared" si="2"/>
        <v>1605.3958421701177</v>
      </c>
      <c r="R34" s="83">
        <f>Q34/SUM('Prod &amp; Defects - Qty'!$F$7:$K$7)*1000000</f>
        <v>23.76923337809761</v>
      </c>
      <c r="S34" s="83">
        <f t="shared" si="3"/>
        <v>1565.5134264198202</v>
      </c>
      <c r="T34" s="83">
        <f>S34/SUM('Prod &amp; Defects - Qty'!$L$7:$Q$7)*1000000</f>
        <v>23.76923337809761</v>
      </c>
      <c r="U34" s="83">
        <f t="shared" si="4"/>
        <v>3170.9092685899377</v>
      </c>
      <c r="V34" s="83">
        <f>U34/'Prod &amp; Defects - Qty'!$R$7*1000000</f>
        <v>23.769233378097603</v>
      </c>
      <c r="W34" s="83">
        <f t="shared" si="10"/>
        <v>21.392310040287843</v>
      </c>
      <c r="X34" s="83">
        <f t="shared" si="10"/>
        <v>19.253079036259059</v>
      </c>
      <c r="Y34" s="83">
        <f t="shared" si="5"/>
        <v>20.322694538273453</v>
      </c>
      <c r="Z34" s="430">
        <f t="shared" si="8"/>
        <v>20.322694538273453</v>
      </c>
    </row>
    <row r="35" spans="1:26" ht="18" customHeight="1">
      <c r="A35" s="1032"/>
      <c r="B35" s="81">
        <f t="shared" si="9"/>
        <v>3210</v>
      </c>
      <c r="C35" s="89" t="s">
        <v>116</v>
      </c>
      <c r="D35" s="352">
        <f>'[3]Falhas UM-3-2 Qty'!Z36</f>
        <v>62.072266192785911</v>
      </c>
      <c r="E35" s="333">
        <f>'Prod &amp; Defects - Qty'!F$7*'Falhas UM-3-2 Qty'!$D35/1000000</f>
        <v>669.6916074435004</v>
      </c>
      <c r="F35" s="333">
        <f>'Prod &amp; Defects - Qty'!G$7*'Falhas UM-3-2 Qty'!$D35/1000000</f>
        <v>700.87664696952515</v>
      </c>
      <c r="G35" s="333">
        <f>'Prod &amp; Defects - Qty'!H$7*'Falhas UM-3-2 Qty'!$D35/1000000</f>
        <v>674.51284997944845</v>
      </c>
      <c r="H35" s="333">
        <f>'Prod &amp; Defects - Qty'!I$7*'Falhas UM-3-2 Qty'!$D35/1000000</f>
        <v>678.87361017298315</v>
      </c>
      <c r="I35" s="333">
        <f>'Prod &amp; Defects - Qty'!J$7*'Falhas UM-3-2 Qty'!$D35/1000000</f>
        <v>687.16696771440979</v>
      </c>
      <c r="J35" s="333">
        <f>'Prod &amp; Defects - Qty'!K$7*'Falhas UM-3-2 Qty'!$D35/1000000</f>
        <v>781.29615782595818</v>
      </c>
      <c r="K35" s="333">
        <f>'Prod &amp; Defects - Qty'!L$7*'Falhas UM-3-2 Qty'!$D35/1000000</f>
        <v>771.68611294177151</v>
      </c>
      <c r="L35" s="333">
        <f>'Prod &amp; Defects - Qty'!M$7*'Falhas UM-3-2 Qty'!$D35/1000000</f>
        <v>772.09088501012366</v>
      </c>
      <c r="M35" s="333">
        <f>'Prod &amp; Defects - Qty'!N$7*'Falhas UM-3-2 Qty'!$D35/1000000</f>
        <v>734.62218129663927</v>
      </c>
      <c r="N35" s="333">
        <f>'Prod &amp; Defects - Qty'!O$7*'Falhas UM-3-2 Qty'!$D35/1000000</f>
        <v>569.72096228699002</v>
      </c>
      <c r="O35" s="333">
        <f>'Prod &amp; Defects - Qty'!P$7*'Falhas UM-3-2 Qty'!$D35/1000000</f>
        <v>546.82884841113162</v>
      </c>
      <c r="P35" s="333">
        <f>'Prod &amp; Defects - Qty'!Q$7*'Falhas UM-3-2 Qty'!$D35/1000000</f>
        <v>693.31774492642751</v>
      </c>
      <c r="Q35" s="429">
        <f t="shared" si="2"/>
        <v>4192.4178401058252</v>
      </c>
      <c r="R35" s="83">
        <f>Q35/SUM('Prod &amp; Defects - Qty'!$F$7:$K$7)*1000000</f>
        <v>62.072266192785911</v>
      </c>
      <c r="S35" s="83">
        <f t="shared" si="3"/>
        <v>4088.2667348730838</v>
      </c>
      <c r="T35" s="83">
        <f>S35/SUM('Prod &amp; Defects - Qty'!$L$7:$Q$7)*1000000</f>
        <v>62.072266192785911</v>
      </c>
      <c r="U35" s="83">
        <f t="shared" si="4"/>
        <v>8280.68457497891</v>
      </c>
      <c r="V35" s="83">
        <f>U35/'Prod &amp; Defects - Qty'!$R$7*1000000</f>
        <v>62.072266192785911</v>
      </c>
      <c r="W35" s="83">
        <f t="shared" si="10"/>
        <v>55.865039573507318</v>
      </c>
      <c r="X35" s="83">
        <f t="shared" si="10"/>
        <v>50.278535616156589</v>
      </c>
      <c r="Y35" s="83">
        <f t="shared" si="5"/>
        <v>53.071787594831953</v>
      </c>
      <c r="Z35" s="430">
        <f t="shared" si="8"/>
        <v>53.071787594831953</v>
      </c>
    </row>
    <row r="36" spans="1:26" ht="18" customHeight="1" thickBot="1">
      <c r="A36" s="1033"/>
      <c r="B36" s="87"/>
      <c r="C36" s="88" t="s">
        <v>1</v>
      </c>
      <c r="D36" s="88">
        <f>'[3]Falhas UM-3-2 Qty'!Z37</f>
        <v>376.94185678398304</v>
      </c>
      <c r="E36" s="336">
        <f>SUBTOTAL(109,E19:E35)</f>
        <v>4066.7888167379579</v>
      </c>
      <c r="F36" s="336">
        <f t="shared" ref="F36:P36" si="11">SUBTOTAL(109,F19:F35)</f>
        <v>4256.1639986640166</v>
      </c>
      <c r="G36" s="336">
        <f t="shared" si="11"/>
        <v>4096.0664349879798</v>
      </c>
      <c r="H36" s="336">
        <f t="shared" si="11"/>
        <v>4122.5477147149895</v>
      </c>
      <c r="I36" s="336">
        <f t="shared" si="11"/>
        <v>4172.910199966127</v>
      </c>
      <c r="J36" s="336">
        <f t="shared" si="11"/>
        <v>4744.5218693068418</v>
      </c>
      <c r="K36" s="336">
        <f t="shared" si="11"/>
        <v>4686.1636300382424</v>
      </c>
      <c r="L36" s="336">
        <f t="shared" si="11"/>
        <v>4688.6216607237202</v>
      </c>
      <c r="M36" s="336">
        <f t="shared" si="11"/>
        <v>4461.0881161100206</v>
      </c>
      <c r="N36" s="336">
        <f t="shared" si="11"/>
        <v>3459.7041568650543</v>
      </c>
      <c r="O36" s="336">
        <f t="shared" si="11"/>
        <v>3320.6888374746477</v>
      </c>
      <c r="P36" s="336">
        <f t="shared" si="11"/>
        <v>4210.2615893251323</v>
      </c>
      <c r="Q36" s="435">
        <f t="shared" si="2"/>
        <v>25458.999034377917</v>
      </c>
      <c r="R36" s="86">
        <f>Q36/SUM('Prod &amp; Defects - Qty'!$F$7:$K$7)*1000000</f>
        <v>376.9418567839831</v>
      </c>
      <c r="S36" s="86">
        <f t="shared" si="3"/>
        <v>24826.527990536819</v>
      </c>
      <c r="T36" s="86">
        <f>S36/SUM('Prod &amp; Defects - Qty'!$L$7:$Q$7)*1000000</f>
        <v>376.94185678398298</v>
      </c>
      <c r="U36" s="86">
        <f t="shared" si="4"/>
        <v>50285.527024914736</v>
      </c>
      <c r="V36" s="86">
        <f>U36/'Prod &amp; Defects - Qty'!$R$7*1000000</f>
        <v>376.94185678398298</v>
      </c>
      <c r="W36" s="86">
        <f t="shared" si="10"/>
        <v>339.24767110558469</v>
      </c>
      <c r="X36" s="86">
        <f t="shared" si="10"/>
        <v>305.32290399502625</v>
      </c>
      <c r="Y36" s="86">
        <f t="shared" si="5"/>
        <v>322.2852875503055</v>
      </c>
      <c r="Z36" s="436">
        <f>Y36</f>
        <v>322.2852875503055</v>
      </c>
    </row>
    <row r="37" spans="1:26" ht="18" customHeight="1" thickTop="1">
      <c r="A37" s="1034" t="s">
        <v>172</v>
      </c>
      <c r="B37" s="81">
        <f>B35+10</f>
        <v>3220</v>
      </c>
      <c r="C37" s="82" t="s">
        <v>19</v>
      </c>
      <c r="D37" s="352">
        <f>'[3]Falhas UM-3-2 Qty'!Z38</f>
        <v>3.1356196438072304</v>
      </c>
      <c r="E37" s="334">
        <f>'Prod &amp; Defects - Qty'!F$7*'Falhas UM-3-2 Qty'!$D37/1000000</f>
        <v>33.829893580343175</v>
      </c>
      <c r="F37" s="334">
        <f>'Prod &amp; Defects - Qty'!G$7*'Falhas UM-3-2 Qty'!$D37/1000000</f>
        <v>35.405225504378393</v>
      </c>
      <c r="G37" s="334">
        <f>'Prod &amp; Defects - Qty'!H$7*'Falhas UM-3-2 Qty'!$D37/1000000</f>
        <v>34.073441685326564</v>
      </c>
      <c r="H37" s="334">
        <f>'Prod &amp; Defects - Qty'!I$7*'Falhas UM-3-2 Qty'!$D37/1000000</f>
        <v>34.293728234593374</v>
      </c>
      <c r="I37" s="334">
        <f>'Prod &amp; Defects - Qty'!J$7*'Falhas UM-3-2 Qty'!$D37/1000000</f>
        <v>34.712672417157094</v>
      </c>
      <c r="J37" s="334">
        <f>'Prod &amp; Defects - Qty'!K$7*'Falhas UM-3-2 Qty'!$D37/1000000</f>
        <v>39.467667774548104</v>
      </c>
      <c r="K37" s="334">
        <f>'Prod &amp; Defects - Qty'!L$7*'Falhas UM-3-2 Qty'!$D37/1000000</f>
        <v>38.982210301106825</v>
      </c>
      <c r="L37" s="334">
        <f>'Prod &amp; Defects - Qty'!M$7*'Falhas UM-3-2 Qty'!$D37/1000000</f>
        <v>39.002657617221352</v>
      </c>
      <c r="M37" s="334">
        <f>'Prod &amp; Defects - Qty'!N$7*'Falhas UM-3-2 Qty'!$D37/1000000</f>
        <v>37.109902436878855</v>
      </c>
      <c r="N37" s="334">
        <f>'Prod &amp; Defects - Qty'!O$7*'Falhas UM-3-2 Qty'!$D37/1000000</f>
        <v>28.779813440152186</v>
      </c>
      <c r="O37" s="334">
        <f>'Prod &amp; Defects - Qty'!P$7*'Falhas UM-3-2 Qty'!$D37/1000000</f>
        <v>27.623403881421492</v>
      </c>
      <c r="P37" s="334">
        <f>'Prod &amp; Defects - Qty'!Q$7*'Falhas UM-3-2 Qty'!$D37/1000000</f>
        <v>35.023382804156398</v>
      </c>
      <c r="Q37" s="431">
        <f t="shared" si="2"/>
        <v>211.7826291963467</v>
      </c>
      <c r="R37" s="94">
        <f>Q37/SUM('Prod &amp; Defects - Qty'!$F$7:$K$7)*1000000</f>
        <v>3.1356196438072308</v>
      </c>
      <c r="S37" s="94">
        <f t="shared" si="3"/>
        <v>206.52137048093712</v>
      </c>
      <c r="T37" s="94">
        <f>S37/SUM('Prod &amp; Defects - Qty'!$L$7:$Q$7)*1000000</f>
        <v>3.1356196438072304</v>
      </c>
      <c r="U37" s="94">
        <f t="shared" si="4"/>
        <v>418.30399967728385</v>
      </c>
      <c r="V37" s="94">
        <f>U37/'Prod &amp; Defects - Qty'!$R$7*1000000</f>
        <v>3.1356196438072304</v>
      </c>
      <c r="W37" s="94">
        <f t="shared" si="10"/>
        <v>2.8220576794265075</v>
      </c>
      <c r="X37" s="94">
        <f t="shared" si="10"/>
        <v>2.5398519114838569</v>
      </c>
      <c r="Y37" s="94">
        <f t="shared" si="5"/>
        <v>2.6809547954551824</v>
      </c>
      <c r="Z37" s="432">
        <f t="shared" ref="Z37:Z48" si="12">Y37*1</f>
        <v>2.6809547954551824</v>
      </c>
    </row>
    <row r="38" spans="1:26" ht="18" customHeight="1">
      <c r="A38" s="1032"/>
      <c r="B38" s="81">
        <f>B37+10</f>
        <v>3230</v>
      </c>
      <c r="C38" s="82" t="s">
        <v>61</v>
      </c>
      <c r="D38" s="352">
        <f>'[3]Falhas UM-3-2 Qty'!Z39</f>
        <v>3.1375550066607483</v>
      </c>
      <c r="E38" s="334">
        <f>'Prod &amp; Defects - Qty'!F$7*'Falhas UM-3-2 Qty'!$D38/1000000</f>
        <v>33.850774020833825</v>
      </c>
      <c r="F38" s="334">
        <f>'Prod &amp; Defects - Qty'!G$7*'Falhas UM-3-2 Qty'!$D38/1000000</f>
        <v>35.42707826907737</v>
      </c>
      <c r="G38" s="334">
        <f>'Prod &amp; Defects - Qty'!H$7*'Falhas UM-3-2 Qty'!$D38/1000000</f>
        <v>34.094472448244353</v>
      </c>
      <c r="H38" s="334">
        <f>'Prod &amp; Defects - Qty'!I$7*'Falhas UM-3-2 Qty'!$D38/1000000</f>
        <v>34.314894962472806</v>
      </c>
      <c r="I38" s="334">
        <f>'Prod &amp; Defects - Qty'!J$7*'Falhas UM-3-2 Qty'!$D38/1000000</f>
        <v>34.734097725189969</v>
      </c>
      <c r="J38" s="334">
        <f>'Prod &amp; Defects - Qty'!K$7*'Falhas UM-3-2 Qty'!$D38/1000000</f>
        <v>39.492027954290158</v>
      </c>
      <c r="K38" s="334">
        <f>'Prod &amp; Defects - Qty'!L$7*'Falhas UM-3-2 Qty'!$D38/1000000</f>
        <v>39.006270847453308</v>
      </c>
      <c r="L38" s="334">
        <f>'Prod &amp; Defects - Qty'!M$7*'Falhas UM-3-2 Qty'!$D38/1000000</f>
        <v>39.026730784032239</v>
      </c>
      <c r="M38" s="334">
        <f>'Prod &amp; Defects - Qty'!N$7*'Falhas UM-3-2 Qty'!$D38/1000000</f>
        <v>37.132807359934766</v>
      </c>
      <c r="N38" s="334">
        <f>'Prod &amp; Defects - Qty'!O$7*'Falhas UM-3-2 Qty'!$D38/1000000</f>
        <v>28.79757687710898</v>
      </c>
      <c r="O38" s="334">
        <f>'Prod &amp; Defects - Qty'!P$7*'Falhas UM-3-2 Qty'!$D38/1000000</f>
        <v>27.640453560857392</v>
      </c>
      <c r="P38" s="334">
        <f>'Prod &amp; Defects - Qty'!Q$7*'Falhas UM-3-2 Qty'!$D38/1000000</f>
        <v>35.044999888427952</v>
      </c>
      <c r="Q38" s="431">
        <f t="shared" si="2"/>
        <v>211.9133453801085</v>
      </c>
      <c r="R38" s="94">
        <f>Q38/SUM('Prod &amp; Defects - Qty'!$F$7:$K$7)*1000000</f>
        <v>3.1375550066607487</v>
      </c>
      <c r="S38" s="94">
        <f t="shared" si="3"/>
        <v>206.64883931781463</v>
      </c>
      <c r="T38" s="94">
        <f>S38/SUM('Prod &amp; Defects - Qty'!$L$7:$Q$7)*1000000</f>
        <v>3.1375550066607483</v>
      </c>
      <c r="U38" s="94">
        <f t="shared" si="4"/>
        <v>418.56218469792316</v>
      </c>
      <c r="V38" s="94">
        <f>U38/'Prod &amp; Defects - Qty'!$R$7*1000000</f>
        <v>3.1375550066607483</v>
      </c>
      <c r="W38" s="94">
        <f t="shared" si="10"/>
        <v>2.8237995059946734</v>
      </c>
      <c r="X38" s="94">
        <f t="shared" si="10"/>
        <v>2.5414195553952061</v>
      </c>
      <c r="Y38" s="94">
        <f t="shared" si="5"/>
        <v>2.6826095306949398</v>
      </c>
      <c r="Z38" s="432">
        <f t="shared" si="12"/>
        <v>2.6826095306949398</v>
      </c>
    </row>
    <row r="39" spans="1:26" ht="18" customHeight="1">
      <c r="A39" s="1032"/>
      <c r="B39" s="81">
        <f t="shared" ref="B39:B48" si="13">B38+10</f>
        <v>3240</v>
      </c>
      <c r="C39" s="82" t="s">
        <v>70</v>
      </c>
      <c r="D39" s="352">
        <f>'[3]Falhas UM-3-2 Qty'!Z40</f>
        <v>68.172035709930057</v>
      </c>
      <c r="E39" s="334">
        <f>'Prod &amp; Defects - Qty'!F$7*'Falhas UM-3-2 Qty'!$D39/1000000</f>
        <v>735.5014240254169</v>
      </c>
      <c r="F39" s="334">
        <f>'Prod &amp; Defects - Qty'!G$7*'Falhas UM-3-2 Qty'!$D39/1000000</f>
        <v>769.75098117193545</v>
      </c>
      <c r="G39" s="334">
        <f>'Prod &amp; Defects - Qty'!H$7*'Falhas UM-3-2 Qty'!$D39/1000000</f>
        <v>740.79644446668885</v>
      </c>
      <c r="H39" s="334">
        <f>'Prod &amp; Defects - Qty'!I$7*'Falhas UM-3-2 Qty'!$D39/1000000</f>
        <v>745.58573150049517</v>
      </c>
      <c r="I39" s="334">
        <f>'Prod &amp; Defects - Qty'!J$7*'Falhas UM-3-2 Qty'!$D39/1000000</f>
        <v>754.69406765682947</v>
      </c>
      <c r="J39" s="334">
        <f>'Prod &amp; Defects - Qty'!K$7*'Falhas UM-3-2 Qty'!$D39/1000000</f>
        <v>858.07322397281155</v>
      </c>
      <c r="K39" s="334">
        <f>'Prod &amp; Defects - Qty'!L$7*'Falhas UM-3-2 Qty'!$D39/1000000</f>
        <v>847.51881113755189</v>
      </c>
      <c r="L39" s="334">
        <f>'Prod &amp; Defects - Qty'!M$7*'Falhas UM-3-2 Qty'!$D39/1000000</f>
        <v>847.96335968701806</v>
      </c>
      <c r="M39" s="334">
        <f>'Prod &amp; Defects - Qty'!N$7*'Falhas UM-3-2 Qty'!$D39/1000000</f>
        <v>806.81264997026369</v>
      </c>
      <c r="N39" s="334">
        <f>'Prod &amp; Defects - Qty'!O$7*'Falhas UM-3-2 Qty'!$D39/1000000</f>
        <v>625.70677966061282</v>
      </c>
      <c r="O39" s="334">
        <f>'Prod &amp; Defects - Qty'!P$7*'Falhas UM-3-2 Qty'!$D39/1000000</f>
        <v>600.56508433771535</v>
      </c>
      <c r="P39" s="334">
        <f>'Prod &amp; Defects - Qty'!Q$7*'Falhas UM-3-2 Qty'!$D39/1000000</f>
        <v>761.44927460286215</v>
      </c>
      <c r="Q39" s="431">
        <f t="shared" si="2"/>
        <v>4604.4018727941766</v>
      </c>
      <c r="R39" s="94">
        <f>Q39/SUM('Prod &amp; Defects - Qty'!$F$7:$K$7)*1000000</f>
        <v>68.172035709930043</v>
      </c>
      <c r="S39" s="94">
        <f t="shared" si="3"/>
        <v>4490.0159593960243</v>
      </c>
      <c r="T39" s="94">
        <f>S39/SUM('Prod &amp; Defects - Qty'!$L$7:$Q$7)*1000000</f>
        <v>68.172035709930057</v>
      </c>
      <c r="U39" s="94">
        <f t="shared" si="4"/>
        <v>9094.4178321902</v>
      </c>
      <c r="V39" s="94">
        <f>U39/'Prod &amp; Defects - Qty'!$R$7*1000000</f>
        <v>68.172035709930029</v>
      </c>
      <c r="W39" s="94">
        <f t="shared" si="10"/>
        <v>61.354832138937027</v>
      </c>
      <c r="X39" s="94">
        <f t="shared" si="10"/>
        <v>55.219348925043327</v>
      </c>
      <c r="Y39" s="94">
        <f t="shared" si="5"/>
        <v>58.287090531990174</v>
      </c>
      <c r="Z39" s="432">
        <f t="shared" si="12"/>
        <v>58.287090531990174</v>
      </c>
    </row>
    <row r="40" spans="1:26" ht="18" customHeight="1">
      <c r="A40" s="1032"/>
      <c r="B40" s="81">
        <f t="shared" si="13"/>
        <v>3250</v>
      </c>
      <c r="C40" s="82" t="s">
        <v>69</v>
      </c>
      <c r="D40" s="352">
        <f>'[3]Falhas UM-3-2 Qty'!Z41</f>
        <v>5.9249433051657903</v>
      </c>
      <c r="E40" s="334">
        <f>'Prod &amp; Defects - Qty'!F$7*'Falhas UM-3-2 Qty'!$D40/1000000</f>
        <v>63.923633684075725</v>
      </c>
      <c r="F40" s="334">
        <f>'Prod &amp; Defects - Qty'!G$7*'Falhas UM-3-2 Qty'!$D40/1000000</f>
        <v>66.900318804402858</v>
      </c>
      <c r="G40" s="334">
        <f>'Prod &amp; Defects - Qty'!H$7*'Falhas UM-3-2 Qty'!$D40/1000000</f>
        <v>64.383832585099029</v>
      </c>
      <c r="H40" s="334">
        <f>'Prod &amp; Defects - Qty'!I$7*'Falhas UM-3-2 Qty'!$D40/1000000</f>
        <v>64.8000773671708</v>
      </c>
      <c r="I40" s="334">
        <f>'Prod &amp; Defects - Qty'!J$7*'Falhas UM-3-2 Qty'!$D40/1000000</f>
        <v>65.591697784086278</v>
      </c>
      <c r="J40" s="334">
        <f>'Prod &amp; Defects - Qty'!K$7*'Falhas UM-3-2 Qty'!$D40/1000000</f>
        <v>74.576549618558417</v>
      </c>
      <c r="K40" s="334">
        <f>'Prod &amp; Defects - Qty'!L$7*'Falhas UM-3-2 Qty'!$D40/1000000</f>
        <v>73.659248308468321</v>
      </c>
      <c r="L40" s="334">
        <f>'Prod &amp; Defects - Qty'!M$7*'Falhas UM-3-2 Qty'!$D40/1000000</f>
        <v>73.697884751176119</v>
      </c>
      <c r="M40" s="334">
        <f>'Prod &amp; Defects - Qty'!N$7*'Falhas UM-3-2 Qty'!$D40/1000000</f>
        <v>70.121409155280276</v>
      </c>
      <c r="N40" s="334">
        <f>'Prod &amp; Defects - Qty'!O$7*'Falhas UM-3-2 Qty'!$D40/1000000</f>
        <v>54.381201273222146</v>
      </c>
      <c r="O40" s="334">
        <f>'Prod &amp; Defects - Qty'!P$7*'Falhas UM-3-2 Qty'!$D40/1000000</f>
        <v>52.196095344777348</v>
      </c>
      <c r="P40" s="334">
        <f>'Prod &amp; Defects - Qty'!Q$7*'Falhas UM-3-2 Qty'!$D40/1000000</f>
        <v>66.178803886362687</v>
      </c>
      <c r="Q40" s="431">
        <f t="shared" si="2"/>
        <v>400.17610984339314</v>
      </c>
      <c r="R40" s="94">
        <f>Q40/SUM('Prod &amp; Defects - Qty'!$F$7:$K$7)*1000000</f>
        <v>5.9249433051657912</v>
      </c>
      <c r="S40" s="94">
        <f t="shared" si="3"/>
        <v>390.23464271928691</v>
      </c>
      <c r="T40" s="94">
        <f>S40/SUM('Prod &amp; Defects - Qty'!$L$7:$Q$7)*1000000</f>
        <v>5.9249433051657903</v>
      </c>
      <c r="U40" s="94">
        <f t="shared" si="4"/>
        <v>790.41075256268005</v>
      </c>
      <c r="V40" s="94">
        <f>U40/'Prod &amp; Defects - Qty'!$R$7*1000000</f>
        <v>5.9249433051657894</v>
      </c>
      <c r="W40" s="94">
        <f t="shared" si="10"/>
        <v>5.3324489746492105</v>
      </c>
      <c r="X40" s="94">
        <f t="shared" si="10"/>
        <v>4.7992040771842897</v>
      </c>
      <c r="Y40" s="94">
        <f t="shared" si="5"/>
        <v>5.0658265259167496</v>
      </c>
      <c r="Z40" s="432">
        <f t="shared" si="12"/>
        <v>5.0658265259167496</v>
      </c>
    </row>
    <row r="41" spans="1:26" ht="18" customHeight="1">
      <c r="A41" s="1032"/>
      <c r="B41" s="81">
        <f t="shared" si="13"/>
        <v>3260</v>
      </c>
      <c r="C41" s="82" t="s">
        <v>15</v>
      </c>
      <c r="D41" s="352">
        <f>'[3]Falhas UM-3-2 Qty'!Z42</f>
        <v>19.460450610111003</v>
      </c>
      <c r="E41" s="334">
        <f>'Prod &amp; Defects - Qty'!F$7*'Falhas UM-3-2 Qty'!$D41/1000000</f>
        <v>209.95689782266618</v>
      </c>
      <c r="F41" s="334">
        <f>'Prod &amp; Defects - Qty'!G$7*'Falhas UM-3-2 Qty'!$D41/1000000</f>
        <v>219.73380720093363</v>
      </c>
      <c r="G41" s="334">
        <f>'Prod &amp; Defects - Qty'!H$7*'Falhas UM-3-2 Qty'!$D41/1000000</f>
        <v>211.46841911880804</v>
      </c>
      <c r="H41" s="334">
        <f>'Prod &amp; Defects - Qty'!I$7*'Falhas UM-3-2 Qty'!$D41/1000000</f>
        <v>212.83557330172849</v>
      </c>
      <c r="I41" s="334">
        <f>'Prod &amp; Defects - Qty'!J$7*'Falhas UM-3-2 Qty'!$D41/1000000</f>
        <v>215.4356471306051</v>
      </c>
      <c r="J41" s="334">
        <f>'Prod &amp; Defects - Qty'!K$7*'Falhas UM-3-2 Qty'!$D41/1000000</f>
        <v>244.94635404512772</v>
      </c>
      <c r="K41" s="334">
        <f>'Prod &amp; Defects - Qty'!L$7*'Falhas UM-3-2 Qty'!$D41/1000000</f>
        <v>241.93348186725646</v>
      </c>
      <c r="L41" s="334">
        <f>'Prod &amp; Defects - Qty'!M$7*'Falhas UM-3-2 Qty'!$D41/1000000</f>
        <v>242.06038309589943</v>
      </c>
      <c r="M41" s="334">
        <f>'Prod &amp; Defects - Qty'!N$7*'Falhas UM-3-2 Qty'!$D41/1000000</f>
        <v>230.31346449981496</v>
      </c>
      <c r="N41" s="334">
        <f>'Prod &amp; Defects - Qty'!O$7*'Falhas UM-3-2 Qty'!$D41/1000000</f>
        <v>178.6148199212908</v>
      </c>
      <c r="O41" s="334">
        <f>'Prod &amp; Defects - Qty'!P$7*'Falhas UM-3-2 Qty'!$D41/1000000</f>
        <v>171.43784896845719</v>
      </c>
      <c r="P41" s="334">
        <f>'Prod &amp; Defects - Qty'!Q$7*'Falhas UM-3-2 Qty'!$D41/1000000</f>
        <v>217.36399457931122</v>
      </c>
      <c r="Q41" s="431">
        <f t="shared" si="2"/>
        <v>1314.3766986198691</v>
      </c>
      <c r="R41" s="94">
        <f>Q41/SUM('Prod &amp; Defects - Qty'!$F$7:$K$7)*1000000</f>
        <v>19.460450610111003</v>
      </c>
      <c r="S41" s="94">
        <f t="shared" si="3"/>
        <v>1281.7239929320303</v>
      </c>
      <c r="T41" s="94">
        <f>S41/SUM('Prod &amp; Defects - Qty'!$L$7:$Q$7)*1000000</f>
        <v>19.460450610111007</v>
      </c>
      <c r="U41" s="94">
        <f t="shared" si="4"/>
        <v>2596.1006915518992</v>
      </c>
      <c r="V41" s="94">
        <f>U41/'Prod &amp; Defects - Qty'!$R$7*1000000</f>
        <v>19.460450610111</v>
      </c>
      <c r="W41" s="94">
        <f t="shared" si="10"/>
        <v>17.514405549099902</v>
      </c>
      <c r="X41" s="94">
        <f t="shared" si="10"/>
        <v>15.762964994189911</v>
      </c>
      <c r="Y41" s="94">
        <f t="shared" si="5"/>
        <v>16.638685271644906</v>
      </c>
      <c r="Z41" s="432">
        <f t="shared" si="12"/>
        <v>16.638685271644906</v>
      </c>
    </row>
    <row r="42" spans="1:26" ht="18" customHeight="1">
      <c r="A42" s="1032"/>
      <c r="B42" s="81">
        <f t="shared" si="13"/>
        <v>3270</v>
      </c>
      <c r="C42" s="82" t="s">
        <v>14</v>
      </c>
      <c r="D42" s="352">
        <f>'[3]Falhas UM-3-2 Qty'!Z43</f>
        <v>14.590095123345826</v>
      </c>
      <c r="E42" s="334">
        <f>'Prod &amp; Defects - Qty'!F$7*'Falhas UM-3-2 Qty'!$D42/1000000</f>
        <v>157.41110894131688</v>
      </c>
      <c r="F42" s="334">
        <f>'Prod &amp; Defects - Qty'!G$7*'Falhas UM-3-2 Qty'!$D42/1000000</f>
        <v>164.74115698075641</v>
      </c>
      <c r="G42" s="334">
        <f>'Prod &amp; Defects - Qty'!H$7*'Falhas UM-3-2 Qty'!$D42/1000000</f>
        <v>158.54434269491836</v>
      </c>
      <c r="H42" s="334">
        <f>'Prod &amp; Defects - Qty'!I$7*'Falhas UM-3-2 Qty'!$D42/1000000</f>
        <v>159.56934000750505</v>
      </c>
      <c r="I42" s="334">
        <f>'Prod &amp; Defects - Qty'!J$7*'Falhas UM-3-2 Qty'!$D42/1000000</f>
        <v>161.51869489404206</v>
      </c>
      <c r="J42" s="334">
        <f>'Prod &amp; Defects - Qty'!K$7*'Falhas UM-3-2 Qty'!$D42/1000000</f>
        <v>183.6437746091211</v>
      </c>
      <c r="K42" s="334">
        <f>'Prod &amp; Defects - Qty'!L$7*'Falhas UM-3-2 Qty'!$D42/1000000</f>
        <v>181.38493217271909</v>
      </c>
      <c r="L42" s="334">
        <f>'Prod &amp; Defects - Qty'!M$7*'Falhas UM-3-2 Qty'!$D42/1000000</f>
        <v>181.48007390577888</v>
      </c>
      <c r="M42" s="334">
        <f>'Prod &amp; Defects - Qty'!N$7*'Falhas UM-3-2 Qty'!$D42/1000000</f>
        <v>172.67304969257671</v>
      </c>
      <c r="N42" s="334">
        <f>'Prod &amp; Defects - Qty'!O$7*'Falhas UM-3-2 Qty'!$D42/1000000</f>
        <v>133.91299437521366</v>
      </c>
      <c r="O42" s="334">
        <f>'Prod &amp; Defects - Qty'!P$7*'Falhas UM-3-2 Qty'!$D42/1000000</f>
        <v>128.53219970620805</v>
      </c>
      <c r="P42" s="334">
        <f>'Prod &amp; Defects - Qty'!Q$7*'Falhas UM-3-2 Qty'!$D42/1000000</f>
        <v>162.9644359650564</v>
      </c>
      <c r="Q42" s="431">
        <f t="shared" si="2"/>
        <v>985.42841812765982</v>
      </c>
      <c r="R42" s="94">
        <f>Q42/SUM('Prod &amp; Defects - Qty'!$F$7:$K$7)*1000000</f>
        <v>14.590095123345826</v>
      </c>
      <c r="S42" s="94">
        <f t="shared" si="3"/>
        <v>960.94768581755284</v>
      </c>
      <c r="T42" s="94">
        <f>S42/SUM('Prod &amp; Defects - Qty'!$L$7:$Q$7)*1000000</f>
        <v>14.590095123345826</v>
      </c>
      <c r="U42" s="94">
        <f t="shared" si="4"/>
        <v>1946.3761039452127</v>
      </c>
      <c r="V42" s="94">
        <f>U42/'Prod &amp; Defects - Qty'!$R$7*1000000</f>
        <v>14.590095123345824</v>
      </c>
      <c r="W42" s="94">
        <f t="shared" si="10"/>
        <v>13.131085611011242</v>
      </c>
      <c r="X42" s="94">
        <f t="shared" si="10"/>
        <v>11.817977049910118</v>
      </c>
      <c r="Y42" s="94">
        <f t="shared" si="5"/>
        <v>12.47453133046068</v>
      </c>
      <c r="Z42" s="432">
        <f t="shared" si="12"/>
        <v>12.47453133046068</v>
      </c>
    </row>
    <row r="43" spans="1:26" ht="18" customHeight="1">
      <c r="A43" s="1032"/>
      <c r="B43" s="81">
        <f t="shared" si="13"/>
        <v>3280</v>
      </c>
      <c r="C43" s="82" t="s">
        <v>68</v>
      </c>
      <c r="D43" s="352">
        <f>'[3]Falhas UM-3-2 Qty'!Z44</f>
        <v>51.380128685343465</v>
      </c>
      <c r="E43" s="334">
        <f>'Prod &amp; Defects - Qty'!F$7*'Falhas UM-3-2 Qty'!$D43/1000000</f>
        <v>554.33518188418577</v>
      </c>
      <c r="F43" s="334">
        <f>'Prod &amp; Defects - Qty'!G$7*'Falhas UM-3-2 Qty'!$D43/1000000</f>
        <v>580.1485030690161</v>
      </c>
      <c r="G43" s="334">
        <f>'Prod &amp; Defects - Qty'!H$7*'Falhas UM-3-2 Qty'!$D43/1000000</f>
        <v>558.32595066248189</v>
      </c>
      <c r="H43" s="334">
        <f>'Prod &amp; Defects - Qty'!I$7*'Falhas UM-3-2 Qty'!$D43/1000000</f>
        <v>561.93555658880427</v>
      </c>
      <c r="I43" s="334">
        <f>'Prod &amp; Defects - Qty'!J$7*'Falhas UM-3-2 Qty'!$D43/1000000</f>
        <v>568.80035795417768</v>
      </c>
      <c r="J43" s="334">
        <f>'Prod &amp; Defects - Qty'!K$7*'Falhas UM-3-2 Qty'!$D43/1000000</f>
        <v>646.71550746648279</v>
      </c>
      <c r="K43" s="334">
        <f>'Prod &amp; Defects - Qty'!L$7*'Falhas UM-3-2 Qty'!$D43/1000000</f>
        <v>638.76082217614908</v>
      </c>
      <c r="L43" s="334">
        <f>'Prod &amp; Defects - Qty'!M$7*'Falhas UM-3-2 Qty'!$D43/1000000</f>
        <v>639.09587101898614</v>
      </c>
      <c r="M43" s="334">
        <f>'Prod &amp; Defects - Qty'!N$7*'Falhas UM-3-2 Qty'!$D43/1000000</f>
        <v>608.08126600210699</v>
      </c>
      <c r="N43" s="334">
        <f>'Prod &amp; Defects - Qty'!O$7*'Falhas UM-3-2 Qty'!$D43/1000000</f>
        <v>471.58478580640758</v>
      </c>
      <c r="O43" s="334">
        <f>'Prod &amp; Defects - Qty'!P$7*'Falhas UM-3-2 Qty'!$D43/1000000</f>
        <v>452.63590849027958</v>
      </c>
      <c r="P43" s="334">
        <f>'Prod &amp; Defects - Qty'!Q$7*'Falhas UM-3-2 Qty'!$D43/1000000</f>
        <v>573.89164499832748</v>
      </c>
      <c r="Q43" s="431">
        <f t="shared" si="2"/>
        <v>3470.2610576251491</v>
      </c>
      <c r="R43" s="94">
        <f>Q43/SUM('Prod &amp; Defects - Qty'!$F$7:$K$7)*1000000</f>
        <v>51.380128685343472</v>
      </c>
      <c r="S43" s="94">
        <f t="shared" si="3"/>
        <v>3384.0502984922573</v>
      </c>
      <c r="T43" s="94">
        <f>S43/SUM('Prod &amp; Defects - Qty'!$L$7:$Q$7)*1000000</f>
        <v>51.380128685343465</v>
      </c>
      <c r="U43" s="94">
        <f t="shared" si="4"/>
        <v>6854.3113561174068</v>
      </c>
      <c r="V43" s="94">
        <f>U43/'Prod &amp; Defects - Qty'!$R$7*1000000</f>
        <v>51.380128685343465</v>
      </c>
      <c r="W43" s="94">
        <f t="shared" si="10"/>
        <v>46.242115816809118</v>
      </c>
      <c r="X43" s="94">
        <f t="shared" si="10"/>
        <v>41.617904235128208</v>
      </c>
      <c r="Y43" s="94">
        <f t="shared" si="5"/>
        <v>43.930010025968663</v>
      </c>
      <c r="Z43" s="432">
        <f t="shared" si="12"/>
        <v>43.930010025968663</v>
      </c>
    </row>
    <row r="44" spans="1:26" ht="18" customHeight="1">
      <c r="A44" s="1032"/>
      <c r="B44" s="81">
        <f t="shared" si="13"/>
        <v>3290</v>
      </c>
      <c r="C44" s="82" t="s">
        <v>13</v>
      </c>
      <c r="D44" s="352">
        <f>'[3]Falhas UM-3-2 Qty'!Z45</f>
        <v>21.18047227908874</v>
      </c>
      <c r="E44" s="334">
        <f>'Prod &amp; Defects - Qty'!F$7*'Falhas UM-3-2 Qty'!$D44/1000000</f>
        <v>228.51404334008285</v>
      </c>
      <c r="F44" s="334">
        <f>'Prod &amp; Defects - Qty'!G$7*'Falhas UM-3-2 Qty'!$D44/1000000</f>
        <v>239.15508974801983</v>
      </c>
      <c r="G44" s="334">
        <f>'Prod &amp; Defects - Qty'!H$7*'Falhas UM-3-2 Qty'!$D44/1000000</f>
        <v>230.15916120264413</v>
      </c>
      <c r="H44" s="334">
        <f>'Prod &amp; Defects - Qty'!I$7*'Falhas UM-3-2 Qty'!$D44/1000000</f>
        <v>231.64715199241249</v>
      </c>
      <c r="I44" s="334">
        <f>'Prod &amp; Defects - Qty'!J$7*'Falhas UM-3-2 Qty'!$D44/1000000</f>
        <v>234.47703464823815</v>
      </c>
      <c r="J44" s="334">
        <f>'Prod &amp; Defects - Qty'!K$7*'Falhas UM-3-2 Qty'!$D44/1000000</f>
        <v>266.59606016631136</v>
      </c>
      <c r="K44" s="334">
        <f>'Prod &amp; Defects - Qty'!L$7*'Falhas UM-3-2 Qty'!$D44/1000000</f>
        <v>263.31689377277036</v>
      </c>
      <c r="L44" s="334">
        <f>'Prod &amp; Defects - Qty'!M$7*'Falhas UM-3-2 Qty'!$D44/1000000</f>
        <v>263.45501123003305</v>
      </c>
      <c r="M44" s="334">
        <f>'Prod &amp; Defects - Qty'!N$7*'Falhas UM-3-2 Qty'!$D44/1000000</f>
        <v>250.66983535338568</v>
      </c>
      <c r="N44" s="334">
        <f>'Prod &amp; Defects - Qty'!O$7*'Falhas UM-3-2 Qty'!$D44/1000000</f>
        <v>194.4017801937089</v>
      </c>
      <c r="O44" s="334">
        <f>'Prod &amp; Defects - Qty'!P$7*'Falhas UM-3-2 Qty'!$D44/1000000</f>
        <v>186.59046907045374</v>
      </c>
      <c r="P44" s="334">
        <f>'Prod &amp; Defects - Qty'!Q$7*'Falhas UM-3-2 Qty'!$D44/1000000</f>
        <v>236.57582005151912</v>
      </c>
      <c r="Q44" s="431">
        <f t="shared" si="2"/>
        <v>1430.5485410977089</v>
      </c>
      <c r="R44" s="94">
        <f>Q44/SUM('Prod &amp; Defects - Qty'!$F$7:$K$7)*1000000</f>
        <v>21.180472279088743</v>
      </c>
      <c r="S44" s="94">
        <f t="shared" si="3"/>
        <v>1395.0098096718707</v>
      </c>
      <c r="T44" s="94">
        <f>S44/SUM('Prod &amp; Defects - Qty'!$L$7:$Q$7)*1000000</f>
        <v>21.180472279088736</v>
      </c>
      <c r="U44" s="94">
        <f t="shared" si="4"/>
        <v>2825.5583507695796</v>
      </c>
      <c r="V44" s="94">
        <f>U44/'Prod &amp; Defects - Qty'!$R$7*1000000</f>
        <v>21.180472279088736</v>
      </c>
      <c r="W44" s="94">
        <f t="shared" si="10"/>
        <v>19.062425051179861</v>
      </c>
      <c r="X44" s="94">
        <f t="shared" si="10"/>
        <v>17.156182546061874</v>
      </c>
      <c r="Y44" s="94">
        <f t="shared" si="5"/>
        <v>18.109303798620868</v>
      </c>
      <c r="Z44" s="432">
        <f t="shared" si="12"/>
        <v>18.109303798620868</v>
      </c>
    </row>
    <row r="45" spans="1:26" ht="18" customHeight="1">
      <c r="A45" s="1032"/>
      <c r="B45" s="81">
        <f t="shared" si="13"/>
        <v>3300</v>
      </c>
      <c r="C45" s="82" t="s">
        <v>12</v>
      </c>
      <c r="D45" s="352">
        <f>'[3]Falhas UM-3-2 Qty'!Z46</f>
        <v>13.007995794732985</v>
      </c>
      <c r="E45" s="334">
        <f>'Prod &amp; Defects - Qty'!F$7*'Falhas UM-3-2 Qty'!$D45/1000000</f>
        <v>140.34199406119743</v>
      </c>
      <c r="F45" s="334">
        <f>'Prod &amp; Defects - Qty'!G$7*'Falhas UM-3-2 Qty'!$D45/1000000</f>
        <v>146.8771971058747</v>
      </c>
      <c r="G45" s="334">
        <f>'Prod &amp; Defects - Qty'!H$7*'Falhas UM-3-2 Qty'!$D45/1000000</f>
        <v>141.35234387568977</v>
      </c>
      <c r="H45" s="334">
        <f>'Prod &amp; Defects - Qty'!I$7*'Falhas UM-3-2 Qty'!$D45/1000000</f>
        <v>142.26619403355511</v>
      </c>
      <c r="I45" s="334">
        <f>'Prod &amp; Defects - Qty'!J$7*'Falhas UM-3-2 Qty'!$D45/1000000</f>
        <v>144.00416763497057</v>
      </c>
      <c r="J45" s="334">
        <f>'Prod &amp; Defects - Qty'!K$7*'Falhas UM-3-2 Qty'!$D45/1000000</f>
        <v>163.73008041749674</v>
      </c>
      <c r="K45" s="334">
        <f>'Prod &amp; Defects - Qty'!L$7*'Falhas UM-3-2 Qty'!$D45/1000000</f>
        <v>161.71617902307298</v>
      </c>
      <c r="L45" s="334">
        <f>'Prod &amp; Defects - Qty'!M$7*'Falhas UM-3-2 Qty'!$D45/1000000</f>
        <v>161.80100391647377</v>
      </c>
      <c r="M45" s="334">
        <f>'Prod &amp; Defects - Qty'!N$7*'Falhas UM-3-2 Qty'!$D45/1000000</f>
        <v>153.94898287336667</v>
      </c>
      <c r="N45" s="334">
        <f>'Prod &amp; Defects - Qty'!O$7*'Falhas UM-3-2 Qty'!$D45/1000000</f>
        <v>119.39193356632595</v>
      </c>
      <c r="O45" s="334">
        <f>'Prod &amp; Defects - Qty'!P$7*'Falhas UM-3-2 Qty'!$D45/1000000</f>
        <v>114.59461361501533</v>
      </c>
      <c r="P45" s="334">
        <f>'Prod &amp; Defects - Qty'!Q$7*'Falhas UM-3-2 Qty'!$D45/1000000</f>
        <v>145.29313755689628</v>
      </c>
      <c r="Q45" s="431">
        <f t="shared" si="2"/>
        <v>878.5719771287844</v>
      </c>
      <c r="R45" s="94">
        <f>Q45/SUM('Prod &amp; Defects - Qty'!$F$7:$K$7)*1000000</f>
        <v>13.007995794732986</v>
      </c>
      <c r="S45" s="94">
        <f t="shared" si="3"/>
        <v>856.74585055115085</v>
      </c>
      <c r="T45" s="94">
        <f>S45/SUM('Prod &amp; Defects - Qty'!$L$7:$Q$7)*1000000</f>
        <v>13.007995794732983</v>
      </c>
      <c r="U45" s="94">
        <f t="shared" si="4"/>
        <v>1735.3178276799354</v>
      </c>
      <c r="V45" s="94">
        <f>U45/'Prod &amp; Defects - Qty'!$R$7*1000000</f>
        <v>13.007995794732983</v>
      </c>
      <c r="W45" s="94">
        <f t="shared" si="10"/>
        <v>11.707196215259685</v>
      </c>
      <c r="X45" s="94">
        <f t="shared" si="10"/>
        <v>10.536476593733717</v>
      </c>
      <c r="Y45" s="94">
        <f t="shared" si="5"/>
        <v>11.121836404496701</v>
      </c>
      <c r="Z45" s="432">
        <f t="shared" si="12"/>
        <v>11.121836404496701</v>
      </c>
    </row>
    <row r="46" spans="1:26" ht="18" customHeight="1">
      <c r="A46" s="1032"/>
      <c r="B46" s="81">
        <f t="shared" si="13"/>
        <v>3310</v>
      </c>
      <c r="C46" s="82" t="s">
        <v>133</v>
      </c>
      <c r="D46" s="352">
        <f>'[3]Falhas UM-3-2 Qty'!Z47</f>
        <v>119.90652013962435</v>
      </c>
      <c r="E46" s="334">
        <f>'Prod &amp; Defects - Qty'!F$7*'Falhas UM-3-2 Qty'!$D46/1000000</f>
        <v>1293.6597153688915</v>
      </c>
      <c r="F46" s="334">
        <f>'Prod &amp; Defects - Qty'!G$7*'Falhas UM-3-2 Qty'!$D46/1000000</f>
        <v>1353.9006216436626</v>
      </c>
      <c r="G46" s="334">
        <f>'Prod &amp; Defects - Qty'!H$7*'Falhas UM-3-2 Qty'!$D46/1000000</f>
        <v>1302.9730279107471</v>
      </c>
      <c r="H46" s="334">
        <f>'Prod &amp; Defects - Qty'!I$7*'Falhas UM-3-2 Qty'!$D46/1000000</f>
        <v>1311.3968154094368</v>
      </c>
      <c r="I46" s="334">
        <f>'Prod &amp; Defects - Qty'!J$7*'Falhas UM-3-2 Qty'!$D46/1000000</f>
        <v>1327.4172977288299</v>
      </c>
      <c r="J46" s="334">
        <f>'Prod &amp; Defects - Qty'!K$7*'Falhas UM-3-2 Qty'!$D46/1000000</f>
        <v>1509.2489646246752</v>
      </c>
      <c r="K46" s="334">
        <f>'Prod &amp; Defects - Qty'!L$7*'Falhas UM-3-2 Qty'!$D46/1000000</f>
        <v>1490.6850050477919</v>
      </c>
      <c r="L46" s="334">
        <f>'Prod &amp; Defects - Qty'!M$7*'Falhas UM-3-2 Qty'!$D46/1000000</f>
        <v>1491.4669131871708</v>
      </c>
      <c r="M46" s="334">
        <f>'Prod &amp; Defects - Qty'!N$7*'Falhas UM-3-2 Qty'!$D46/1000000</f>
        <v>1419.0876985718571</v>
      </c>
      <c r="N46" s="334">
        <f>'Prod &amp; Defects - Qty'!O$7*'Falhas UM-3-2 Qty'!$D46/1000000</f>
        <v>1100.5439663868847</v>
      </c>
      <c r="O46" s="334">
        <f>'Prod &amp; Defects - Qty'!P$7*'Falhas UM-3-2 Qty'!$D46/1000000</f>
        <v>1056.3227081365583</v>
      </c>
      <c r="P46" s="334">
        <f>'Prod &amp; Defects - Qty'!Q$7*'Falhas UM-3-2 Qty'!$D46/1000000</f>
        <v>1339.2989050372616</v>
      </c>
      <c r="Q46" s="431">
        <f t="shared" si="2"/>
        <v>8098.5964426862429</v>
      </c>
      <c r="R46" s="94">
        <f>Q46/SUM('Prod &amp; Defects - Qty'!$F$7:$K$7)*1000000</f>
        <v>119.90652013962435</v>
      </c>
      <c r="S46" s="94">
        <f t="shared" si="3"/>
        <v>7897.4051963675247</v>
      </c>
      <c r="T46" s="94">
        <f>S46/SUM('Prod &amp; Defects - Qty'!$L$7:$Q$7)*1000000</f>
        <v>119.90652013962435</v>
      </c>
      <c r="U46" s="94">
        <f t="shared" si="4"/>
        <v>15996.001639053768</v>
      </c>
      <c r="V46" s="94">
        <f>U46/'Prod &amp; Defects - Qty'!$R$7*1000000</f>
        <v>119.90652013962432</v>
      </c>
      <c r="W46" s="94">
        <f t="shared" ref="W46:X56" si="14">V46*Redutor</f>
        <v>107.91586812566189</v>
      </c>
      <c r="X46" s="94">
        <f t="shared" si="14"/>
        <v>97.124281313095707</v>
      </c>
      <c r="Y46" s="94">
        <f t="shared" si="5"/>
        <v>102.5200747193788</v>
      </c>
      <c r="Z46" s="432">
        <f t="shared" si="12"/>
        <v>102.5200747193788</v>
      </c>
    </row>
    <row r="47" spans="1:26" ht="18" customHeight="1">
      <c r="A47" s="1032"/>
      <c r="B47" s="81">
        <f t="shared" si="13"/>
        <v>3320</v>
      </c>
      <c r="C47" s="82" t="s">
        <v>11</v>
      </c>
      <c r="D47" s="352">
        <f>'[3]Falhas UM-3-2 Qty'!Z48</f>
        <v>197.2617075189014</v>
      </c>
      <c r="E47" s="334">
        <f>'Prod &amp; Defects - Qty'!F$7*'Falhas UM-3-2 Qty'!$D47/1000000</f>
        <v>2128.2372643700255</v>
      </c>
      <c r="F47" s="334">
        <f>'Prod &amp; Defects - Qty'!G$7*'Falhas UM-3-2 Qty'!$D47/1000000</f>
        <v>2227.3413332764549</v>
      </c>
      <c r="G47" s="334">
        <f>'Prod &amp; Defects - Qty'!H$7*'Falhas UM-3-2 Qty'!$D47/1000000</f>
        <v>2143.5588660020667</v>
      </c>
      <c r="H47" s="334">
        <f>'Prod &amp; Defects - Qty'!I$7*'Falhas UM-3-2 Qty'!$D47/1000000</f>
        <v>2157.4170840858956</v>
      </c>
      <c r="I47" s="334">
        <f>'Prod &amp; Defects - Qty'!J$7*'Falhas UM-3-2 Qty'!$D47/1000000</f>
        <v>2183.772846007098</v>
      </c>
      <c r="J47" s="334">
        <f>'Prod &amp; Defects - Qty'!K$7*'Falhas UM-3-2 Qty'!$D47/1000000</f>
        <v>2482.9094154873551</v>
      </c>
      <c r="K47" s="334">
        <f>'Prod &amp; Defects - Qty'!L$7*'Falhas UM-3-2 Qty'!$D47/1000000</f>
        <v>2452.3693050731449</v>
      </c>
      <c r="L47" s="334">
        <f>'Prod &amp; Defects - Qty'!M$7*'Falhas UM-3-2 Qty'!$D47/1000000</f>
        <v>2453.6556449195282</v>
      </c>
      <c r="M47" s="334">
        <f>'Prod &amp; Defects - Qty'!N$7*'Falhas UM-3-2 Qty'!$D47/1000000</f>
        <v>2334.5824915391427</v>
      </c>
      <c r="N47" s="334">
        <f>'Prod &amp; Defects - Qty'!O$7*'Falhas UM-3-2 Qty'!$D47/1000000</f>
        <v>1810.5369228988238</v>
      </c>
      <c r="O47" s="334">
        <f>'Prod &amp; Defects - Qty'!P$7*'Falhas UM-3-2 Qty'!$D47/1000000</f>
        <v>1737.7872433906862</v>
      </c>
      <c r="P47" s="334">
        <f>'Prod &amp; Defects - Qty'!Q$7*'Falhas UM-3-2 Qty'!$D47/1000000</f>
        <v>2203.3196241389387</v>
      </c>
      <c r="Q47" s="431">
        <f t="shared" si="2"/>
        <v>13323.236809228894</v>
      </c>
      <c r="R47" s="94">
        <f>Q47/SUM('Prod &amp; Defects - Qty'!$F$7:$K$7)*1000000</f>
        <v>197.26170751890137</v>
      </c>
      <c r="S47" s="94">
        <f t="shared" si="3"/>
        <v>12992.251231960265</v>
      </c>
      <c r="T47" s="94">
        <f>S47/SUM('Prod &amp; Defects - Qty'!$L$7:$Q$7)*1000000</f>
        <v>197.26170751890137</v>
      </c>
      <c r="U47" s="94">
        <f t="shared" si="4"/>
        <v>26315.488041189157</v>
      </c>
      <c r="V47" s="94">
        <f>U47/'Prod &amp; Defects - Qty'!$R$7*1000000</f>
        <v>197.26170751890135</v>
      </c>
      <c r="W47" s="94">
        <f t="shared" si="14"/>
        <v>177.53553676701122</v>
      </c>
      <c r="X47" s="94">
        <f t="shared" si="14"/>
        <v>159.78198309031009</v>
      </c>
      <c r="Y47" s="94">
        <f t="shared" si="5"/>
        <v>168.65875992866066</v>
      </c>
      <c r="Z47" s="432">
        <f t="shared" si="12"/>
        <v>168.65875992866066</v>
      </c>
    </row>
    <row r="48" spans="1:26" ht="18" customHeight="1">
      <c r="A48" s="1032"/>
      <c r="B48" s="81">
        <f t="shared" si="13"/>
        <v>3330</v>
      </c>
      <c r="C48" s="82" t="s">
        <v>6</v>
      </c>
      <c r="D48" s="352">
        <f>'[3]Falhas UM-3-2 Qty'!Z49</f>
        <v>83.480408617280773</v>
      </c>
      <c r="E48" s="334">
        <f>'Prod &amp; Defects - Qty'!F$7*'Falhas UM-3-2 Qty'!$D48/1000000</f>
        <v>900.66196170947046</v>
      </c>
      <c r="F48" s="334">
        <f>'Prod &amp; Defects - Qty'!G$7*'Falhas UM-3-2 Qty'!$D48/1000000</f>
        <v>942.60242887870618</v>
      </c>
      <c r="G48" s="334">
        <f>'Prod &amp; Defects - Qty'!H$7*'Falhas UM-3-2 Qty'!$D48/1000000</f>
        <v>907.14600557688664</v>
      </c>
      <c r="H48" s="334">
        <f>'Prod &amp; Defects - Qty'!I$7*'Falhas UM-3-2 Qty'!$D48/1000000</f>
        <v>913.01075106092628</v>
      </c>
      <c r="I48" s="334">
        <f>'Prod &amp; Defects - Qty'!J$7*'Falhas UM-3-2 Qty'!$D48/1000000</f>
        <v>924.16440983370637</v>
      </c>
      <c r="J48" s="334">
        <f>'Prod &amp; Defects - Qty'!K$7*'Falhas UM-3-2 Qty'!$D48/1000000</f>
        <v>1050.7578747624768</v>
      </c>
      <c r="K48" s="334">
        <f>'Prod &amp; Defects - Qty'!L$7*'Falhas UM-3-2 Qty'!$D48/1000000</f>
        <v>1037.8334155318337</v>
      </c>
      <c r="L48" s="334">
        <f>'Prod &amp; Defects - Qty'!M$7*'Falhas UM-3-2 Qty'!$D48/1000000</f>
        <v>1038.3777896901404</v>
      </c>
      <c r="M48" s="334">
        <f>'Prod &amp; Defects - Qty'!N$7*'Falhas UM-3-2 Qty'!$D48/1000000</f>
        <v>987.98648149064979</v>
      </c>
      <c r="N48" s="334">
        <f>'Prod &amp; Defects - Qty'!O$7*'Falhas UM-3-2 Qty'!$D48/1000000</f>
        <v>766.21237867864193</v>
      </c>
      <c r="O48" s="334">
        <f>'Prod &amp; Defects - Qty'!P$7*'Falhas UM-3-2 Qty'!$D48/1000000</f>
        <v>735.42498943568091</v>
      </c>
      <c r="P48" s="334">
        <f>'Prod &amp; Defects - Qty'!Q$7*'Falhas UM-3-2 Qty'!$D48/1000000</f>
        <v>932.43653241705692</v>
      </c>
      <c r="Q48" s="431">
        <f t="shared" si="2"/>
        <v>5638.3434318221725</v>
      </c>
      <c r="R48" s="94">
        <f>Q48/SUM('Prod &amp; Defects - Qty'!$F$7:$K$7)*1000000</f>
        <v>83.480408617280759</v>
      </c>
      <c r="S48" s="94">
        <f t="shared" si="3"/>
        <v>5498.271587244004</v>
      </c>
      <c r="T48" s="94">
        <f>S48/SUM('Prod &amp; Defects - Qty'!$L$7:$Q$7)*1000000</f>
        <v>83.480408617280773</v>
      </c>
      <c r="U48" s="94">
        <f t="shared" si="4"/>
        <v>11136.615019066176</v>
      </c>
      <c r="V48" s="94">
        <f>U48/'Prod &amp; Defects - Qty'!$R$7*1000000</f>
        <v>83.480408617280759</v>
      </c>
      <c r="W48" s="94">
        <f t="shared" si="14"/>
        <v>75.132367755552679</v>
      </c>
      <c r="X48" s="94">
        <f t="shared" si="14"/>
        <v>67.619130979997408</v>
      </c>
      <c r="Y48" s="94">
        <f t="shared" si="5"/>
        <v>71.375749367775043</v>
      </c>
      <c r="Z48" s="432">
        <f t="shared" si="12"/>
        <v>71.375749367775043</v>
      </c>
    </row>
    <row r="49" spans="1:26" ht="18" customHeight="1">
      <c r="A49" s="1032"/>
      <c r="B49" s="96"/>
      <c r="C49" s="97" t="s">
        <v>1</v>
      </c>
      <c r="D49" s="357">
        <f>'[3]Falhas UM-3-2 Qty'!Z50</f>
        <v>600.63793243399232</v>
      </c>
      <c r="E49" s="338">
        <f>SUBTOTAL(109,E37:E48)</f>
        <v>6480.2238928085062</v>
      </c>
      <c r="F49" s="338">
        <f t="shared" ref="F49:P49" si="15">SUBTOTAL(109,F37:F48)</f>
        <v>6781.9837416532173</v>
      </c>
      <c r="G49" s="338">
        <f t="shared" si="15"/>
        <v>6526.8763082296018</v>
      </c>
      <c r="H49" s="338">
        <f t="shared" si="15"/>
        <v>6569.072898544996</v>
      </c>
      <c r="I49" s="338">
        <f t="shared" si="15"/>
        <v>6649.3229914149315</v>
      </c>
      <c r="J49" s="338">
        <f t="shared" si="15"/>
        <v>7560.157500899254</v>
      </c>
      <c r="K49" s="338">
        <f t="shared" si="15"/>
        <v>7467.166575259319</v>
      </c>
      <c r="L49" s="338">
        <f t="shared" si="15"/>
        <v>7471.0833238034584</v>
      </c>
      <c r="M49" s="338">
        <f t="shared" si="15"/>
        <v>7108.5200389452575</v>
      </c>
      <c r="N49" s="338">
        <f t="shared" si="15"/>
        <v>5512.8649530783932</v>
      </c>
      <c r="O49" s="338">
        <f t="shared" si="15"/>
        <v>5291.351017938111</v>
      </c>
      <c r="P49" s="338">
        <f t="shared" si="15"/>
        <v>6708.8405559261773</v>
      </c>
      <c r="Q49" s="439">
        <f t="shared" si="2"/>
        <v>40567.637333550505</v>
      </c>
      <c r="R49" s="98">
        <f>Q49/SUM('Prod &amp; Defects - Qty'!$F$7:$K$7)*1000000</f>
        <v>600.63793243399232</v>
      </c>
      <c r="S49" s="98">
        <f t="shared" si="3"/>
        <v>39559.826464950718</v>
      </c>
      <c r="T49" s="98">
        <f>S49/SUM('Prod &amp; Defects - Qty'!$L$7:$Q$7)*1000000</f>
        <v>600.63793243399232</v>
      </c>
      <c r="U49" s="98">
        <f t="shared" si="4"/>
        <v>80127.463798501223</v>
      </c>
      <c r="V49" s="98">
        <f>U49/'Prod &amp; Defects - Qty'!$R$7*1000000</f>
        <v>600.63793243399221</v>
      </c>
      <c r="W49" s="98">
        <f t="shared" si="14"/>
        <v>540.57413919059297</v>
      </c>
      <c r="X49" s="98">
        <f t="shared" si="14"/>
        <v>486.51672527153369</v>
      </c>
      <c r="Y49" s="98">
        <f t="shared" si="5"/>
        <v>513.54543223106339</v>
      </c>
      <c r="Z49" s="440">
        <f>Y49</f>
        <v>513.54543223106339</v>
      </c>
    </row>
    <row r="50" spans="1:26" ht="18" customHeight="1">
      <c r="A50" s="1032"/>
      <c r="B50" s="81">
        <f>B48+10</f>
        <v>3340</v>
      </c>
      <c r="C50" s="82" t="s">
        <v>2</v>
      </c>
      <c r="D50" s="352">
        <f>'[3]Falhas UM-3-2 Qty'!Z51</f>
        <v>608.6716964821768</v>
      </c>
      <c r="E50" s="333">
        <f>'Prod &amp; Defects - Qty'!F$7*'Falhas UM-3-2 Qty'!$D50/1000000</f>
        <v>6566.8993871837338</v>
      </c>
      <c r="F50" s="333">
        <f>'Prod &amp; Defects - Qty'!G$7*'Falhas UM-3-2 Qty'!$D50/1000000</f>
        <v>6872.695390413518</v>
      </c>
      <c r="G50" s="333">
        <f>'Prod &amp; Defects - Qty'!H$7*'Falhas UM-3-2 Qty'!$D50/1000000</f>
        <v>6614.1757966577052</v>
      </c>
      <c r="H50" s="333">
        <f>'Prod &amp; Defects - Qty'!I$7*'Falhas UM-3-2 Qty'!$D50/1000000</f>
        <v>6656.9367826463113</v>
      </c>
      <c r="I50" s="333">
        <f>'Prod &amp; Defects - Qty'!J$7*'Falhas UM-3-2 Qty'!$D50/1000000</f>
        <v>6738.2602514656282</v>
      </c>
      <c r="J50" s="333">
        <f>'Prod &amp; Defects - Qty'!K$7*'Falhas UM-3-2 Qty'!$D50/1000000</f>
        <v>7661.2775238775093</v>
      </c>
      <c r="K50" s="333">
        <f>'Prod &amp; Defects - Qty'!L$7*'Falhas UM-3-2 Qty'!$D50/1000000</f>
        <v>7567.0428087349919</v>
      </c>
      <c r="L50" s="333">
        <f>'Prod &amp; Defects - Qty'!M$7*'Falhas UM-3-2 Qty'!$D50/1000000</f>
        <v>7571.0119453018324</v>
      </c>
      <c r="M50" s="333">
        <f>'Prod &amp; Defects - Qty'!N$7*'Falhas UM-3-2 Qty'!$D50/1000000</f>
        <v>7203.5992366463679</v>
      </c>
      <c r="N50" s="333">
        <f>'Prod &amp; Defects - Qty'!O$7*'Falhas UM-3-2 Qty'!$D50/1000000</f>
        <v>5586.6016484666825</v>
      </c>
      <c r="O50" s="333">
        <f>'Prod &amp; Defects - Qty'!P$7*'Falhas UM-3-2 Qty'!$D50/1000000</f>
        <v>5362.1248789927604</v>
      </c>
      <c r="P50" s="333">
        <f>'Prod &amp; Defects - Qty'!Q$7*'Falhas UM-3-2 Qty'!$D50/1000000</f>
        <v>6798.573886361688</v>
      </c>
      <c r="Q50" s="429">
        <f t="shared" si="2"/>
        <v>41110.24513224441</v>
      </c>
      <c r="R50" s="83">
        <f>Q50/SUM('Prod &amp; Defects - Qty'!$F$7:$K$7)*1000000</f>
        <v>608.67169648217691</v>
      </c>
      <c r="S50" s="83">
        <f t="shared" si="3"/>
        <v>40088.954404504322</v>
      </c>
      <c r="T50" s="83">
        <f>S50/SUM('Prod &amp; Defects - Qty'!$L$7:$Q$7)*1000000</f>
        <v>608.6716964821768</v>
      </c>
      <c r="U50" s="83">
        <f t="shared" si="4"/>
        <v>81199.199536748725</v>
      </c>
      <c r="V50" s="83">
        <f>U50/'Prod &amp; Defects - Qty'!$R$7*1000000</f>
        <v>608.67169648217669</v>
      </c>
      <c r="W50" s="83">
        <f t="shared" si="14"/>
        <v>547.80452683395902</v>
      </c>
      <c r="X50" s="83">
        <f t="shared" si="14"/>
        <v>493.02407415056314</v>
      </c>
      <c r="Y50" s="83">
        <f t="shared" si="5"/>
        <v>520.41430049226108</v>
      </c>
      <c r="Z50" s="430">
        <f>Y50*1</f>
        <v>520.41430049226108</v>
      </c>
    </row>
    <row r="51" spans="1:26" ht="18" customHeight="1">
      <c r="A51" s="1032"/>
      <c r="B51" s="96">
        <f>B50+10</f>
        <v>3350</v>
      </c>
      <c r="C51" s="99" t="s">
        <v>60</v>
      </c>
      <c r="D51" s="358">
        <f>'[3]Falhas UM-3-2 Qty'!Z52</f>
        <v>55.880485630428993</v>
      </c>
      <c r="E51" s="339">
        <f>'Prod &amp; Defects - Qty'!F$7*'Falhas UM-3-2 Qty'!$D51/1000000</f>
        <v>602.88909269619535</v>
      </c>
      <c r="F51" s="339">
        <f>'Prod &amp; Defects - Qty'!G$7*'Falhas UM-3-2 Qty'!$D51/1000000</f>
        <v>630.96338835194047</v>
      </c>
      <c r="G51" s="339">
        <f>'Prod &amp; Defects - Qty'!H$7*'Falhas UM-3-2 Qty'!$D51/1000000</f>
        <v>607.22941069609089</v>
      </c>
      <c r="H51" s="339">
        <f>'Prod &amp; Defects - Qty'!I$7*'Falhas UM-3-2 Qty'!$D51/1000000</f>
        <v>611.15518000143129</v>
      </c>
      <c r="I51" s="339">
        <f>'Prod &amp; Defects - Qty'!J$7*'Falhas UM-3-2 Qty'!$D51/1000000</f>
        <v>618.62126550703135</v>
      </c>
      <c r="J51" s="339">
        <f>'Prod &amp; Defects - Qty'!K$7*'Falhas UM-3-2 Qty'!$D51/1000000</f>
        <v>703.36095970630026</v>
      </c>
      <c r="K51" s="339">
        <f>'Prod &amp; Defects - Qty'!L$7*'Falhas UM-3-2 Qty'!$D51/1000000</f>
        <v>694.70952794786092</v>
      </c>
      <c r="L51" s="339">
        <f>'Prod &amp; Defects - Qty'!M$7*'Falhas UM-3-2 Qty'!$D51/1000000</f>
        <v>695.07392353282148</v>
      </c>
      <c r="M51" s="339">
        <f>'Prod &amp; Defects - Qty'!N$7*'Falhas UM-3-2 Qty'!$D51/1000000</f>
        <v>661.34276648195328</v>
      </c>
      <c r="N51" s="339">
        <f>'Prod &amp; Defects - Qty'!O$7*'Falhas UM-3-2 Qty'!$D51/1000000</f>
        <v>512.89063536933281</v>
      </c>
      <c r="O51" s="339">
        <f>'Prod &amp; Defects - Qty'!P$7*'Falhas UM-3-2 Qty'!$D51/1000000</f>
        <v>492.28203640958156</v>
      </c>
      <c r="P51" s="339">
        <f>'Prod &amp; Defects - Qty'!Q$7*'Falhas UM-3-2 Qty'!$D51/1000000</f>
        <v>624.15849555667421</v>
      </c>
      <c r="Q51" s="441">
        <f t="shared" si="2"/>
        <v>3774.2192969589896</v>
      </c>
      <c r="R51" s="196">
        <f>Q51/SUM('Prod &amp; Defects - Qty'!$F$7:$K$7)*1000000</f>
        <v>55.880485630428993</v>
      </c>
      <c r="S51" s="196">
        <f t="shared" si="3"/>
        <v>3680.4573852982239</v>
      </c>
      <c r="T51" s="196">
        <f>S51/SUM('Prod &amp; Defects - Qty'!$L$7:$Q$7)*1000000</f>
        <v>55.880485630428986</v>
      </c>
      <c r="U51" s="196">
        <f t="shared" si="4"/>
        <v>7454.6766822572135</v>
      </c>
      <c r="V51" s="196">
        <f>U51/'Prod &amp; Defects - Qty'!$R$7*1000000</f>
        <v>55.880485630428979</v>
      </c>
      <c r="W51" s="196">
        <f t="shared" si="14"/>
        <v>50.292437067386082</v>
      </c>
      <c r="X51" s="196">
        <f t="shared" si="14"/>
        <v>45.263193360647477</v>
      </c>
      <c r="Y51" s="196">
        <f t="shared" si="5"/>
        <v>47.777815214016783</v>
      </c>
      <c r="Z51" s="442">
        <f>Y51*1</f>
        <v>47.777815214016783</v>
      </c>
    </row>
    <row r="52" spans="1:26" ht="18" customHeight="1">
      <c r="A52" s="1032"/>
      <c r="B52" s="100">
        <f>B51+10</f>
        <v>3360</v>
      </c>
      <c r="C52" s="79" t="s">
        <v>67</v>
      </c>
      <c r="D52" s="351">
        <f>'[3]Falhas UM-3-2 Qty'!Z53</f>
        <v>0</v>
      </c>
      <c r="E52" s="332">
        <f>'Prod &amp; Defects - Qty'!F$7*'Falhas UM-3-2 Qty'!$D52/1000000</f>
        <v>0</v>
      </c>
      <c r="F52" s="332">
        <f>'Prod &amp; Defects - Qty'!G$7*'Falhas UM-3-2 Qty'!$D52/1000000</f>
        <v>0</v>
      </c>
      <c r="G52" s="332">
        <f>'Prod &amp; Defects - Qty'!H$7*'Falhas UM-3-2 Qty'!$D52/1000000</f>
        <v>0</v>
      </c>
      <c r="H52" s="332">
        <f>'Prod &amp; Defects - Qty'!I$7*'Falhas UM-3-2 Qty'!$D52/1000000</f>
        <v>0</v>
      </c>
      <c r="I52" s="332">
        <f>'Prod &amp; Defects - Qty'!J$7*'Falhas UM-3-2 Qty'!$D52/1000000</f>
        <v>0</v>
      </c>
      <c r="J52" s="332">
        <f>'Prod &amp; Defects - Qty'!K$7*'Falhas UM-3-2 Qty'!$D52/1000000</f>
        <v>0</v>
      </c>
      <c r="K52" s="332">
        <f>'Prod &amp; Defects - Qty'!L$7*'Falhas UM-3-2 Qty'!$D52/1000000</f>
        <v>0</v>
      </c>
      <c r="L52" s="332">
        <f>'Prod &amp; Defects - Qty'!M$7*'Falhas UM-3-2 Qty'!$D52/1000000</f>
        <v>0</v>
      </c>
      <c r="M52" s="332">
        <f>'Prod &amp; Defects - Qty'!N$7*'Falhas UM-3-2 Qty'!$D52/1000000</f>
        <v>0</v>
      </c>
      <c r="N52" s="332">
        <f>'Prod &amp; Defects - Qty'!O$7*'Falhas UM-3-2 Qty'!$D52/1000000</f>
        <v>0</v>
      </c>
      <c r="O52" s="332">
        <f>'Prod &amp; Defects - Qty'!P$7*'Falhas UM-3-2 Qty'!$D52/1000000</f>
        <v>0</v>
      </c>
      <c r="P52" s="332">
        <f>'Prod &amp; Defects - Qty'!Q$7*'Falhas UM-3-2 Qty'!$D52/1000000</f>
        <v>0</v>
      </c>
      <c r="Q52" s="427">
        <f t="shared" si="2"/>
        <v>0</v>
      </c>
      <c r="R52" s="80">
        <f>Q52/SUM('Prod &amp; Defects - Qty'!$F$7:$K$7)*1000000</f>
        <v>0</v>
      </c>
      <c r="S52" s="80">
        <f t="shared" si="3"/>
        <v>0</v>
      </c>
      <c r="T52" s="80">
        <f>S52/SUM('Prod &amp; Defects - Qty'!$L$7:$Q$7)*1000000</f>
        <v>0</v>
      </c>
      <c r="U52" s="80">
        <f t="shared" si="4"/>
        <v>0</v>
      </c>
      <c r="V52" s="80">
        <f>U52/'Prod &amp; Defects - Qty'!$R$7*1000000</f>
        <v>0</v>
      </c>
      <c r="W52" s="80">
        <f t="shared" si="14"/>
        <v>0</v>
      </c>
      <c r="X52" s="80">
        <f t="shared" si="14"/>
        <v>0</v>
      </c>
      <c r="Y52" s="80">
        <f t="shared" si="5"/>
        <v>0</v>
      </c>
      <c r="Z52" s="428">
        <f>Y52*1</f>
        <v>0</v>
      </c>
    </row>
    <row r="53" spans="1:26" ht="18" customHeight="1">
      <c r="A53" s="1032"/>
      <c r="B53" s="101">
        <f>B52+10</f>
        <v>3370</v>
      </c>
      <c r="C53" s="90" t="s">
        <v>66</v>
      </c>
      <c r="D53" s="356">
        <f>'[3]Falhas UM-3-2 Qty'!Z54</f>
        <v>14724.271924911849</v>
      </c>
      <c r="E53" s="337">
        <f>'Prod &amp; Defects - Qty'!F$7*'Falhas UM-3-2 Qty'!$D53/1000000</f>
        <v>158858.72932693799</v>
      </c>
      <c r="F53" s="337">
        <f>'Prod &amp; Defects - Qty'!G$7*'Falhas UM-3-2 Qty'!$D53/1000000</f>
        <v>166256.18764663566</v>
      </c>
      <c r="G53" s="337">
        <f>'Prod &amp; Defects - Qty'!H$7*'Falhas UM-3-2 Qty'!$D53/1000000</f>
        <v>160002.38478644335</v>
      </c>
      <c r="H53" s="337">
        <f>'Prod &amp; Defects - Qty'!I$7*'Falhas UM-3-2 Qty'!$D53/1000000</f>
        <v>161036.80841598372</v>
      </c>
      <c r="I53" s="337">
        <f>'Prod &amp; Defects - Qty'!J$7*'Falhas UM-3-2 Qty'!$D53/1000000</f>
        <v>163004.09041002626</v>
      </c>
      <c r="J53" s="337">
        <f>'Prod &amp; Defects - Qty'!K$7*'Falhas UM-3-2 Qty'!$D53/1000000</f>
        <v>185332.64189177062</v>
      </c>
      <c r="K53" s="337">
        <f>'Prod &amp; Defects - Qty'!L$7*'Falhas UM-3-2 Qty'!$D53/1000000</f>
        <v>183053.02616699762</v>
      </c>
      <c r="L53" s="337">
        <f>'Prod &amp; Defects - Qty'!M$7*'Falhas UM-3-2 Qty'!$D53/1000000</f>
        <v>183149.04286443081</v>
      </c>
      <c r="M53" s="337">
        <f>'Prod &amp; Defects - Qty'!N$7*'Falhas UM-3-2 Qty'!$D53/1000000</f>
        <v>174261.02546165365</v>
      </c>
      <c r="N53" s="337">
        <f>'Prod &amp; Defects - Qty'!O$7*'Falhas UM-3-2 Qty'!$D53/1000000</f>
        <v>135144.51597404436</v>
      </c>
      <c r="O53" s="337">
        <f>'Prod &amp; Defects - Qty'!P$7*'Falhas UM-3-2 Qty'!$D53/1000000</f>
        <v>129714.23719870037</v>
      </c>
      <c r="P53" s="337">
        <f>'Prod &amp; Defects - Qty'!Q$7*'Falhas UM-3-2 Qty'!$D53/1000000</f>
        <v>164463.1271388935</v>
      </c>
      <c r="Q53" s="437">
        <f t="shared" si="2"/>
        <v>994490.84247779753</v>
      </c>
      <c r="R53" s="91">
        <f>Q53/SUM('Prod &amp; Defects - Qty'!$F$7:$K$7)*1000000</f>
        <v>14724.271924911849</v>
      </c>
      <c r="S53" s="91">
        <f t="shared" si="3"/>
        <v>969784.97480472026</v>
      </c>
      <c r="T53" s="91">
        <f>S53/SUM('Prod &amp; Defects - Qty'!$L$7:$Q$7)*1000000</f>
        <v>14724.271924911847</v>
      </c>
      <c r="U53" s="91">
        <f t="shared" si="4"/>
        <v>1964275.8172825179</v>
      </c>
      <c r="V53" s="91">
        <f>U53/'Prod &amp; Defects - Qty'!$R$7*1000000</f>
        <v>14724.271924911847</v>
      </c>
      <c r="W53" s="91">
        <f t="shared" si="14"/>
        <v>13251.844732420663</v>
      </c>
      <c r="X53" s="91">
        <f t="shared" si="14"/>
        <v>11926.660259178596</v>
      </c>
      <c r="Y53" s="91">
        <f t="shared" si="5"/>
        <v>12589.252495799628</v>
      </c>
      <c r="Z53" s="438">
        <f>Y53*1</f>
        <v>12589.252495799628</v>
      </c>
    </row>
    <row r="54" spans="1:26" ht="18" customHeight="1" thickBot="1">
      <c r="A54" s="1033"/>
      <c r="B54" s="102"/>
      <c r="C54" s="103" t="s">
        <v>1</v>
      </c>
      <c r="D54" s="88">
        <f>'[3]Falhas UM-3-2 Qty'!Z55</f>
        <v>664.55218211260581</v>
      </c>
      <c r="E54" s="340">
        <f>SUBTOTAL(109,E50:E51)</f>
        <v>7169.7884798799296</v>
      </c>
      <c r="F54" s="340">
        <f t="shared" ref="F54:P54" si="16">SUBTOTAL(109,F50:F51)</f>
        <v>7503.6587787654589</v>
      </c>
      <c r="G54" s="340">
        <f t="shared" si="16"/>
        <v>7221.405207353796</v>
      </c>
      <c r="H54" s="340">
        <f t="shared" si="16"/>
        <v>7268.0919626477425</v>
      </c>
      <c r="I54" s="340">
        <f t="shared" si="16"/>
        <v>7356.8815169726595</v>
      </c>
      <c r="J54" s="340">
        <f t="shared" si="16"/>
        <v>8364.6384835838089</v>
      </c>
      <c r="K54" s="340">
        <f t="shared" si="16"/>
        <v>8261.7523366828536</v>
      </c>
      <c r="L54" s="340">
        <f t="shared" si="16"/>
        <v>8266.0858688346543</v>
      </c>
      <c r="M54" s="340">
        <f t="shared" si="16"/>
        <v>7864.9420031283207</v>
      </c>
      <c r="N54" s="340">
        <f t="shared" si="16"/>
        <v>6099.4922838360153</v>
      </c>
      <c r="O54" s="340">
        <f t="shared" si="16"/>
        <v>5854.4069154023418</v>
      </c>
      <c r="P54" s="340">
        <f t="shared" si="16"/>
        <v>7422.7323819183621</v>
      </c>
      <c r="Q54" s="443">
        <f t="shared" si="2"/>
        <v>44884.464429203399</v>
      </c>
      <c r="R54" s="197">
        <f>Q54/SUM('Prod &amp; Defects - Qty'!$F$7:$K$7)*1000000</f>
        <v>664.55218211260592</v>
      </c>
      <c r="S54" s="197">
        <f t="shared" si="3"/>
        <v>43769.411789802558</v>
      </c>
      <c r="T54" s="197">
        <f>S54/SUM('Prod &amp; Defects - Qty'!$L$7:$Q$7)*1000000</f>
        <v>664.55218211260592</v>
      </c>
      <c r="U54" s="197">
        <f t="shared" si="4"/>
        <v>88653.876219005964</v>
      </c>
      <c r="V54" s="197">
        <f>U54/'Prod &amp; Defects - Qty'!$R$7*1000000</f>
        <v>664.55218211260581</v>
      </c>
      <c r="W54" s="197">
        <f t="shared" si="14"/>
        <v>598.09696390134525</v>
      </c>
      <c r="X54" s="197">
        <f t="shared" si="14"/>
        <v>538.28726751121076</v>
      </c>
      <c r="Y54" s="197">
        <f t="shared" si="5"/>
        <v>568.19211570627795</v>
      </c>
      <c r="Z54" s="444">
        <f>Y54</f>
        <v>568.19211570627795</v>
      </c>
    </row>
    <row r="55" spans="1:26" ht="20.100000000000001" customHeight="1" thickTop="1">
      <c r="A55" s="104"/>
      <c r="B55" s="81"/>
      <c r="C55" s="82"/>
      <c r="D55" s="352">
        <f>'[3]Falhas UM-3-2 Qty'!Z56</f>
        <v>0</v>
      </c>
      <c r="E55" s="333">
        <f>'Prod &amp; Defects - Qty'!F$7*'Falhas UM-3-2 Qty'!$D55/1000000</f>
        <v>0</v>
      </c>
      <c r="F55" s="333">
        <f>'Prod &amp; Defects - Qty'!G$7*'Falhas UM-3-2 Qty'!$D55/1000000</f>
        <v>0</v>
      </c>
      <c r="G55" s="333">
        <f>'Prod &amp; Defects - Qty'!H$7*'Falhas UM-3-2 Qty'!$D55/1000000</f>
        <v>0</v>
      </c>
      <c r="H55" s="333">
        <f>'Prod &amp; Defects - Qty'!I$7*'Falhas UM-3-2 Qty'!$D55/1000000</f>
        <v>0</v>
      </c>
      <c r="I55" s="333">
        <f>'Prod &amp; Defects - Qty'!J$7*'Falhas UM-3-2 Qty'!$D55/1000000</f>
        <v>0</v>
      </c>
      <c r="J55" s="333">
        <f>'Prod &amp; Defects - Qty'!K$7*'Falhas UM-3-2 Qty'!$D55/1000000</f>
        <v>0</v>
      </c>
      <c r="K55" s="333">
        <f>'Prod &amp; Defects - Qty'!L$7*'Falhas UM-3-2 Qty'!$D55/1000000</f>
        <v>0</v>
      </c>
      <c r="L55" s="333">
        <f>'Prod &amp; Defects - Qty'!M$7*'Falhas UM-3-2 Qty'!$D55/1000000</f>
        <v>0</v>
      </c>
      <c r="M55" s="333">
        <f>'Prod &amp; Defects - Qty'!N$7*'Falhas UM-3-2 Qty'!$D55/1000000</f>
        <v>0</v>
      </c>
      <c r="N55" s="333">
        <f>'Prod &amp; Defects - Qty'!O$7*'Falhas UM-3-2 Qty'!$D55/1000000</f>
        <v>0</v>
      </c>
      <c r="O55" s="333">
        <f>'Prod &amp; Defects - Qty'!P$7*'Falhas UM-3-2 Qty'!$D55/1000000</f>
        <v>0</v>
      </c>
      <c r="P55" s="333">
        <f>'Prod &amp; Defects - Qty'!Q$7*'Falhas UM-3-2 Qty'!$D55/1000000</f>
        <v>0</v>
      </c>
      <c r="Q55" s="429">
        <f t="shared" si="2"/>
        <v>0</v>
      </c>
      <c r="R55" s="83">
        <f>Q55/SUM('Prod &amp; Defects - Qty'!$F$7:$K$7)*1000000</f>
        <v>0</v>
      </c>
      <c r="S55" s="83">
        <f t="shared" si="3"/>
        <v>0</v>
      </c>
      <c r="T55" s="83">
        <f>S55/SUM('Prod &amp; Defects - Qty'!$L$7:$Q$7)*1000000</f>
        <v>0</v>
      </c>
      <c r="U55" s="83">
        <f t="shared" si="4"/>
        <v>0</v>
      </c>
      <c r="V55" s="83">
        <f>U55/'Prod &amp; Defects - Qty'!$R$7*1000000</f>
        <v>0</v>
      </c>
      <c r="W55" s="83">
        <f t="shared" si="14"/>
        <v>0</v>
      </c>
      <c r="X55" s="83">
        <f t="shared" si="14"/>
        <v>0</v>
      </c>
      <c r="Y55" s="83">
        <f t="shared" si="5"/>
        <v>0</v>
      </c>
      <c r="Z55" s="430">
        <f t="shared" ref="Z55:Z56" si="17">Y55*0.9</f>
        <v>0</v>
      </c>
    </row>
    <row r="56" spans="1:26" ht="20.100000000000001" customHeight="1" thickBot="1">
      <c r="A56" s="105"/>
      <c r="B56" s="106"/>
      <c r="C56" s="107" t="s">
        <v>59</v>
      </c>
      <c r="D56" s="359">
        <f>'[3]Falhas UM-3-2 Qty'!Z57</f>
        <v>3148.3792098157232</v>
      </c>
      <c r="E56" s="341"/>
      <c r="F56" s="341"/>
      <c r="G56" s="341"/>
      <c r="H56" s="341"/>
      <c r="I56" s="341"/>
      <c r="J56" s="341"/>
      <c r="K56" s="341"/>
      <c r="L56" s="341"/>
      <c r="M56" s="341"/>
      <c r="N56" s="341"/>
      <c r="O56" s="341"/>
      <c r="P56" s="341"/>
      <c r="Q56" s="445">
        <f t="shared" si="2"/>
        <v>0</v>
      </c>
      <c r="R56" s="152">
        <f>Q56/SUM('Prod &amp; Defects - Qty'!$F$7:$K$7)*1000000</f>
        <v>0</v>
      </c>
      <c r="S56" s="152">
        <f t="shared" si="3"/>
        <v>0</v>
      </c>
      <c r="T56" s="152">
        <f>S56/SUM('Prod &amp; Defects - Qty'!$L$7:$Q$7)*1000000</f>
        <v>0</v>
      </c>
      <c r="U56" s="152">
        <f t="shared" si="4"/>
        <v>0</v>
      </c>
      <c r="V56" s="152">
        <f>U56/'Prod &amp; Defects - Qty'!$R$7*1000000</f>
        <v>0</v>
      </c>
      <c r="W56" s="152">
        <f t="shared" si="14"/>
        <v>0</v>
      </c>
      <c r="X56" s="152">
        <f t="shared" si="14"/>
        <v>0</v>
      </c>
      <c r="Y56" s="152">
        <f t="shared" si="5"/>
        <v>0</v>
      </c>
      <c r="Z56" s="446">
        <f t="shared" si="17"/>
        <v>0</v>
      </c>
    </row>
    <row r="57" spans="1:26">
      <c r="C57" s="109"/>
      <c r="D57" s="109"/>
      <c r="E57" s="109"/>
    </row>
    <row r="58" spans="1:26">
      <c r="C58" s="109" t="s">
        <v>286</v>
      </c>
      <c r="D58" s="109"/>
      <c r="E58" s="261">
        <f>'[15]UM-3 - L2 - Noite'!$AT$109</f>
        <v>9960.7083333333321</v>
      </c>
      <c r="F58" s="261">
        <f>'[16]UM-3 - L2 - Noite'!$AT$109</f>
        <v>6113.0437499999998</v>
      </c>
      <c r="G58" s="261">
        <f>'[17]UM-3 - L2 - Noite'!$AT$109</f>
        <v>2692.7727272727275</v>
      </c>
      <c r="H58" s="261">
        <f>'[18]UM-3 - L2 - Noite'!$AT$109</f>
        <v>8076.9756097560985</v>
      </c>
      <c r="I58" s="261">
        <f>'[19]UM-3 - L2 - Noite'!$AT$109</f>
        <v>8232.1902439024398</v>
      </c>
      <c r="J58" s="261">
        <f>'[20]UM-3 - L2 - Noite'!$AT$109</f>
        <v>7294.7384615384608</v>
      </c>
      <c r="K58" s="261">
        <f>'[21]UM-3 - L2 - Noite'!$AT$109</f>
        <v>3308.1923076923076</v>
      </c>
      <c r="L58" s="261">
        <f>'[22]UM-3 - L2 - Noite'!$AT$109</f>
        <v>5032.363157894737</v>
      </c>
      <c r="M58" s="261">
        <f>'[23]UM-3 - L2 - Noite'!$AT$109</f>
        <v>4502.7272727272721</v>
      </c>
    </row>
    <row r="59" spans="1:26">
      <c r="C59" s="109" t="s">
        <v>287</v>
      </c>
      <c r="D59" s="109"/>
      <c r="E59" s="261">
        <f>'[15]UM-3 - L2 - Noite'!$AT$110</f>
        <v>401.34722222222223</v>
      </c>
      <c r="F59" s="261">
        <f>'[16]UM-3 - L2 - Noite'!$AT$110</f>
        <v>1028.3625</v>
      </c>
      <c r="G59" s="261">
        <f>'[17]UM-3 - L2 - Noite'!$AT$110</f>
        <v>393.55909090909091</v>
      </c>
      <c r="H59" s="261">
        <f>'[18]UM-3 - L2 - Noite'!$AT$110</f>
        <v>836.54390243902435</v>
      </c>
      <c r="I59" s="261">
        <f>'[19]UM-3 - L2 - Noite'!$AT$110</f>
        <v>917.97804878048782</v>
      </c>
      <c r="J59" s="261">
        <f>'[20]UM-3 - L2 - Noite'!$AT$110</f>
        <v>769.48717948717945</v>
      </c>
      <c r="K59" s="261">
        <f>'[21]UM-3 - L2 - Noite'!$AT$110</f>
        <v>104.46923076923078</v>
      </c>
      <c r="L59" s="261">
        <f>'[22]UM-3 - L2 - Noite'!$AT$110</f>
        <v>439.72105263157897</v>
      </c>
      <c r="M59" s="261">
        <f>'[23]UM-3 - L2 - Noite'!$AT$110</f>
        <v>775.46969696969688</v>
      </c>
    </row>
    <row r="60" spans="1:26" ht="13.5" thickBot="1">
      <c r="C60" s="75" t="s">
        <v>289</v>
      </c>
      <c r="E60" s="75">
        <f>'[15]UM-3 - L2 - Noite'!$AT$7</f>
        <v>12550000</v>
      </c>
      <c r="F60" s="75">
        <f>'[16]UM-3 - L2 - Noite'!$AT$7</f>
        <v>11099911</v>
      </c>
      <c r="G60" s="75">
        <f>'[17]UM-3 - L2 - Noite'!$AT$7</f>
        <v>8168700</v>
      </c>
      <c r="H60" s="75">
        <f>'[18]UM-3 - L2 - Noite'!$AT$7</f>
        <v>13917911</v>
      </c>
      <c r="I60" s="75">
        <f>'[19]UM-3 - L2 - Noite'!$AT$7</f>
        <v>14779898</v>
      </c>
      <c r="J60" s="75">
        <f>'[20]UM-3 - L2 - Noite'!$AT$7</f>
        <v>13811200</v>
      </c>
      <c r="K60" s="75">
        <f>'[21]UM-3 - L2 - Noite'!$AT$7</f>
        <v>3952300</v>
      </c>
      <c r="L60" s="75">
        <f>'[22]UM-3 - L2 - Noite'!$AT$7</f>
        <v>12889550</v>
      </c>
      <c r="M60" s="75">
        <f>'[23]UM-3 - L2 - Noite'!$AT$7</f>
        <v>10965800</v>
      </c>
    </row>
    <row r="61" spans="1:26">
      <c r="A61" s="1010" t="s">
        <v>254</v>
      </c>
      <c r="B61" s="1011"/>
      <c r="C61" s="1011"/>
      <c r="D61" s="611" t="s">
        <v>65</v>
      </c>
      <c r="E61" s="627"/>
      <c r="F61" s="611"/>
      <c r="G61" s="611"/>
      <c r="H61" s="611"/>
      <c r="I61" s="611"/>
      <c r="J61" s="611"/>
      <c r="K61" s="611"/>
      <c r="L61" s="611"/>
      <c r="M61" s="611"/>
      <c r="N61" s="611"/>
      <c r="O61" s="611"/>
      <c r="P61" s="611"/>
      <c r="Q61" s="611"/>
      <c r="R61" s="611"/>
      <c r="S61" s="611"/>
      <c r="T61" s="611"/>
      <c r="U61" s="611"/>
      <c r="V61" s="611"/>
      <c r="W61" s="611"/>
      <c r="X61" s="611"/>
      <c r="Y61" s="611"/>
      <c r="Z61" s="611"/>
    </row>
    <row r="62" spans="1:26">
      <c r="A62" s="1012"/>
      <c r="B62" s="1013"/>
      <c r="C62" s="1013"/>
      <c r="D62" s="231" t="s">
        <v>64</v>
      </c>
      <c r="E62" s="628">
        <f t="shared" ref="E62:J62" si="18">E18+E36</f>
        <v>73890.581495564125</v>
      </c>
      <c r="F62" s="628">
        <f t="shared" si="18"/>
        <v>77331.390188593054</v>
      </c>
      <c r="G62" s="628">
        <f t="shared" si="18"/>
        <v>74422.534428156912</v>
      </c>
      <c r="H62" s="628">
        <f t="shared" si="18"/>
        <v>74903.679932866202</v>
      </c>
      <c r="I62" s="628">
        <f t="shared" si="18"/>
        <v>75818.729493702049</v>
      </c>
      <c r="J62" s="628">
        <f t="shared" si="18"/>
        <v>86204.495890865102</v>
      </c>
      <c r="K62" s="628">
        <f t="shared" ref="K62" si="19">K18+K36</f>
        <v>85144.169321443478</v>
      </c>
      <c r="L62" s="628">
        <f t="shared" ref="L62:M62" si="20">L18+L36</f>
        <v>85188.829943095698</v>
      </c>
      <c r="M62" s="628">
        <f t="shared" si="20"/>
        <v>81054.711679551634</v>
      </c>
      <c r="N62" s="231"/>
      <c r="O62" s="23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</row>
    <row r="63" spans="1:26">
      <c r="A63" s="1012"/>
      <c r="B63" s="1013"/>
      <c r="C63" s="1013"/>
      <c r="D63" s="231" t="s">
        <v>63</v>
      </c>
      <c r="E63" s="628">
        <f t="shared" ref="E63:J63" si="21">E49+E54</f>
        <v>13650.012372688436</v>
      </c>
      <c r="F63" s="628">
        <f t="shared" si="21"/>
        <v>14285.642520418676</v>
      </c>
      <c r="G63" s="628">
        <f t="shared" si="21"/>
        <v>13748.281515583398</v>
      </c>
      <c r="H63" s="628">
        <f t="shared" si="21"/>
        <v>13837.164861192738</v>
      </c>
      <c r="I63" s="628">
        <f t="shared" si="21"/>
        <v>14006.204508387591</v>
      </c>
      <c r="J63" s="628">
        <f t="shared" si="21"/>
        <v>15924.795984483062</v>
      </c>
      <c r="K63" s="628">
        <f t="shared" ref="K63" si="22">K49+K54</f>
        <v>15728.918911942172</v>
      </c>
      <c r="L63" s="628">
        <f t="shared" ref="L63:M63" si="23">L49+L54</f>
        <v>15737.169192638114</v>
      </c>
      <c r="M63" s="628">
        <f t="shared" si="23"/>
        <v>14973.462042073577</v>
      </c>
      <c r="N63" s="231"/>
      <c r="O63" s="231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</row>
    <row r="64" spans="1:26">
      <c r="A64" s="1012"/>
      <c r="B64" s="1013"/>
      <c r="C64" s="1013"/>
      <c r="D64" s="231" t="s">
        <v>256</v>
      </c>
      <c r="E64" s="628">
        <f t="shared" ref="E64:J64" si="24">SUM(E61:E63)</f>
        <v>87540.593868252559</v>
      </c>
      <c r="F64" s="628">
        <f t="shared" si="24"/>
        <v>91617.032709011735</v>
      </c>
      <c r="G64" s="628">
        <f t="shared" si="24"/>
        <v>88170.815943740308</v>
      </c>
      <c r="H64" s="628">
        <f t="shared" si="24"/>
        <v>88740.844794058939</v>
      </c>
      <c r="I64" s="628">
        <f t="shared" si="24"/>
        <v>89824.934002089634</v>
      </c>
      <c r="J64" s="628">
        <f t="shared" si="24"/>
        <v>102129.29187534816</v>
      </c>
      <c r="K64" s="628">
        <f t="shared" ref="K64" si="25">SUM(K61:K63)</f>
        <v>100873.08823338564</v>
      </c>
      <c r="L64" s="628">
        <f t="shared" ref="L64:M64" si="26">SUM(L61:L63)</f>
        <v>100925.99913573381</v>
      </c>
      <c r="M64" s="628">
        <f t="shared" si="26"/>
        <v>96028.173721625208</v>
      </c>
      <c r="N64" s="231"/>
      <c r="O64" s="23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</row>
    <row r="65" spans="1:26" ht="13.5" thickBot="1">
      <c r="A65" s="1014"/>
      <c r="B65" s="1015"/>
      <c r="C65" s="1015"/>
      <c r="D65" s="612" t="s">
        <v>257</v>
      </c>
      <c r="E65" s="629">
        <f>E64/'Prod &amp; Defects - Qty'!F7*1000000</f>
        <v>8113.9482485200024</v>
      </c>
      <c r="F65" s="629">
        <f>F64/'Prod &amp; Defects - Qty'!G7*1000000</f>
        <v>8113.9482485200024</v>
      </c>
      <c r="G65" s="629">
        <f>G64/'Prod &amp; Defects - Qty'!H7*1000000</f>
        <v>8113.9482485200006</v>
      </c>
      <c r="H65" s="629">
        <f>H64/'Prod &amp; Defects - Qty'!I7*1000000</f>
        <v>8113.9482485200006</v>
      </c>
      <c r="I65" s="629">
        <f>I64/'Prod &amp; Defects - Qty'!J7*1000000</f>
        <v>8113.9482485199987</v>
      </c>
      <c r="J65" s="629">
        <f>J64/'Prod &amp; Defects - Qty'!K7*1000000</f>
        <v>8113.9482485200006</v>
      </c>
      <c r="K65" s="629">
        <f>K64/'Prod &amp; Defects - Qty'!L7*1000000</f>
        <v>8113.9482485199987</v>
      </c>
      <c r="L65" s="629">
        <f>L64/'Prod &amp; Defects - Qty'!M7*1000000</f>
        <v>8113.9482485200006</v>
      </c>
      <c r="M65" s="629">
        <f>M64/'Prod &amp; Defects - Qty'!N7*1000000</f>
        <v>8113.9482485200006</v>
      </c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612"/>
      <c r="Y65" s="612"/>
      <c r="Z65" s="612"/>
    </row>
    <row r="66" spans="1:26">
      <c r="A66" s="1010" t="s">
        <v>258</v>
      </c>
      <c r="B66" s="1011"/>
      <c r="C66" s="1011"/>
      <c r="D66" s="611" t="s">
        <v>64</v>
      </c>
      <c r="E66" s="627">
        <f t="shared" ref="E66:J66" si="27">SUM(E19:E33)</f>
        <v>3140.6532757148598</v>
      </c>
      <c r="F66" s="627">
        <f t="shared" si="27"/>
        <v>3286.9017809254756</v>
      </c>
      <c r="G66" s="627">
        <f t="shared" si="27"/>
        <v>3163.2634607541254</v>
      </c>
      <c r="H66" s="627">
        <f t="shared" si="27"/>
        <v>3183.7141213779205</v>
      </c>
      <c r="I66" s="627">
        <f t="shared" si="27"/>
        <v>3222.6074869803169</v>
      </c>
      <c r="J66" s="627">
        <f t="shared" si="27"/>
        <v>3664.0452263492725</v>
      </c>
      <c r="K66" s="627">
        <f t="shared" ref="K66" si="28">SUM(K19:K33)</f>
        <v>3618.9769910454065</v>
      </c>
      <c r="L66" s="627">
        <f t="shared" ref="L66:M66" si="29">SUM(L19:L33)</f>
        <v>3620.8752509433334</v>
      </c>
      <c r="M66" s="627">
        <f t="shared" si="29"/>
        <v>3445.1582406857851</v>
      </c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611"/>
      <c r="Y66" s="611"/>
      <c r="Z66" s="611"/>
    </row>
    <row r="67" spans="1:26">
      <c r="A67" s="1012"/>
      <c r="B67" s="1013"/>
      <c r="C67" s="1013"/>
      <c r="D67" s="231" t="s">
        <v>63</v>
      </c>
      <c r="E67" s="628">
        <f t="shared" ref="E67:J67" si="30">SUM(E39:E45)</f>
        <v>2089.9842837589417</v>
      </c>
      <c r="F67" s="628">
        <f t="shared" si="30"/>
        <v>2187.307054080939</v>
      </c>
      <c r="G67" s="628">
        <f t="shared" si="30"/>
        <v>2105.0304946063302</v>
      </c>
      <c r="H67" s="628">
        <f t="shared" si="30"/>
        <v>2118.6396247916714</v>
      </c>
      <c r="I67" s="628">
        <f t="shared" si="30"/>
        <v>2144.5216677029493</v>
      </c>
      <c r="J67" s="628">
        <f t="shared" si="30"/>
        <v>2438.2815502959093</v>
      </c>
      <c r="K67" s="628">
        <f t="shared" ref="K67" si="31">SUM(K39:K45)</f>
        <v>2408.2903684579883</v>
      </c>
      <c r="L67" s="628">
        <f t="shared" ref="L67:M67" si="32">SUM(L39:L45)</f>
        <v>2409.5535876053655</v>
      </c>
      <c r="M67" s="628">
        <f t="shared" si="32"/>
        <v>2292.620657546795</v>
      </c>
      <c r="N67" s="231"/>
      <c r="O67" s="231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</row>
    <row r="68" spans="1:26">
      <c r="A68" s="1012"/>
      <c r="B68" s="1013"/>
      <c r="C68" s="1013"/>
      <c r="D68" s="231" t="s">
        <v>256</v>
      </c>
      <c r="E68" s="628">
        <f t="shared" ref="E68:J68" si="33">SUM(E66:E67)</f>
        <v>5230.637559473802</v>
      </c>
      <c r="F68" s="628">
        <f t="shared" si="33"/>
        <v>5474.208835006415</v>
      </c>
      <c r="G68" s="628">
        <f t="shared" si="33"/>
        <v>5268.2939553604556</v>
      </c>
      <c r="H68" s="628">
        <f t="shared" si="33"/>
        <v>5302.3537461695923</v>
      </c>
      <c r="I68" s="628">
        <f t="shared" si="33"/>
        <v>5367.1291546832663</v>
      </c>
      <c r="J68" s="628">
        <f t="shared" si="33"/>
        <v>6102.3267766451818</v>
      </c>
      <c r="K68" s="628">
        <f t="shared" ref="K68" si="34">SUM(K66:K67)</f>
        <v>6027.2673595033948</v>
      </c>
      <c r="L68" s="628">
        <f t="shared" ref="L68:M68" si="35">SUM(L66:L67)</f>
        <v>6030.4288385486989</v>
      </c>
      <c r="M68" s="628">
        <f t="shared" si="35"/>
        <v>5737.7788982325801</v>
      </c>
      <c r="N68" s="231"/>
      <c r="O68" s="23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</row>
    <row r="69" spans="1:26" ht="13.5" thickBot="1">
      <c r="A69" s="1014"/>
      <c r="B69" s="1015"/>
      <c r="C69" s="1015"/>
      <c r="D69" s="612" t="s">
        <v>257</v>
      </c>
      <c r="E69" s="629">
        <f>E68/'Prod &amp; Defects - Qty'!F7*1000000</f>
        <v>484.81647872081749</v>
      </c>
      <c r="F69" s="629">
        <f>F68/'Prod &amp; Defects - Qty'!G7*1000000</f>
        <v>484.81647872081737</v>
      </c>
      <c r="G69" s="629">
        <f>G68/'Prod &amp; Defects - Qty'!H7*1000000</f>
        <v>484.81647872081737</v>
      </c>
      <c r="H69" s="629">
        <f>H68/'Prod &amp; Defects - Qty'!I7*1000000</f>
        <v>484.81647872081732</v>
      </c>
      <c r="I69" s="629">
        <f>I68/'Prod &amp; Defects - Qty'!J7*1000000</f>
        <v>484.81647872081732</v>
      </c>
      <c r="J69" s="629">
        <f>J68/'Prod &amp; Defects - Qty'!K7*1000000</f>
        <v>484.81647872081732</v>
      </c>
      <c r="K69" s="629">
        <f>K68/'Prod &amp; Defects - Qty'!L7*1000000</f>
        <v>484.81647872081726</v>
      </c>
      <c r="L69" s="629">
        <f>L68/'Prod &amp; Defects - Qty'!M7*1000000</f>
        <v>484.81647872081732</v>
      </c>
      <c r="M69" s="629">
        <f>M68/'Prod &amp; Defects - Qty'!N7*1000000</f>
        <v>484.81647872081732</v>
      </c>
      <c r="N69" s="612"/>
      <c r="O69" s="612"/>
      <c r="P69" s="612"/>
      <c r="Q69" s="612"/>
      <c r="R69" s="612"/>
      <c r="S69" s="612"/>
      <c r="T69" s="612"/>
      <c r="U69" s="612"/>
      <c r="V69" s="612"/>
      <c r="W69" s="612"/>
      <c r="X69" s="612"/>
      <c r="Y69" s="612"/>
      <c r="Z69" s="612"/>
    </row>
    <row r="70" spans="1:26">
      <c r="A70" s="1010" t="s">
        <v>259</v>
      </c>
      <c r="B70" s="1011"/>
      <c r="C70" s="1011"/>
      <c r="D70" s="611" t="s">
        <v>264</v>
      </c>
      <c r="E70" s="627">
        <f>E50/E$60*1000000</f>
        <v>523.25891531344496</v>
      </c>
      <c r="F70" s="627">
        <f t="shared" ref="F70:G71" si="36">F50/F$60*1000000</f>
        <v>619.16671137394871</v>
      </c>
      <c r="G70" s="627">
        <f t="shared" si="36"/>
        <v>809.69747899392871</v>
      </c>
      <c r="H70" s="627">
        <f t="shared" ref="H70:I70" si="37">H50/H$60*1000000</f>
        <v>478.29999650423912</v>
      </c>
      <c r="I70" s="627">
        <f t="shared" si="37"/>
        <v>455.90708754997013</v>
      </c>
      <c r="J70" s="627">
        <f t="shared" ref="J70:K70" si="38">J50/J$60*1000000</f>
        <v>554.71483461810055</v>
      </c>
      <c r="K70" s="627">
        <f t="shared" si="38"/>
        <v>1914.5922143397495</v>
      </c>
      <c r="L70" s="627">
        <f t="shared" ref="L70:M70" si="39">L50/L$60*1000000</f>
        <v>587.37597086801577</v>
      </c>
      <c r="M70" s="627">
        <f t="shared" si="39"/>
        <v>656.91506653836188</v>
      </c>
      <c r="N70" s="611"/>
      <c r="O70" s="611"/>
      <c r="P70" s="611"/>
      <c r="Q70" s="611"/>
      <c r="R70" s="611"/>
      <c r="S70" s="611"/>
      <c r="T70" s="611"/>
      <c r="U70" s="611"/>
      <c r="V70" s="611"/>
      <c r="W70" s="611"/>
      <c r="X70" s="611"/>
      <c r="Y70" s="611"/>
      <c r="Z70" s="611"/>
    </row>
    <row r="71" spans="1:26">
      <c r="A71" s="1012"/>
      <c r="B71" s="1013"/>
      <c r="C71" s="1013"/>
      <c r="D71" s="231" t="s">
        <v>265</v>
      </c>
      <c r="E71" s="628">
        <f>E51/E$60*1000000</f>
        <v>48.038971529577317</v>
      </c>
      <c r="F71" s="628">
        <f t="shared" si="36"/>
        <v>56.844004276425323</v>
      </c>
      <c r="G71" s="628">
        <f t="shared" si="36"/>
        <v>74.336113542680096</v>
      </c>
      <c r="H71" s="628">
        <f t="shared" ref="H71:I71" si="40">H51/H$60*1000000</f>
        <v>43.911416016486328</v>
      </c>
      <c r="I71" s="628">
        <f t="shared" si="40"/>
        <v>41.855584220339772</v>
      </c>
      <c r="J71" s="628">
        <f t="shared" ref="J71:K71" si="41">J51/J$60*1000000</f>
        <v>50.926853546853302</v>
      </c>
      <c r="K71" s="628">
        <f t="shared" si="41"/>
        <v>175.77348074484755</v>
      </c>
      <c r="L71" s="628">
        <f t="shared" ref="L71:M71" si="42">L51/L$60*1000000</f>
        <v>53.925383239354474</v>
      </c>
      <c r="M71" s="628">
        <f t="shared" si="42"/>
        <v>60.309577639748426</v>
      </c>
      <c r="N71" s="231"/>
      <c r="O71" s="231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</row>
    <row r="72" spans="1:26" ht="13.5" thickBot="1">
      <c r="A72" s="1014"/>
      <c r="B72" s="1015"/>
      <c r="C72" s="1015"/>
      <c r="D72" s="612" t="s">
        <v>257</v>
      </c>
      <c r="E72" s="629">
        <f t="shared" ref="E72:J72" si="43">SUM(E70:E71)</f>
        <v>571.2978868430223</v>
      </c>
      <c r="F72" s="629">
        <f t="shared" si="43"/>
        <v>676.0107156503741</v>
      </c>
      <c r="G72" s="629">
        <f t="shared" si="43"/>
        <v>884.03359253660881</v>
      </c>
      <c r="H72" s="629">
        <f t="shared" si="43"/>
        <v>522.21141252072539</v>
      </c>
      <c r="I72" s="629">
        <f t="shared" si="43"/>
        <v>497.76267177030991</v>
      </c>
      <c r="J72" s="629">
        <f t="shared" si="43"/>
        <v>605.64168816495385</v>
      </c>
      <c r="K72" s="629">
        <f t="shared" ref="K72:L72" si="44">SUM(K70:K71)</f>
        <v>2090.3656950845971</v>
      </c>
      <c r="L72" s="629">
        <f t="shared" si="44"/>
        <v>641.30135410737023</v>
      </c>
      <c r="M72" s="629">
        <f t="shared" ref="M72" si="45">SUM(M70:M71)</f>
        <v>717.22464417811034</v>
      </c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612"/>
      <c r="Y72" s="612"/>
      <c r="Z72" s="612"/>
    </row>
    <row r="73" spans="1:26">
      <c r="A73" s="1010" t="s">
        <v>285</v>
      </c>
      <c r="B73" s="1011"/>
      <c r="C73" s="1011"/>
      <c r="D73" s="611" t="s">
        <v>264</v>
      </c>
      <c r="E73" s="627">
        <f>E58/E$60*1000000</f>
        <v>793.68193891102248</v>
      </c>
      <c r="F73" s="627">
        <f t="shared" ref="F73:G73" si="46">F58/F$60*1000000</f>
        <v>550.72907791783189</v>
      </c>
      <c r="G73" s="627">
        <f t="shared" si="46"/>
        <v>329.64519780047345</v>
      </c>
      <c r="H73" s="627">
        <f t="shared" ref="H73:I73" si="47">H58/H$60*1000000</f>
        <v>580.32959182998786</v>
      </c>
      <c r="I73" s="627">
        <f t="shared" si="47"/>
        <v>556.98559245147965</v>
      </c>
      <c r="J73" s="627">
        <f t="shared" ref="J73:K73" si="48">J58/J$60*1000000</f>
        <v>528.1755721109289</v>
      </c>
      <c r="K73" s="627">
        <f t="shared" si="48"/>
        <v>837.02965556569779</v>
      </c>
      <c r="L73" s="627">
        <f t="shared" ref="L73:M73" si="49">L58/L$60*1000000</f>
        <v>390.42194319388472</v>
      </c>
      <c r="M73" s="627">
        <f t="shared" si="49"/>
        <v>410.61548384315529</v>
      </c>
      <c r="N73" s="611"/>
      <c r="O73" s="611"/>
      <c r="P73" s="611"/>
      <c r="Q73" s="611"/>
      <c r="R73" s="611"/>
      <c r="S73" s="611"/>
      <c r="T73" s="611"/>
      <c r="U73" s="611"/>
      <c r="V73" s="611"/>
      <c r="W73" s="611"/>
      <c r="X73" s="611"/>
      <c r="Y73" s="611"/>
      <c r="Z73" s="611"/>
    </row>
    <row r="74" spans="1:26">
      <c r="A74" s="1012"/>
      <c r="B74" s="1013"/>
      <c r="C74" s="1013"/>
      <c r="D74" s="231" t="s">
        <v>265</v>
      </c>
      <c r="E74" s="628">
        <f>E59/E$60*1000000</f>
        <v>31.979858344400174</v>
      </c>
      <c r="F74" s="628">
        <f t="shared" ref="F74:G74" si="50">F59/F$60*1000000</f>
        <v>92.646013107672658</v>
      </c>
      <c r="G74" s="628">
        <f t="shared" si="50"/>
        <v>48.178913524684582</v>
      </c>
      <c r="H74" s="628">
        <f t="shared" ref="H74:I74" si="51">H59/H$60*1000000</f>
        <v>60.10556486810588</v>
      </c>
      <c r="I74" s="628">
        <f t="shared" si="51"/>
        <v>62.109904194229742</v>
      </c>
      <c r="J74" s="628">
        <f t="shared" ref="J74:K74" si="52">J59/J$60*1000000</f>
        <v>55.714722796511488</v>
      </c>
      <c r="K74" s="628">
        <f t="shared" si="52"/>
        <v>26.432515438916774</v>
      </c>
      <c r="L74" s="628">
        <f t="shared" ref="L74:M74" si="53">L59/L$60*1000000</f>
        <v>34.114538725679253</v>
      </c>
      <c r="M74" s="628">
        <f t="shared" si="53"/>
        <v>70.717111106321184</v>
      </c>
      <c r="N74" s="231"/>
      <c r="O74" s="231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</row>
    <row r="75" spans="1:26" ht="13.5" thickBot="1">
      <c r="A75" s="1014"/>
      <c r="B75" s="1015"/>
      <c r="C75" s="1015"/>
      <c r="D75" s="612" t="s">
        <v>257</v>
      </c>
      <c r="E75" s="629">
        <f>SUM(E73:E74)</f>
        <v>825.6617972554227</v>
      </c>
      <c r="F75" s="629">
        <f t="shared" ref="F75:G75" si="54">SUM(F73:F74)</f>
        <v>643.3750910255045</v>
      </c>
      <c r="G75" s="629">
        <f t="shared" si="54"/>
        <v>377.82411132515801</v>
      </c>
      <c r="H75" s="629">
        <f t="shared" ref="H75:I75" si="55">SUM(H73:H74)</f>
        <v>640.43515669809369</v>
      </c>
      <c r="I75" s="629">
        <f t="shared" si="55"/>
        <v>619.09549664570943</v>
      </c>
      <c r="J75" s="629">
        <f t="shared" ref="J75:K75" si="56">SUM(J73:J74)</f>
        <v>583.89029490744042</v>
      </c>
      <c r="K75" s="629">
        <f t="shared" si="56"/>
        <v>863.46217100461456</v>
      </c>
      <c r="L75" s="629">
        <f t="shared" ref="L75:M75" si="57">SUM(L73:L74)</f>
        <v>424.53648191956398</v>
      </c>
      <c r="M75" s="629">
        <f t="shared" si="57"/>
        <v>481.33259494947646</v>
      </c>
      <c r="N75" s="612"/>
      <c r="O75" s="612"/>
      <c r="P75" s="612"/>
      <c r="Q75" s="612"/>
      <c r="R75" s="612"/>
      <c r="S75" s="612"/>
      <c r="T75" s="612"/>
      <c r="U75" s="612"/>
      <c r="V75" s="612"/>
      <c r="W75" s="612"/>
      <c r="X75" s="612"/>
      <c r="Y75" s="612"/>
      <c r="Z75" s="612"/>
    </row>
  </sheetData>
  <mergeCells count="8">
    <mergeCell ref="A73:C75"/>
    <mergeCell ref="A61:C65"/>
    <mergeCell ref="A66:C69"/>
    <mergeCell ref="A70:C72"/>
    <mergeCell ref="A1:E1"/>
    <mergeCell ref="B4:C4"/>
    <mergeCell ref="A6:A36"/>
    <mergeCell ref="A37:A54"/>
  </mergeCells>
  <printOptions gridLinesSet="0"/>
  <pageMargins left="0.78740157480314965" right="0.19685039370078741" top="0.59055118110236227" bottom="0.59055118110236227" header="0.51181102362204722" footer="0.31496062992125984"/>
  <pageSetup paperSize="9" scale="43" orientation="landscape" r:id="rId1"/>
  <headerFooter alignWithMargins="0">
    <oddFooter>&amp;L&amp;A&amp;R&amp;F</oddFooter>
  </headerFooter>
  <ignoredErrors>
    <ignoredError sqref="T6:T56" evalError="1"/>
    <ignoredError sqref="Y18 Y36 Y49 Y54:Y5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>
    <tabColor indexed="56"/>
    <pageSetUpPr fitToPage="1"/>
  </sheetPr>
  <dimension ref="A1:S94"/>
  <sheetViews>
    <sheetView showGridLines="0" topLeftCell="A37" zoomScale="106" zoomScaleNormal="106" zoomScaleSheetLayoutView="53" workbookViewId="0">
      <selection activeCell="D6" sqref="D6"/>
    </sheetView>
  </sheetViews>
  <sheetFormatPr defaultColWidth="11.42578125" defaultRowHeight="12.75"/>
  <cols>
    <col min="1" max="1" width="3.140625" style="75" bestFit="1" customWidth="1"/>
    <col min="2" max="2" width="13.5703125" style="75" customWidth="1"/>
    <col min="3" max="3" width="25.140625" style="75" bestFit="1" customWidth="1"/>
    <col min="4" max="4" width="9" style="75" customWidth="1"/>
    <col min="5" max="5" width="11.85546875" style="75" bestFit="1" customWidth="1"/>
    <col min="6" max="6" width="10.140625" style="75" bestFit="1" customWidth="1"/>
    <col min="7" max="16" width="8.42578125" style="75" bestFit="1" customWidth="1"/>
    <col min="17" max="16384" width="11.42578125" style="75"/>
  </cols>
  <sheetData>
    <row r="1" spans="1:19" ht="18" customHeight="1">
      <c r="A1" s="1026" t="s">
        <v>80</v>
      </c>
      <c r="B1" s="1026"/>
      <c r="C1" s="1026"/>
      <c r="D1" s="1026"/>
      <c r="E1" s="1026"/>
    </row>
    <row r="2" spans="1:19" ht="18" customHeight="1"/>
    <row r="3" spans="1:19" ht="9.9499999999999993" customHeight="1" thickBot="1"/>
    <row r="4" spans="1:19" ht="38.25">
      <c r="A4" s="844"/>
      <c r="B4" s="1044" t="s">
        <v>57</v>
      </c>
      <c r="C4" s="1044"/>
      <c r="D4" s="845" t="str">
        <f>'Falhas UM-3-1 Cost'!D4</f>
        <v>Custo por milheiro (R$)</v>
      </c>
      <c r="E4" s="846"/>
      <c r="F4" s="846"/>
      <c r="G4" s="846"/>
      <c r="H4" s="846"/>
      <c r="I4" s="846"/>
      <c r="J4" s="846"/>
      <c r="K4" s="846"/>
      <c r="L4" s="846"/>
      <c r="M4" s="846"/>
      <c r="N4" s="846"/>
      <c r="O4" s="846"/>
      <c r="P4" s="846"/>
      <c r="Q4" s="846" t="s">
        <v>92</v>
      </c>
      <c r="R4" s="846" t="s">
        <v>92</v>
      </c>
      <c r="S4" s="847"/>
    </row>
    <row r="5" spans="1:19">
      <c r="A5" s="848"/>
      <c r="B5" s="849" t="s">
        <v>51</v>
      </c>
      <c r="C5" s="849" t="s">
        <v>50</v>
      </c>
      <c r="D5" s="850">
        <f>'Falhas UM-1 - Qty'!E5</f>
        <v>2022</v>
      </c>
      <c r="E5" s="851">
        <f>'Falhas UM-1 - Cost'!F5</f>
        <v>44652</v>
      </c>
      <c r="F5" s="851">
        <f>'Falhas UM-1 - Cost'!G5</f>
        <v>44682</v>
      </c>
      <c r="G5" s="851">
        <f>'Falhas UM-1 - Cost'!H5</f>
        <v>44713</v>
      </c>
      <c r="H5" s="851">
        <f>'Falhas UM-1 - Cost'!I5</f>
        <v>44743</v>
      </c>
      <c r="I5" s="851">
        <f>'Falhas UM-1 - Cost'!J5</f>
        <v>44774</v>
      </c>
      <c r="J5" s="851">
        <f>'Falhas UM-1 - Cost'!K5</f>
        <v>44805</v>
      </c>
      <c r="K5" s="851">
        <f>'Falhas UM-1 - Cost'!L5</f>
        <v>44835</v>
      </c>
      <c r="L5" s="851">
        <f>'Falhas UM-1 - Cost'!M5</f>
        <v>44866</v>
      </c>
      <c r="M5" s="851">
        <f>'Falhas UM-1 - Cost'!N5</f>
        <v>44896</v>
      </c>
      <c r="N5" s="851">
        <f>'Falhas UM-1 - Cost'!O5</f>
        <v>44927</v>
      </c>
      <c r="O5" s="851">
        <f>'Falhas UM-1 - Cost'!P5</f>
        <v>44958</v>
      </c>
      <c r="P5" s="851">
        <f>'Falhas UM-1 - Cost'!Q5</f>
        <v>44986</v>
      </c>
      <c r="Q5" s="851" t="str">
        <f>'Falhas UM-1 - Cost'!R5</f>
        <v>1st Half</v>
      </c>
      <c r="R5" s="851" t="str">
        <f>'Falhas UM-1 - Cost'!S5</f>
        <v>2nd Half</v>
      </c>
      <c r="S5" s="852" t="str">
        <f>'Falhas UM-1 - Cost'!T5</f>
        <v>Total</v>
      </c>
    </row>
    <row r="6" spans="1:19" ht="18" customHeight="1">
      <c r="A6" s="1032" t="s">
        <v>142</v>
      </c>
      <c r="B6" s="582">
        <v>3015</v>
      </c>
      <c r="C6" s="82" t="s">
        <v>46</v>
      </c>
      <c r="D6" s="130">
        <f>'Falhas UM-3-1 Cost'!D6</f>
        <v>121.7338</v>
      </c>
      <c r="E6" s="343">
        <f>'Falhas UM-3-2 Qty'!E6*'Falhas UM-3-2 Cost'!$D6/1000</f>
        <v>165.28638454850164</v>
      </c>
      <c r="F6" s="343">
        <f>'Falhas UM-3-2 Qty'!F6*'Falhas UM-3-2 Cost'!$D6/1000</f>
        <v>172.98315479015884</v>
      </c>
      <c r="G6" s="343">
        <f>'Falhas UM-3-2 Qty'!G6*'Falhas UM-3-2 Cost'!$D6/1000</f>
        <v>166.47631397115089</v>
      </c>
      <c r="H6" s="343">
        <f>'Falhas UM-3-2 Qty'!H6*'Falhas UM-3-2 Cost'!$D6/1000</f>
        <v>167.55259188513563</v>
      </c>
      <c r="I6" s="343">
        <f>'Falhas UM-3-2 Qty'!I6*'Falhas UM-3-2 Cost'!$D6/1000</f>
        <v>169.59947296973414</v>
      </c>
      <c r="J6" s="343">
        <f>'Falhas UM-3-2 Qty'!J6*'Falhas UM-3-2 Cost'!$D6/1000</f>
        <v>192.8314701175093</v>
      </c>
      <c r="K6" s="343">
        <f>'Falhas UM-3-2 Qty'!K6*'Falhas UM-3-2 Cost'!$D6/1000</f>
        <v>190.45961782519873</v>
      </c>
      <c r="L6" s="343">
        <f>'Falhas UM-3-2 Qty'!L6*'Falhas UM-3-2 Cost'!$D6/1000</f>
        <v>190.55951949785</v>
      </c>
      <c r="M6" s="343">
        <f>'Falhas UM-3-2 Qty'!M6*'Falhas UM-3-2 Cost'!$D6/1000</f>
        <v>181.31187998484731</v>
      </c>
      <c r="N6" s="343">
        <f>'Falhas UM-3-2 Qty'!N6*'Falhas UM-3-2 Cost'!$D6/1000</f>
        <v>140.61265963506102</v>
      </c>
      <c r="O6" s="343">
        <f>'Falhas UM-3-2 Qty'!O6*'Falhas UM-3-2 Cost'!$D6/1000</f>
        <v>134.96266388304997</v>
      </c>
      <c r="P6" s="818">
        <f>'Falhas UM-3-2 Qty'!P6*'Falhas UM-3-2 Cost'!$D6/1000</f>
        <v>171.11754444657205</v>
      </c>
      <c r="Q6" s="836">
        <f>SUM(E6:J6)</f>
        <v>1034.7293882821905</v>
      </c>
      <c r="R6" s="362">
        <f>SUM(K6:P6)</f>
        <v>1009.0238852725793</v>
      </c>
      <c r="S6" s="796">
        <f>SUM(Q6:R6)</f>
        <v>2043.7532735547697</v>
      </c>
    </row>
    <row r="7" spans="1:19" ht="18" customHeight="1">
      <c r="A7" s="1032"/>
      <c r="B7" s="582">
        <v>3025</v>
      </c>
      <c r="C7" s="82" t="s">
        <v>79</v>
      </c>
      <c r="D7" s="130">
        <f>'Falhas UM-3-1 Cost'!D7</f>
        <v>122.37650000000001</v>
      </c>
      <c r="E7" s="343">
        <f>'Falhas UM-3-2 Qty'!E7*'Falhas UM-3-2 Cost'!$D7/1000</f>
        <v>57.346378243847077</v>
      </c>
      <c r="F7" s="343">
        <f>'Falhas UM-3-2 Qty'!F7*'Falhas UM-3-2 Cost'!$D7/1000</f>
        <v>60.016785118192765</v>
      </c>
      <c r="G7" s="343">
        <f>'Falhas UM-3-2 Qty'!G7*'Falhas UM-3-2 Cost'!$D7/1000</f>
        <v>57.759226180119192</v>
      </c>
      <c r="H7" s="343">
        <f>'Falhas UM-3-2 Qty'!H7*'Falhas UM-3-2 Cost'!$D7/1000</f>
        <v>58.132642541784215</v>
      </c>
      <c r="I7" s="343">
        <f>'Falhas UM-3-2 Qty'!I7*'Falhas UM-3-2 Cost'!$D7/1000</f>
        <v>58.842811242117278</v>
      </c>
      <c r="J7" s="343">
        <f>'Falhas UM-3-2 Qty'!J7*'Falhas UM-3-2 Cost'!$D7/1000</f>
        <v>66.903190198530069</v>
      </c>
      <c r="K7" s="343">
        <f>'Falhas UM-3-2 Qty'!K7*'Falhas UM-3-2 Cost'!$D7/1000</f>
        <v>66.080272212484658</v>
      </c>
      <c r="L7" s="343">
        <f>'Falhas UM-3-2 Qty'!L7*'Falhas UM-3-2 Cost'!$D7/1000</f>
        <v>66.114933259265399</v>
      </c>
      <c r="M7" s="343">
        <f>'Falhas UM-3-2 Qty'!M7*'Falhas UM-3-2 Cost'!$D7/1000</f>
        <v>62.906449784815727</v>
      </c>
      <c r="N7" s="343">
        <f>'Falhas UM-3-2 Qty'!N7*'Falhas UM-3-2 Cost'!$D7/1000</f>
        <v>48.785789509113187</v>
      </c>
      <c r="O7" s="343">
        <f>'Falhas UM-3-2 Qty'!O7*'Falhas UM-3-2 Cost'!$D7/1000</f>
        <v>46.825514351809602</v>
      </c>
      <c r="P7" s="818">
        <f>'Falhas UM-3-2 Qty'!P7*'Falhas UM-3-2 Cost'!$D7/1000</f>
        <v>59.369508594411272</v>
      </c>
      <c r="Q7" s="836">
        <f t="shared" ref="Q7:Q56" si="0">SUM(E7:J7)</f>
        <v>359.00103352459058</v>
      </c>
      <c r="R7" s="362">
        <f t="shared" ref="R7:R56" si="1">SUM(K7:P7)</f>
        <v>350.08246771189988</v>
      </c>
      <c r="S7" s="796">
        <f t="shared" ref="S7:S56" si="2">SUM(Q7:R7)</f>
        <v>709.08350123649052</v>
      </c>
    </row>
    <row r="8" spans="1:19" ht="18" customHeight="1">
      <c r="A8" s="1032"/>
      <c r="B8" s="582">
        <v>3035</v>
      </c>
      <c r="C8" s="82" t="s">
        <v>78</v>
      </c>
      <c r="D8" s="130">
        <f>'Falhas UM-3-1 Cost'!D8</f>
        <v>132.37650000000002</v>
      </c>
      <c r="E8" s="343">
        <f>'Falhas UM-3-2 Qty'!E8*'Falhas UM-3-2 Cost'!$D8/1000</f>
        <v>57.313588118971921</v>
      </c>
      <c r="F8" s="343">
        <f>'Falhas UM-3-2 Qty'!F8*'Falhas UM-3-2 Cost'!$D8/1000</f>
        <v>59.982468079542777</v>
      </c>
      <c r="G8" s="343">
        <f>'Falhas UM-3-2 Qty'!G8*'Falhas UM-3-2 Cost'!$D8/1000</f>
        <v>57.726199992639913</v>
      </c>
      <c r="H8" s="343">
        <f>'Falhas UM-3-2 Qty'!H8*'Falhas UM-3-2 Cost'!$D8/1000</f>
        <v>58.09940283830786</v>
      </c>
      <c r="I8" s="343">
        <f>'Falhas UM-3-2 Qty'!I8*'Falhas UM-3-2 Cost'!$D8/1000</f>
        <v>58.80916547079358</v>
      </c>
      <c r="J8" s="343">
        <f>'Falhas UM-3-2 Qty'!J8*'Falhas UM-3-2 Cost'!$D8/1000</f>
        <v>66.864935577604768</v>
      </c>
      <c r="K8" s="343">
        <f>'Falhas UM-3-2 Qty'!K8*'Falhas UM-3-2 Cost'!$D8/1000</f>
        <v>66.042488128397977</v>
      </c>
      <c r="L8" s="343">
        <f>'Falhas UM-3-2 Qty'!L8*'Falhas UM-3-2 Cost'!$D8/1000</f>
        <v>66.077129356315055</v>
      </c>
      <c r="M8" s="343">
        <f>'Falhas UM-3-2 Qty'!M8*'Falhas UM-3-2 Cost'!$D8/1000</f>
        <v>62.870480462827743</v>
      </c>
      <c r="N8" s="343">
        <f>'Falhas UM-3-2 Qty'!N8*'Falhas UM-3-2 Cost'!$D8/1000</f>
        <v>48.757894249131205</v>
      </c>
      <c r="O8" s="343">
        <f>'Falhas UM-3-2 Qty'!O8*'Falhas UM-3-2 Cost'!$D8/1000</f>
        <v>46.798739958901812</v>
      </c>
      <c r="P8" s="818">
        <f>'Falhas UM-3-2 Qty'!P8*'Falhas UM-3-2 Cost'!$D8/1000</f>
        <v>59.335561662447937</v>
      </c>
      <c r="Q8" s="836">
        <f t="shared" si="0"/>
        <v>358.79576007786079</v>
      </c>
      <c r="R8" s="362">
        <f t="shared" si="1"/>
        <v>349.88229381802176</v>
      </c>
      <c r="S8" s="796">
        <f t="shared" si="2"/>
        <v>708.67805389588261</v>
      </c>
    </row>
    <row r="9" spans="1:19" ht="18" customHeight="1">
      <c r="A9" s="1032"/>
      <c r="B9" s="582">
        <v>3045</v>
      </c>
      <c r="C9" s="82" t="s">
        <v>77</v>
      </c>
      <c r="D9" s="130">
        <f>'Falhas UM-3-1 Cost'!D9</f>
        <v>132.37650000000002</v>
      </c>
      <c r="E9" s="343">
        <f>'Falhas UM-3-2 Qty'!E9*'Falhas UM-3-2 Cost'!$D9/1000</f>
        <v>328.72159212048371</v>
      </c>
      <c r="F9" s="343">
        <f>'Falhas UM-3-2 Qty'!F9*'Falhas UM-3-2 Cost'!$D9/1000</f>
        <v>344.02893019877951</v>
      </c>
      <c r="G9" s="343">
        <f>'Falhas UM-3-2 Qty'!G9*'Falhas UM-3-2 Cost'!$D9/1000</f>
        <v>331.08812397604305</v>
      </c>
      <c r="H9" s="343">
        <f>'Falhas UM-3-2 Qty'!H9*'Falhas UM-3-2 Cost'!$D9/1000</f>
        <v>333.22862569017764</v>
      </c>
      <c r="I9" s="343">
        <f>'Falhas UM-3-2 Qty'!I9*'Falhas UM-3-2 Cost'!$D9/1000</f>
        <v>337.2994631693112</v>
      </c>
      <c r="J9" s="343">
        <f>'Falhas UM-3-2 Qty'!J9*'Falhas UM-3-2 Cost'!$D9/1000</f>
        <v>383.50326338804149</v>
      </c>
      <c r="K9" s="343">
        <f>'Falhas UM-3-2 Qty'!K9*'Falhas UM-3-2 Cost'!$D9/1000</f>
        <v>378.78612311098397</v>
      </c>
      <c r="L9" s="343">
        <f>'Falhas UM-3-2 Qty'!L9*'Falhas UM-3-2 Cost'!$D9/1000</f>
        <v>378.98480757600595</v>
      </c>
      <c r="M9" s="343">
        <f>'Falhas UM-3-2 Qty'!M9*'Falhas UM-3-2 Cost'!$D9/1000</f>
        <v>360.59310040439357</v>
      </c>
      <c r="N9" s="343">
        <f>'Falhas UM-3-2 Qty'!N9*'Falhas UM-3-2 Cost'!$D9/1000</f>
        <v>279.65048345509325</v>
      </c>
      <c r="O9" s="343">
        <f>'Falhas UM-3-2 Qty'!O9*'Falhas UM-3-2 Cost'!$D9/1000</f>
        <v>268.41377085987006</v>
      </c>
      <c r="P9" s="818">
        <f>'Falhas UM-3-2 Qty'!P9*'Falhas UM-3-2 Cost'!$D9/1000</f>
        <v>340.31860400285285</v>
      </c>
      <c r="Q9" s="836">
        <f t="shared" si="0"/>
        <v>2057.8699985428366</v>
      </c>
      <c r="R9" s="362">
        <f t="shared" si="1"/>
        <v>2006.7468894091996</v>
      </c>
      <c r="S9" s="796">
        <f t="shared" si="2"/>
        <v>4064.6168879520364</v>
      </c>
    </row>
    <row r="10" spans="1:19" ht="18" customHeight="1">
      <c r="A10" s="1032"/>
      <c r="B10" s="582">
        <v>3055</v>
      </c>
      <c r="C10" s="82" t="s">
        <v>76</v>
      </c>
      <c r="D10" s="130">
        <f>'Falhas UM-3-1 Cost'!D10</f>
        <v>133.46250000000003</v>
      </c>
      <c r="E10" s="343">
        <f>'Falhas UM-3-2 Qty'!E10*'Falhas UM-3-2 Cost'!$D10/1000</f>
        <v>50.393969800742049</v>
      </c>
      <c r="F10" s="343">
        <f>'Falhas UM-3-2 Qty'!F10*'Falhas UM-3-2 Cost'!$D10/1000</f>
        <v>52.740628953465603</v>
      </c>
      <c r="G10" s="343">
        <f>'Falhas UM-3-2 Qty'!G10*'Falhas UM-3-2 Cost'!$D10/1000</f>
        <v>50.756765971484143</v>
      </c>
      <c r="H10" s="343">
        <f>'Falhas UM-3-2 Qty'!H10*'Falhas UM-3-2 Cost'!$D10/1000</f>
        <v>51.08491106850898</v>
      </c>
      <c r="I10" s="343">
        <f>'Falhas UM-3-2 Qty'!I10*'Falhas UM-3-2 Cost'!$D10/1000</f>
        <v>51.708982215353494</v>
      </c>
      <c r="J10" s="343">
        <f>'Falhas UM-3-2 Qty'!J10*'Falhas UM-3-2 Cost'!$D10/1000</f>
        <v>58.792158278971506</v>
      </c>
      <c r="K10" s="343">
        <f>'Falhas UM-3-2 Qty'!K10*'Falhas UM-3-2 Cost'!$D10/1000</f>
        <v>58.069007045934242</v>
      </c>
      <c r="L10" s="343">
        <f>'Falhas UM-3-2 Qty'!L10*'Falhas UM-3-2 Cost'!$D10/1000</f>
        <v>58.099465948452945</v>
      </c>
      <c r="M10" s="343">
        <f>'Falhas UM-3-2 Qty'!M10*'Falhas UM-3-2 Cost'!$D10/1000</f>
        <v>55.279964102493835</v>
      </c>
      <c r="N10" s="343">
        <f>'Falhas UM-3-2 Qty'!N10*'Falhas UM-3-2 Cost'!$D10/1000</f>
        <v>42.871227068143433</v>
      </c>
      <c r="O10" s="343">
        <f>'Falhas UM-3-2 Qty'!O10*'Falhas UM-3-2 Cost'!$D10/1000</f>
        <v>41.148606562655786</v>
      </c>
      <c r="P10" s="818">
        <f>'Falhas UM-3-2 Qty'!P10*'Falhas UM-3-2 Cost'!$D10/1000</f>
        <v>52.171825227910823</v>
      </c>
      <c r="Q10" s="836">
        <f t="shared" si="0"/>
        <v>315.47741628852577</v>
      </c>
      <c r="R10" s="362">
        <f t="shared" si="1"/>
        <v>307.64009595559105</v>
      </c>
      <c r="S10" s="796">
        <f t="shared" si="2"/>
        <v>623.11751224411682</v>
      </c>
    </row>
    <row r="11" spans="1:19" ht="18" customHeight="1">
      <c r="A11" s="1032"/>
      <c r="B11" s="582">
        <v>3065</v>
      </c>
      <c r="C11" s="82" t="s">
        <v>75</v>
      </c>
      <c r="D11" s="130">
        <f>'Falhas UM-3-1 Cost'!D11</f>
        <v>137.27490000000003</v>
      </c>
      <c r="E11" s="343">
        <f>'Falhas UM-3-2 Qty'!E11*'Falhas UM-3-2 Cost'!$D11/1000</f>
        <v>39.415045157486745</v>
      </c>
      <c r="F11" s="343">
        <f>'Falhas UM-3-2 Qty'!F11*'Falhas UM-3-2 Cost'!$D11/1000</f>
        <v>41.250456752158662</v>
      </c>
      <c r="G11" s="343">
        <f>'Falhas UM-3-2 Qty'!G11*'Falhas UM-3-2 Cost'!$D11/1000</f>
        <v>39.698801874992895</v>
      </c>
      <c r="H11" s="343">
        <f>'Falhas UM-3-2 Qty'!H11*'Falhas UM-3-2 Cost'!$D11/1000</f>
        <v>39.955456666599567</v>
      </c>
      <c r="I11" s="343">
        <f>'Falhas UM-3-2 Qty'!I11*'Falhas UM-3-2 Cost'!$D11/1000</f>
        <v>40.443566504574633</v>
      </c>
      <c r="J11" s="343">
        <f>'Falhas UM-3-2 Qty'!J11*'Falhas UM-3-2 Cost'!$D11/1000</f>
        <v>45.983588564948661</v>
      </c>
      <c r="K11" s="343">
        <f>'Falhas UM-3-2 Qty'!K11*'Falhas UM-3-2 Cost'!$D11/1000</f>
        <v>45.417984413925083</v>
      </c>
      <c r="L11" s="343">
        <f>'Falhas UM-3-2 Qty'!L11*'Falhas UM-3-2 Cost'!$D11/1000</f>
        <v>45.441807482894838</v>
      </c>
      <c r="M11" s="343">
        <f>'Falhas UM-3-2 Qty'!M11*'Falhas UM-3-2 Cost'!$D11/1000</f>
        <v>43.23656758971898</v>
      </c>
      <c r="N11" s="343">
        <f>'Falhas UM-3-2 Qty'!N11*'Falhas UM-3-2 Cost'!$D11/1000</f>
        <v>33.531221245897157</v>
      </c>
      <c r="O11" s="343">
        <f>'Falhas UM-3-2 Qty'!O11*'Falhas UM-3-2 Cost'!$D11/1000</f>
        <v>32.183894070017296</v>
      </c>
      <c r="P11" s="818">
        <f>'Falhas UM-3-2 Qty'!P11*'Falhas UM-3-2 Cost'!$D11/1000</f>
        <v>40.80557367156122</v>
      </c>
      <c r="Q11" s="836">
        <f t="shared" si="0"/>
        <v>246.74691552076115</v>
      </c>
      <c r="R11" s="362">
        <f t="shared" si="1"/>
        <v>240.61704847401455</v>
      </c>
      <c r="S11" s="796">
        <f t="shared" si="2"/>
        <v>487.3639639947757</v>
      </c>
    </row>
    <row r="12" spans="1:19" ht="18" customHeight="1">
      <c r="A12" s="1032"/>
      <c r="B12" s="582">
        <v>3075</v>
      </c>
      <c r="C12" s="82" t="s">
        <v>41</v>
      </c>
      <c r="D12" s="130">
        <f>'Falhas UM-3-1 Cost'!D12</f>
        <v>147.88660000000002</v>
      </c>
      <c r="E12" s="343">
        <f>'Falhas UM-3-2 Qty'!E12*'Falhas UM-3-2 Cost'!$D12/1000</f>
        <v>415.42954761730539</v>
      </c>
      <c r="F12" s="343">
        <f>'Falhas UM-3-2 Qty'!F12*'Falhas UM-3-2 Cost'!$D12/1000</f>
        <v>434.77455167399313</v>
      </c>
      <c r="G12" s="343">
        <f>'Falhas UM-3-2 Qty'!G12*'Falhas UM-3-2 Cost'!$D12/1000</f>
        <v>418.4203072197858</v>
      </c>
      <c r="H12" s="343">
        <f>'Falhas UM-3-2 Qty'!H12*'Falhas UM-3-2 Cost'!$D12/1000</f>
        <v>421.12541598079196</v>
      </c>
      <c r="I12" s="343">
        <f>'Falhas UM-3-2 Qty'!I12*'Falhas UM-3-2 Cost'!$D12/1000</f>
        <v>426.27003140283017</v>
      </c>
      <c r="J12" s="343">
        <f>'Falhas UM-3-2 Qty'!J12*'Falhas UM-3-2 Cost'!$D12/1000</f>
        <v>484.66115715532504</v>
      </c>
      <c r="K12" s="343">
        <f>'Falhas UM-3-2 Qty'!K12*'Falhas UM-3-2 Cost'!$D12/1000</f>
        <v>478.69976156003014</v>
      </c>
      <c r="L12" s="343">
        <f>'Falhas UM-3-2 Qty'!L12*'Falhas UM-3-2 Cost'!$D12/1000</f>
        <v>478.95085366776249</v>
      </c>
      <c r="M12" s="343">
        <f>'Falhas UM-3-2 Qty'!M12*'Falhas UM-3-2 Cost'!$D12/1000</f>
        <v>455.70790652539023</v>
      </c>
      <c r="N12" s="343">
        <f>'Falhas UM-3-2 Qty'!N12*'Falhas UM-3-2 Cost'!$D12/1000</f>
        <v>353.41479421324232</v>
      </c>
      <c r="O12" s="343">
        <f>'Falhas UM-3-2 Qty'!O12*'Falhas UM-3-2 Cost'!$D12/1000</f>
        <v>339.21413766364685</v>
      </c>
      <c r="P12" s="818">
        <f>'Falhas UM-3-2 Qty'!P12*'Falhas UM-3-2 Cost'!$D12/1000</f>
        <v>430.08554076009648</v>
      </c>
      <c r="Q12" s="836">
        <f t="shared" si="0"/>
        <v>2600.6810110500314</v>
      </c>
      <c r="R12" s="362">
        <f t="shared" si="1"/>
        <v>2536.0729943901688</v>
      </c>
      <c r="S12" s="796">
        <f t="shared" si="2"/>
        <v>5136.7540054401998</v>
      </c>
    </row>
    <row r="13" spans="1:19" ht="18" customHeight="1">
      <c r="A13" s="1032"/>
      <c r="B13" s="582">
        <v>3085</v>
      </c>
      <c r="C13" s="82" t="s">
        <v>62</v>
      </c>
      <c r="D13" s="130">
        <f>'Falhas UM-3-1 Cost'!D13</f>
        <v>147.88660000000002</v>
      </c>
      <c r="E13" s="343">
        <f>'Falhas UM-3-2 Qty'!E13*'Falhas UM-3-2 Cost'!$D13/1000</f>
        <v>136.52880569688463</v>
      </c>
      <c r="F13" s="343">
        <f>'Falhas UM-3-2 Qty'!F13*'Falhas UM-3-2 Cost'!$D13/1000</f>
        <v>142.88644278651697</v>
      </c>
      <c r="G13" s="343">
        <f>'Falhas UM-3-2 Qty'!G13*'Falhas UM-3-2 Cost'!$D13/1000</f>
        <v>137.51170361301769</v>
      </c>
      <c r="H13" s="343">
        <f>'Falhas UM-3-2 Qty'!H13*'Falhas UM-3-2 Cost'!$D13/1000</f>
        <v>138.40072383446946</v>
      </c>
      <c r="I13" s="343">
        <f>'Falhas UM-3-2 Qty'!I13*'Falhas UM-3-2 Cost'!$D13/1000</f>
        <v>140.09147549950916</v>
      </c>
      <c r="J13" s="343">
        <f>'Falhas UM-3-2 Qty'!J13*'Falhas UM-3-2 Cost'!$D13/1000</f>
        <v>159.28142168414749</v>
      </c>
      <c r="K13" s="343">
        <f>'Falhas UM-3-2 Qty'!K13*'Falhas UM-3-2 Cost'!$D13/1000</f>
        <v>157.3222393737403</v>
      </c>
      <c r="L13" s="343">
        <f>'Falhas UM-3-2 Qty'!L13*'Falhas UM-3-2 Cost'!$D13/1000</f>
        <v>157.40475951653045</v>
      </c>
      <c r="M13" s="343">
        <f>'Falhas UM-3-2 Qty'!M13*'Falhas UM-3-2 Cost'!$D13/1000</f>
        <v>149.76608327786482</v>
      </c>
      <c r="N13" s="343">
        <f>'Falhas UM-3-2 Qty'!N13*'Falhas UM-3-2 Cost'!$D13/1000</f>
        <v>116.14797273397951</v>
      </c>
      <c r="O13" s="343">
        <f>'Falhas UM-3-2 Qty'!O13*'Falhas UM-3-2 Cost'!$D13/1000</f>
        <v>111.48099926050395</v>
      </c>
      <c r="P13" s="818">
        <f>'Falhas UM-3-2 Qty'!P13*'Falhas UM-3-2 Cost'!$D13/1000</f>
        <v>141.34542322340272</v>
      </c>
      <c r="Q13" s="836">
        <f t="shared" si="0"/>
        <v>854.70057311454548</v>
      </c>
      <c r="R13" s="362">
        <f t="shared" si="1"/>
        <v>833.46747738602176</v>
      </c>
      <c r="S13" s="796">
        <f t="shared" si="2"/>
        <v>1688.1680505005672</v>
      </c>
    </row>
    <row r="14" spans="1:19" ht="18" customHeight="1">
      <c r="A14" s="1032"/>
      <c r="B14" s="582">
        <v>3095</v>
      </c>
      <c r="C14" s="82" t="s">
        <v>74</v>
      </c>
      <c r="D14" s="130">
        <f>'Falhas UM-3-1 Cost'!D14</f>
        <v>216.17370000000003</v>
      </c>
      <c r="E14" s="343">
        <f>'Falhas UM-3-2 Qty'!E14*'Falhas UM-3-2 Cost'!$D14/1000</f>
        <v>334.55969450129231</v>
      </c>
      <c r="F14" s="343">
        <f>'Falhas UM-3-2 Qty'!F14*'Falhas UM-3-2 Cost'!$D14/1000</f>
        <v>350.13889122538706</v>
      </c>
      <c r="G14" s="343">
        <f>'Falhas UM-3-2 Qty'!G14*'Falhas UM-3-2 Cost'!$D14/1000</f>
        <v>336.96825601231507</v>
      </c>
      <c r="H14" s="343">
        <f>'Falhas UM-3-2 Qty'!H14*'Falhas UM-3-2 Cost'!$D14/1000</f>
        <v>339.14677308185361</v>
      </c>
      <c r="I14" s="343">
        <f>'Falhas UM-3-2 Qty'!I14*'Falhas UM-3-2 Cost'!$D14/1000</f>
        <v>343.28990872012389</v>
      </c>
      <c r="J14" s="343">
        <f>'Falhas UM-3-2 Qty'!J14*'Falhas UM-3-2 Cost'!$D14/1000</f>
        <v>390.31428940124283</v>
      </c>
      <c r="K14" s="343">
        <f>'Falhas UM-3-2 Qty'!K14*'Falhas UM-3-2 Cost'!$D14/1000</f>
        <v>385.513372613782</v>
      </c>
      <c r="L14" s="343">
        <f>'Falhas UM-3-2 Qty'!L14*'Falhas UM-3-2 Cost'!$D14/1000</f>
        <v>385.7155857190761</v>
      </c>
      <c r="M14" s="343">
        <f>'Falhas UM-3-2 Qty'!M14*'Falhas UM-3-2 Cost'!$D14/1000</f>
        <v>366.99724144178083</v>
      </c>
      <c r="N14" s="343">
        <f>'Falhas UM-3-2 Qty'!N14*'Falhas UM-3-2 Cost'!$D14/1000</f>
        <v>284.61708191527305</v>
      </c>
      <c r="O14" s="343">
        <f>'Falhas UM-3-2 Qty'!O14*'Falhas UM-3-2 Cost'!$D14/1000</f>
        <v>273.1808050683332</v>
      </c>
      <c r="P14" s="818">
        <f>'Falhas UM-3-2 Qty'!P14*'Falhas UM-3-2 Cost'!$D14/1000</f>
        <v>346.36266955828592</v>
      </c>
      <c r="Q14" s="836">
        <f t="shared" si="0"/>
        <v>2094.4178129422144</v>
      </c>
      <c r="R14" s="362">
        <f t="shared" si="1"/>
        <v>2042.3867563165313</v>
      </c>
      <c r="S14" s="796">
        <f t="shared" si="2"/>
        <v>4136.8045692587457</v>
      </c>
    </row>
    <row r="15" spans="1:19" ht="18" customHeight="1">
      <c r="A15" s="1032"/>
      <c r="B15" s="582">
        <v>3105</v>
      </c>
      <c r="C15" s="89" t="s">
        <v>73</v>
      </c>
      <c r="D15" s="130">
        <f>'Falhas UM-3-1 Cost'!D15</f>
        <v>16.5517</v>
      </c>
      <c r="E15" s="343">
        <f>'Falhas UM-3-2 Qty'!E15*'Falhas UM-3-2 Cost'!$D15/1000</f>
        <v>886.72486263989299</v>
      </c>
      <c r="F15" s="343">
        <f>'Falhas UM-3-2 Qty'!F15*'Falhas UM-3-2 Cost'!$D15/1000</f>
        <v>928.01633110505031</v>
      </c>
      <c r="G15" s="343">
        <f>'Falhas UM-3-2 Qty'!G15*'Falhas UM-3-2 Cost'!$D15/1000</f>
        <v>893.10857057041642</v>
      </c>
      <c r="H15" s="343">
        <f>'Falhas UM-3-2 Qty'!H15*'Falhas UM-3-2 Cost'!$D15/1000</f>
        <v>898.88256331668777</v>
      </c>
      <c r="I15" s="343">
        <f>'Falhas UM-3-2 Qty'!I15*'Falhas UM-3-2 Cost'!$D15/1000</f>
        <v>909.86362720491263</v>
      </c>
      <c r="J15" s="343">
        <f>'Falhas UM-3-2 Qty'!J15*'Falhas UM-3-2 Cost'!$D15/1000</f>
        <v>1034.498148892731</v>
      </c>
      <c r="K15" s="343">
        <f>'Falhas UM-3-2 Qty'!K15*'Falhas UM-3-2 Cost'!$D15/1000</f>
        <v>1021.7736864160045</v>
      </c>
      <c r="L15" s="343">
        <f>'Falhas UM-3-2 Qty'!L15*'Falhas UM-3-2 Cost'!$D15/1000</f>
        <v>1022.3096367739313</v>
      </c>
      <c r="M15" s="343">
        <f>'Falhas UM-3-2 Qty'!M15*'Falhas UM-3-2 Cost'!$D15/1000</f>
        <v>972.69809799346785</v>
      </c>
      <c r="N15" s="343">
        <f>'Falhas UM-3-2 Qty'!N15*'Falhas UM-3-2 Cost'!$D15/1000</f>
        <v>754.35579065341608</v>
      </c>
      <c r="O15" s="343">
        <f>'Falhas UM-3-2 Qty'!O15*'Falhas UM-3-2 Cost'!$D15/1000</f>
        <v>724.04481421816195</v>
      </c>
      <c r="P15" s="818">
        <f>'Falhas UM-3-2 Qty'!P15*'Falhas UM-3-2 Cost'!$D15/1000</f>
        <v>918.00774461333492</v>
      </c>
      <c r="Q15" s="836">
        <f t="shared" si="0"/>
        <v>5551.0941037296907</v>
      </c>
      <c r="R15" s="362">
        <f t="shared" si="1"/>
        <v>5413.1897706683167</v>
      </c>
      <c r="S15" s="796">
        <f t="shared" si="2"/>
        <v>10964.283874398006</v>
      </c>
    </row>
    <row r="16" spans="1:19" ht="18" customHeight="1">
      <c r="A16" s="1032"/>
      <c r="B16" s="582">
        <v>3115</v>
      </c>
      <c r="C16" s="89" t="s">
        <v>72</v>
      </c>
      <c r="D16" s="138">
        <f>'Falhas UM-3-1 Cost'!D16</f>
        <v>60.921500000000002</v>
      </c>
      <c r="E16" s="344">
        <f>'Falhas UM-3-2 Qty'!E16*'Falhas UM-3-2 Cost'!$D16/1000</f>
        <v>338.93815757569058</v>
      </c>
      <c r="F16" s="344">
        <f>'Falhas UM-3-2 Qty'!F16*'Falhas UM-3-2 Cost'!$D16/1000</f>
        <v>354.72124298902787</v>
      </c>
      <c r="G16" s="344">
        <f>'Falhas UM-3-2 Qty'!G16*'Falhas UM-3-2 Cost'!$D16/1000</f>
        <v>341.37824050968146</v>
      </c>
      <c r="H16" s="344">
        <f>'Falhas UM-3-2 Qty'!H16*'Falhas UM-3-2 Cost'!$D16/1000</f>
        <v>343.58526835533166</v>
      </c>
      <c r="I16" s="344">
        <f>'Falhas UM-3-2 Qty'!I16*'Falhas UM-3-2 Cost'!$D16/1000</f>
        <v>347.78262620477244</v>
      </c>
      <c r="J16" s="344">
        <f>'Falhas UM-3-2 Qty'!J16*'Falhas UM-3-2 Cost'!$D16/1000</f>
        <v>395.42242624988762</v>
      </c>
      <c r="K16" s="344">
        <f>'Falhas UM-3-2 Qty'!K16*'Falhas UM-3-2 Cost'!$D16/1000</f>
        <v>390.55867871137497</v>
      </c>
      <c r="L16" s="344">
        <f>'Falhas UM-3-2 Qty'!L16*'Falhas UM-3-2 Cost'!$D16/1000</f>
        <v>390.76353822814434</v>
      </c>
      <c r="M16" s="344">
        <f>'Falhas UM-3-2 Qty'!M16*'Falhas UM-3-2 Cost'!$D16/1000</f>
        <v>371.8002224836369</v>
      </c>
      <c r="N16" s="344">
        <f>'Falhas UM-3-2 Qty'!N16*'Falhas UM-3-2 Cost'!$D16/1000</f>
        <v>288.34193402385313</v>
      </c>
      <c r="O16" s="344">
        <f>'Falhas UM-3-2 Qty'!O16*'Falhas UM-3-2 Cost'!$D16/1000</f>
        <v>276.75598787512376</v>
      </c>
      <c r="P16" s="601">
        <f>'Falhas UM-3-2 Qty'!P16*'Falhas UM-3-2 Cost'!$D16/1000</f>
        <v>350.89560100201999</v>
      </c>
      <c r="Q16" s="837">
        <f t="shared" si="0"/>
        <v>2121.8279618843917</v>
      </c>
      <c r="R16" s="363">
        <f t="shared" si="1"/>
        <v>2069.1159623241533</v>
      </c>
      <c r="S16" s="797">
        <f t="shared" si="2"/>
        <v>4190.9439242085446</v>
      </c>
    </row>
    <row r="17" spans="1:19" ht="18" customHeight="1">
      <c r="A17" s="1032"/>
      <c r="B17" s="582">
        <v>3125</v>
      </c>
      <c r="C17" s="89" t="s">
        <v>71</v>
      </c>
      <c r="D17" s="309">
        <f>'Falhas UM-3-1 Cost'!D17</f>
        <v>0.31459999999999999</v>
      </c>
      <c r="E17" s="345">
        <f>'Falhas UM-3-2 Qty'!E17*'Falhas UM-3-2 Cost'!$D17/1000</f>
        <v>0</v>
      </c>
      <c r="F17" s="345">
        <f>'Falhas UM-3-2 Qty'!F17*'Falhas UM-3-2 Cost'!$D17/1000</f>
        <v>0</v>
      </c>
      <c r="G17" s="345">
        <f>'Falhas UM-3-2 Qty'!G17*'Falhas UM-3-2 Cost'!$D17/1000</f>
        <v>0</v>
      </c>
      <c r="H17" s="345">
        <f>'Falhas UM-3-2 Qty'!H17*'Falhas UM-3-2 Cost'!$D17/1000</f>
        <v>0</v>
      </c>
      <c r="I17" s="345">
        <f>'Falhas UM-3-2 Qty'!I17*'Falhas UM-3-2 Cost'!$D17/1000</f>
        <v>0</v>
      </c>
      <c r="J17" s="345">
        <f>'Falhas UM-3-2 Qty'!J17*'Falhas UM-3-2 Cost'!$D17/1000</f>
        <v>0</v>
      </c>
      <c r="K17" s="345">
        <f>'Falhas UM-3-2 Qty'!K17*'Falhas UM-3-2 Cost'!$D17/1000</f>
        <v>0</v>
      </c>
      <c r="L17" s="345">
        <f>'Falhas UM-3-2 Qty'!L17*'Falhas UM-3-2 Cost'!$D17/1000</f>
        <v>0</v>
      </c>
      <c r="M17" s="345">
        <f>'Falhas UM-3-2 Qty'!M17*'Falhas UM-3-2 Cost'!$D17/1000</f>
        <v>0</v>
      </c>
      <c r="N17" s="345">
        <f>'Falhas UM-3-2 Qty'!N17*'Falhas UM-3-2 Cost'!$D17/1000</f>
        <v>0</v>
      </c>
      <c r="O17" s="345">
        <f>'Falhas UM-3-2 Qty'!O17*'Falhas UM-3-2 Cost'!$D17/1000</f>
        <v>0</v>
      </c>
      <c r="P17" s="819">
        <f>'Falhas UM-3-2 Qty'!P17*'Falhas UM-3-2 Cost'!$D17/1000</f>
        <v>0</v>
      </c>
      <c r="Q17" s="838">
        <f t="shared" si="0"/>
        <v>0</v>
      </c>
      <c r="R17" s="364">
        <f t="shared" si="1"/>
        <v>0</v>
      </c>
      <c r="S17" s="798">
        <f t="shared" si="2"/>
        <v>0</v>
      </c>
    </row>
    <row r="18" spans="1:19" ht="18" customHeight="1" thickBot="1">
      <c r="A18" s="1032"/>
      <c r="B18" s="583">
        <v>0</v>
      </c>
      <c r="C18" s="85" t="s">
        <v>1</v>
      </c>
      <c r="D18" s="146">
        <f>'Falhas UM-3-1 Cost'!D18</f>
        <v>722.44073125823627</v>
      </c>
      <c r="E18" s="346">
        <f>SUBTOTAL(109,E6:E17)</f>
        <v>2810.6580260210994</v>
      </c>
      <c r="F18" s="346">
        <f t="shared" ref="F18:P18" si="3">SUBTOTAL(109,F6:F17)</f>
        <v>2941.5398836722734</v>
      </c>
      <c r="G18" s="346">
        <f t="shared" si="3"/>
        <v>2830.8925098916466</v>
      </c>
      <c r="H18" s="346">
        <f t="shared" si="3"/>
        <v>2849.1943752596485</v>
      </c>
      <c r="I18" s="346">
        <f t="shared" si="3"/>
        <v>2884.0011306040324</v>
      </c>
      <c r="J18" s="346">
        <f t="shared" si="3"/>
        <v>3279.0560495089394</v>
      </c>
      <c r="K18" s="346">
        <f t="shared" si="3"/>
        <v>3238.723231411856</v>
      </c>
      <c r="L18" s="346">
        <f t="shared" si="3"/>
        <v>3240.4220370262287</v>
      </c>
      <c r="M18" s="346">
        <f t="shared" si="3"/>
        <v>3083.1679940512377</v>
      </c>
      <c r="N18" s="346">
        <f t="shared" si="3"/>
        <v>2391.0868487022035</v>
      </c>
      <c r="O18" s="346">
        <f t="shared" si="3"/>
        <v>2295.009933772074</v>
      </c>
      <c r="P18" s="346">
        <f t="shared" si="3"/>
        <v>2909.8155967628963</v>
      </c>
      <c r="Q18" s="839">
        <f t="shared" si="0"/>
        <v>17595.341974957642</v>
      </c>
      <c r="R18" s="365">
        <f t="shared" si="1"/>
        <v>17158.225641726494</v>
      </c>
      <c r="S18" s="800">
        <f t="shared" si="2"/>
        <v>34753.567616684137</v>
      </c>
    </row>
    <row r="19" spans="1:19" ht="18" customHeight="1" thickTop="1">
      <c r="A19" s="1032"/>
      <c r="B19" s="582">
        <v>3131</v>
      </c>
      <c r="C19" s="82" t="s">
        <v>108</v>
      </c>
      <c r="D19" s="130">
        <f>'Falhas UM-3-1 Cost'!D19</f>
        <v>216.17370000000003</v>
      </c>
      <c r="E19" s="343">
        <f>'Falhas UM-3-2 Qty'!E19*'Falhas UM-3-2 Cost'!$D19/1000</f>
        <v>42.164353758998196</v>
      </c>
      <c r="F19" s="343">
        <f>'Falhas UM-3-2 Qty'!F19*'Falhas UM-3-2 Cost'!$D19/1000</f>
        <v>44.127790397517785</v>
      </c>
      <c r="G19" s="343">
        <f>'Falhas UM-3-2 Qty'!G19*'Falhas UM-3-2 Cost'!$D19/1000</f>
        <v>42.467903293715629</v>
      </c>
      <c r="H19" s="343">
        <f>'Falhas UM-3-2 Qty'!H19*'Falhas UM-3-2 Cost'!$D19/1000</f>
        <v>42.742460468114537</v>
      </c>
      <c r="I19" s="343">
        <f>'Falhas UM-3-2 Qty'!I19*'Falhas UM-3-2 Cost'!$D19/1000</f>
        <v>43.264617319626325</v>
      </c>
      <c r="J19" s="343">
        <f>'Falhas UM-3-2 Qty'!J19*'Falhas UM-3-2 Cost'!$D19/1000</f>
        <v>49.191071267679071</v>
      </c>
      <c r="K19" s="343">
        <f>'Falhas UM-3-2 Qty'!K19*'Falhas UM-3-2 Cost'!$D19/1000</f>
        <v>48.586014660080956</v>
      </c>
      <c r="L19" s="343">
        <f>'Falhas UM-3-2 Qty'!L19*'Falhas UM-3-2 Cost'!$D19/1000</f>
        <v>48.611499454114593</v>
      </c>
      <c r="M19" s="343">
        <f>'Falhas UM-3-2 Qty'!M19*'Falhas UM-3-2 Cost'!$D19/1000</f>
        <v>46.252437968638645</v>
      </c>
      <c r="N19" s="343">
        <f>'Falhas UM-3-2 Qty'!N19*'Falhas UM-3-2 Cost'!$D19/1000</f>
        <v>35.870116828083688</v>
      </c>
      <c r="O19" s="343">
        <f>'Falhas UM-3-2 Qty'!O19*'Falhas UM-3-2 Cost'!$D19/1000</f>
        <v>34.428809848834433</v>
      </c>
      <c r="P19" s="818">
        <f>'Falhas UM-3-2 Qty'!P19*'Falhas UM-3-2 Cost'!$D19/1000</f>
        <v>43.651875489473078</v>
      </c>
      <c r="Q19" s="836">
        <f t="shared" si="0"/>
        <v>263.95819650565153</v>
      </c>
      <c r="R19" s="362">
        <f t="shared" si="1"/>
        <v>257.40075424922537</v>
      </c>
      <c r="S19" s="796">
        <f t="shared" si="2"/>
        <v>521.3589507548769</v>
      </c>
    </row>
    <row r="20" spans="1:19" ht="18" customHeight="1">
      <c r="A20" s="1032"/>
      <c r="B20" s="582">
        <v>3136</v>
      </c>
      <c r="C20" s="89" t="s">
        <v>109</v>
      </c>
      <c r="D20" s="130">
        <f>'Falhas UM-3-1 Cost'!D20</f>
        <v>216.17370000000003</v>
      </c>
      <c r="E20" s="343">
        <f>'Falhas UM-3-2 Qty'!E20*'Falhas UM-3-2 Cost'!$D20/1000</f>
        <v>22.290458985335093</v>
      </c>
      <c r="F20" s="343">
        <f>'Falhas UM-3-2 Qty'!F20*'Falhas UM-3-2 Cost'!$D20/1000</f>
        <v>23.32844249413926</v>
      </c>
      <c r="G20" s="343">
        <f>'Falhas UM-3-2 Qty'!G20*'Falhas UM-3-2 Cost'!$D20/1000</f>
        <v>22.450932414912852</v>
      </c>
      <c r="H20" s="343">
        <f>'Falhas UM-3-2 Qty'!H20*'Falhas UM-3-2 Cost'!$D20/1000</f>
        <v>22.596078845237599</v>
      </c>
      <c r="I20" s="343">
        <f>'Falhas UM-3-2 Qty'!I20*'Falhas UM-3-2 Cost'!$D20/1000</f>
        <v>22.872120450169145</v>
      </c>
      <c r="J20" s="343">
        <f>'Falhas UM-3-2 Qty'!J20*'Falhas UM-3-2 Cost'!$D20/1000</f>
        <v>26.005178753697749</v>
      </c>
      <c r="K20" s="343">
        <f>'Falhas UM-3-2 Qty'!K20*'Falhas UM-3-2 Cost'!$D20/1000</f>
        <v>25.685311655234429</v>
      </c>
      <c r="L20" s="343">
        <f>'Falhas UM-3-2 Qty'!L20*'Falhas UM-3-2 Cost'!$D20/1000</f>
        <v>25.698784356829801</v>
      </c>
      <c r="M20" s="343">
        <f>'Falhas UM-3-2 Qty'!M20*'Falhas UM-3-2 Cost'!$D20/1000</f>
        <v>24.451651207666728</v>
      </c>
      <c r="N20" s="343">
        <f>'Falhas UM-3-2 Qty'!N20*'Falhas UM-3-2 Cost'!$D20/1000</f>
        <v>18.962969823412628</v>
      </c>
      <c r="O20" s="343">
        <f>'Falhas UM-3-2 Qty'!O20*'Falhas UM-3-2 Cost'!$D20/1000</f>
        <v>18.201013544185258</v>
      </c>
      <c r="P20" s="818">
        <f>'Falhas UM-3-2 Qty'!P20*'Falhas UM-3-2 Cost'!$D20/1000</f>
        <v>23.076846992429093</v>
      </c>
      <c r="Q20" s="836">
        <f t="shared" si="0"/>
        <v>139.54321194349171</v>
      </c>
      <c r="R20" s="362">
        <f t="shared" si="1"/>
        <v>136.07657757975795</v>
      </c>
      <c r="S20" s="796">
        <f t="shared" si="2"/>
        <v>275.61978952324966</v>
      </c>
    </row>
    <row r="21" spans="1:19" ht="18" customHeight="1">
      <c r="A21" s="1032"/>
      <c r="B21" s="582">
        <v>3141</v>
      </c>
      <c r="C21" s="89" t="s">
        <v>110</v>
      </c>
      <c r="D21" s="130">
        <f>'Falhas UM-3-1 Cost'!D21</f>
        <v>216.17370000000003</v>
      </c>
      <c r="E21" s="343">
        <f>'Falhas UM-3-2 Qty'!E21*'Falhas UM-3-2 Cost'!$D21/1000</f>
        <v>23.316714562210009</v>
      </c>
      <c r="F21" s="343">
        <f>'Falhas UM-3-2 Qty'!F21*'Falhas UM-3-2 Cost'!$D21/1000</f>
        <v>24.402486964249412</v>
      </c>
      <c r="G21" s="343">
        <f>'Falhas UM-3-2 Qty'!G21*'Falhas UM-3-2 Cost'!$D21/1000</f>
        <v>23.484576208968623</v>
      </c>
      <c r="H21" s="343">
        <f>'Falhas UM-3-2 Qty'!H21*'Falhas UM-3-2 Cost'!$D21/1000</f>
        <v>23.636405199472247</v>
      </c>
      <c r="I21" s="343">
        <f>'Falhas UM-3-2 Qty'!I21*'Falhas UM-3-2 Cost'!$D21/1000</f>
        <v>23.925155795129236</v>
      </c>
      <c r="J21" s="343">
        <f>'Falhas UM-3-2 Qty'!J21*'Falhas UM-3-2 Cost'!$D21/1000</f>
        <v>27.202460502860909</v>
      </c>
      <c r="K21" s="343">
        <f>'Falhas UM-3-2 Qty'!K21*'Falhas UM-3-2 Cost'!$D21/1000</f>
        <v>26.867866682355984</v>
      </c>
      <c r="L21" s="343">
        <f>'Falhas UM-3-2 Qty'!L21*'Falhas UM-3-2 Cost'!$D21/1000</f>
        <v>26.881959668852481</v>
      </c>
      <c r="M21" s="343">
        <f>'Falhas UM-3-2 Qty'!M21*'Falhas UM-3-2 Cost'!$D21/1000</f>
        <v>25.577408350315853</v>
      </c>
      <c r="N21" s="343">
        <f>'Falhas UM-3-2 Qty'!N21*'Falhas UM-3-2 Cost'!$D21/1000</f>
        <v>19.836027374546561</v>
      </c>
      <c r="O21" s="343">
        <f>'Falhas UM-3-2 Qty'!O21*'Falhas UM-3-2 Cost'!$D21/1000</f>
        <v>19.038990530966238</v>
      </c>
      <c r="P21" s="818">
        <f>'Falhas UM-3-2 Qty'!P21*'Falhas UM-3-2 Cost'!$D21/1000</f>
        <v>24.139307973526453</v>
      </c>
      <c r="Q21" s="836">
        <f t="shared" si="0"/>
        <v>145.96779923289043</v>
      </c>
      <c r="R21" s="362">
        <f t="shared" si="1"/>
        <v>142.34156058056357</v>
      </c>
      <c r="S21" s="796">
        <f t="shared" si="2"/>
        <v>288.30935981345397</v>
      </c>
    </row>
    <row r="22" spans="1:19" ht="18" customHeight="1">
      <c r="A22" s="1032"/>
      <c r="B22" s="582">
        <v>3146</v>
      </c>
      <c r="C22" s="89" t="s">
        <v>111</v>
      </c>
      <c r="D22" s="130">
        <f>'Falhas UM-3-1 Cost'!D22</f>
        <v>216.17370000000003</v>
      </c>
      <c r="E22" s="343">
        <f>'Falhas UM-3-2 Qty'!E22*'Falhas UM-3-2 Cost'!$D22/1000</f>
        <v>110.11931404636148</v>
      </c>
      <c r="F22" s="343">
        <f>'Falhas UM-3-2 Qty'!F22*'Falhas UM-3-2 Cost'!$D22/1000</f>
        <v>115.24715964416409</v>
      </c>
      <c r="G22" s="343">
        <f>'Falhas UM-3-2 Qty'!G22*'Falhas UM-3-2 Cost'!$D22/1000</f>
        <v>110.91208480085318</v>
      </c>
      <c r="H22" s="343">
        <f>'Falhas UM-3-2 Qty'!H22*'Falhas UM-3-2 Cost'!$D22/1000</f>
        <v>111.62913712149648</v>
      </c>
      <c r="I22" s="343">
        <f>'Falhas UM-3-2 Qty'!I22*'Falhas UM-3-2 Cost'!$D22/1000</f>
        <v>112.99283771659492</v>
      </c>
      <c r="J22" s="343">
        <f>'Falhas UM-3-2 Qty'!J22*'Falhas UM-3-2 Cost'!$D22/1000</f>
        <v>128.47077074071117</v>
      </c>
      <c r="K22" s="343">
        <f>'Falhas UM-3-2 Qty'!K22*'Falhas UM-3-2 Cost'!$D22/1000</f>
        <v>126.89056346494556</v>
      </c>
      <c r="L22" s="343">
        <f>'Falhas UM-3-2 Qty'!L22*'Falhas UM-3-2 Cost'!$D22/1000</f>
        <v>126.95712129845676</v>
      </c>
      <c r="M22" s="343">
        <f>'Falhas UM-3-2 Qty'!M22*'Falhas UM-3-2 Cost'!$D22/1000</f>
        <v>120.79603475462793</v>
      </c>
      <c r="N22" s="343">
        <f>'Falhas UM-3-2 Qty'!N22*'Falhas UM-3-2 Cost'!$D22/1000</f>
        <v>93.680853795333334</v>
      </c>
      <c r="O22" s="343">
        <f>'Falhas UM-3-2 Qty'!O22*'Falhas UM-3-2 Cost'!$D22/1000</f>
        <v>89.916637775508988</v>
      </c>
      <c r="P22" s="818">
        <f>'Falhas UM-3-2 Qty'!P22*'Falhas UM-3-2 Cost'!$D22/1000</f>
        <v>114.0042276756613</v>
      </c>
      <c r="Q22" s="836">
        <f t="shared" si="0"/>
        <v>689.37130407018128</v>
      </c>
      <c r="R22" s="362">
        <f t="shared" si="1"/>
        <v>672.2454387645339</v>
      </c>
      <c r="S22" s="796">
        <f t="shared" si="2"/>
        <v>1361.6167428347153</v>
      </c>
    </row>
    <row r="23" spans="1:19" ht="18" customHeight="1">
      <c r="A23" s="1032"/>
      <c r="B23" s="584">
        <v>3151</v>
      </c>
      <c r="C23" s="90" t="s">
        <v>112</v>
      </c>
      <c r="D23" s="310">
        <f>'Falhas UM-3-1 Cost'!D23</f>
        <v>216.17370000000003</v>
      </c>
      <c r="E23" s="347">
        <f>'Falhas UM-3-2 Qty'!E23*'Falhas UM-3-2 Cost'!$D23/1000</f>
        <v>11.375572241809701</v>
      </c>
      <c r="F23" s="347">
        <f>'Falhas UM-3-2 Qty'!F23*'Falhas UM-3-2 Cost'!$D23/1000</f>
        <v>11.905290198625986</v>
      </c>
      <c r="G23" s="347">
        <f>'Falhas UM-3-2 Qty'!G23*'Falhas UM-3-2 Cost'!$D23/1000</f>
        <v>11.457467239676445</v>
      </c>
      <c r="H23" s="347">
        <f>'Falhas UM-3-2 Qty'!H23*'Falhas UM-3-2 Cost'!$D23/1000</f>
        <v>11.531540353419247</v>
      </c>
      <c r="I23" s="347">
        <f>'Falhas UM-3-2 Qty'!I23*'Falhas UM-3-2 Cost'!$D23/1000</f>
        <v>11.672413684951351</v>
      </c>
      <c r="J23" s="347">
        <f>'Falhas UM-3-2 Qty'!J23*'Falhas UM-3-2 Cost'!$D23/1000</f>
        <v>13.271318897851593</v>
      </c>
      <c r="K23" s="347">
        <f>'Falhas UM-3-2 Qty'!K23*'Falhas UM-3-2 Cost'!$D23/1000</f>
        <v>13.108079940379188</v>
      </c>
      <c r="L23" s="347">
        <f>'Falhas UM-3-2 Qty'!L23*'Falhas UM-3-2 Cost'!$D23/1000</f>
        <v>13.114955513932486</v>
      </c>
      <c r="M23" s="347">
        <f>'Falhas UM-3-2 Qty'!M23*'Falhas UM-3-2 Cost'!$D23/1000</f>
        <v>12.478501448863943</v>
      </c>
      <c r="N23" s="347">
        <f>'Falhas UM-3-2 Qty'!N23*'Falhas UM-3-2 Cost'!$D23/1000</f>
        <v>9.6774424110067194</v>
      </c>
      <c r="O23" s="347">
        <f>'Falhas UM-3-2 Qty'!O23*'Falhas UM-3-2 Cost'!$D23/1000</f>
        <v>9.2885904494946718</v>
      </c>
      <c r="P23" s="377">
        <f>'Falhas UM-3-2 Qty'!P23*'Falhas UM-3-2 Cost'!$D23/1000</f>
        <v>11.776892537218419</v>
      </c>
      <c r="Q23" s="840">
        <f t="shared" si="0"/>
        <v>71.213602616334327</v>
      </c>
      <c r="R23" s="366">
        <f t="shared" si="1"/>
        <v>69.444462300895424</v>
      </c>
      <c r="S23" s="801">
        <f t="shared" si="2"/>
        <v>140.65806491722975</v>
      </c>
    </row>
    <row r="24" spans="1:19" ht="18" customHeight="1">
      <c r="A24" s="1032"/>
      <c r="B24" s="582">
        <v>3156</v>
      </c>
      <c r="C24" s="82" t="s">
        <v>115</v>
      </c>
      <c r="D24" s="130">
        <f>'Falhas UM-3-1 Cost'!D24</f>
        <v>216.17370000000003</v>
      </c>
      <c r="E24" s="343">
        <f>'Falhas UM-3-2 Qty'!E24*'Falhas UM-3-2 Cost'!$D24/1000</f>
        <v>21.423423255872869</v>
      </c>
      <c r="F24" s="343">
        <f>'Falhas UM-3-2 Qty'!F24*'Falhas UM-3-2 Cost'!$D24/1000</f>
        <v>22.421032145683416</v>
      </c>
      <c r="G24" s="343">
        <f>'Falhas UM-3-2 Qty'!G24*'Falhas UM-3-2 Cost'!$D24/1000</f>
        <v>21.577654723489918</v>
      </c>
      <c r="H24" s="343">
        <f>'Falhas UM-3-2 Qty'!H24*'Falhas UM-3-2 Cost'!$D24/1000</f>
        <v>21.717155368719872</v>
      </c>
      <c r="I24" s="343">
        <f>'Falhas UM-3-2 Qty'!I24*'Falhas UM-3-2 Cost'!$D24/1000</f>
        <v>21.982459736950677</v>
      </c>
      <c r="J24" s="343">
        <f>'Falhas UM-3-2 Qty'!J24*'Falhas UM-3-2 Cost'!$D24/1000</f>
        <v>24.993650945080539</v>
      </c>
      <c r="K24" s="343">
        <f>'Falhas UM-3-2 Qty'!K24*'Falhas UM-3-2 Cost'!$D24/1000</f>
        <v>24.686225770905519</v>
      </c>
      <c r="L24" s="343">
        <f>'Falhas UM-3-2 Qty'!L24*'Falhas UM-3-2 Cost'!$D24/1000</f>
        <v>24.69917442256261</v>
      </c>
      <c r="M24" s="343">
        <f>'Falhas UM-3-2 Qty'!M24*'Falhas UM-3-2 Cost'!$D24/1000</f>
        <v>23.500551221105525</v>
      </c>
      <c r="N24" s="343">
        <f>'Falhas UM-3-2 Qty'!N24*'Falhas UM-3-2 Cost'!$D24/1000</f>
        <v>18.225363999125669</v>
      </c>
      <c r="O24" s="343">
        <f>'Falhas UM-3-2 Qty'!O24*'Falhas UM-3-2 Cost'!$D24/1000</f>
        <v>17.493045661351768</v>
      </c>
      <c r="P24" s="818">
        <f>'Falhas UM-3-2 Qty'!P24*'Falhas UM-3-2 Cost'!$D24/1000</f>
        <v>22.179222996488384</v>
      </c>
      <c r="Q24" s="836">
        <f t="shared" si="0"/>
        <v>134.11537617579728</v>
      </c>
      <c r="R24" s="362">
        <f t="shared" si="1"/>
        <v>130.78358407153948</v>
      </c>
      <c r="S24" s="796">
        <f t="shared" si="2"/>
        <v>264.89896024733673</v>
      </c>
    </row>
    <row r="25" spans="1:19" ht="18" customHeight="1">
      <c r="A25" s="1032"/>
      <c r="B25" s="582">
        <v>3161</v>
      </c>
      <c r="C25" s="89" t="s">
        <v>126</v>
      </c>
      <c r="D25" s="130">
        <f>'Falhas UM-3-1 Cost'!D25</f>
        <v>216.17370000000003</v>
      </c>
      <c r="E25" s="343">
        <f>'Falhas UM-3-2 Qty'!E25*'Falhas UM-3-2 Cost'!$D25/1000</f>
        <v>6.0867446602520383</v>
      </c>
      <c r="F25" s="343">
        <f>'Falhas UM-3-2 Qty'!F25*'Falhas UM-3-2 Cost'!$D25/1000</f>
        <v>6.3701816493153869</v>
      </c>
      <c r="G25" s="343">
        <f>'Falhas UM-3-2 Qty'!G25*'Falhas UM-3-2 Cost'!$D25/1000</f>
        <v>6.1305643407367416</v>
      </c>
      <c r="H25" s="343">
        <f>'Falhas UM-3-2 Qty'!H25*'Falhas UM-3-2 Cost'!$D25/1000</f>
        <v>6.1701987538421443</v>
      </c>
      <c r="I25" s="343">
        <f>'Falhas UM-3-2 Qty'!I25*'Falhas UM-3-2 Cost'!$D25/1000</f>
        <v>6.2455760606050905</v>
      </c>
      <c r="J25" s="343">
        <f>'Falhas UM-3-2 Qty'!J25*'Falhas UM-3-2 Cost'!$D25/1000</f>
        <v>7.1011046933626005</v>
      </c>
      <c r="K25" s="343">
        <f>'Falhas UM-3-2 Qty'!K25*'Falhas UM-3-2 Cost'!$D25/1000</f>
        <v>7.0137601772697344</v>
      </c>
      <c r="L25" s="343">
        <f>'Falhas UM-3-2 Qty'!L25*'Falhas UM-3-2 Cost'!$D25/1000</f>
        <v>7.017439100819435</v>
      </c>
      <c r="M25" s="343">
        <f>'Falhas UM-3-2 Qty'!M25*'Falhas UM-3-2 Cost'!$D25/1000</f>
        <v>6.6768906607318739</v>
      </c>
      <c r="N25" s="343">
        <f>'Falhas UM-3-2 Qty'!N25*'Falhas UM-3-2 Cost'!$D25/1000</f>
        <v>5.1781237609828512</v>
      </c>
      <c r="O25" s="343">
        <f>'Falhas UM-3-2 Qty'!O25*'Falhas UM-3-2 Cost'!$D25/1000</f>
        <v>4.9700601532758979</v>
      </c>
      <c r="P25" s="818">
        <f>'Falhas UM-3-2 Qty'!P25*'Falhas UM-3-2 Cost'!$D25/1000</f>
        <v>6.3014797182521782</v>
      </c>
      <c r="Q25" s="836">
        <f t="shared" si="0"/>
        <v>38.104370158114001</v>
      </c>
      <c r="R25" s="362">
        <f t="shared" si="1"/>
        <v>37.157753571331973</v>
      </c>
      <c r="S25" s="796">
        <f t="shared" si="2"/>
        <v>75.262123729445975</v>
      </c>
    </row>
    <row r="26" spans="1:19" ht="18" customHeight="1">
      <c r="A26" s="1032"/>
      <c r="B26" s="582">
        <v>3166</v>
      </c>
      <c r="C26" s="89" t="s">
        <v>127</v>
      </c>
      <c r="D26" s="130">
        <f>'Falhas UM-3-1 Cost'!D26</f>
        <v>216.17370000000003</v>
      </c>
      <c r="E26" s="343">
        <f>'Falhas UM-3-2 Qty'!E26*'Falhas UM-3-2 Cost'!$D26/1000</f>
        <v>0.31405553765872507</v>
      </c>
      <c r="F26" s="343">
        <f>'Falhas UM-3-2 Qty'!F26*'Falhas UM-3-2 Cost'!$D26/1000</f>
        <v>0.32867993230007575</v>
      </c>
      <c r="G26" s="343">
        <f>'Falhas UM-3-2 Qty'!G26*'Falhas UM-3-2 Cost'!$D26/1000</f>
        <v>0.31631648568313048</v>
      </c>
      <c r="H26" s="343">
        <f>'Falhas UM-3-2 Qty'!H26*'Falhas UM-3-2 Cost'!$D26/1000</f>
        <v>0.31836148799756792</v>
      </c>
      <c r="I26" s="343">
        <f>'Falhas UM-3-2 Qty'!I26*'Falhas UM-3-2 Cost'!$D26/1000</f>
        <v>0.32225070332103833</v>
      </c>
      <c r="J26" s="343">
        <f>'Falhas UM-3-2 Qty'!J26*'Falhas UM-3-2 Cost'!$D26/1000</f>
        <v>0.3663931012267142</v>
      </c>
      <c r="K26" s="343">
        <f>'Falhas UM-3-2 Qty'!K26*'Falhas UM-3-2 Cost'!$D26/1000</f>
        <v>0.36188641818114181</v>
      </c>
      <c r="L26" s="343">
        <f>'Falhas UM-3-2 Qty'!L26*'Falhas UM-3-2 Cost'!$D26/1000</f>
        <v>0.36207623825375829</v>
      </c>
      <c r="M26" s="343">
        <f>'Falhas UM-3-2 Qty'!M26*'Falhas UM-3-2 Cost'!$D26/1000</f>
        <v>0.34450508496570315</v>
      </c>
      <c r="N26" s="343">
        <f>'Falhas UM-3-2 Qty'!N26*'Falhas UM-3-2 Cost'!$D26/1000</f>
        <v>0.2671737574993906</v>
      </c>
      <c r="O26" s="343">
        <f>'Falhas UM-3-2 Qty'!O26*'Falhas UM-3-2 Cost'!$D26/1000</f>
        <v>0.25643837564374439</v>
      </c>
      <c r="P26" s="818">
        <f>'Falhas UM-3-2 Qty'!P26*'Falhas UM-3-2 Cost'!$D26/1000</f>
        <v>0.32513514389468284</v>
      </c>
      <c r="Q26" s="836">
        <f t="shared" si="0"/>
        <v>1.9660572481872514</v>
      </c>
      <c r="R26" s="362">
        <f t="shared" si="1"/>
        <v>1.9172150184384211</v>
      </c>
      <c r="S26" s="796">
        <f t="shared" si="2"/>
        <v>3.8832722666256725</v>
      </c>
    </row>
    <row r="27" spans="1:19" ht="18" customHeight="1">
      <c r="A27" s="1032"/>
      <c r="B27" s="582">
        <v>3171</v>
      </c>
      <c r="C27" s="89" t="s">
        <v>128</v>
      </c>
      <c r="D27" s="130">
        <f>'Falhas UM-3-1 Cost'!D27</f>
        <v>216.17370000000003</v>
      </c>
      <c r="E27" s="343">
        <f>'Falhas UM-3-2 Qty'!E27*'Falhas UM-3-2 Cost'!$D27/1000</f>
        <v>185.71837099553019</v>
      </c>
      <c r="F27" s="343">
        <f>'Falhas UM-3-2 Qty'!F27*'Falhas UM-3-2 Cost'!$D27/1000</f>
        <v>194.36658261388044</v>
      </c>
      <c r="G27" s="343">
        <f>'Falhas UM-3-2 Qty'!G27*'Falhas UM-3-2 Cost'!$D27/1000</f>
        <v>187.05539433582365</v>
      </c>
      <c r="H27" s="343">
        <f>'Falhas UM-3-2 Qty'!H27*'Falhas UM-3-2 Cost'!$D27/1000</f>
        <v>188.26471706055818</v>
      </c>
      <c r="I27" s="343">
        <f>'Falhas UM-3-2 Qty'!I27*'Falhas UM-3-2 Cost'!$D27/1000</f>
        <v>190.56462471291323</v>
      </c>
      <c r="J27" s="343">
        <f>'Falhas UM-3-2 Qty'!J27*'Falhas UM-3-2 Cost'!$D27/1000</f>
        <v>216.66846065223424</v>
      </c>
      <c r="K27" s="343">
        <f>'Falhas UM-3-2 Qty'!K27*'Falhas UM-3-2 Cost'!$D27/1000</f>
        <v>214.00341026001229</v>
      </c>
      <c r="L27" s="343">
        <f>'Falhas UM-3-2 Qty'!L27*'Falhas UM-3-2 Cost'!$D27/1000</f>
        <v>214.1156613444268</v>
      </c>
      <c r="M27" s="343">
        <f>'Falhas UM-3-2 Qty'!M27*'Falhas UM-3-2 Cost'!$D27/1000</f>
        <v>203.72486871743462</v>
      </c>
      <c r="N27" s="343">
        <f>'Falhas UM-3-2 Qty'!N27*'Falhas UM-3-2 Cost'!$D27/1000</f>
        <v>157.99458715312076</v>
      </c>
      <c r="O27" s="343">
        <f>'Falhas UM-3-2 Qty'!O27*'Falhas UM-3-2 Cost'!$D27/1000</f>
        <v>151.64616341536728</v>
      </c>
      <c r="P27" s="818">
        <f>'Falhas UM-3-2 Qty'!P27*'Falhas UM-3-2 Cost'!$D27/1000</f>
        <v>192.27035360584804</v>
      </c>
      <c r="Q27" s="836">
        <f t="shared" si="0"/>
        <v>1162.6381503709399</v>
      </c>
      <c r="R27" s="362">
        <f t="shared" si="1"/>
        <v>1133.7550444962098</v>
      </c>
      <c r="S27" s="796">
        <f t="shared" si="2"/>
        <v>2296.3931948671498</v>
      </c>
    </row>
    <row r="28" spans="1:19" ht="18" customHeight="1">
      <c r="A28" s="1032"/>
      <c r="B28" s="582">
        <v>3176</v>
      </c>
      <c r="C28" s="89" t="s">
        <v>129</v>
      </c>
      <c r="D28" s="130">
        <f>'Falhas UM-3-1 Cost'!D28</f>
        <v>216.17370000000003</v>
      </c>
      <c r="E28" s="343">
        <f>'Falhas UM-3-2 Qty'!E28*'Falhas UM-3-2 Cost'!$D28/1000</f>
        <v>0.49113132692465461</v>
      </c>
      <c r="F28" s="343">
        <f>'Falhas UM-3-2 Qty'!F28*'Falhas UM-3-2 Cost'!$D28/1000</f>
        <v>0.5140014803988513</v>
      </c>
      <c r="G28" s="343">
        <f>'Falhas UM-3-2 Qty'!G28*'Falhas UM-3-2 Cost'!$D28/1000</f>
        <v>0.49466707863154091</v>
      </c>
      <c r="H28" s="343">
        <f>'Falhas UM-3-2 Qty'!H28*'Falhas UM-3-2 Cost'!$D28/1000</f>
        <v>0.49786512668298155</v>
      </c>
      <c r="I28" s="343">
        <f>'Falhas UM-3-2 Qty'!I28*'Falhas UM-3-2 Cost'!$D28/1000</f>
        <v>0.50394722126011138</v>
      </c>
      <c r="J28" s="343">
        <f>'Falhas UM-3-2 Qty'!J28*'Falhas UM-3-2 Cost'!$D28/1000</f>
        <v>0.57297868817412378</v>
      </c>
      <c r="K28" s="343">
        <f>'Falhas UM-3-2 Qty'!K28*'Falhas UM-3-2 Cost'!$D28/1000</f>
        <v>0.56593097540108572</v>
      </c>
      <c r="L28" s="343">
        <f>'Falhas UM-3-2 Qty'!L28*'Falhas UM-3-2 Cost'!$D28/1000</f>
        <v>0.56622782284671913</v>
      </c>
      <c r="M28" s="343">
        <f>'Falhas UM-3-2 Qty'!M28*'Falhas UM-3-2 Cost'!$D28/1000</f>
        <v>0.53874942238833678</v>
      </c>
      <c r="N28" s="343">
        <f>'Falhas UM-3-2 Qty'!N28*'Falhas UM-3-2 Cost'!$D28/1000</f>
        <v>0.41781591567639131</v>
      </c>
      <c r="O28" s="343">
        <f>'Falhas UM-3-2 Qty'!O28*'Falhas UM-3-2 Cost'!$D28/1000</f>
        <v>0.40102754004349345</v>
      </c>
      <c r="P28" s="818">
        <f>'Falhas UM-3-2 Qty'!P28*'Falhas UM-3-2 Cost'!$D28/1000</f>
        <v>0.50845801300392324</v>
      </c>
      <c r="Q28" s="836">
        <f t="shared" si="0"/>
        <v>3.0745909220722636</v>
      </c>
      <c r="R28" s="362">
        <f t="shared" si="1"/>
        <v>2.9982096893599497</v>
      </c>
      <c r="S28" s="796">
        <f t="shared" si="2"/>
        <v>6.0728006114322133</v>
      </c>
    </row>
    <row r="29" spans="1:19" ht="18" customHeight="1">
      <c r="A29" s="1032"/>
      <c r="B29" s="585">
        <v>3181</v>
      </c>
      <c r="C29" s="92" t="s">
        <v>130</v>
      </c>
      <c r="D29" s="309">
        <f>'Falhas UM-3-1 Cost'!D29</f>
        <v>216.17370000000003</v>
      </c>
      <c r="E29" s="345">
        <f>'Falhas UM-3-2 Qty'!E29*'Falhas UM-3-2 Cost'!$D29/1000</f>
        <v>52.748173109799609</v>
      </c>
      <c r="F29" s="345">
        <f>'Falhas UM-3-2 Qty'!F29*'Falhas UM-3-2 Cost'!$D29/1000</f>
        <v>55.204458727046905</v>
      </c>
      <c r="G29" s="345">
        <f>'Falhas UM-3-2 Qty'!G29*'Falhas UM-3-2 Cost'!$D29/1000</f>
        <v>53.127917656489281</v>
      </c>
      <c r="H29" s="345">
        <f>'Falhas UM-3-2 Qty'!H29*'Falhas UM-3-2 Cost'!$D29/1000</f>
        <v>53.471392370853685</v>
      </c>
      <c r="I29" s="345">
        <f>'Falhas UM-3-2 Qty'!I29*'Falhas UM-3-2 Cost'!$D29/1000</f>
        <v>54.12461760825304</v>
      </c>
      <c r="J29" s="345">
        <f>'Falhas UM-3-2 Qty'!J29*'Falhas UM-3-2 Cost'!$D29/1000</f>
        <v>61.538691130307853</v>
      </c>
      <c r="K29" s="345">
        <f>'Falhas UM-3-2 Qty'!K29*'Falhas UM-3-2 Cost'!$D29/1000</f>
        <v>60.781757184130569</v>
      </c>
      <c r="L29" s="345">
        <f>'Falhas UM-3-2 Qty'!L29*'Falhas UM-3-2 Cost'!$D29/1000</f>
        <v>60.813639003902743</v>
      </c>
      <c r="M29" s="345">
        <f>'Falhas UM-3-2 Qty'!M29*'Falhas UM-3-2 Cost'!$D29/1000</f>
        <v>57.8624213871501</v>
      </c>
      <c r="N29" s="345">
        <f>'Falhas UM-3-2 Qty'!N29*'Falhas UM-3-2 Cost'!$D29/1000</f>
        <v>44.873998134329497</v>
      </c>
      <c r="O29" s="345">
        <f>'Falhas UM-3-2 Qty'!O29*'Falhas UM-3-2 Cost'!$D29/1000</f>
        <v>43.070903736622121</v>
      </c>
      <c r="P29" s="819">
        <f>'Falhas UM-3-2 Qty'!P29*'Falhas UM-3-2 Cost'!$D29/1000</f>
        <v>54.609082782272246</v>
      </c>
      <c r="Q29" s="838">
        <f t="shared" si="0"/>
        <v>330.21525060275042</v>
      </c>
      <c r="R29" s="364">
        <f t="shared" si="1"/>
        <v>322.0118022284073</v>
      </c>
      <c r="S29" s="798">
        <f t="shared" si="2"/>
        <v>652.22705283115772</v>
      </c>
    </row>
    <row r="30" spans="1:19" ht="18" customHeight="1">
      <c r="A30" s="1032"/>
      <c r="B30" s="586">
        <v>3186</v>
      </c>
      <c r="C30" s="89" t="s">
        <v>131</v>
      </c>
      <c r="D30" s="138">
        <f>'Falhas UM-3-1 Cost'!D30</f>
        <v>216.17370000000003</v>
      </c>
      <c r="E30" s="344">
        <f>'Falhas UM-3-2 Qty'!E30*'Falhas UM-3-2 Cost'!$D30/1000</f>
        <v>69.360826475630915</v>
      </c>
      <c r="F30" s="344">
        <f>'Falhas UM-3-2 Qty'!F30*'Falhas UM-3-2 Cost'!$D30/1000</f>
        <v>72.590701377987031</v>
      </c>
      <c r="G30" s="344">
        <f>'Falhas UM-3-2 Qty'!G30*'Falhas UM-3-2 Cost'!$D30/1000</f>
        <v>69.860168804571529</v>
      </c>
      <c r="H30" s="344">
        <f>'Falhas UM-3-2 Qty'!H30*'Falhas UM-3-2 Cost'!$D30/1000</f>
        <v>70.311818381367402</v>
      </c>
      <c r="I30" s="344">
        <f>'Falhas UM-3-2 Qty'!I30*'Falhas UM-3-2 Cost'!$D30/1000</f>
        <v>71.170772154921707</v>
      </c>
      <c r="J30" s="344">
        <f>'Falhas UM-3-2 Qty'!J30*'Falhas UM-3-2 Cost'!$D30/1000</f>
        <v>80.919854193656391</v>
      </c>
      <c r="K30" s="344">
        <f>'Falhas UM-3-2 Qty'!K30*'Falhas UM-3-2 Cost'!$D30/1000</f>
        <v>79.924529407999245</v>
      </c>
      <c r="L30" s="344">
        <f>'Falhas UM-3-2 Qty'!L30*'Falhas UM-3-2 Cost'!$D30/1000</f>
        <v>79.966452174961077</v>
      </c>
      <c r="M30" s="344">
        <f>'Falhas UM-3-2 Qty'!M30*'Falhas UM-3-2 Cost'!$D30/1000</f>
        <v>76.085770040599598</v>
      </c>
      <c r="N30" s="344">
        <f>'Falhas UM-3-2 Qty'!N30*'Falhas UM-3-2 Cost'!$D30/1000</f>
        <v>59.006737378071797</v>
      </c>
      <c r="O30" s="344">
        <f>'Falhas UM-3-2 Qty'!O30*'Falhas UM-3-2 Cost'!$D30/1000</f>
        <v>56.635771517733218</v>
      </c>
      <c r="P30" s="601">
        <f>'Falhas UM-3-2 Qty'!P30*'Falhas UM-3-2 Cost'!$D30/1000</f>
        <v>71.807816110902621</v>
      </c>
      <c r="Q30" s="837">
        <f t="shared" si="0"/>
        <v>434.21414138813498</v>
      </c>
      <c r="R30" s="363">
        <f t="shared" si="1"/>
        <v>423.42707663026761</v>
      </c>
      <c r="S30" s="797">
        <f t="shared" si="2"/>
        <v>857.64121801840258</v>
      </c>
    </row>
    <row r="31" spans="1:19" ht="18" customHeight="1">
      <c r="A31" s="1032"/>
      <c r="B31" s="582">
        <v>3191</v>
      </c>
      <c r="C31" s="89" t="s">
        <v>113</v>
      </c>
      <c r="D31" s="130">
        <f>'Falhas UM-3-1 Cost'!D31</f>
        <v>216.17370000000003</v>
      </c>
      <c r="E31" s="343">
        <f>'Falhas UM-3-2 Qty'!E31*'Falhas UM-3-2 Cost'!$D31/1000</f>
        <v>56.352488386771668</v>
      </c>
      <c r="F31" s="343">
        <f>'Falhas UM-3-2 Qty'!F31*'Falhas UM-3-2 Cost'!$D31/1000</f>
        <v>58.976613518696041</v>
      </c>
      <c r="G31" s="343">
        <f>'Falhas UM-3-2 Qty'!G31*'Falhas UM-3-2 Cost'!$D31/1000</f>
        <v>56.758181113090842</v>
      </c>
      <c r="H31" s="343">
        <f>'Falhas UM-3-2 Qty'!H31*'Falhas UM-3-2 Cost'!$D31/1000</f>
        <v>57.125125667020292</v>
      </c>
      <c r="I31" s="343">
        <f>'Falhas UM-3-2 Qty'!I31*'Falhas UM-3-2 Cost'!$D31/1000</f>
        <v>57.822986188708278</v>
      </c>
      <c r="J31" s="343">
        <f>'Falhas UM-3-2 Qty'!J31*'Falhas UM-3-2 Cost'!$D31/1000</f>
        <v>65.743667937829301</v>
      </c>
      <c r="K31" s="343">
        <f>'Falhas UM-3-2 Qty'!K31*'Falhas UM-3-2 Cost'!$D31/1000</f>
        <v>64.935012227180934</v>
      </c>
      <c r="L31" s="343">
        <f>'Falhas UM-3-2 Qty'!L31*'Falhas UM-3-2 Cost'!$D31/1000</f>
        <v>64.969072551407137</v>
      </c>
      <c r="M31" s="343">
        <f>'Falhas UM-3-2 Qty'!M31*'Falhas UM-3-2 Cost'!$D31/1000</f>
        <v>61.816196410489319</v>
      </c>
      <c r="N31" s="343">
        <f>'Falhas UM-3-2 Qty'!N31*'Falhas UM-3-2 Cost'!$D31/1000</f>
        <v>47.940266167493505</v>
      </c>
      <c r="O31" s="343">
        <f>'Falhas UM-3-2 Qty'!O31*'Falhas UM-3-2 Cost'!$D31/1000</f>
        <v>46.01396521493632</v>
      </c>
      <c r="P31" s="818">
        <f>'Falhas UM-3-2 Qty'!P31*'Falhas UM-3-2 Cost'!$D31/1000</f>
        <v>58.340555167559614</v>
      </c>
      <c r="Q31" s="836">
        <f t="shared" si="0"/>
        <v>352.77906281211636</v>
      </c>
      <c r="R31" s="362">
        <f t="shared" si="1"/>
        <v>344.01506773906681</v>
      </c>
      <c r="S31" s="796">
        <f t="shared" si="2"/>
        <v>696.79413055118312</v>
      </c>
    </row>
    <row r="32" spans="1:19" ht="18" customHeight="1">
      <c r="A32" s="1032"/>
      <c r="B32" s="582">
        <v>3196</v>
      </c>
      <c r="C32" s="89" t="s">
        <v>132</v>
      </c>
      <c r="D32" s="130">
        <f>'Falhas UM-3-1 Cost'!D32</f>
        <v>216.17370000000003</v>
      </c>
      <c r="E32" s="343">
        <f>'Falhas UM-3-2 Qty'!E32*'Falhas UM-3-2 Cost'!$D32/1000</f>
        <v>1.3078511951230425</v>
      </c>
      <c r="F32" s="343">
        <f>'Falhas UM-3-2 Qty'!F32*'Falhas UM-3-2 Cost'!$D32/1000</f>
        <v>1.368752945661273</v>
      </c>
      <c r="G32" s="343">
        <f>'Falhas UM-3-2 Qty'!G32*'Falhas UM-3-2 Cost'!$D32/1000</f>
        <v>1.317266674938727</v>
      </c>
      <c r="H32" s="343">
        <f>'Falhas UM-3-2 Qty'!H32*'Falhas UM-3-2 Cost'!$D32/1000</f>
        <v>1.3257828715990541</v>
      </c>
      <c r="I32" s="343">
        <f>'Falhas UM-3-2 Qty'!I32*'Falhas UM-3-2 Cost'!$D32/1000</f>
        <v>1.341979099014152</v>
      </c>
      <c r="J32" s="343">
        <f>'Falhas UM-3-2 Qty'!J32*'Falhas UM-3-2 Cost'!$D32/1000</f>
        <v>1.5258054638887315</v>
      </c>
      <c r="K32" s="343">
        <f>'Falhas UM-3-2 Qty'!K32*'Falhas UM-3-2 Cost'!$D32/1000</f>
        <v>1.5070378572063827</v>
      </c>
      <c r="L32" s="343">
        <f>'Falhas UM-3-2 Qty'!L32*'Falhas UM-3-2 Cost'!$D32/1000</f>
        <v>1.5078283428978008</v>
      </c>
      <c r="M32" s="343">
        <f>'Falhas UM-3-2 Qty'!M32*'Falhas UM-3-2 Cost'!$D32/1000</f>
        <v>1.4346551264699305</v>
      </c>
      <c r="N32" s="343">
        <f>'Falhas UM-3-2 Qty'!N32*'Falhas UM-3-2 Cost'!$D32/1000</f>
        <v>1.1126169614967916</v>
      </c>
      <c r="O32" s="343">
        <f>'Falhas UM-3-2 Qty'!O32*'Falhas UM-3-2 Cost'!$D32/1000</f>
        <v>1.0679105949264744</v>
      </c>
      <c r="P32" s="818">
        <f>'Falhas UM-3-2 Qty'!P32*'Falhas UM-3-2 Cost'!$D32/1000</f>
        <v>1.3539910478548749</v>
      </c>
      <c r="Q32" s="836">
        <f t="shared" si="0"/>
        <v>8.1874382502249805</v>
      </c>
      <c r="R32" s="362">
        <f t="shared" si="1"/>
        <v>7.9840399308522549</v>
      </c>
      <c r="S32" s="796">
        <f t="shared" si="2"/>
        <v>16.171478181077234</v>
      </c>
    </row>
    <row r="33" spans="1:19" ht="18" customHeight="1">
      <c r="A33" s="1032"/>
      <c r="B33" s="582">
        <v>3201</v>
      </c>
      <c r="C33" s="89" t="s">
        <v>114</v>
      </c>
      <c r="D33" s="130">
        <f>'Falhas UM-3-1 Cost'!D33</f>
        <v>216.17370000000003</v>
      </c>
      <c r="E33" s="343">
        <f>'Falhas UM-3-2 Qty'!E33*'Falhas UM-3-2 Cost'!$D33/1000</f>
        <v>75.857160490123164</v>
      </c>
      <c r="F33" s="343">
        <f>'Falhas UM-3-2 Qty'!F33*'Falhas UM-3-2 Cost'!$D33/1000</f>
        <v>79.389545429583606</v>
      </c>
      <c r="G33" s="343">
        <f>'Falhas UM-3-2 Qty'!G33*'Falhas UM-3-2 Cost'!$D33/1000</f>
        <v>76.403271214441986</v>
      </c>
      <c r="H33" s="343">
        <f>'Falhas UM-3-2 Qty'!H33*'Falhas UM-3-2 Cost'!$D33/1000</f>
        <v>76.897222284133136</v>
      </c>
      <c r="I33" s="343">
        <f>'Falhas UM-3-2 Qty'!I33*'Falhas UM-3-2 Cost'!$D33/1000</f>
        <v>77.836625655818736</v>
      </c>
      <c r="J33" s="343">
        <f>'Falhas UM-3-2 Qty'!J33*'Falhas UM-3-2 Cost'!$D33/1000</f>
        <v>88.49880657869889</v>
      </c>
      <c r="K33" s="343">
        <f>'Falhas UM-3-2 Qty'!K33*'Falhas UM-3-2 Cost'!$D33/1000</f>
        <v>87.410259687869711</v>
      </c>
      <c r="L33" s="343">
        <f>'Falhas UM-3-2 Qty'!L33*'Falhas UM-3-2 Cost'!$D33/1000</f>
        <v>87.456108940584855</v>
      </c>
      <c r="M33" s="343">
        <f>'Falhas UM-3-2 Qty'!M33*'Falhas UM-3-2 Cost'!$D33/1000</f>
        <v>83.211962173088693</v>
      </c>
      <c r="N33" s="343">
        <f>'Falhas UM-3-2 Qty'!N33*'Falhas UM-3-2 Cost'!$D33/1000</f>
        <v>64.533307555952476</v>
      </c>
      <c r="O33" s="343">
        <f>'Falhas UM-3-2 Qty'!O33*'Falhas UM-3-2 Cost'!$D33/1000</f>
        <v>61.940277067085738</v>
      </c>
      <c r="P33" s="818">
        <f>'Falhas UM-3-2 Qty'!P33*'Falhas UM-3-2 Cost'!$D33/1000</f>
        <v>78.533335139594655</v>
      </c>
      <c r="Q33" s="836">
        <f t="shared" si="0"/>
        <v>474.88263165279955</v>
      </c>
      <c r="R33" s="362">
        <f t="shared" si="1"/>
        <v>463.08525056417614</v>
      </c>
      <c r="S33" s="796">
        <f t="shared" si="2"/>
        <v>937.96788221697568</v>
      </c>
    </row>
    <row r="34" spans="1:19" ht="18" customHeight="1">
      <c r="A34" s="1032"/>
      <c r="B34" s="582">
        <v>3206</v>
      </c>
      <c r="C34" s="89" t="s">
        <v>133</v>
      </c>
      <c r="D34" s="130">
        <f>'Falhas UM-3-1 Cost'!D34</f>
        <v>216.17370000000003</v>
      </c>
      <c r="E34" s="343">
        <f>'Falhas UM-3-2 Qty'!E34*'Falhas UM-3-2 Cost'!$D34/1000</f>
        <v>55.436433964455873</v>
      </c>
      <c r="F34" s="343">
        <f>'Falhas UM-3-2 Qty'!F34*'Falhas UM-3-2 Cost'!$D34/1000</f>
        <v>58.01790185975014</v>
      </c>
      <c r="G34" s="343">
        <f>'Falhas UM-3-2 Qty'!G34*'Falhas UM-3-2 Cost'!$D34/1000</f>
        <v>55.835531833534745</v>
      </c>
      <c r="H34" s="343">
        <f>'Falhas UM-3-2 Qty'!H34*'Falhas UM-3-2 Cost'!$D34/1000</f>
        <v>56.196511412518205</v>
      </c>
      <c r="I34" s="343">
        <f>'Falhas UM-3-2 Qty'!I34*'Falhas UM-3-2 Cost'!$D34/1000</f>
        <v>56.883027657576129</v>
      </c>
      <c r="J34" s="343">
        <f>'Falhas UM-3-2 Qty'!J34*'Falhas UM-3-2 Cost'!$D34/1000</f>
        <v>64.674952438695328</v>
      </c>
      <c r="K34" s="343">
        <f>'Falhas UM-3-2 Qty'!K34*'Falhas UM-3-2 Cost'!$D34/1000</f>
        <v>63.879442068405062</v>
      </c>
      <c r="L34" s="343">
        <f>'Falhas UM-3-2 Qty'!L34*'Falhas UM-3-2 Cost'!$D34/1000</f>
        <v>63.912948715029344</v>
      </c>
      <c r="M34" s="343">
        <f>'Falhas UM-3-2 Qty'!M34*'Falhas UM-3-2 Cost'!$D34/1000</f>
        <v>60.811325078030762</v>
      </c>
      <c r="N34" s="343">
        <f>'Falhas UM-3-2 Qty'!N34*'Falhas UM-3-2 Cost'!$D34/1000</f>
        <v>47.160959093628101</v>
      </c>
      <c r="O34" s="343">
        <f>'Falhas UM-3-2 Qty'!O34*'Falhas UM-3-2 Cost'!$D34/1000</f>
        <v>45.265971691844214</v>
      </c>
      <c r="P34" s="818">
        <f>'Falhas UM-3-2 Qty'!P34*'Falhas UM-3-2 Cost'!$D34/1000</f>
        <v>57.39218314191281</v>
      </c>
      <c r="Q34" s="836">
        <f t="shared" si="0"/>
        <v>347.0443591665304</v>
      </c>
      <c r="R34" s="362">
        <f t="shared" si="1"/>
        <v>338.42282978885032</v>
      </c>
      <c r="S34" s="796">
        <f t="shared" si="2"/>
        <v>685.46718895538072</v>
      </c>
    </row>
    <row r="35" spans="1:19" ht="18" customHeight="1">
      <c r="A35" s="1032"/>
      <c r="B35" s="582">
        <v>3211</v>
      </c>
      <c r="C35" s="89" t="s">
        <v>116</v>
      </c>
      <c r="D35" s="130">
        <f>'Falhas UM-3-1 Cost'!D35</f>
        <v>216.17370000000003</v>
      </c>
      <c r="E35" s="343">
        <f>'Falhas UM-3-2 Qty'!E35*'Falhas UM-3-2 Cost'!$D35/1000</f>
        <v>144.76971264000903</v>
      </c>
      <c r="F35" s="343">
        <f>'Falhas UM-3-2 Qty'!F35*'Falhas UM-3-2 Cost'!$D35/1000</f>
        <v>151.51109801899608</v>
      </c>
      <c r="G35" s="343">
        <f>'Falhas UM-3-2 Qty'!G35*'Falhas UM-3-2 Cost'!$D35/1000</f>
        <v>145.81193847760233</v>
      </c>
      <c r="H35" s="343">
        <f>'Falhas UM-3-2 Qty'!H35*'Falhas UM-3-2 Cost'!$D35/1000</f>
        <v>146.75462014345143</v>
      </c>
      <c r="I35" s="343">
        <f>'Falhas UM-3-2 Qty'!I35*'Falhas UM-3-2 Cost'!$D35/1000</f>
        <v>148.54742592860453</v>
      </c>
      <c r="J35" s="343">
        <f>'Falhas UM-3-2 Qty'!J35*'Falhas UM-3-2 Cost'!$D35/1000</f>
        <v>168.89568123302135</v>
      </c>
      <c r="K35" s="343">
        <f>'Falhas UM-3-2 Qty'!K35*'Falhas UM-3-2 Cost'!$D35/1000</f>
        <v>166.81824227324063</v>
      </c>
      <c r="L35" s="343">
        <f>'Falhas UM-3-2 Qty'!L35*'Falhas UM-3-2 Cost'!$D35/1000</f>
        <v>166.90574334891298</v>
      </c>
      <c r="M35" s="343">
        <f>'Falhas UM-3-2 Qty'!M35*'Falhas UM-3-2 Cost'!$D35/1000</f>
        <v>158.80599503296531</v>
      </c>
      <c r="N35" s="343">
        <f>'Falhas UM-3-2 Qty'!N35*'Falhas UM-3-2 Cost'!$D35/1000</f>
        <v>123.1586883851391</v>
      </c>
      <c r="O35" s="343">
        <f>'Falhas UM-3-2 Qty'!O35*'Falhas UM-3-2 Cost'!$D35/1000</f>
        <v>118.21001542777346</v>
      </c>
      <c r="P35" s="818">
        <f>'Falhas UM-3-2 Qty'!P35*'Falhas UM-3-2 Cost'!$D35/1000</f>
        <v>149.87706219640208</v>
      </c>
      <c r="Q35" s="836">
        <f t="shared" si="0"/>
        <v>906.29047644168475</v>
      </c>
      <c r="R35" s="362">
        <f t="shared" si="1"/>
        <v>883.77574666443354</v>
      </c>
      <c r="S35" s="796">
        <f t="shared" si="2"/>
        <v>1790.0662231061183</v>
      </c>
    </row>
    <row r="36" spans="1:19" ht="18" customHeight="1" thickBot="1">
      <c r="A36" s="1033"/>
      <c r="B36" s="87">
        <v>0</v>
      </c>
      <c r="C36" s="88" t="s">
        <v>1</v>
      </c>
      <c r="D36" s="88">
        <f>'Falhas UM-3-1 Cost'!D36</f>
        <v>427.29127968078274</v>
      </c>
      <c r="E36" s="346">
        <f>SUBTOTAL(109,E19:E35)</f>
        <v>879.13278563286633</v>
      </c>
      <c r="F36" s="346">
        <f t="shared" ref="F36:P36" si="4">SUBTOTAL(109,F19:F35)</f>
        <v>920.07071939799584</v>
      </c>
      <c r="G36" s="346">
        <f t="shared" si="4"/>
        <v>885.46183669716129</v>
      </c>
      <c r="H36" s="346">
        <f t="shared" si="4"/>
        <v>891.18639291648412</v>
      </c>
      <c r="I36" s="346">
        <f t="shared" si="4"/>
        <v>902.07343769441752</v>
      </c>
      <c r="J36" s="346">
        <f t="shared" si="4"/>
        <v>1025.6408472189767</v>
      </c>
      <c r="K36" s="346">
        <f t="shared" si="4"/>
        <v>1013.0253307107982</v>
      </c>
      <c r="L36" s="346">
        <f t="shared" si="4"/>
        <v>1013.5566922987914</v>
      </c>
      <c r="M36" s="346">
        <f t="shared" si="4"/>
        <v>964.36992408553283</v>
      </c>
      <c r="N36" s="346">
        <f t="shared" si="4"/>
        <v>747.89704849489931</v>
      </c>
      <c r="O36" s="346">
        <f t="shared" si="4"/>
        <v>717.84559254559338</v>
      </c>
      <c r="P36" s="346">
        <f t="shared" si="4"/>
        <v>910.14782573229445</v>
      </c>
      <c r="Q36" s="826">
        <f t="shared" si="0"/>
        <v>5503.5660195579021</v>
      </c>
      <c r="R36" s="346">
        <f t="shared" si="1"/>
        <v>5366.8424138679102</v>
      </c>
      <c r="S36" s="800">
        <f t="shared" si="2"/>
        <v>10870.408433425811</v>
      </c>
    </row>
    <row r="37" spans="1:19" ht="18" customHeight="1" thickTop="1">
      <c r="A37" s="1034" t="s">
        <v>172</v>
      </c>
      <c r="B37" s="582">
        <v>3225</v>
      </c>
      <c r="C37" s="82" t="s">
        <v>19</v>
      </c>
      <c r="D37" s="130">
        <f>'Falhas UM-3-1 Cost'!D37</f>
        <v>216.17370000000003</v>
      </c>
      <c r="E37" s="344">
        <f>'Falhas UM-3-2 Qty'!E37*'Falhas UM-3-2 Cost'!$D37/1000</f>
        <v>7.3131332658690322</v>
      </c>
      <c r="F37" s="344">
        <f>'Falhas UM-3-2 Qty'!F37*'Falhas UM-3-2 Cost'!$D37/1000</f>
        <v>7.653678596615844</v>
      </c>
      <c r="G37" s="344">
        <f>'Falhas UM-3-2 Qty'!G37*'Falhas UM-3-2 Cost'!$D37/1000</f>
        <v>7.3657819608512805</v>
      </c>
      <c r="H37" s="344">
        <f>'Falhas UM-3-2 Qty'!H37*'Falhas UM-3-2 Cost'!$D37/1000</f>
        <v>7.4134021192665189</v>
      </c>
      <c r="I37" s="344">
        <f>'Falhas UM-3-2 Qty'!I37*'Falhas UM-3-2 Cost'!$D37/1000</f>
        <v>7.5039668333047933</v>
      </c>
      <c r="J37" s="344">
        <f>'Falhas UM-3-2 Qty'!J37*'Falhas UM-3-2 Cost'!$D37/1000</f>
        <v>8.5318717731948315</v>
      </c>
      <c r="K37" s="344">
        <f>'Falhas UM-3-2 Qty'!K37*'Falhas UM-3-2 Cost'!$D37/1000</f>
        <v>8.4269286349683767</v>
      </c>
      <c r="L37" s="344">
        <f>'Falhas UM-3-2 Qty'!L37*'Falhas UM-3-2 Cost'!$D37/1000</f>
        <v>8.4313488069479252</v>
      </c>
      <c r="M37" s="344">
        <f>'Falhas UM-3-2 Qty'!M37*'Falhas UM-3-2 Cost'!$D37/1000</f>
        <v>8.0221849164191195</v>
      </c>
      <c r="N37" s="344">
        <f>'Falhas UM-3-2 Qty'!N37*'Falhas UM-3-2 Cost'!$D37/1000</f>
        <v>6.2214387566674274</v>
      </c>
      <c r="O37" s="344">
        <f>'Falhas UM-3-2 Qty'!O37*'Falhas UM-3-2 Cost'!$D37/1000</f>
        <v>5.9714534236412451</v>
      </c>
      <c r="P37" s="601">
        <f>'Falhas UM-3-2 Qty'!P37*'Falhas UM-3-2 Cost'!$D37/1000</f>
        <v>7.5711342472908649</v>
      </c>
      <c r="Q37" s="837">
        <f t="shared" si="0"/>
        <v>45.7818345491023</v>
      </c>
      <c r="R37" s="363">
        <f t="shared" si="1"/>
        <v>44.644488785934961</v>
      </c>
      <c r="S37" s="797">
        <f t="shared" si="2"/>
        <v>90.426323335037267</v>
      </c>
    </row>
    <row r="38" spans="1:19" ht="18" customHeight="1">
      <c r="A38" s="1032"/>
      <c r="B38" s="582">
        <v>3235</v>
      </c>
      <c r="C38" s="82" t="s">
        <v>61</v>
      </c>
      <c r="D38" s="130">
        <f>'Falhas UM-3-1 Cost'!D38</f>
        <v>216.17370000000003</v>
      </c>
      <c r="E38" s="344">
        <f>'Falhas UM-3-2 Qty'!E38*'Falhas UM-3-2 Cost'!$D38/1000</f>
        <v>7.3176470679475258</v>
      </c>
      <c r="F38" s="344">
        <f>'Falhas UM-3-2 Qty'!F38*'Falhas UM-3-2 Cost'!$D38/1000</f>
        <v>7.6584025896160517</v>
      </c>
      <c r="G38" s="344">
        <f>'Falhas UM-3-2 Qty'!G38*'Falhas UM-3-2 Cost'!$D38/1000</f>
        <v>7.3703282586850412</v>
      </c>
      <c r="H38" s="344">
        <f>'Falhas UM-3-2 Qty'!H38*'Falhas UM-3-2 Cost'!$D38/1000</f>
        <v>7.4179778091491091</v>
      </c>
      <c r="I38" s="344">
        <f>'Falhas UM-3-2 Qty'!I38*'Falhas UM-3-2 Cost'!$D38/1000</f>
        <v>7.5085984214158996</v>
      </c>
      <c r="J38" s="344">
        <f>'Falhas UM-3-2 Qty'!J38*'Falhas UM-3-2 Cost'!$D38/1000</f>
        <v>8.5371378033823344</v>
      </c>
      <c r="K38" s="344">
        <f>'Falhas UM-3-2 Qty'!K38*'Falhas UM-3-2 Cost'!$D38/1000</f>
        <v>8.4321298922961176</v>
      </c>
      <c r="L38" s="344">
        <f>'Falhas UM-3-2 Qty'!L38*'Falhas UM-3-2 Cost'!$D38/1000</f>
        <v>8.4365527924881523</v>
      </c>
      <c r="M38" s="344">
        <f>'Falhas UM-3-2 Qty'!M38*'Falhas UM-3-2 Cost'!$D38/1000</f>
        <v>8.0271363583843307</v>
      </c>
      <c r="N38" s="344">
        <f>'Falhas UM-3-2 Qty'!N38*'Falhas UM-3-2 Cost'!$D38/1000</f>
        <v>6.2252787445590938</v>
      </c>
      <c r="O38" s="344">
        <f>'Falhas UM-3-2 Qty'!O38*'Falhas UM-3-2 Cost'!$D38/1000</f>
        <v>5.9751391159287186</v>
      </c>
      <c r="P38" s="601">
        <f>'Falhas UM-3-2 Qty'!P38*'Falhas UM-3-2 Cost'!$D38/1000</f>
        <v>7.5758072923810591</v>
      </c>
      <c r="Q38" s="837">
        <f t="shared" si="0"/>
        <v>45.810091950195961</v>
      </c>
      <c r="R38" s="363">
        <f t="shared" si="1"/>
        <v>44.672044196037469</v>
      </c>
      <c r="S38" s="797">
        <f t="shared" si="2"/>
        <v>90.482136146233429</v>
      </c>
    </row>
    <row r="39" spans="1:19" ht="18" customHeight="1">
      <c r="A39" s="1032"/>
      <c r="B39" s="582">
        <v>3245</v>
      </c>
      <c r="C39" s="82" t="s">
        <v>70</v>
      </c>
      <c r="D39" s="130">
        <f>'Falhas UM-3-1 Cost'!D39</f>
        <v>216.17370000000003</v>
      </c>
      <c r="E39" s="344">
        <f>'Falhas UM-3-2 Qty'!E39*'Falhas UM-3-2 Cost'!$D39/1000</f>
        <v>158.99606418684328</v>
      </c>
      <c r="F39" s="344">
        <f>'Falhas UM-3-2 Qty'!F39*'Falhas UM-3-2 Cost'!$D39/1000</f>
        <v>166.39991767856765</v>
      </c>
      <c r="G39" s="344">
        <f>'Falhas UM-3-2 Qty'!G39*'Falhas UM-3-2 Cost'!$D39/1000</f>
        <v>160.14070834720869</v>
      </c>
      <c r="H39" s="344">
        <f>'Falhas UM-3-2 Qty'!H39*'Falhas UM-3-2 Cost'!$D39/1000</f>
        <v>161.17602624566862</v>
      </c>
      <c r="I39" s="344">
        <f>'Falhas UM-3-2 Qty'!I39*'Falhas UM-3-2 Cost'!$D39/1000</f>
        <v>163.14500897342717</v>
      </c>
      <c r="J39" s="344">
        <f>'Falhas UM-3-2 Qty'!J39*'Falhas UM-3-2 Cost'!$D39/1000</f>
        <v>185.49286369713138</v>
      </c>
      <c r="K39" s="344">
        <f>'Falhas UM-3-2 Qty'!K39*'Falhas UM-3-2 Cost'!$D39/1000</f>
        <v>183.21127722320583</v>
      </c>
      <c r="L39" s="344">
        <f>'Falhas UM-3-2 Qty'!L39*'Falhas UM-3-2 Cost'!$D39/1000</f>
        <v>183.30737692797356</v>
      </c>
      <c r="M39" s="344">
        <f>'Falhas UM-3-2 Qty'!M39*'Falhas UM-3-2 Cost'!$D39/1000</f>
        <v>174.41167575087681</v>
      </c>
      <c r="N39" s="344">
        <f>'Falhas UM-3-2 Qty'!N39*'Falhas UM-3-2 Cost'!$D39/1000</f>
        <v>135.26134967431943</v>
      </c>
      <c r="O39" s="344">
        <f>'Falhas UM-3-2 Qty'!O39*'Falhas UM-3-2 Cost'!$D39/1000</f>
        <v>129.82637637209601</v>
      </c>
      <c r="P39" s="601">
        <f>'Falhas UM-3-2 Qty'!P39*'Falhas UM-3-2 Cost'!$D39/1000</f>
        <v>164.60530705321676</v>
      </c>
      <c r="Q39" s="837">
        <f t="shared" si="0"/>
        <v>995.35058912884676</v>
      </c>
      <c r="R39" s="363">
        <f t="shared" si="1"/>
        <v>970.6233630016884</v>
      </c>
      <c r="S39" s="797">
        <f t="shared" si="2"/>
        <v>1965.9739521305351</v>
      </c>
    </row>
    <row r="40" spans="1:19" ht="18" customHeight="1">
      <c r="A40" s="1032"/>
      <c r="B40" s="582">
        <v>3255</v>
      </c>
      <c r="C40" s="82" t="s">
        <v>69</v>
      </c>
      <c r="D40" s="130">
        <f>'Falhas UM-3-1 Cost'!D40</f>
        <v>216.17370000000003</v>
      </c>
      <c r="E40" s="344">
        <f>'Falhas UM-3-2 Qty'!E40*'Falhas UM-3-2 Cost'!$D40/1000</f>
        <v>13.818608410931281</v>
      </c>
      <c r="F40" s="344">
        <f>'Falhas UM-3-2 Qty'!F40*'Falhas UM-3-2 Cost'!$D40/1000</f>
        <v>14.462089447127344</v>
      </c>
      <c r="G40" s="344">
        <f>'Falhas UM-3-2 Qty'!G40*'Falhas UM-3-2 Cost'!$D40/1000</f>
        <v>13.918091310101422</v>
      </c>
      <c r="H40" s="344">
        <f>'Falhas UM-3-2 Qty'!H40*'Falhas UM-3-2 Cost'!$D40/1000</f>
        <v>14.008072484747572</v>
      </c>
      <c r="I40" s="344">
        <f>'Falhas UM-3-2 Qty'!I40*'Falhas UM-3-2 Cost'!$D40/1000</f>
        <v>14.179199999267734</v>
      </c>
      <c r="J40" s="344">
        <f>'Falhas UM-3-2 Qty'!J40*'Falhas UM-3-2 Cost'!$D40/1000</f>
        <v>16.121488664277365</v>
      </c>
      <c r="K40" s="344">
        <f>'Falhas UM-3-2 Qty'!K40*'Falhas UM-3-2 Cost'!$D40/1000</f>
        <v>15.92319224606034</v>
      </c>
      <c r="L40" s="344">
        <f>'Falhas UM-3-2 Qty'!L40*'Falhas UM-3-2 Cost'!$D40/1000</f>
        <v>15.931544428835323</v>
      </c>
      <c r="M40" s="344">
        <f>'Falhas UM-3-2 Qty'!M40*'Falhas UM-3-2 Cost'!$D40/1000</f>
        <v>15.158404466310815</v>
      </c>
      <c r="N40" s="344">
        <f>'Falhas UM-3-2 Qty'!N40*'Falhas UM-3-2 Cost'!$D40/1000</f>
        <v>11.755785489677145</v>
      </c>
      <c r="O40" s="344">
        <f>'Falhas UM-3-2 Qty'!O40*'Falhas UM-3-2 Cost'!$D40/1000</f>
        <v>11.283423056233296</v>
      </c>
      <c r="P40" s="601">
        <f>'Falhas UM-3-2 Qty'!P40*'Falhas UM-3-2 Cost'!$D40/1000</f>
        <v>14.306116897689403</v>
      </c>
      <c r="Q40" s="837">
        <f t="shared" si="0"/>
        <v>86.507550316452722</v>
      </c>
      <c r="R40" s="363">
        <f t="shared" si="1"/>
        <v>84.358466584806322</v>
      </c>
      <c r="S40" s="797">
        <f t="shared" si="2"/>
        <v>170.86601690125906</v>
      </c>
    </row>
    <row r="41" spans="1:19" ht="18" customHeight="1">
      <c r="A41" s="1032"/>
      <c r="B41" s="582">
        <v>3265</v>
      </c>
      <c r="C41" s="82" t="s">
        <v>15</v>
      </c>
      <c r="D41" s="130">
        <f>'Falhas UM-3-1 Cost'!D41</f>
        <v>216.17370000000003</v>
      </c>
      <c r="E41" s="344">
        <f>'Falhas UM-3-2 Qty'!E41*'Falhas UM-3-2 Cost'!$D41/1000</f>
        <v>45.387159442847697</v>
      </c>
      <c r="F41" s="344">
        <f>'Falhas UM-3-2 Qty'!F41*'Falhas UM-3-2 Cost'!$D41/1000</f>
        <v>47.500670117712474</v>
      </c>
      <c r="G41" s="344">
        <f>'Falhas UM-3-2 Qty'!G41*'Falhas UM-3-2 Cost'!$D41/1000</f>
        <v>45.713910594063478</v>
      </c>
      <c r="H41" s="344">
        <f>'Falhas UM-3-2 Qty'!H41*'Falhas UM-3-2 Cost'!$D41/1000</f>
        <v>46.009453372255869</v>
      </c>
      <c r="I41" s="344">
        <f>'Falhas UM-3-2 Qty'!I41*'Falhas UM-3-2 Cost'!$D41/1000</f>
        <v>46.571520952117297</v>
      </c>
      <c r="J41" s="344">
        <f>'Falhas UM-3-2 Qty'!J41*'Falhas UM-3-2 Cost'!$D41/1000</f>
        <v>52.950959655445232</v>
      </c>
      <c r="K41" s="344">
        <f>'Falhas UM-3-2 Qty'!K41*'Falhas UM-3-2 Cost'!$D41/1000</f>
        <v>52.299655929127745</v>
      </c>
      <c r="L41" s="344">
        <f>'Falhas UM-3-2 Qty'!L41*'Falhas UM-3-2 Cost'!$D41/1000</f>
        <v>52.327088637258043</v>
      </c>
      <c r="M41" s="344">
        <f>'Falhas UM-3-2 Qty'!M41*'Falhas UM-3-2 Cost'!$D41/1000</f>
        <v>49.787713780743651</v>
      </c>
      <c r="N41" s="344">
        <f>'Falhas UM-3-2 Qty'!N41*'Falhas UM-3-2 Cost'!$D41/1000</f>
        <v>38.611826497219148</v>
      </c>
      <c r="O41" s="344">
        <f>'Falhas UM-3-2 Qty'!O41*'Falhas UM-3-2 Cost'!$D41/1000</f>
        <v>37.060354131552579</v>
      </c>
      <c r="P41" s="601">
        <f>'Falhas UM-3-2 Qty'!P41*'Falhas UM-3-2 Cost'!$D41/1000</f>
        <v>46.988378954989656</v>
      </c>
      <c r="Q41" s="837">
        <f t="shared" si="0"/>
        <v>284.13367413444206</v>
      </c>
      <c r="R41" s="363">
        <f t="shared" si="1"/>
        <v>277.07501793089079</v>
      </c>
      <c r="S41" s="797">
        <f t="shared" si="2"/>
        <v>561.2086920653328</v>
      </c>
    </row>
    <row r="42" spans="1:19" ht="18" customHeight="1">
      <c r="A42" s="1032"/>
      <c r="B42" s="582">
        <v>3275</v>
      </c>
      <c r="C42" s="82" t="s">
        <v>14</v>
      </c>
      <c r="D42" s="130">
        <f>'Falhas UM-3-1 Cost'!D42</f>
        <v>216.17370000000003</v>
      </c>
      <c r="E42" s="344">
        <f>'Falhas UM-3-2 Qty'!E42*'Falhas UM-3-2 Cost'!$D42/1000</f>
        <v>34.028141840947562</v>
      </c>
      <c r="F42" s="344">
        <f>'Falhas UM-3-2 Qty'!F42*'Falhas UM-3-2 Cost'!$D42/1000</f>
        <v>35.612705446810949</v>
      </c>
      <c r="G42" s="344">
        <f>'Falhas UM-3-2 Qty'!G42*'Falhas UM-3-2 Cost'!$D42/1000</f>
        <v>34.273117174428471</v>
      </c>
      <c r="H42" s="344">
        <f>'Falhas UM-3-2 Qty'!H42*'Falhas UM-3-2 Cost'!$D42/1000</f>
        <v>34.494694635980402</v>
      </c>
      <c r="I42" s="344">
        <f>'Falhas UM-3-2 Qty'!I42*'Falhas UM-3-2 Cost'!$D42/1000</f>
        <v>34.916093894416186</v>
      </c>
      <c r="J42" s="344">
        <f>'Falhas UM-3-2 Qty'!J42*'Falhas UM-3-2 Cost'!$D42/1000</f>
        <v>39.698954239219766</v>
      </c>
      <c r="K42" s="344">
        <f>'Falhas UM-3-2 Qty'!K42*'Falhas UM-3-2 Cost'!$D42/1000</f>
        <v>39.210651912025732</v>
      </c>
      <c r="L42" s="344">
        <f>'Falhas UM-3-2 Qty'!L42*'Falhas UM-3-2 Cost'!$D42/1000</f>
        <v>39.231219052485677</v>
      </c>
      <c r="M42" s="344">
        <f>'Falhas UM-3-2 Qty'!M42*'Falhas UM-3-2 Cost'!$D42/1000</f>
        <v>37.327372042328179</v>
      </c>
      <c r="N42" s="344">
        <f>'Falhas UM-3-2 Qty'!N42*'Falhas UM-3-2 Cost'!$D42/1000</f>
        <v>28.948467472169128</v>
      </c>
      <c r="O42" s="344">
        <f>'Falhas UM-3-2 Qty'!O42*'Falhas UM-3-2 Cost'!$D42/1000</f>
        <v>27.785281179629909</v>
      </c>
      <c r="P42" s="601">
        <f>'Falhas UM-3-2 Qty'!P42*'Falhas UM-3-2 Cost'!$D42/1000</f>
        <v>35.228625090979314</v>
      </c>
      <c r="Q42" s="837">
        <f t="shared" si="0"/>
        <v>213.02370723180334</v>
      </c>
      <c r="R42" s="363">
        <f t="shared" si="1"/>
        <v>207.73161674961793</v>
      </c>
      <c r="S42" s="797">
        <f t="shared" si="2"/>
        <v>420.75532398142127</v>
      </c>
    </row>
    <row r="43" spans="1:19" ht="18" customHeight="1">
      <c r="A43" s="1032"/>
      <c r="B43" s="582">
        <v>3285</v>
      </c>
      <c r="C43" s="82" t="s">
        <v>68</v>
      </c>
      <c r="D43" s="130">
        <f>'Falhas UM-3-1 Cost'!D43</f>
        <v>216.17370000000003</v>
      </c>
      <c r="E43" s="344">
        <f>'Falhas UM-3-2 Qty'!E43*'Falhas UM-3-2 Cost'!$D43/1000</f>
        <v>119.83268730807742</v>
      </c>
      <c r="F43" s="344">
        <f>'Falhas UM-3-2 Qty'!F43*'Falhas UM-3-2 Cost'!$D43/1000</f>
        <v>125.41284845789058</v>
      </c>
      <c r="G43" s="344">
        <f>'Falhas UM-3-2 Qty'!G43*'Falhas UM-3-2 Cost'!$D43/1000</f>
        <v>120.69538656072616</v>
      </c>
      <c r="H43" s="344">
        <f>'Falhas UM-3-2 Qty'!H43*'Falhas UM-3-2 Cost'!$D43/1000</f>
        <v>121.47568842936121</v>
      </c>
      <c r="I43" s="344">
        <f>'Falhas UM-3-2 Qty'!I43*'Falhas UM-3-2 Cost'!$D43/1000</f>
        <v>122.95967794027904</v>
      </c>
      <c r="J43" s="344">
        <f>'Falhas UM-3-2 Qty'!J43*'Falhas UM-3-2 Cost'!$D43/1000</f>
        <v>139.80288409640721</v>
      </c>
      <c r="K43" s="344">
        <f>'Falhas UM-3-2 Qty'!K43*'Falhas UM-3-2 Cost'!$D43/1000</f>
        <v>138.08329034486019</v>
      </c>
      <c r="L43" s="344">
        <f>'Falhas UM-3-2 Qty'!L43*'Falhas UM-3-2 Cost'!$D43/1000</f>
        <v>138.15571909289702</v>
      </c>
      <c r="M43" s="344">
        <f>'Falhas UM-3-2 Qty'!M43*'Falhas UM-3-2 Cost'!$D43/1000</f>
        <v>131.45117717235968</v>
      </c>
      <c r="N43" s="344">
        <f>'Falhas UM-3-2 Qty'!N43*'Falhas UM-3-2 Cost'!$D43/1000</f>
        <v>101.94422801147863</v>
      </c>
      <c r="O43" s="344">
        <f>'Falhas UM-3-2 Qty'!O43*'Falhas UM-3-2 Cost'!$D43/1000</f>
        <v>97.847979091205175</v>
      </c>
      <c r="P43" s="601">
        <f>'Falhas UM-3-2 Qty'!P43*'Falhas UM-3-2 Cost'!$D43/1000</f>
        <v>124.06028029837496</v>
      </c>
      <c r="Q43" s="837">
        <f t="shared" si="0"/>
        <v>750.1791727927415</v>
      </c>
      <c r="R43" s="363">
        <f t="shared" si="1"/>
        <v>731.54267401117568</v>
      </c>
      <c r="S43" s="797">
        <f t="shared" si="2"/>
        <v>1481.7218468039173</v>
      </c>
    </row>
    <row r="44" spans="1:19" ht="18" customHeight="1">
      <c r="A44" s="1032"/>
      <c r="B44" s="582">
        <v>3295</v>
      </c>
      <c r="C44" s="82" t="s">
        <v>13</v>
      </c>
      <c r="D44" s="130">
        <f>'Falhas UM-3-1 Cost'!D44</f>
        <v>216.17370000000003</v>
      </c>
      <c r="E44" s="344">
        <f>'Falhas UM-3-2 Qty'!E44*'Falhas UM-3-2 Cost'!$D44/1000</f>
        <v>49.398726250786069</v>
      </c>
      <c r="F44" s="344">
        <f>'Falhas UM-3-2 Qty'!F44*'Falhas UM-3-2 Cost'!$D44/1000</f>
        <v>51.699040624661521</v>
      </c>
      <c r="G44" s="344">
        <f>'Falhas UM-3-2 Qty'!G44*'Falhas UM-3-2 Cost'!$D44/1000</f>
        <v>49.754357466072037</v>
      </c>
      <c r="H44" s="344">
        <f>'Falhas UM-3-2 Qty'!H44*'Falhas UM-3-2 Cost'!$D44/1000</f>
        <v>50.076021940662187</v>
      </c>
      <c r="I44" s="344">
        <f>'Falhas UM-3-2 Qty'!I44*'Falhas UM-3-2 Cost'!$D44/1000</f>
        <v>50.687768144937841</v>
      </c>
      <c r="J44" s="344">
        <f>'Falhas UM-3-2 Qty'!J44*'Falhas UM-3-2 Cost'!$D44/1000</f>
        <v>57.631056731574148</v>
      </c>
      <c r="K44" s="344">
        <f>'Falhas UM-3-2 Qty'!K44*'Falhas UM-3-2 Cost'!$D44/1000</f>
        <v>56.922187199366739</v>
      </c>
      <c r="L44" s="344">
        <f>'Falhas UM-3-2 Qty'!L44*'Falhas UM-3-2 Cost'!$D44/1000</f>
        <v>56.952044561137804</v>
      </c>
      <c r="M44" s="344">
        <f>'Falhas UM-3-2 Qty'!M44*'Falhas UM-3-2 Cost'!$D44/1000</f>
        <v>54.188225786732197</v>
      </c>
      <c r="N44" s="344">
        <f>'Falhas UM-3-2 Qty'!N44*'Falhas UM-3-2 Cost'!$D44/1000</f>
        <v>42.024552111060771</v>
      </c>
      <c r="O44" s="344">
        <f>'Falhas UM-3-2 Qty'!O44*'Falhas UM-3-2 Cost'!$D44/1000</f>
        <v>40.335952083695545</v>
      </c>
      <c r="P44" s="601">
        <f>'Falhas UM-3-2 Qty'!P44*'Falhas UM-3-2 Cost'!$D44/1000</f>
        <v>51.141470351071085</v>
      </c>
      <c r="Q44" s="837">
        <f t="shared" si="0"/>
        <v>309.24697115869384</v>
      </c>
      <c r="R44" s="363">
        <f t="shared" si="1"/>
        <v>301.56443209306411</v>
      </c>
      <c r="S44" s="797">
        <f t="shared" si="2"/>
        <v>610.81140325175795</v>
      </c>
    </row>
    <row r="45" spans="1:19" ht="18" customHeight="1">
      <c r="A45" s="1032"/>
      <c r="B45" s="582">
        <v>3305</v>
      </c>
      <c r="C45" s="82" t="s">
        <v>12</v>
      </c>
      <c r="D45" s="130">
        <f>'Falhas UM-3-1 Cost'!D45</f>
        <v>216.17370000000003</v>
      </c>
      <c r="E45" s="344">
        <f>'Falhas UM-3-2 Qty'!E45*'Falhas UM-3-2 Cost'!$D45/1000</f>
        <v>30.338248121587075</v>
      </c>
      <c r="F45" s="344">
        <f>'Falhas UM-3-2 Qty'!F45*'Falhas UM-3-2 Cost'!$D45/1000</f>
        <v>31.750987144006231</v>
      </c>
      <c r="G45" s="344">
        <f>'Falhas UM-3-2 Qty'!G45*'Falhas UM-3-2 Cost'!$D45/1000</f>
        <v>30.556659179280199</v>
      </c>
      <c r="H45" s="344">
        <f>'Falhas UM-3-2 Qty'!H45*'Falhas UM-3-2 Cost'!$D45/1000</f>
        <v>30.754209549151536</v>
      </c>
      <c r="I45" s="344">
        <f>'Falhas UM-3-2 Qty'!I45*'Falhas UM-3-2 Cost'!$D45/1000</f>
        <v>31.129913733071842</v>
      </c>
      <c r="J45" s="344">
        <f>'Falhas UM-3-2 Qty'!J45*'Falhas UM-3-2 Cost'!$D45/1000</f>
        <v>35.394137285147814</v>
      </c>
      <c r="K45" s="344">
        <f>'Falhas UM-3-2 Qty'!K45*'Falhas UM-3-2 Cost'!$D45/1000</f>
        <v>34.958784769280079</v>
      </c>
      <c r="L45" s="344">
        <f>'Falhas UM-3-2 Qty'!L45*'Falhas UM-3-2 Cost'!$D45/1000</f>
        <v>34.977121680338634</v>
      </c>
      <c r="M45" s="344">
        <f>'Falhas UM-3-2 Qty'!M45*'Falhas UM-3-2 Cost'!$D45/1000</f>
        <v>33.279721238972307</v>
      </c>
      <c r="N45" s="344">
        <f>'Falhas UM-3-2 Qty'!N45*'Falhas UM-3-2 Cost'!$D45/1000</f>
        <v>25.809396029186878</v>
      </c>
      <c r="O45" s="344">
        <f>'Falhas UM-3-2 Qty'!O45*'Falhas UM-3-2 Cost'!$D45/1000</f>
        <v>24.772341625228243</v>
      </c>
      <c r="P45" s="601">
        <f>'Falhas UM-3-2 Qty'!P45*'Falhas UM-3-2 Cost'!$D45/1000</f>
        <v>31.408555130283236</v>
      </c>
      <c r="Q45" s="837">
        <f t="shared" si="0"/>
        <v>189.92415501224471</v>
      </c>
      <c r="R45" s="363">
        <f t="shared" si="1"/>
        <v>185.20592047328938</v>
      </c>
      <c r="S45" s="797">
        <f t="shared" si="2"/>
        <v>375.13007548553412</v>
      </c>
    </row>
    <row r="46" spans="1:19" ht="18" customHeight="1">
      <c r="A46" s="1032"/>
      <c r="B46" s="582">
        <v>3315</v>
      </c>
      <c r="C46" s="82" t="s">
        <v>133</v>
      </c>
      <c r="D46" s="130">
        <f>'Falhas UM-3-1 Cost'!D46</f>
        <v>216.17370000000003</v>
      </c>
      <c r="E46" s="344">
        <f>'Falhas UM-3-2 Qty'!E46*'Falhas UM-3-2 Cost'!$D46/1000</f>
        <v>279.65520721224021</v>
      </c>
      <c r="F46" s="344">
        <f>'Falhas UM-3-2 Qty'!F46*'Falhas UM-3-2 Cost'!$D46/1000</f>
        <v>292.67770681301067</v>
      </c>
      <c r="G46" s="344">
        <f>'Falhas UM-3-2 Qty'!G46*'Falhas UM-3-2 Cost'!$D46/1000</f>
        <v>281.66850044366953</v>
      </c>
      <c r="H46" s="344">
        <f>'Falhas UM-3-2 Qty'!H46*'Falhas UM-3-2 Cost'!$D46/1000</f>
        <v>283.489501755275</v>
      </c>
      <c r="I46" s="344">
        <f>'Falhas UM-3-2 Qty'!I46*'Falhas UM-3-2 Cost'!$D46/1000</f>
        <v>286.95270869404283</v>
      </c>
      <c r="J46" s="344">
        <f>'Falhas UM-3-2 Qty'!J46*'Falhas UM-3-2 Cost'!$D46/1000</f>
        <v>326.25993290408519</v>
      </c>
      <c r="K46" s="344">
        <f>'Falhas UM-3-2 Qty'!K46*'Falhas UM-3-2 Cost'!$D46/1000</f>
        <v>322.24689307569992</v>
      </c>
      <c r="L46" s="344">
        <f>'Falhas UM-3-2 Qty'!L46*'Falhas UM-3-2 Cost'!$D46/1000</f>
        <v>322.41592105124954</v>
      </c>
      <c r="M46" s="344">
        <f>'Falhas UM-3-2 Qty'!M46*'Falhas UM-3-2 Cost'!$D46/1000</f>
        <v>306.76943842476311</v>
      </c>
      <c r="N46" s="344">
        <f>'Falhas UM-3-2 Qty'!N46*'Falhas UM-3-2 Cost'!$D46/1000</f>
        <v>237.90866122652852</v>
      </c>
      <c r="O46" s="344">
        <f>'Falhas UM-3-2 Qty'!O46*'Falhas UM-3-2 Cost'!$D46/1000</f>
        <v>228.34918821189993</v>
      </c>
      <c r="P46" s="601">
        <f>'Falhas UM-3-2 Qty'!P46*'Falhas UM-3-2 Cost'!$D46/1000</f>
        <v>289.52119970785355</v>
      </c>
      <c r="Q46" s="837">
        <f t="shared" si="0"/>
        <v>1750.7035578223233</v>
      </c>
      <c r="R46" s="363">
        <f t="shared" si="1"/>
        <v>1707.2113016979945</v>
      </c>
      <c r="S46" s="797">
        <f t="shared" si="2"/>
        <v>3457.9148595203178</v>
      </c>
    </row>
    <row r="47" spans="1:19" ht="18" customHeight="1">
      <c r="A47" s="1032"/>
      <c r="B47" s="582">
        <v>3325</v>
      </c>
      <c r="C47" s="82" t="s">
        <v>11</v>
      </c>
      <c r="D47" s="130">
        <f>'Falhas UM-3-1 Cost'!D47</f>
        <v>216.17370000000003</v>
      </c>
      <c r="E47" s="344">
        <f>'Falhas UM-3-2 Qty'!E47*'Falhas UM-3-2 Cost'!$D47/1000</f>
        <v>460.06892391674666</v>
      </c>
      <c r="F47" s="344">
        <f>'Falhas UM-3-2 Qty'!F47*'Falhas UM-3-2 Cost'!$D47/1000</f>
        <v>481.4926171773044</v>
      </c>
      <c r="G47" s="344">
        <f>'Falhas UM-3-2 Qty'!G47*'Falhas UM-3-2 Cost'!$D47/1000</f>
        <v>463.38105123147102</v>
      </c>
      <c r="H47" s="344">
        <f>'Falhas UM-3-2 Qty'!H47*'Falhas UM-3-2 Cost'!$D47/1000</f>
        <v>466.37683351005921</v>
      </c>
      <c r="I47" s="344">
        <f>'Falhas UM-3-2 Qty'!I47*'Falhas UM-3-2 Cost'!$D47/1000</f>
        <v>472.07425608088465</v>
      </c>
      <c r="J47" s="344">
        <f>'Falhas UM-3-2 Qty'!J47*'Falhas UM-3-2 Cost'!$D47/1000</f>
        <v>536.73971511073887</v>
      </c>
      <c r="K47" s="344">
        <f>'Falhas UM-3-2 Qty'!K47*'Falhas UM-3-2 Cost'!$D47/1000</f>
        <v>530.13774644409057</v>
      </c>
      <c r="L47" s="344">
        <f>'Falhas UM-3-2 Qty'!L47*'Falhas UM-3-2 Cost'!$D47/1000</f>
        <v>530.4158192881406</v>
      </c>
      <c r="M47" s="344">
        <f>'Falhas UM-3-2 Qty'!M47*'Falhas UM-3-2 Cost'!$D47/1000</f>
        <v>504.67533515123523</v>
      </c>
      <c r="N47" s="344">
        <f>'Falhas UM-3-2 Qty'!N47*'Falhas UM-3-2 Cost'!$D47/1000</f>
        <v>391.39046560965352</v>
      </c>
      <c r="O47" s="344">
        <f>'Falhas UM-3-2 Qty'!O47*'Falhas UM-3-2 Cost'!$D47/1000</f>
        <v>375.6638982165652</v>
      </c>
      <c r="P47" s="601">
        <f>'Falhas UM-3-2 Qty'!P47*'Falhas UM-3-2 Cost'!$D47/1000</f>
        <v>476.29975543272371</v>
      </c>
      <c r="Q47" s="837">
        <f t="shared" si="0"/>
        <v>2880.1333970272049</v>
      </c>
      <c r="R47" s="363">
        <f t="shared" si="1"/>
        <v>2808.5830201424087</v>
      </c>
      <c r="S47" s="797">
        <f t="shared" si="2"/>
        <v>5688.7164171696131</v>
      </c>
    </row>
    <row r="48" spans="1:19" ht="18" customHeight="1">
      <c r="A48" s="1032"/>
      <c r="B48" s="582">
        <v>3335</v>
      </c>
      <c r="C48" s="82" t="s">
        <v>6</v>
      </c>
      <c r="D48" s="130">
        <f>'Falhas UM-3-1 Cost'!D48</f>
        <v>216.17370000000003</v>
      </c>
      <c r="E48" s="344">
        <f>'Falhas UM-3-2 Qty'!E48*'Falhas UM-3-2 Cost'!$D48/1000</f>
        <v>194.69942871199459</v>
      </c>
      <c r="F48" s="344">
        <f>'Falhas UM-3-2 Qty'!F48*'Falhas UM-3-2 Cost'!$D48/1000</f>
        <v>203.76585467969679</v>
      </c>
      <c r="G48" s="344">
        <f>'Falhas UM-3-2 Qty'!G48*'Falhas UM-3-2 Cost'!$D48/1000</f>
        <v>196.10110846577626</v>
      </c>
      <c r="H48" s="344">
        <f>'Falhas UM-3-2 Qty'!H48*'Falhas UM-3-2 Cost'!$D48/1000</f>
        <v>197.36891219661939</v>
      </c>
      <c r="I48" s="344">
        <f>'Falhas UM-3-2 Qty'!I48*'Falhas UM-3-2 Cost'!$D48/1000</f>
        <v>199.78003988206873</v>
      </c>
      <c r="J48" s="344">
        <f>'Falhas UM-3-2 Qty'!J48*'Falhas UM-3-2 Cost'!$D48/1000</f>
        <v>227.14621759154127</v>
      </c>
      <c r="K48" s="344">
        <f>'Falhas UM-3-2 Qty'!K48*'Falhas UM-3-2 Cost'!$D48/1000</f>
        <v>224.35228941915398</v>
      </c>
      <c r="L48" s="344">
        <f>'Falhas UM-3-2 Qty'!L48*'Falhas UM-3-2 Cost'!$D48/1000</f>
        <v>224.46996879513952</v>
      </c>
      <c r="M48" s="344">
        <f>'Falhas UM-3-2 Qty'!M48*'Falhas UM-3-2 Cost'!$D48/1000</f>
        <v>213.57669325381531</v>
      </c>
      <c r="N48" s="344">
        <f>'Falhas UM-3-2 Qty'!N48*'Falhas UM-3-2 Cost'!$D48/1000</f>
        <v>165.63496488476315</v>
      </c>
      <c r="O48" s="344">
        <f>'Falhas UM-3-2 Qty'!O48*'Falhas UM-3-2 Cost'!$D48/1000</f>
        <v>158.97954103877206</v>
      </c>
      <c r="P48" s="601">
        <f>'Falhas UM-3-2 Qty'!P48*'Falhas UM-3-2 Cost'!$D48/1000</f>
        <v>201.56825522776515</v>
      </c>
      <c r="Q48" s="837">
        <f t="shared" si="0"/>
        <v>1218.8615615276972</v>
      </c>
      <c r="R48" s="363">
        <f t="shared" si="1"/>
        <v>1188.581712619409</v>
      </c>
      <c r="S48" s="797">
        <f t="shared" si="2"/>
        <v>2407.4432741471064</v>
      </c>
    </row>
    <row r="49" spans="1:19" ht="18" customHeight="1">
      <c r="A49" s="1032"/>
      <c r="B49" s="587">
        <v>0</v>
      </c>
      <c r="C49" s="97" t="s">
        <v>1</v>
      </c>
      <c r="D49" s="311">
        <f>'Falhas UM-3-1 Cost'!D49</f>
        <v>574.22454028454183</v>
      </c>
      <c r="E49" s="348">
        <f>SUBTOTAL(109,E37:E48)</f>
        <v>1400.8539757368185</v>
      </c>
      <c r="F49" s="348">
        <f t="shared" ref="F49:P49" si="5">SUBTOTAL(109,F37:F48)</f>
        <v>1466.0865187730203</v>
      </c>
      <c r="G49" s="348">
        <f t="shared" si="5"/>
        <v>1410.9390009923336</v>
      </c>
      <c r="H49" s="348">
        <f t="shared" si="5"/>
        <v>1420.0607940481968</v>
      </c>
      <c r="I49" s="348">
        <f t="shared" si="5"/>
        <v>1437.408753549234</v>
      </c>
      <c r="J49" s="348">
        <f t="shared" si="5"/>
        <v>1634.3072195521454</v>
      </c>
      <c r="K49" s="348">
        <f t="shared" si="5"/>
        <v>1614.2050270901357</v>
      </c>
      <c r="L49" s="348">
        <f t="shared" si="5"/>
        <v>1615.051725114892</v>
      </c>
      <c r="M49" s="348">
        <f t="shared" si="5"/>
        <v>1536.6750783429407</v>
      </c>
      <c r="N49" s="348">
        <f t="shared" si="5"/>
        <v>1191.7364145072829</v>
      </c>
      <c r="O49" s="348">
        <f t="shared" si="5"/>
        <v>1143.850927546448</v>
      </c>
      <c r="P49" s="348">
        <f t="shared" si="5"/>
        <v>1450.2748856846188</v>
      </c>
      <c r="Q49" s="828">
        <f t="shared" si="0"/>
        <v>8769.656262651748</v>
      </c>
      <c r="R49" s="348">
        <f t="shared" si="1"/>
        <v>8551.7940582863175</v>
      </c>
      <c r="S49" s="806">
        <f t="shared" si="2"/>
        <v>17321.450320938064</v>
      </c>
    </row>
    <row r="50" spans="1:19" ht="18" customHeight="1">
      <c r="A50" s="1032"/>
      <c r="B50" s="582">
        <v>3345</v>
      </c>
      <c r="C50" s="82" t="s">
        <v>2</v>
      </c>
      <c r="D50" s="130">
        <f>'Falhas UM-3-1 Cost'!D50</f>
        <v>216.17370000000003</v>
      </c>
      <c r="E50" s="343">
        <f>'Falhas UM-3-2 Qty'!E50*'Falhas UM-3-2 Cost'!$D50/1000</f>
        <v>1419.5909380552405</v>
      </c>
      <c r="F50" s="343">
        <f>'Falhas UM-3-2 Qty'!F50*'Falhas UM-3-2 Cost'!$D50/1000</f>
        <v>1485.6959915186349</v>
      </c>
      <c r="G50" s="343">
        <f>'Falhas UM-3-2 Qty'!G50*'Falhas UM-3-2 Cost'!$D50/1000</f>
        <v>1429.8108544139438</v>
      </c>
      <c r="H50" s="343">
        <f>'Falhas UM-3-2 Qty'!H50*'Falhas UM-3-2 Cost'!$D50/1000</f>
        <v>1439.054654970749</v>
      </c>
      <c r="I50" s="343">
        <f>'Falhas UM-3-2 Qty'!I50*'Falhas UM-3-2 Cost'!$D50/1000</f>
        <v>1456.6346501222556</v>
      </c>
      <c r="J50" s="343">
        <f>'Falhas UM-3-2 Qty'!J50*'Falhas UM-3-2 Cost'!$D50/1000</f>
        <v>1656.1667090634396</v>
      </c>
      <c r="K50" s="343">
        <f>'Falhas UM-3-2 Qty'!K50*'Falhas UM-3-2 Cost'!$D50/1000</f>
        <v>1635.7956420226358</v>
      </c>
      <c r="L50" s="343">
        <f>'Falhas UM-3-2 Qty'!L50*'Falhas UM-3-2 Cost'!$D50/1000</f>
        <v>1636.6536649600951</v>
      </c>
      <c r="M50" s="343">
        <f>'Falhas UM-3-2 Qty'!M50*'Falhas UM-3-2 Cost'!$D50/1000</f>
        <v>1557.228700303021</v>
      </c>
      <c r="N50" s="343">
        <f>'Falhas UM-3-2 Qty'!N50*'Falhas UM-3-2 Cost'!$D50/1000</f>
        <v>1207.6763487751421</v>
      </c>
      <c r="O50" s="343">
        <f>'Falhas UM-3-2 Qty'!O50*'Falhas UM-3-2 Cost'!$D50/1000</f>
        <v>1159.1503749539174</v>
      </c>
      <c r="P50" s="818">
        <f>'Falhas UM-3-2 Qty'!P50*'Falhas UM-3-2 Cost'!$D50/1000</f>
        <v>1469.6728717381859</v>
      </c>
      <c r="Q50" s="836">
        <f t="shared" si="0"/>
        <v>8886.9537981442645</v>
      </c>
      <c r="R50" s="362">
        <f t="shared" si="1"/>
        <v>8666.1776027529977</v>
      </c>
      <c r="S50" s="796">
        <f t="shared" si="2"/>
        <v>17553.131400897262</v>
      </c>
    </row>
    <row r="51" spans="1:19" ht="18" customHeight="1">
      <c r="A51" s="1032"/>
      <c r="B51" s="587">
        <v>3355</v>
      </c>
      <c r="C51" s="99" t="s">
        <v>60</v>
      </c>
      <c r="D51" s="312">
        <f>'Falhas UM-3-1 Cost'!D51</f>
        <v>216.17370000000003</v>
      </c>
      <c r="E51" s="349">
        <f>'Falhas UM-3-2 Qty'!E51*'Falhas UM-3-2 Cost'!$D51/1000</f>
        <v>130.32876585777953</v>
      </c>
      <c r="F51" s="349">
        <f>'Falhas UM-3-2 Qty'!F51*'Falhas UM-3-2 Cost'!$D51/1000</f>
        <v>136.39769022457591</v>
      </c>
      <c r="G51" s="349">
        <f>'Falhas UM-3-2 Qty'!G51*'Falhas UM-3-2 Cost'!$D51/1000</f>
        <v>131.26702845899356</v>
      </c>
      <c r="H51" s="349">
        <f>'Falhas UM-3-2 Qty'!H51*'Falhas UM-3-2 Cost'!$D51/1000</f>
        <v>132.11567653507541</v>
      </c>
      <c r="I51" s="349">
        <f>'Falhas UM-3-2 Qty'!I51*'Falhas UM-3-2 Cost'!$D51/1000</f>
        <v>133.72964786333736</v>
      </c>
      <c r="J51" s="349">
        <f>'Falhas UM-3-2 Qty'!J51*'Falhas UM-3-2 Cost'!$D51/1000</f>
        <v>152.04814109526185</v>
      </c>
      <c r="K51" s="349">
        <f>'Falhas UM-3-2 Qty'!K51*'Falhas UM-3-2 Cost'!$D51/1000</f>
        <v>150.17792908174252</v>
      </c>
      <c r="L51" s="349">
        <f>'Falhas UM-3-2 Qty'!L51*'Falhas UM-3-2 Cost'!$D51/1000</f>
        <v>150.2567018236071</v>
      </c>
      <c r="M51" s="349">
        <f>'Falhas UM-3-2 Qty'!M51*'Falhas UM-3-2 Cost'!$D51/1000</f>
        <v>142.96491279863986</v>
      </c>
      <c r="N51" s="349">
        <f>'Falhas UM-3-2 Qty'!N51*'Falhas UM-3-2 Cost'!$D51/1000</f>
        <v>110.87346634313955</v>
      </c>
      <c r="O51" s="349">
        <f>'Falhas UM-3-2 Qty'!O51*'Falhas UM-3-2 Cost'!$D51/1000</f>
        <v>106.41842925419398</v>
      </c>
      <c r="P51" s="375">
        <f>'Falhas UM-3-2 Qty'!P51*'Falhas UM-3-2 Cost'!$D51/1000</f>
        <v>134.92665137091984</v>
      </c>
      <c r="Q51" s="841">
        <f t="shared" si="0"/>
        <v>815.88695003502357</v>
      </c>
      <c r="R51" s="367">
        <f t="shared" si="1"/>
        <v>795.61809067224272</v>
      </c>
      <c r="S51" s="807">
        <f t="shared" si="2"/>
        <v>1611.5050407072663</v>
      </c>
    </row>
    <row r="52" spans="1:19" ht="18" customHeight="1">
      <c r="A52" s="1032"/>
      <c r="B52" s="588">
        <v>3365</v>
      </c>
      <c r="C52" s="79" t="s">
        <v>67</v>
      </c>
      <c r="D52" s="308">
        <f>'Falhas UM-3-1 Cost'!D52</f>
        <v>120</v>
      </c>
      <c r="E52" s="342">
        <f>'Falhas UM-3-2 Qty'!E52*'Falhas UM-3-2 Cost'!$D52/1000</f>
        <v>0</v>
      </c>
      <c r="F52" s="342">
        <f>'Falhas UM-3-2 Qty'!F52*'Falhas UM-3-2 Cost'!$D52/1000</f>
        <v>0</v>
      </c>
      <c r="G52" s="342">
        <f>'Falhas UM-3-2 Qty'!G52*'Falhas UM-3-2 Cost'!$D52/1000</f>
        <v>0</v>
      </c>
      <c r="H52" s="342">
        <f>'Falhas UM-3-2 Qty'!H52*'Falhas UM-3-2 Cost'!$D52/1000</f>
        <v>0</v>
      </c>
      <c r="I52" s="342">
        <f>'Falhas UM-3-2 Qty'!I52*'Falhas UM-3-2 Cost'!$D52/1000</f>
        <v>0</v>
      </c>
      <c r="J52" s="342">
        <f>'Falhas UM-3-2 Qty'!J52*'Falhas UM-3-2 Cost'!$D52/1000</f>
        <v>0</v>
      </c>
      <c r="K52" s="342">
        <f>'Falhas UM-3-2 Qty'!K52*'Falhas UM-3-2 Cost'!$D52/1000</f>
        <v>0</v>
      </c>
      <c r="L52" s="342">
        <f>'Falhas UM-3-2 Qty'!L52*'Falhas UM-3-2 Cost'!$D52/1000</f>
        <v>0</v>
      </c>
      <c r="M52" s="342">
        <f>'Falhas UM-3-2 Qty'!M52*'Falhas UM-3-2 Cost'!$D52/1000</f>
        <v>0</v>
      </c>
      <c r="N52" s="342">
        <f>'Falhas UM-3-2 Qty'!N52*'Falhas UM-3-2 Cost'!$D52/1000</f>
        <v>0</v>
      </c>
      <c r="O52" s="342">
        <f>'Falhas UM-3-2 Qty'!O52*'Falhas UM-3-2 Cost'!$D52/1000</f>
        <v>0</v>
      </c>
      <c r="P52" s="376">
        <f>'Falhas UM-3-2 Qty'!P52*'Falhas UM-3-2 Cost'!$D52/1000</f>
        <v>0</v>
      </c>
      <c r="Q52" s="835">
        <f t="shared" si="0"/>
        <v>0</v>
      </c>
      <c r="R52" s="361">
        <f t="shared" si="1"/>
        <v>0</v>
      </c>
      <c r="S52" s="809">
        <f t="shared" si="2"/>
        <v>0</v>
      </c>
    </row>
    <row r="53" spans="1:19" ht="18" customHeight="1">
      <c r="A53" s="1032"/>
      <c r="B53" s="589">
        <v>3375</v>
      </c>
      <c r="C53" s="90" t="s">
        <v>66</v>
      </c>
      <c r="D53" s="310">
        <f>'Falhas UM-3-1 Cost'!D53</f>
        <v>2.1146400000000001</v>
      </c>
      <c r="E53" s="347">
        <f>'Falhas UM-3-2 Qty'!E53*'Falhas UM-3-2 Cost'!$D53/1000</f>
        <v>335.92902338391616</v>
      </c>
      <c r="F53" s="347">
        <f>'Falhas UM-3-2 Qty'!F53*'Falhas UM-3-2 Cost'!$D53/1000</f>
        <v>351.57198464508161</v>
      </c>
      <c r="G53" s="347">
        <f>'Falhas UM-3-2 Qty'!G53*'Falhas UM-3-2 Cost'!$D53/1000</f>
        <v>338.3474429648046</v>
      </c>
      <c r="H53" s="347">
        <f>'Falhas UM-3-2 Qty'!H53*'Falhas UM-3-2 Cost'!$D53/1000</f>
        <v>340.5348765487758</v>
      </c>
      <c r="I53" s="347">
        <f>'Falhas UM-3-2 Qty'!I53*'Falhas UM-3-2 Cost'!$D53/1000</f>
        <v>344.6949697446579</v>
      </c>
      <c r="J53" s="347">
        <f>'Falhas UM-3-2 Qty'!J53*'Falhas UM-3-2 Cost'!$D53/1000</f>
        <v>391.91181785001385</v>
      </c>
      <c r="K53" s="347">
        <f>'Falhas UM-3-2 Qty'!K53*'Falhas UM-3-2 Cost'!$D53/1000</f>
        <v>387.09125125377989</v>
      </c>
      <c r="L53" s="347">
        <f>'Falhas UM-3-2 Qty'!L53*'Falhas UM-3-2 Cost'!$D53/1000</f>
        <v>387.29429200284</v>
      </c>
      <c r="M53" s="347">
        <f>'Falhas UM-3-2 Qty'!M53*'Falhas UM-3-2 Cost'!$D53/1000</f>
        <v>368.49933488223132</v>
      </c>
      <c r="N53" s="347">
        <f>'Falhas UM-3-2 Qty'!N53*'Falhas UM-3-2 Cost'!$D53/1000</f>
        <v>285.7819992593532</v>
      </c>
      <c r="O53" s="347">
        <f>'Falhas UM-3-2 Qty'!O53*'Falhas UM-3-2 Cost'!$D53/1000</f>
        <v>274.29891454985977</v>
      </c>
      <c r="P53" s="377">
        <f>'Falhas UM-3-2 Qty'!P53*'Falhas UM-3-2 Cost'!$D53/1000</f>
        <v>347.78030717298975</v>
      </c>
      <c r="Q53" s="840">
        <f t="shared" si="0"/>
        <v>2102.9901151372501</v>
      </c>
      <c r="R53" s="366">
        <f t="shared" si="1"/>
        <v>2050.7460991210537</v>
      </c>
      <c r="S53" s="801">
        <f t="shared" si="2"/>
        <v>4153.7362142583042</v>
      </c>
    </row>
    <row r="54" spans="1:19" ht="18" customHeight="1" thickBot="1">
      <c r="A54" s="1033"/>
      <c r="B54" s="590">
        <v>0</v>
      </c>
      <c r="C54" s="103" t="s">
        <v>1</v>
      </c>
      <c r="D54" s="147">
        <f>'Falhas UM-3-1 Cost'!D54</f>
        <v>866.19875992895845</v>
      </c>
      <c r="E54" s="794">
        <f>SUBTOTAL(109,E50:E53)</f>
        <v>1885.848727296936</v>
      </c>
      <c r="F54" s="794">
        <f t="shared" ref="F54:P54" si="6">SUBTOTAL(109,F50:F53)</f>
        <v>1973.6656663882923</v>
      </c>
      <c r="G54" s="794">
        <f t="shared" si="6"/>
        <v>1899.4253258377421</v>
      </c>
      <c r="H54" s="794">
        <f t="shared" si="6"/>
        <v>1911.7052080546002</v>
      </c>
      <c r="I54" s="794">
        <f t="shared" si="6"/>
        <v>1935.0592677302507</v>
      </c>
      <c r="J54" s="794">
        <f t="shared" si="6"/>
        <v>2200.1266680087151</v>
      </c>
      <c r="K54" s="794">
        <f t="shared" si="6"/>
        <v>2173.0648223581584</v>
      </c>
      <c r="L54" s="794">
        <f t="shared" si="6"/>
        <v>2174.204658786542</v>
      </c>
      <c r="M54" s="794">
        <f t="shared" si="6"/>
        <v>2068.6929479838923</v>
      </c>
      <c r="N54" s="794">
        <f t="shared" si="6"/>
        <v>1604.3318143776348</v>
      </c>
      <c r="O54" s="794">
        <f t="shared" si="6"/>
        <v>1539.8677187579713</v>
      </c>
      <c r="P54" s="554">
        <f t="shared" si="6"/>
        <v>1952.3798302820956</v>
      </c>
      <c r="Q54" s="831">
        <f t="shared" si="0"/>
        <v>11805.830863316536</v>
      </c>
      <c r="R54" s="350">
        <f t="shared" si="1"/>
        <v>11512.541792546295</v>
      </c>
      <c r="S54" s="811">
        <f t="shared" si="2"/>
        <v>23318.372655862833</v>
      </c>
    </row>
    <row r="55" spans="1:19" ht="20.100000000000001" customHeight="1" thickTop="1">
      <c r="A55" s="104"/>
      <c r="B55" s="582">
        <v>0</v>
      </c>
      <c r="C55" s="82"/>
      <c r="D55" s="130">
        <f>'Falhas UM-3-1 Cost'!D55</f>
        <v>0</v>
      </c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818"/>
      <c r="Q55" s="836">
        <f t="shared" si="0"/>
        <v>0</v>
      </c>
      <c r="R55" s="362">
        <f t="shared" si="1"/>
        <v>0</v>
      </c>
      <c r="S55" s="796">
        <f t="shared" si="2"/>
        <v>0</v>
      </c>
    </row>
    <row r="56" spans="1:19" ht="20.100000000000001" customHeight="1" thickBot="1">
      <c r="A56" s="105"/>
      <c r="B56" s="591">
        <v>0</v>
      </c>
      <c r="C56" s="107" t="s">
        <v>59</v>
      </c>
      <c r="D56" s="151">
        <f>'Falhas UM-3-1 Cost'!D56</f>
        <v>2590.1553111525195</v>
      </c>
      <c r="E56" s="815">
        <f>SUMIF($C$5:$C$53,$C$53,E6:E54)</f>
        <v>1885.848727296936</v>
      </c>
      <c r="F56" s="815">
        <f t="shared" ref="F56:P56" si="7">SUMIF($C$5:$C$53,$C$53,F6:F54)</f>
        <v>1973.6656663882923</v>
      </c>
      <c r="G56" s="815">
        <f t="shared" si="7"/>
        <v>1899.4253258377421</v>
      </c>
      <c r="H56" s="815">
        <f t="shared" si="7"/>
        <v>1911.7052080546002</v>
      </c>
      <c r="I56" s="815">
        <f t="shared" si="7"/>
        <v>1935.0592677302507</v>
      </c>
      <c r="J56" s="815">
        <f t="shared" si="7"/>
        <v>2200.1266680087151</v>
      </c>
      <c r="K56" s="815">
        <f t="shared" si="7"/>
        <v>2173.0648223581584</v>
      </c>
      <c r="L56" s="815">
        <f t="shared" si="7"/>
        <v>2174.204658786542</v>
      </c>
      <c r="M56" s="815">
        <f t="shared" si="7"/>
        <v>2068.6929479838923</v>
      </c>
      <c r="N56" s="815">
        <f t="shared" si="7"/>
        <v>1604.3318143776348</v>
      </c>
      <c r="O56" s="815">
        <f t="shared" si="7"/>
        <v>1539.8677187579713</v>
      </c>
      <c r="P56" s="820">
        <f t="shared" si="7"/>
        <v>1952.3798302820956</v>
      </c>
      <c r="Q56" s="842">
        <f t="shared" si="0"/>
        <v>11805.830863316536</v>
      </c>
      <c r="R56" s="360">
        <f t="shared" si="1"/>
        <v>11512.541792546295</v>
      </c>
      <c r="S56" s="843">
        <f t="shared" si="2"/>
        <v>23318.372655862833</v>
      </c>
    </row>
    <row r="57" spans="1:19">
      <c r="C57" s="109"/>
      <c r="D57" s="109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</row>
    <row r="58" spans="1:19">
      <c r="B58" s="173" t="s">
        <v>173</v>
      </c>
      <c r="C58" s="207" t="s">
        <v>175</v>
      </c>
      <c r="D58" s="207"/>
      <c r="E58" s="206">
        <f t="shared" ref="E58:P58" si="8">E18+E36</f>
        <v>3689.7908116539656</v>
      </c>
      <c r="F58" s="206">
        <f t="shared" si="8"/>
        <v>3861.6106030702695</v>
      </c>
      <c r="G58" s="206">
        <f t="shared" ref="G58:H58" si="9">G18+G36</f>
        <v>3716.3543465888079</v>
      </c>
      <c r="H58" s="206">
        <f t="shared" si="9"/>
        <v>3740.3807681761327</v>
      </c>
      <c r="I58" s="206">
        <f t="shared" ref="I58" si="10">I18+I36</f>
        <v>3786.0745682984498</v>
      </c>
      <c r="J58" s="206">
        <f t="shared" ref="J58:K58" si="11">J18+J36</f>
        <v>4304.6968967279163</v>
      </c>
      <c r="K58" s="206">
        <f t="shared" si="11"/>
        <v>4251.7485621226542</v>
      </c>
      <c r="L58" s="206">
        <f t="shared" ref="L58:M58" si="12">L18+L36</f>
        <v>4253.9787293250201</v>
      </c>
      <c r="M58" s="206">
        <f t="shared" si="12"/>
        <v>4047.5379181367707</v>
      </c>
      <c r="N58" s="206">
        <f t="shared" si="8"/>
        <v>3138.983897197103</v>
      </c>
      <c r="O58" s="206">
        <f t="shared" si="8"/>
        <v>3012.8555263176672</v>
      </c>
      <c r="P58" s="206">
        <f t="shared" si="8"/>
        <v>3819.9634224951906</v>
      </c>
      <c r="Q58" s="206">
        <f>SUM(E58:J58)</f>
        <v>23098.907994515543</v>
      </c>
      <c r="R58" s="206">
        <f>SUM(K58:P58)</f>
        <v>22525.068055594409</v>
      </c>
      <c r="S58" s="206">
        <f t="shared" ref="S58" si="13">SUM(E58:P58)</f>
        <v>45623.976050109944</v>
      </c>
    </row>
    <row r="59" spans="1:19">
      <c r="B59" s="173"/>
      <c r="C59" s="173" t="s">
        <v>176</v>
      </c>
      <c r="D59" s="173"/>
      <c r="E59" s="206">
        <v>5129.8188028990662</v>
      </c>
      <c r="F59" s="206">
        <v>2497.4954176861743</v>
      </c>
      <c r="G59" s="206">
        <f>'[8]Falhas UM-3'!$AA$19+'[8]Falhas UM-3'!$AA$37</f>
        <v>2132.1060175462453</v>
      </c>
      <c r="H59" s="206">
        <f>'[9]Falhas UM-3'!$AA$19+'[9]Falhas UM-3'!$AA$37</f>
        <v>2266.0819987090545</v>
      </c>
      <c r="I59" s="206">
        <f>'[10]Falhas UM-3'!$AA$19+'[10]Falhas UM-3'!$AA$37</f>
        <v>3275.1827681235054</v>
      </c>
      <c r="J59" s="206">
        <f>'[11]Falhas UM-3'!$AA$19+'[11]Falhas UM-3'!$AA$37</f>
        <v>3191.0309147974708</v>
      </c>
      <c r="K59" s="206">
        <f>'[12]Falhas UM-3'!$AA$19+'[12]Falhas UM-3'!$AA$37</f>
        <v>932.54616425816153</v>
      </c>
      <c r="L59" s="206">
        <f>'[13]Falhas UM-3'!$AA$19+'[13]Falhas UM-3'!$AA$37</f>
        <v>2496.9330671248836</v>
      </c>
      <c r="M59" s="206">
        <f>'[2]Falhas UM-3'!$AA$19+'[2]Falhas UM-3'!$AA$37</f>
        <v>2605.4528407297939</v>
      </c>
      <c r="N59" s="206">
        <f>'[14]Falhas UM-3-2 Cost'!N$60</f>
        <v>1479.1217437973996</v>
      </c>
      <c r="O59" s="206">
        <f>'[14]Falhas UM-3-2 Cost'!O$60</f>
        <v>1647.9360284043817</v>
      </c>
      <c r="P59" s="206">
        <f>'[14]Falhas UM-3-2 Cost'!P$60</f>
        <v>1688.5990506145097</v>
      </c>
      <c r="Q59" s="206">
        <f t="shared" ref="Q59:Q65" si="14">SUM(E59:J59)</f>
        <v>18491.715919761515</v>
      </c>
      <c r="R59" s="206">
        <f t="shared" ref="R59:R65" si="15">SUM(K59:P59)</f>
        <v>10850.588894929129</v>
      </c>
      <c r="S59" s="206">
        <f t="shared" ref="S59:S65" si="16">SUM(E59:P59)</f>
        <v>29342.304814690648</v>
      </c>
    </row>
    <row r="60" spans="1:19">
      <c r="B60" s="173" t="s">
        <v>174</v>
      </c>
      <c r="C60" s="173" t="s">
        <v>175</v>
      </c>
      <c r="D60" s="173"/>
      <c r="E60" s="206">
        <f t="shared" ref="E60:P60" si="17">E49</f>
        <v>1400.8539757368185</v>
      </c>
      <c r="F60" s="206">
        <f t="shared" si="17"/>
        <v>1466.0865187730203</v>
      </c>
      <c r="G60" s="206">
        <f t="shared" ref="G60:H60" si="18">G49</f>
        <v>1410.9390009923336</v>
      </c>
      <c r="H60" s="206">
        <f t="shared" si="18"/>
        <v>1420.0607940481968</v>
      </c>
      <c r="I60" s="206">
        <f t="shared" ref="I60" si="19">I49</f>
        <v>1437.408753549234</v>
      </c>
      <c r="J60" s="206">
        <f t="shared" ref="J60:K60" si="20">J49</f>
        <v>1634.3072195521454</v>
      </c>
      <c r="K60" s="206">
        <f t="shared" si="20"/>
        <v>1614.2050270901357</v>
      </c>
      <c r="L60" s="206">
        <f t="shared" ref="L60:M60" si="21">L49</f>
        <v>1615.051725114892</v>
      </c>
      <c r="M60" s="206">
        <f t="shared" si="21"/>
        <v>1536.6750783429407</v>
      </c>
      <c r="N60" s="206">
        <f t="shared" si="17"/>
        <v>1191.7364145072829</v>
      </c>
      <c r="O60" s="206">
        <f t="shared" si="17"/>
        <v>1143.850927546448</v>
      </c>
      <c r="P60" s="206">
        <f t="shared" si="17"/>
        <v>1450.2748856846188</v>
      </c>
      <c r="Q60" s="206">
        <f t="shared" si="14"/>
        <v>8769.656262651748</v>
      </c>
      <c r="R60" s="206">
        <f t="shared" si="15"/>
        <v>8551.7940582863175</v>
      </c>
      <c r="S60" s="206">
        <f t="shared" si="16"/>
        <v>17321.450320938064</v>
      </c>
    </row>
    <row r="61" spans="1:19">
      <c r="B61" s="173"/>
      <c r="C61" s="173" t="s">
        <v>176</v>
      </c>
      <c r="D61" s="173"/>
      <c r="E61" s="206">
        <v>1128.4241550950824</v>
      </c>
      <c r="F61" s="206">
        <v>1002.1052924491274</v>
      </c>
      <c r="G61" s="206">
        <f>'[8]Falhas UM-3'!$AA$50</f>
        <v>910.98651261364182</v>
      </c>
      <c r="H61" s="206">
        <f>'[9]Falhas UM-3'!$AA$50</f>
        <v>1029.9057161303365</v>
      </c>
      <c r="I61" s="206">
        <f>'[10]Falhas UM-3'!$AA$50</f>
        <v>1295.2736813196091</v>
      </c>
      <c r="J61" s="206">
        <f>'[11]Falhas UM-3'!$AA$50</f>
        <v>1456.8526027872238</v>
      </c>
      <c r="K61" s="206">
        <f>'[12]Falhas UM-3'!$AA$50</f>
        <v>479.15648713173374</v>
      </c>
      <c r="L61" s="206">
        <f>'[13]Falhas UM-3'!$AA$50</f>
        <v>1297.748070793939</v>
      </c>
      <c r="M61" s="206">
        <f>'[2]Falhas UM-3'!$AA$50</f>
        <v>1119.9374483934378</v>
      </c>
      <c r="N61" s="206">
        <f>'[14]Falhas UM-3-2 Cost'!N$62</f>
        <v>630.22056231217584</v>
      </c>
      <c r="O61" s="206">
        <f>'[14]Falhas UM-3-2 Cost'!O$62</f>
        <v>702.14853836788609</v>
      </c>
      <c r="P61" s="206">
        <f>'[14]Falhas UM-3-2 Cost'!P$62</f>
        <v>719.47413906981842</v>
      </c>
      <c r="Q61" s="206">
        <f t="shared" si="14"/>
        <v>6823.5479603950207</v>
      </c>
      <c r="R61" s="206">
        <f t="shared" si="15"/>
        <v>4948.6852460689906</v>
      </c>
      <c r="S61" s="206">
        <f t="shared" si="16"/>
        <v>11772.23320646401</v>
      </c>
    </row>
    <row r="62" spans="1:19">
      <c r="B62" s="173" t="s">
        <v>104</v>
      </c>
      <c r="C62" s="173" t="s">
        <v>175</v>
      </c>
      <c r="D62" s="173"/>
      <c r="E62" s="206">
        <f t="shared" ref="E62:P62" si="22">E54</f>
        <v>1885.848727296936</v>
      </c>
      <c r="F62" s="206">
        <f t="shared" si="22"/>
        <v>1973.6656663882923</v>
      </c>
      <c r="G62" s="206">
        <f t="shared" ref="G62:H62" si="23">G54</f>
        <v>1899.4253258377421</v>
      </c>
      <c r="H62" s="206">
        <f t="shared" si="23"/>
        <v>1911.7052080546002</v>
      </c>
      <c r="I62" s="206">
        <f t="shared" ref="I62" si="24">I54</f>
        <v>1935.0592677302507</v>
      </c>
      <c r="J62" s="206">
        <f t="shared" ref="J62:K62" si="25">J54</f>
        <v>2200.1266680087151</v>
      </c>
      <c r="K62" s="206">
        <f t="shared" si="25"/>
        <v>2173.0648223581584</v>
      </c>
      <c r="L62" s="206">
        <f t="shared" ref="L62:M62" si="26">L54</f>
        <v>2174.204658786542</v>
      </c>
      <c r="M62" s="206">
        <f t="shared" si="26"/>
        <v>2068.6929479838923</v>
      </c>
      <c r="N62" s="206">
        <f t="shared" si="22"/>
        <v>1604.3318143776348</v>
      </c>
      <c r="O62" s="206">
        <f t="shared" si="22"/>
        <v>1539.8677187579713</v>
      </c>
      <c r="P62" s="206">
        <f t="shared" si="22"/>
        <v>1952.3798302820956</v>
      </c>
      <c r="Q62" s="206">
        <f t="shared" si="14"/>
        <v>11805.830863316536</v>
      </c>
      <c r="R62" s="206">
        <f t="shared" si="15"/>
        <v>11512.541792546295</v>
      </c>
      <c r="S62" s="206">
        <f t="shared" si="16"/>
        <v>23318.37265586283</v>
      </c>
    </row>
    <row r="63" spans="1:19">
      <c r="B63" s="231"/>
      <c r="C63" s="173" t="s">
        <v>176</v>
      </c>
      <c r="D63" s="173"/>
      <c r="E63" s="564">
        <v>1896.5517918713026</v>
      </c>
      <c r="F63" s="564">
        <v>1835.6666547832424</v>
      </c>
      <c r="G63" s="564">
        <f>'[8]Falhas UM-3'!$AA$55</f>
        <v>1584.3600555670314</v>
      </c>
      <c r="H63" s="564">
        <f>'[9]Falhas UM-3'!$AA$55</f>
        <v>1715.7552539935928</v>
      </c>
      <c r="I63" s="564">
        <f>'[10]Falhas UM-3'!$AA$55</f>
        <v>2394.0359044926522</v>
      </c>
      <c r="J63" s="564">
        <f>'[11]Falhas UM-3'!$AA$55</f>
        <v>2376.9252531887491</v>
      </c>
      <c r="K63" s="564">
        <f>'[12]Falhas UM-3'!$AA$55</f>
        <v>733.14611031693437</v>
      </c>
      <c r="L63" s="564">
        <f>'[13]Falhas UM-3'!$AA$55</f>
        <v>2175.6670335784042</v>
      </c>
      <c r="M63" s="564">
        <f>'[2]Falhas UM-3'!$AA$55</f>
        <v>1929.8022850390416</v>
      </c>
      <c r="N63" s="564">
        <f>'[14]Falhas UM-3-2 Cost'!N$64</f>
        <v>869.81696164999187</v>
      </c>
      <c r="O63" s="564">
        <f>'[14]Falhas UM-3-2 Cost'!O$64</f>
        <v>969.09041816952151</v>
      </c>
      <c r="P63" s="564">
        <f>'[14]Falhas UM-3-2 Cost'!P$64</f>
        <v>993.00284226756423</v>
      </c>
      <c r="Q63" s="206">
        <f t="shared" si="14"/>
        <v>11803.294913896571</v>
      </c>
      <c r="R63" s="206">
        <f t="shared" si="15"/>
        <v>7670.5256510214576</v>
      </c>
      <c r="S63" s="206">
        <f t="shared" si="16"/>
        <v>19473.820564918027</v>
      </c>
    </row>
    <row r="64" spans="1:19">
      <c r="B64" s="567" t="s">
        <v>1</v>
      </c>
      <c r="C64" s="1042" t="s">
        <v>175</v>
      </c>
      <c r="D64" s="1043"/>
      <c r="E64" s="646">
        <f t="array" ref="E64">SUM(IF($C$58:$C$63=$C$64,E58:E63))</f>
        <v>6976.4935146877197</v>
      </c>
      <c r="F64" s="646">
        <f>SUMIF($C$58:$C$63,$C64,F58:F63)</f>
        <v>7301.3627882315823</v>
      </c>
      <c r="G64" s="646">
        <f>SUMIF($C$58:$C$63,$C64,G58:G63)</f>
        <v>7026.7186734188836</v>
      </c>
      <c r="H64" s="646">
        <f t="shared" ref="H64:P64" si="27">SUMIF($C$58:$C$63,$C64,H58:H63)</f>
        <v>7072.1467702789296</v>
      </c>
      <c r="I64" s="646">
        <f t="shared" ref="I64" si="28">SUMIF($C$58:$C$63,$C64,I58:I63)</f>
        <v>7158.5425895779335</v>
      </c>
      <c r="J64" s="646">
        <f t="shared" ref="J64:K64" si="29">SUMIF($C$58:$C$63,$C64,J58:J63)</f>
        <v>8139.1307842887763</v>
      </c>
      <c r="K64" s="646">
        <f t="shared" si="29"/>
        <v>8039.018411570948</v>
      </c>
      <c r="L64" s="646">
        <f t="shared" ref="L64:M64" si="30">SUMIF($C$58:$C$63,$C64,L58:L63)</f>
        <v>8043.2351132264539</v>
      </c>
      <c r="M64" s="646">
        <f t="shared" si="30"/>
        <v>7652.9059444636041</v>
      </c>
      <c r="N64" s="646">
        <f t="shared" si="27"/>
        <v>5935.0521260820215</v>
      </c>
      <c r="O64" s="646">
        <f t="shared" si="27"/>
        <v>5696.5741726220867</v>
      </c>
      <c r="P64" s="646">
        <f t="shared" si="27"/>
        <v>7222.6181384619049</v>
      </c>
      <c r="Q64" s="647">
        <f t="shared" si="14"/>
        <v>43674.395120483823</v>
      </c>
      <c r="R64" s="647">
        <f t="shared" si="15"/>
        <v>42589.403906427018</v>
      </c>
      <c r="S64" s="647">
        <f t="shared" si="16"/>
        <v>86263.799026910856</v>
      </c>
    </row>
    <row r="65" spans="2:19">
      <c r="B65" s="198"/>
      <c r="C65" s="1042" t="s">
        <v>176</v>
      </c>
      <c r="D65" s="1043"/>
      <c r="E65" s="646">
        <f t="array" ref="E65">SUM(IF($C$58:$C$63=$C$65,E58:E63))</f>
        <v>8154.7947498654521</v>
      </c>
      <c r="F65" s="646">
        <f>SUMIF($C$58:$C$63,$C65,F58:F63)</f>
        <v>5335.2673649185435</v>
      </c>
      <c r="G65" s="646">
        <f>SUMIF($C$58:$C$63,$C65,G58:G63)</f>
        <v>4627.4525857269182</v>
      </c>
      <c r="H65" s="646">
        <f t="shared" ref="H65:P65" si="31">SUMIF($C$58:$C$63,$C65,H58:H63)</f>
        <v>5011.742968832983</v>
      </c>
      <c r="I65" s="646">
        <f t="shared" ref="I65" si="32">SUMIF($C$58:$C$63,$C65,I58:I63)</f>
        <v>6964.492353935766</v>
      </c>
      <c r="J65" s="646">
        <f t="shared" ref="J65:K65" si="33">SUMIF($C$58:$C$63,$C65,J58:J63)</f>
        <v>7024.808770773443</v>
      </c>
      <c r="K65" s="646">
        <f t="shared" si="33"/>
        <v>2144.8487617068295</v>
      </c>
      <c r="L65" s="646">
        <f t="shared" ref="L65:M65" si="34">SUMIF($C$58:$C$63,$C65,L58:L63)</f>
        <v>5970.3481714972268</v>
      </c>
      <c r="M65" s="646">
        <f t="shared" si="34"/>
        <v>5655.1925741622736</v>
      </c>
      <c r="N65" s="646">
        <f t="shared" si="31"/>
        <v>2979.1592677595672</v>
      </c>
      <c r="O65" s="646">
        <f t="shared" si="31"/>
        <v>3319.1749849417893</v>
      </c>
      <c r="P65" s="646">
        <f t="shared" si="31"/>
        <v>3401.0760319518922</v>
      </c>
      <c r="Q65" s="647">
        <f t="shared" si="14"/>
        <v>37118.558794053104</v>
      </c>
      <c r="R65" s="647">
        <f t="shared" si="15"/>
        <v>23469.799792019581</v>
      </c>
      <c r="S65" s="647">
        <f t="shared" si="16"/>
        <v>60588.358586072689</v>
      </c>
    </row>
    <row r="66" spans="2:19">
      <c r="C66" s="109"/>
      <c r="D66" s="109"/>
      <c r="E66" s="203"/>
      <c r="F66" s="203"/>
      <c r="G66" s="203"/>
      <c r="H66" s="203"/>
      <c r="I66" s="203"/>
      <c r="J66" s="203"/>
      <c r="K66" s="203"/>
      <c r="L66" s="203"/>
      <c r="M66" s="203"/>
      <c r="N66" s="203"/>
      <c r="O66" s="203"/>
      <c r="P66" s="203"/>
    </row>
    <row r="67" spans="2:19">
      <c r="C67" s="109"/>
      <c r="D67" s="109"/>
      <c r="E67" s="109"/>
    </row>
    <row r="91" spans="5:6">
      <c r="E91" s="1" t="s">
        <v>221</v>
      </c>
      <c r="F91" s="579">
        <f>12-COUNTIF($F$64:$Q$64,"=0")</f>
        <v>12</v>
      </c>
    </row>
    <row r="92" spans="5:6">
      <c r="E92" s="1" t="s">
        <v>225</v>
      </c>
      <c r="F92" s="579">
        <f ca="1">OFFSET($E$5,0,0,,COUNTIF($E$64:$Q$64,"&gt;0"))</f>
        <v>44682</v>
      </c>
    </row>
    <row r="93" spans="5:6">
      <c r="E93" s="1" t="s">
        <v>226</v>
      </c>
      <c r="F93" s="579">
        <f ca="1">OFFSET($F$64,0,0,,COUNTIF($E$64:$Q$64,"&gt;0"))</f>
        <v>7301.3627882315823</v>
      </c>
    </row>
    <row r="94" spans="5:6">
      <c r="E94" s="1" t="s">
        <v>227</v>
      </c>
      <c r="F94" s="579">
        <f ca="1">OFFSET($F$65,0,0,,COUNTIF($E$64:$Q$64,"&gt;0"))</f>
        <v>5335.2673649185435</v>
      </c>
    </row>
  </sheetData>
  <mergeCells count="6">
    <mergeCell ref="C64:D64"/>
    <mergeCell ref="C65:D65"/>
    <mergeCell ref="A1:E1"/>
    <mergeCell ref="B4:C4"/>
    <mergeCell ref="A6:A36"/>
    <mergeCell ref="A37:A54"/>
  </mergeCells>
  <printOptions gridLinesSet="0"/>
  <pageMargins left="0.78740157480314965" right="0.19685039370078741" top="0.59055118110236227" bottom="0.59055118110236227" header="0.51181102362204722" footer="0.31496062992125984"/>
  <pageSetup paperSize="9" scale="34" orientation="landscape" r:id="rId1"/>
  <headerFooter alignWithMargins="0">
    <oddFooter>&amp;L&amp;A&amp;R&amp;F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1">
    <tabColor indexed="56"/>
    <pageSetUpPr fitToPage="1"/>
  </sheetPr>
  <dimension ref="A1:Z81"/>
  <sheetViews>
    <sheetView showGridLines="0" zoomScale="106" zoomScaleNormal="106" zoomScaleSheetLayoutView="53" workbookViewId="0">
      <pane xSplit="3" ySplit="5" topLeftCell="D51" activePane="bottomRight" state="frozen"/>
      <selection activeCell="E6" sqref="E6"/>
      <selection pane="topRight" activeCell="E6" sqref="E6"/>
      <selection pane="bottomLeft" activeCell="E6" sqref="E6"/>
      <selection pane="bottomRight" activeCell="D61" sqref="D61"/>
    </sheetView>
  </sheetViews>
  <sheetFormatPr defaultColWidth="11.42578125" defaultRowHeight="12.75"/>
  <cols>
    <col min="1" max="1" width="3.140625" style="75" bestFit="1" customWidth="1"/>
    <col min="2" max="2" width="6.42578125" style="75" bestFit="1" customWidth="1"/>
    <col min="3" max="3" width="25.140625" style="75" bestFit="1" customWidth="1"/>
    <col min="4" max="4" width="7.7109375" style="75" bestFit="1" customWidth="1"/>
    <col min="5" max="5" width="8.85546875" style="75" bestFit="1" customWidth="1"/>
    <col min="6" max="13" width="9.85546875" style="75" bestFit="1" customWidth="1"/>
    <col min="14" max="15" width="8.85546875" style="75" bestFit="1" customWidth="1"/>
    <col min="16" max="16" width="9.85546875" style="75" bestFit="1" customWidth="1"/>
    <col min="17" max="16384" width="11.42578125" style="75"/>
  </cols>
  <sheetData>
    <row r="1" spans="1:26" ht="18" customHeight="1">
      <c r="A1" s="1026" t="s">
        <v>141</v>
      </c>
      <c r="B1" s="1026"/>
      <c r="C1" s="1026"/>
      <c r="D1" s="1026"/>
      <c r="E1" s="1026"/>
    </row>
    <row r="2" spans="1:26" ht="18" customHeight="1"/>
    <row r="3" spans="1:26" ht="9.9499999999999993" customHeight="1"/>
    <row r="4" spans="1:26" ht="25.5">
      <c r="A4" s="111"/>
      <c r="B4" s="1045" t="s">
        <v>57</v>
      </c>
      <c r="C4" s="1046"/>
      <c r="D4" s="374" t="s">
        <v>201</v>
      </c>
      <c r="E4" s="1054" t="s">
        <v>82</v>
      </c>
      <c r="F4" s="1055"/>
      <c r="G4" s="1055"/>
      <c r="H4" s="1055"/>
      <c r="I4" s="1055"/>
      <c r="J4" s="1055"/>
      <c r="K4" s="1055"/>
      <c r="L4" s="1055"/>
      <c r="M4" s="1055"/>
      <c r="N4" s="1055"/>
      <c r="O4" s="1055"/>
      <c r="P4" s="1055"/>
      <c r="Q4" s="1053" t="s">
        <v>163</v>
      </c>
      <c r="R4" s="1053"/>
      <c r="S4" s="1053" t="s">
        <v>164</v>
      </c>
      <c r="T4" s="1053"/>
      <c r="U4" s="1053" t="s">
        <v>1</v>
      </c>
      <c r="V4" s="1053"/>
      <c r="W4" s="1053" t="s">
        <v>52</v>
      </c>
      <c r="X4" s="1053" t="s">
        <v>54</v>
      </c>
      <c r="Y4" s="1053" t="s">
        <v>52</v>
      </c>
      <c r="Z4" s="1053" t="s">
        <v>52</v>
      </c>
    </row>
    <row r="5" spans="1:26" ht="35.25" customHeight="1">
      <c r="A5" s="111"/>
      <c r="B5" s="112" t="s">
        <v>51</v>
      </c>
      <c r="C5" s="113" t="s">
        <v>50</v>
      </c>
      <c r="D5" s="474">
        <f>'Falhas UM-1 - Qty'!E5</f>
        <v>2022</v>
      </c>
      <c r="E5" s="114">
        <f>'Falhas UM-1 - Qty'!F5</f>
        <v>44652</v>
      </c>
      <c r="F5" s="114">
        <f>'Falhas UM-1 - Qty'!G5</f>
        <v>44682</v>
      </c>
      <c r="G5" s="114">
        <f>'Falhas UM-1 - Qty'!H5</f>
        <v>44713</v>
      </c>
      <c r="H5" s="114">
        <f>'Falhas UM-1 - Qty'!I5</f>
        <v>44743</v>
      </c>
      <c r="I5" s="114">
        <f>'Falhas UM-1 - Qty'!J5</f>
        <v>44774</v>
      </c>
      <c r="J5" s="114">
        <f>'Falhas UM-1 - Qty'!K5</f>
        <v>44805</v>
      </c>
      <c r="K5" s="114">
        <f>'Falhas UM-1 - Qty'!L5</f>
        <v>44835</v>
      </c>
      <c r="L5" s="114">
        <f>'Falhas UM-1 - Qty'!M5</f>
        <v>44866</v>
      </c>
      <c r="M5" s="114">
        <f>'Falhas UM-1 - Qty'!N5</f>
        <v>44896</v>
      </c>
      <c r="N5" s="114">
        <f>'Falhas UM-1 - Qty'!O5</f>
        <v>44927</v>
      </c>
      <c r="O5" s="114">
        <f>'Falhas UM-1 - Qty'!P5</f>
        <v>44958</v>
      </c>
      <c r="P5" s="114">
        <f>'Falhas UM-1 - Qty'!Q5</f>
        <v>44986</v>
      </c>
      <c r="Q5" s="110" t="s">
        <v>49</v>
      </c>
      <c r="R5" s="110" t="s">
        <v>48</v>
      </c>
      <c r="S5" s="110" t="s">
        <v>49</v>
      </c>
      <c r="T5" s="110" t="s">
        <v>48</v>
      </c>
      <c r="U5" s="110" t="s">
        <v>49</v>
      </c>
      <c r="V5" s="110" t="s">
        <v>48</v>
      </c>
      <c r="W5" s="110" t="s">
        <v>55</v>
      </c>
      <c r="X5" s="110" t="s">
        <v>54</v>
      </c>
      <c r="Y5" s="110" t="s">
        <v>189</v>
      </c>
      <c r="Z5" s="110" t="s">
        <v>48</v>
      </c>
    </row>
    <row r="6" spans="1:26" ht="18" customHeight="1">
      <c r="A6" s="1031" t="s">
        <v>142</v>
      </c>
      <c r="B6" s="78">
        <v>4010</v>
      </c>
      <c r="C6" s="79" t="s">
        <v>143</v>
      </c>
      <c r="D6" s="351">
        <f>'[3]Falhas UM-4 Qty'!Z6</f>
        <v>49.753288060956649</v>
      </c>
      <c r="E6" s="332">
        <f>'Prod &amp; Defects - Qty'!F$8*'Falhas UM-4 Qty'!$D6/1000000</f>
        <v>490.42101302560121</v>
      </c>
      <c r="F6" s="332">
        <f>'Prod &amp; Defects - Qty'!G$8*'Falhas UM-4 Qty'!$D6/1000000</f>
        <v>559.95009871183959</v>
      </c>
      <c r="G6" s="332">
        <f>'Prod &amp; Defects - Qty'!H$8*'Falhas UM-4 Qty'!$D6/1000000</f>
        <v>507.17527007792063</v>
      </c>
      <c r="H6" s="332">
        <f>'Prod &amp; Defects - Qty'!I$8*'Falhas UM-4 Qty'!$D6/1000000</f>
        <v>509.72534075906901</v>
      </c>
      <c r="I6" s="332">
        <f>'Prod &amp; Defects - Qty'!J$8*'Falhas UM-4 Qty'!$D6/1000000</f>
        <v>550.28451796223635</v>
      </c>
      <c r="J6" s="332">
        <f>'Prod &amp; Defects - Qty'!K$8*'Falhas UM-4 Qty'!$D6/1000000</f>
        <v>579.88188442949786</v>
      </c>
      <c r="K6" s="332">
        <f>'Prod &amp; Defects - Qty'!L$8*'Falhas UM-4 Qty'!$D6/1000000</f>
        <v>565.80100122017075</v>
      </c>
      <c r="L6" s="332">
        <f>'Prod &amp; Defects - Qty'!M$8*'Falhas UM-4 Qty'!$D6/1000000</f>
        <v>564.66922302574483</v>
      </c>
      <c r="M6" s="332">
        <f>'Prod &amp; Defects - Qty'!N$8*'Falhas UM-4 Qty'!$D6/1000000</f>
        <v>564.00159785483322</v>
      </c>
      <c r="N6" s="332">
        <f>'Prod &amp; Defects - Qty'!O$8*'Falhas UM-4 Qty'!$D6/1000000</f>
        <v>417.41058192154429</v>
      </c>
      <c r="O6" s="332">
        <f>'Prod &amp; Defects - Qty'!P$8*'Falhas UM-4 Qty'!$D6/1000000</f>
        <v>435.97202296536199</v>
      </c>
      <c r="P6" s="332">
        <f>'Prod &amp; Defects - Qty'!Q$8*'Falhas UM-4 Qty'!$D6/1000000</f>
        <v>539.29768803216416</v>
      </c>
      <c r="Q6" s="332">
        <f>SUM(E6:J6)</f>
        <v>3197.4381249661647</v>
      </c>
      <c r="R6" s="332">
        <f>Q6/SUM('Prod &amp; Defects - Qty'!$F$8:$K$8)*1000000</f>
        <v>49.753288060956656</v>
      </c>
      <c r="S6" s="332">
        <f>SUM(K6:P6)</f>
        <v>3087.1521150198196</v>
      </c>
      <c r="T6" s="332">
        <f>S6/SUM('Prod &amp; Defects - Qty'!$L$8:$Q$8)*1000000</f>
        <v>49.753288060956663</v>
      </c>
      <c r="U6" s="332">
        <f>Q6+S6</f>
        <v>6284.5902399859842</v>
      </c>
      <c r="V6" s="332">
        <f>U6/'Prod &amp; Defects - Qty'!$R$8*1000000</f>
        <v>49.753288060956649</v>
      </c>
      <c r="W6" s="332">
        <f t="shared" ref="W6:X19" si="0">V6*Redutor</f>
        <v>44.777959254860988</v>
      </c>
      <c r="X6" s="332">
        <f t="shared" si="0"/>
        <v>40.30016332937489</v>
      </c>
      <c r="Y6" s="332">
        <f>(W6+X6)/2</f>
        <v>42.539061292117935</v>
      </c>
      <c r="Z6" s="956">
        <f t="shared" ref="Z6:Z14" si="1">Y6*1</f>
        <v>42.539061292117935</v>
      </c>
    </row>
    <row r="7" spans="1:26" ht="18" customHeight="1">
      <c r="A7" s="1032"/>
      <c r="B7" s="81">
        <v>4020</v>
      </c>
      <c r="C7" s="82" t="s">
        <v>144</v>
      </c>
      <c r="D7" s="352">
        <f>'[3]Falhas UM-4 Qty'!Z7</f>
        <v>46.246099352610166</v>
      </c>
      <c r="E7" s="333">
        <f>'Prod &amp; Defects - Qty'!F$8*'Falhas UM-4 Qty'!$D7/1000000</f>
        <v>455.85045284248469</v>
      </c>
      <c r="F7" s="333">
        <f>'Prod &amp; Defects - Qty'!G$8*'Falhas UM-4 Qty'!$D7/1000000</f>
        <v>520.47832227299205</v>
      </c>
      <c r="G7" s="333">
        <f>'Prod &amp; Defects - Qty'!H$8*'Falhas UM-4 Qty'!$D7/1000000</f>
        <v>471.42367556640687</v>
      </c>
      <c r="H7" s="333">
        <f>'Prod &amp; Defects - Qty'!I$8*'Falhas UM-4 Qty'!$D7/1000000</f>
        <v>473.79398769396073</v>
      </c>
      <c r="I7" s="333">
        <f>'Prod &amp; Defects - Qty'!J$8*'Falhas UM-4 Qty'!$D7/1000000</f>
        <v>511.49408374187874</v>
      </c>
      <c r="J7" s="333">
        <f>'Prod &amp; Defects - Qty'!K$8*'Falhas UM-4 Qty'!$D7/1000000</f>
        <v>539.00508459359344</v>
      </c>
      <c r="K7" s="333">
        <f>'Prod &amp; Defects - Qty'!L$8*'Falhas UM-4 Qty'!$D7/1000000</f>
        <v>525.91678532233288</v>
      </c>
      <c r="L7" s="333">
        <f>'Prod &amp; Defects - Qty'!M$8*'Falhas UM-4 Qty'!$D7/1000000</f>
        <v>524.8647879797569</v>
      </c>
      <c r="M7" s="333">
        <f>'Prod &amp; Defects - Qty'!N$8*'Falhas UM-4 Qty'!$D7/1000000</f>
        <v>524.24422477303074</v>
      </c>
      <c r="N7" s="333">
        <f>'Prod &amp; Defects - Qty'!O$8*'Falhas UM-4 Qty'!$D7/1000000</f>
        <v>387.98664359075514</v>
      </c>
      <c r="O7" s="333">
        <f>'Prod &amp; Defects - Qty'!P$8*'Falhas UM-4 Qty'!$D7/1000000</f>
        <v>405.23965902138008</v>
      </c>
      <c r="P7" s="333">
        <f>'Prod &amp; Defects - Qty'!Q$8*'Falhas UM-4 Qty'!$D7/1000000</f>
        <v>501.28173299444995</v>
      </c>
      <c r="Q7" s="333">
        <f t="shared" ref="Q7:Q14" si="2">SUM(E7:J7)</f>
        <v>2972.0456067113169</v>
      </c>
      <c r="R7" s="333">
        <f>Q7/SUM('Prod &amp; Defects - Qty'!$F$8:$K$8)*1000000</f>
        <v>46.246099352610173</v>
      </c>
      <c r="S7" s="333">
        <f t="shared" ref="S7:S62" si="3">SUM(K7:P7)</f>
        <v>2869.5338336817058</v>
      </c>
      <c r="T7" s="333">
        <f>S7/SUM('Prod &amp; Defects - Qty'!$L$8:$Q$8)*1000000</f>
        <v>46.246099352610173</v>
      </c>
      <c r="U7" s="333">
        <f t="shared" ref="U7:U62" si="4">Q7+S7</f>
        <v>5841.5794403930231</v>
      </c>
      <c r="V7" s="333">
        <f>U7/'Prod &amp; Defects - Qty'!$R$8*1000000</f>
        <v>46.246099352610166</v>
      </c>
      <c r="W7" s="333">
        <f t="shared" si="0"/>
        <v>41.621489417349153</v>
      </c>
      <c r="X7" s="333">
        <f t="shared" si="0"/>
        <v>37.459340475614241</v>
      </c>
      <c r="Y7" s="333">
        <f t="shared" ref="Y7:Y61" si="5">(W7+X7)/2</f>
        <v>39.540414946481697</v>
      </c>
      <c r="Z7" s="957">
        <f t="shared" si="1"/>
        <v>39.540414946481697</v>
      </c>
    </row>
    <row r="8" spans="1:26" ht="18" customHeight="1">
      <c r="A8" s="1032"/>
      <c r="B8" s="81">
        <v>4030</v>
      </c>
      <c r="C8" s="82" t="s">
        <v>145</v>
      </c>
      <c r="D8" s="352">
        <f>'[3]Falhas UM-4 Qty'!Z8</f>
        <v>9.0228925112452778</v>
      </c>
      <c r="E8" s="333">
        <f>'Prod &amp; Defects - Qty'!F$8*'Falhas UM-4 Qty'!$D8/1000000</f>
        <v>88.939168811608724</v>
      </c>
      <c r="F8" s="333">
        <f>'Prod &amp; Defects - Qty'!G$8*'Falhas UM-4 Qty'!$D8/1000000</f>
        <v>101.54845537340282</v>
      </c>
      <c r="G8" s="333">
        <f>'Prod &amp; Defects - Qty'!H$8*'Falhas UM-4 Qty'!$D8/1000000</f>
        <v>91.977598358287906</v>
      </c>
      <c r="H8" s="333">
        <f>'Prod &amp; Defects - Qty'!I$8*'Falhas UM-4 Qty'!$D8/1000000</f>
        <v>92.440060530112405</v>
      </c>
      <c r="I8" s="333">
        <f>'Prod &amp; Defects - Qty'!J$8*'Falhas UM-4 Qty'!$D8/1000000</f>
        <v>99.795576326382204</v>
      </c>
      <c r="J8" s="333">
        <f>'Prod &amp; Defects - Qty'!K$8*'Falhas UM-4 Qty'!$D8/1000000</f>
        <v>105.16313828375168</v>
      </c>
      <c r="K8" s="333">
        <f>'Prod &amp; Defects - Qty'!L$8*'Falhas UM-4 Qty'!$D8/1000000</f>
        <v>102.60953226869802</v>
      </c>
      <c r="L8" s="333">
        <f>'Prod &amp; Defects - Qty'!M$8*'Falhas UM-4 Qty'!$D8/1000000</f>
        <v>102.40428125127049</v>
      </c>
      <c r="M8" s="333">
        <f>'Prod &amp; Defects - Qty'!N$8*'Falhas UM-4 Qty'!$D8/1000000</f>
        <v>102.28320563215651</v>
      </c>
      <c r="N8" s="333">
        <f>'Prod &amp; Defects - Qty'!O$8*'Falhas UM-4 Qty'!$D8/1000000</f>
        <v>75.698530901517643</v>
      </c>
      <c r="O8" s="333">
        <f>'Prod &amp; Defects - Qty'!P$8*'Falhas UM-4 Qty'!$D8/1000000</f>
        <v>79.064698122204504</v>
      </c>
      <c r="P8" s="333">
        <f>'Prod &amp; Defects - Qty'!Q$8*'Falhas UM-4 Qty'!$D8/1000000</f>
        <v>97.803085189375977</v>
      </c>
      <c r="Q8" s="333">
        <f t="shared" si="2"/>
        <v>579.86399768354579</v>
      </c>
      <c r="R8" s="333">
        <f>Q8/SUM('Prod &amp; Defects - Qty'!$F$8:$K$8)*1000000</f>
        <v>9.0228925112452796</v>
      </c>
      <c r="S8" s="333">
        <f t="shared" si="3"/>
        <v>559.86333336522318</v>
      </c>
      <c r="T8" s="333">
        <f>S8/SUM('Prod &amp; Defects - Qty'!$L$8:$Q$8)*1000000</f>
        <v>9.0228925112452796</v>
      </c>
      <c r="U8" s="333">
        <f t="shared" si="4"/>
        <v>1139.727331048769</v>
      </c>
      <c r="V8" s="333">
        <f>U8/'Prod &amp; Defects - Qty'!$R$8*1000000</f>
        <v>9.0228925112452778</v>
      </c>
      <c r="W8" s="333">
        <f t="shared" si="0"/>
        <v>8.1206032601207507</v>
      </c>
      <c r="X8" s="333">
        <f t="shared" si="0"/>
        <v>7.3085429341086758</v>
      </c>
      <c r="Y8" s="333">
        <f t="shared" si="5"/>
        <v>7.7145730971147133</v>
      </c>
      <c r="Z8" s="957">
        <f t="shared" si="1"/>
        <v>7.7145730971147133</v>
      </c>
    </row>
    <row r="9" spans="1:26" ht="18" customHeight="1">
      <c r="A9" s="1032"/>
      <c r="B9" s="81">
        <v>4040</v>
      </c>
      <c r="C9" s="82" t="s">
        <v>146</v>
      </c>
      <c r="D9" s="352">
        <f>'[3]Falhas UM-4 Qty'!Z9</f>
        <v>142.14200960651675</v>
      </c>
      <c r="E9" s="333">
        <f>'Prod &amp; Defects - Qty'!F$8*'Falhas UM-4 Qty'!$D9/1000000</f>
        <v>1401.1019384149283</v>
      </c>
      <c r="F9" s="333">
        <f>'Prod &amp; Defects - Qty'!G$8*'Falhas UM-4 Qty'!$D9/1000000</f>
        <v>1599.7421559908439</v>
      </c>
      <c r="G9" s="333">
        <f>'Prod &amp; Defects - Qty'!H$8*'Falhas UM-4 Qty'!$D9/1000000</f>
        <v>1448.9677953199655</v>
      </c>
      <c r="H9" s="333">
        <f>'Prod &amp; Defects - Qty'!I$8*'Falhas UM-4 Qty'!$D9/1000000</f>
        <v>1456.2531866053214</v>
      </c>
      <c r="I9" s="333">
        <f>'Prod &amp; Defects - Qty'!J$8*'Falhas UM-4 Qty'!$D9/1000000</f>
        <v>1572.1282007065336</v>
      </c>
      <c r="J9" s="333">
        <f>'Prod &amp; Defects - Qty'!K$8*'Falhas UM-4 Qty'!$D9/1000000</f>
        <v>1656.6860121131431</v>
      </c>
      <c r="K9" s="333">
        <f>'Prod &amp; Defects - Qty'!L$8*'Falhas UM-4 Qty'!$D9/1000000</f>
        <v>1616.4578158589329</v>
      </c>
      <c r="L9" s="333">
        <f>'Prod &amp; Defects - Qty'!M$8*'Falhas UM-4 Qty'!$D9/1000000</f>
        <v>1613.2243968578118</v>
      </c>
      <c r="M9" s="333">
        <f>'Prod &amp; Defects - Qty'!N$8*'Falhas UM-4 Qty'!$D9/1000000</f>
        <v>1611.3170338039172</v>
      </c>
      <c r="N9" s="333">
        <f>'Prod &amp; Defects - Qty'!O$8*'Falhas UM-4 Qty'!$D9/1000000</f>
        <v>1192.5157362999232</v>
      </c>
      <c r="O9" s="333">
        <f>'Prod &amp; Defects - Qty'!P$8*'Falhas UM-4 Qty'!$D9/1000000</f>
        <v>1245.5446040187494</v>
      </c>
      <c r="P9" s="333">
        <f>'Prod &amp; Defects - Qty'!Q$8*'Falhas UM-4 Qty'!$D9/1000000</f>
        <v>1540.7395197503697</v>
      </c>
      <c r="Q9" s="333">
        <f t="shared" si="2"/>
        <v>9134.8792891507364</v>
      </c>
      <c r="R9" s="333">
        <f>Q9/SUM('Prod &amp; Defects - Qty'!$F$8:$K$8)*1000000</f>
        <v>142.14200960651678</v>
      </c>
      <c r="S9" s="333">
        <f t="shared" si="3"/>
        <v>8819.799106589704</v>
      </c>
      <c r="T9" s="333">
        <f>S9/SUM('Prod &amp; Defects - Qty'!$L$8:$Q$8)*1000000</f>
        <v>142.14200960651678</v>
      </c>
      <c r="U9" s="333">
        <f t="shared" si="4"/>
        <v>17954.67839574044</v>
      </c>
      <c r="V9" s="333">
        <f>U9/'Prod &amp; Defects - Qty'!$R$8*1000000</f>
        <v>142.14200960651675</v>
      </c>
      <c r="W9" s="333">
        <f t="shared" si="0"/>
        <v>127.92780864586508</v>
      </c>
      <c r="X9" s="333">
        <f t="shared" si="0"/>
        <v>115.13502778127858</v>
      </c>
      <c r="Y9" s="333">
        <f t="shared" si="5"/>
        <v>121.53141821357184</v>
      </c>
      <c r="Z9" s="957">
        <f t="shared" si="1"/>
        <v>121.53141821357184</v>
      </c>
    </row>
    <row r="10" spans="1:26" ht="18" customHeight="1">
      <c r="A10" s="1032"/>
      <c r="B10" s="81">
        <v>4050</v>
      </c>
      <c r="C10" s="82" t="s">
        <v>147</v>
      </c>
      <c r="D10" s="352">
        <f>'[3]Falhas UM-4 Qty'!Z10</f>
        <v>10.701436790165161</v>
      </c>
      <c r="E10" s="333">
        <f>'Prod &amp; Defects - Qty'!F$8*'Falhas UM-4 Qty'!$D10/1000000</f>
        <v>105.48467600839253</v>
      </c>
      <c r="F10" s="333">
        <f>'Prod &amp; Defects - Qty'!G$8*'Falhas UM-4 Qty'!$D10/1000000</f>
        <v>120.43968992903331</v>
      </c>
      <c r="G10" s="333">
        <f>'Prod &amp; Defects - Qty'!H$8*'Falhas UM-4 Qty'!$D10/1000000</f>
        <v>109.08834985185604</v>
      </c>
      <c r="H10" s="333">
        <f>'Prod &amp; Defects - Qty'!I$8*'Falhas UM-4 Qty'!$D10/1000000</f>
        <v>109.63684466030627</v>
      </c>
      <c r="I10" s="333">
        <f>'Prod &amp; Defects - Qty'!J$8*'Falhas UM-4 Qty'!$D10/1000000</f>
        <v>118.36071976518426</v>
      </c>
      <c r="J10" s="333">
        <f>'Prod &amp; Defects - Qty'!K$8*'Falhas UM-4 Qty'!$D10/1000000</f>
        <v>124.72681854476033</v>
      </c>
      <c r="K10" s="333">
        <f>'Prod &amp; Defects - Qty'!L$8*'Falhas UM-4 Qty'!$D10/1000000</f>
        <v>121.69816079193613</v>
      </c>
      <c r="L10" s="333">
        <f>'Prod &amp; Defects - Qty'!M$8*'Falhas UM-4 Qty'!$D10/1000000</f>
        <v>121.45472657321078</v>
      </c>
      <c r="M10" s="333">
        <f>'Prod &amp; Defects - Qty'!N$8*'Falhas UM-4 Qty'!$D10/1000000</f>
        <v>121.31112704754165</v>
      </c>
      <c r="N10" s="333">
        <f>'Prod &amp; Defects - Qty'!O$8*'Falhas UM-4 Qty'!$D10/1000000</f>
        <v>89.780859357611149</v>
      </c>
      <c r="O10" s="333">
        <f>'Prod &amp; Defects - Qty'!P$8*'Falhas UM-4 Qty'!$D10/1000000</f>
        <v>93.773240480672399</v>
      </c>
      <c r="P10" s="333">
        <f>'Prod &amp; Defects - Qty'!Q$8*'Falhas UM-4 Qty'!$D10/1000000</f>
        <v>115.99756206037262</v>
      </c>
      <c r="Q10" s="333">
        <f t="shared" si="2"/>
        <v>687.73709875953273</v>
      </c>
      <c r="R10" s="333">
        <f>Q10/SUM('Prod &amp; Defects - Qty'!$F$8:$K$8)*1000000</f>
        <v>10.701436790165161</v>
      </c>
      <c r="S10" s="333">
        <f t="shared" si="3"/>
        <v>664.01567631134469</v>
      </c>
      <c r="T10" s="333">
        <f>S10/SUM('Prod &amp; Defects - Qty'!$L$8:$Q$8)*1000000</f>
        <v>10.701436790165161</v>
      </c>
      <c r="U10" s="333">
        <f t="shared" si="4"/>
        <v>1351.7527750708773</v>
      </c>
      <c r="V10" s="333">
        <f>U10/'Prod &amp; Defects - Qty'!$R$8*1000000</f>
        <v>10.701436790165159</v>
      </c>
      <c r="W10" s="333">
        <f t="shared" si="0"/>
        <v>9.6312931111486435</v>
      </c>
      <c r="X10" s="333">
        <f t="shared" si="0"/>
        <v>8.6681638000337795</v>
      </c>
      <c r="Y10" s="333">
        <f t="shared" si="5"/>
        <v>9.1497284555912124</v>
      </c>
      <c r="Z10" s="957">
        <f t="shared" si="1"/>
        <v>9.1497284555912124</v>
      </c>
    </row>
    <row r="11" spans="1:26" ht="18" customHeight="1">
      <c r="A11" s="1032"/>
      <c r="B11" s="81">
        <v>4060</v>
      </c>
      <c r="C11" s="82" t="s">
        <v>148</v>
      </c>
      <c r="D11" s="352">
        <f>'[3]Falhas UM-4 Qty'!Z11</f>
        <v>1.7616141102668739</v>
      </c>
      <c r="E11" s="333">
        <f>'Prod &amp; Defects - Qty'!F$8*'Falhas UM-4 Qty'!$D11/1000000</f>
        <v>17.364331287186527</v>
      </c>
      <c r="F11" s="333">
        <f>'Prod &amp; Defects - Qty'!G$8*'Falhas UM-4 Qty'!$D11/1000000</f>
        <v>19.826146841341824</v>
      </c>
      <c r="G11" s="333">
        <f>'Prod &amp; Defects - Qty'!H$8*'Falhas UM-4 Qty'!$D11/1000000</f>
        <v>17.957549078023657</v>
      </c>
      <c r="H11" s="333">
        <f>'Prod &amp; Defects - Qty'!I$8*'Falhas UM-4 Qty'!$D11/1000000</f>
        <v>18.047839401923156</v>
      </c>
      <c r="I11" s="333">
        <f>'Prod &amp; Defects - Qty'!J$8*'Falhas UM-4 Qty'!$D11/1000000</f>
        <v>19.483917732552797</v>
      </c>
      <c r="J11" s="333">
        <f>'Prod &amp; Defects - Qty'!K$8*'Falhas UM-4 Qty'!$D11/1000000</f>
        <v>20.531871353860957</v>
      </c>
      <c r="K11" s="333">
        <f>'Prod &amp; Defects - Qty'!L$8*'Falhas UM-4 Qty'!$D11/1000000</f>
        <v>20.033309680586623</v>
      </c>
      <c r="L11" s="333">
        <f>'Prod &amp; Defects - Qty'!M$8*'Falhas UM-4 Qty'!$D11/1000000</f>
        <v>19.993236822797797</v>
      </c>
      <c r="M11" s="333">
        <f>'Prod &amp; Defects - Qty'!N$8*'Falhas UM-4 Qty'!$D11/1000000</f>
        <v>19.969598225887253</v>
      </c>
      <c r="N11" s="333">
        <f>'Prod &amp; Defects - Qty'!O$8*'Falhas UM-4 Qty'!$D11/1000000</f>
        <v>14.77925177501446</v>
      </c>
      <c r="O11" s="333">
        <f>'Prod &amp; Defects - Qty'!P$8*'Falhas UM-4 Qty'!$D11/1000000</f>
        <v>15.436456509093844</v>
      </c>
      <c r="P11" s="333">
        <f>'Prod &amp; Defects - Qty'!Q$8*'Falhas UM-4 Qty'!$D11/1000000</f>
        <v>19.094907168905127</v>
      </c>
      <c r="Q11" s="333">
        <f t="shared" si="2"/>
        <v>113.21165569488892</v>
      </c>
      <c r="R11" s="333">
        <f>Q11/SUM('Prod &amp; Defects - Qty'!$F$8:$K$8)*1000000</f>
        <v>1.7616141102668739</v>
      </c>
      <c r="S11" s="333">
        <f t="shared" si="3"/>
        <v>109.3067601822851</v>
      </c>
      <c r="T11" s="333">
        <f>S11/SUM('Prod &amp; Defects - Qty'!$L$8:$Q$8)*1000000</f>
        <v>1.7616141102668741</v>
      </c>
      <c r="U11" s="333">
        <f t="shared" si="4"/>
        <v>222.51841587717402</v>
      </c>
      <c r="V11" s="333">
        <f>U11/'Prod &amp; Defects - Qty'!$R$8*1000000</f>
        <v>1.7616141102668739</v>
      </c>
      <c r="W11" s="333">
        <f t="shared" si="0"/>
        <v>1.5854526992401865</v>
      </c>
      <c r="X11" s="333">
        <f t="shared" si="0"/>
        <v>1.4269074293161679</v>
      </c>
      <c r="Y11" s="333">
        <f t="shared" si="5"/>
        <v>1.5061800642781771</v>
      </c>
      <c r="Z11" s="957">
        <f t="shared" si="1"/>
        <v>1.5061800642781771</v>
      </c>
    </row>
    <row r="12" spans="1:26" ht="18" customHeight="1">
      <c r="A12" s="1032"/>
      <c r="B12" s="81">
        <v>4070</v>
      </c>
      <c r="C12" s="82" t="s">
        <v>149</v>
      </c>
      <c r="D12" s="352">
        <f>'[3]Falhas UM-4 Qty'!Z12</f>
        <v>11.497073923282965</v>
      </c>
      <c r="E12" s="333">
        <f>'Prod &amp; Defects - Qty'!F$8*'Falhas UM-4 Qty'!$D12/1000000</f>
        <v>113.3273168474534</v>
      </c>
      <c r="F12" s="333">
        <f>'Prod &amp; Defects - Qty'!G$8*'Falhas UM-4 Qty'!$D12/1000000</f>
        <v>129.39421552103602</v>
      </c>
      <c r="G12" s="333">
        <f>'Prod &amp; Defects - Qty'!H$8*'Falhas UM-4 Qty'!$D12/1000000</f>
        <v>117.1989188936177</v>
      </c>
      <c r="H12" s="333">
        <f>'Prod &amp; Defects - Qty'!I$8*'Falhas UM-4 Qty'!$D12/1000000</f>
        <v>117.78819353803596</v>
      </c>
      <c r="I12" s="333">
        <f>'Prod &amp; Defects - Qty'!J$8*'Falhas UM-4 Qty'!$D12/1000000</f>
        <v>127.1606767797673</v>
      </c>
      <c r="J12" s="333">
        <f>'Prod &amp; Defects - Qty'!K$8*'Falhas UM-4 Qty'!$D12/1000000</f>
        <v>134.00008626345198</v>
      </c>
      <c r="K12" s="333">
        <f>'Prod &amp; Defects - Qty'!L$8*'Falhas UM-4 Qty'!$D12/1000000</f>
        <v>130.74625196481418</v>
      </c>
      <c r="L12" s="333">
        <f>'Prod &amp; Defects - Qty'!M$8*'Falhas UM-4 Qty'!$D12/1000000</f>
        <v>130.48471874614262</v>
      </c>
      <c r="M12" s="333">
        <f>'Prod &amp; Defects - Qty'!N$8*'Falhas UM-4 Qty'!$D12/1000000</f>
        <v>130.33044279289084</v>
      </c>
      <c r="N12" s="333">
        <f>'Prod &amp; Defects - Qty'!O$8*'Falhas UM-4 Qty'!$D12/1000000</f>
        <v>96.455942988791492</v>
      </c>
      <c r="O12" s="333">
        <f>'Prod &amp; Defects - Qty'!P$8*'Falhas UM-4 Qty'!$D12/1000000</f>
        <v>100.74515216712709</v>
      </c>
      <c r="P12" s="333">
        <f>'Prod &amp; Defects - Qty'!Q$8*'Falhas UM-4 Qty'!$D12/1000000</f>
        <v>124.62182154403258</v>
      </c>
      <c r="Q12" s="333">
        <f t="shared" si="2"/>
        <v>738.8694078433623</v>
      </c>
      <c r="R12" s="333">
        <f>Q12/SUM('Prod &amp; Defects - Qty'!$F$8:$K$8)*1000000</f>
        <v>11.497073923282965</v>
      </c>
      <c r="S12" s="333">
        <f t="shared" si="3"/>
        <v>713.38433020379887</v>
      </c>
      <c r="T12" s="333">
        <f>S12/SUM('Prod &amp; Defects - Qty'!$L$8:$Q$8)*1000000</f>
        <v>11.497073923282969</v>
      </c>
      <c r="U12" s="333">
        <f t="shared" si="4"/>
        <v>1452.2537380471613</v>
      </c>
      <c r="V12" s="333">
        <f>U12/'Prod &amp; Defects - Qty'!$R$8*1000000</f>
        <v>11.497073923282967</v>
      </c>
      <c r="W12" s="333">
        <f t="shared" si="0"/>
        <v>10.34736653095467</v>
      </c>
      <c r="X12" s="333">
        <f t="shared" si="0"/>
        <v>9.3126298778592034</v>
      </c>
      <c r="Y12" s="333">
        <f t="shared" si="5"/>
        <v>9.8299982044069374</v>
      </c>
      <c r="Z12" s="957">
        <f t="shared" si="1"/>
        <v>9.8299982044069374</v>
      </c>
    </row>
    <row r="13" spans="1:26" ht="18" customHeight="1">
      <c r="A13" s="1032"/>
      <c r="B13" s="81">
        <v>4080</v>
      </c>
      <c r="C13" s="82" t="s">
        <v>150</v>
      </c>
      <c r="D13" s="352">
        <f>'[3]Falhas UM-4 Qty'!Z13</f>
        <v>391.52458898136757</v>
      </c>
      <c r="E13" s="333">
        <f>'Prod &amp; Defects - Qty'!F$8*'Falhas UM-4 Qty'!$D13/1000000</f>
        <v>3859.2803216829734</v>
      </c>
      <c r="F13" s="333">
        <f>'Prod &amp; Defects - Qty'!G$8*'Falhas UM-4 Qty'!$D13/1000000</f>
        <v>4406.42700799248</v>
      </c>
      <c r="G13" s="333">
        <f>'Prod &amp; Defects - Qty'!H$8*'Falhas UM-4 Qty'!$D13/1000000</f>
        <v>3991.1249466665672</v>
      </c>
      <c r="H13" s="333">
        <f>'Prod &amp; Defects - Qty'!I$8*'Falhas UM-4 Qty'!$D13/1000000</f>
        <v>4011.1922711434304</v>
      </c>
      <c r="I13" s="333">
        <f>'Prod &amp; Defects - Qty'!J$8*'Falhas UM-4 Qty'!$D13/1000000</f>
        <v>4330.3654515056369</v>
      </c>
      <c r="J13" s="333">
        <f>'Prod &amp; Defects - Qty'!K$8*'Falhas UM-4 Qty'!$D13/1000000</f>
        <v>4563.276625674227</v>
      </c>
      <c r="K13" s="333">
        <f>'Prod &amp; Defects - Qty'!L$8*'Falhas UM-4 Qty'!$D13/1000000</f>
        <v>4452.4696373145425</v>
      </c>
      <c r="L13" s="333">
        <f>'Prod &amp; Defects - Qty'!M$8*'Falhas UM-4 Qty'!$D13/1000000</f>
        <v>4443.563311528641</v>
      </c>
      <c r="M13" s="333">
        <f>'Prod &amp; Defects - Qty'!N$8*'Falhas UM-4 Qty'!$D13/1000000</f>
        <v>4438.309554825878</v>
      </c>
      <c r="N13" s="333">
        <f>'Prod &amp; Defects - Qty'!O$8*'Falhas UM-4 Qty'!$D13/1000000</f>
        <v>3284.7378111589223</v>
      </c>
      <c r="O13" s="333">
        <f>'Prod &amp; Defects - Qty'!P$8*'Falhas UM-4 Qty'!$D13/1000000</f>
        <v>3430.803746875149</v>
      </c>
      <c r="P13" s="333">
        <f>'Prod &amp; Defects - Qty'!Q$8*'Falhas UM-4 Qty'!$D13/1000000</f>
        <v>4243.9065612447675</v>
      </c>
      <c r="Q13" s="333">
        <f t="shared" si="2"/>
        <v>25161.666624665311</v>
      </c>
      <c r="R13" s="333">
        <f>Q13/SUM('Prod &amp; Defects - Qty'!$F$8:$K$8)*1000000</f>
        <v>391.52458898136757</v>
      </c>
      <c r="S13" s="333">
        <f t="shared" si="3"/>
        <v>24293.790622947898</v>
      </c>
      <c r="T13" s="333">
        <f>S13/SUM('Prod &amp; Defects - Qty'!$L$8:$Q$8)*1000000</f>
        <v>391.52458898136763</v>
      </c>
      <c r="U13" s="333">
        <f t="shared" si="4"/>
        <v>49455.457247613209</v>
      </c>
      <c r="V13" s="333">
        <f>U13/'Prod &amp; Defects - Qty'!$R$8*1000000</f>
        <v>391.52458898136751</v>
      </c>
      <c r="W13" s="333">
        <f t="shared" si="0"/>
        <v>352.37213008323079</v>
      </c>
      <c r="X13" s="333">
        <f t="shared" si="0"/>
        <v>317.13491707490772</v>
      </c>
      <c r="Y13" s="333">
        <f t="shared" si="5"/>
        <v>334.75352357906922</v>
      </c>
      <c r="Z13" s="957">
        <f t="shared" si="1"/>
        <v>334.75352357906922</v>
      </c>
    </row>
    <row r="14" spans="1:26" ht="18" customHeight="1">
      <c r="A14" s="1032"/>
      <c r="B14" s="81">
        <v>4090</v>
      </c>
      <c r="C14" s="82" t="s">
        <v>151</v>
      </c>
      <c r="D14" s="352">
        <f>'[3]Falhas UM-4 Qty'!Z14</f>
        <v>3.586757714618571</v>
      </c>
      <c r="E14" s="333">
        <f>'Prod &amp; Defects - Qty'!F$8*'Falhas UM-4 Qty'!$D14/1000000</f>
        <v>35.354876440035781</v>
      </c>
      <c r="F14" s="333">
        <f>'Prod &amp; Defects - Qty'!G$8*'Falhas UM-4 Qty'!$D14/1000000</f>
        <v>40.36728856785237</v>
      </c>
      <c r="G14" s="333">
        <f>'Prod &amp; Defects - Qty'!H$8*'Falhas UM-4 Qty'!$D14/1000000</f>
        <v>36.562705371090225</v>
      </c>
      <c r="H14" s="333">
        <f>'Prod &amp; Defects - Qty'!I$8*'Falhas UM-4 Qty'!$D14/1000000</f>
        <v>36.746542179568607</v>
      </c>
      <c r="I14" s="333">
        <f>'Prod &amp; Defects - Qty'!J$8*'Falhas UM-4 Qty'!$D14/1000000</f>
        <v>39.670488463356087</v>
      </c>
      <c r="J14" s="333">
        <f>'Prod &amp; Defects - Qty'!K$8*'Falhas UM-4 Qty'!$D14/1000000</f>
        <v>41.804188298003801</v>
      </c>
      <c r="K14" s="333">
        <f>'Prod &amp; Defects - Qty'!L$8*'Falhas UM-4 Qty'!$D14/1000000</f>
        <v>40.789085207373489</v>
      </c>
      <c r="L14" s="333">
        <f>'Prod &amp; Defects - Qty'!M$8*'Falhas UM-4 Qty'!$D14/1000000</f>
        <v>40.707494335125595</v>
      </c>
      <c r="M14" s="333">
        <f>'Prod &amp; Defects - Qty'!N$8*'Falhas UM-4 Qty'!$D14/1000000</f>
        <v>40.659364657157241</v>
      </c>
      <c r="N14" s="333">
        <f>'Prod &amp; Defects - Qty'!O$8*'Falhas UM-4 Qty'!$D14/1000000</f>
        <v>30.091491099769115</v>
      </c>
      <c r="O14" s="333">
        <f>'Prod &amp; Defects - Qty'!P$8*'Falhas UM-4 Qty'!$D14/1000000</f>
        <v>31.429601493132147</v>
      </c>
      <c r="P14" s="333">
        <f>'Prod &amp; Defects - Qty'!Q$8*'Falhas UM-4 Qty'!$D14/1000000</f>
        <v>38.878438358796004</v>
      </c>
      <c r="Q14" s="333">
        <f t="shared" si="2"/>
        <v>230.50608931990689</v>
      </c>
      <c r="R14" s="333">
        <f>Q14/SUM('Prod &amp; Defects - Qty'!$F$8:$K$8)*1000000</f>
        <v>3.5867577146185714</v>
      </c>
      <c r="S14" s="333">
        <f t="shared" si="3"/>
        <v>222.55547515135356</v>
      </c>
      <c r="T14" s="333">
        <f>S14/SUM('Prod &amp; Defects - Qty'!$L$8:$Q$8)*1000000</f>
        <v>3.586757714618571</v>
      </c>
      <c r="U14" s="333">
        <f t="shared" si="4"/>
        <v>453.06156447126045</v>
      </c>
      <c r="V14" s="333">
        <f>U14/'Prod &amp; Defects - Qty'!$R$8*1000000</f>
        <v>3.5867577146185705</v>
      </c>
      <c r="W14" s="333">
        <f t="shared" si="0"/>
        <v>3.2280819431567136</v>
      </c>
      <c r="X14" s="333">
        <f t="shared" si="0"/>
        <v>2.9052737488410423</v>
      </c>
      <c r="Y14" s="333">
        <f t="shared" si="5"/>
        <v>3.0666778459988779</v>
      </c>
      <c r="Z14" s="957">
        <f t="shared" si="1"/>
        <v>3.0666778459988779</v>
      </c>
    </row>
    <row r="15" spans="1:26" ht="18" customHeight="1" thickBot="1">
      <c r="A15" s="1032"/>
      <c r="B15" s="84"/>
      <c r="C15" s="85" t="s">
        <v>1</v>
      </c>
      <c r="D15" s="355">
        <f>'[3]Falhas UM-4 Qty'!Z15</f>
        <v>294.25576373290346</v>
      </c>
      <c r="E15" s="336">
        <f>SUBTOTAL(109,E6:E14)</f>
        <v>6567.1240953606639</v>
      </c>
      <c r="F15" s="336">
        <f t="shared" ref="F15:P15" si="6">SUBTOTAL(109,F6:F14)</f>
        <v>7498.1733812008215</v>
      </c>
      <c r="G15" s="336">
        <f t="shared" si="6"/>
        <v>6791.4768091837359</v>
      </c>
      <c r="H15" s="336">
        <f t="shared" si="6"/>
        <v>6825.6242665117288</v>
      </c>
      <c r="I15" s="336">
        <f t="shared" si="6"/>
        <v>7368.7436329835282</v>
      </c>
      <c r="J15" s="336">
        <f t="shared" si="6"/>
        <v>7765.0757095542904</v>
      </c>
      <c r="K15" s="336">
        <f t="shared" si="6"/>
        <v>7576.5215796293878</v>
      </c>
      <c r="L15" s="336">
        <f t="shared" si="6"/>
        <v>7561.3661771205025</v>
      </c>
      <c r="M15" s="336">
        <f t="shared" si="6"/>
        <v>7552.4261496132931</v>
      </c>
      <c r="N15" s="336">
        <f t="shared" si="6"/>
        <v>5589.4568490938491</v>
      </c>
      <c r="O15" s="336">
        <f t="shared" si="6"/>
        <v>5838.0091816528702</v>
      </c>
      <c r="P15" s="336">
        <f t="shared" si="6"/>
        <v>7221.621316343234</v>
      </c>
      <c r="Q15" s="336">
        <f>SUM(E15:J15)</f>
        <v>42816.217894794769</v>
      </c>
      <c r="R15" s="336">
        <f>Q15/SUM('Prod &amp; Defects - Qty'!$F$8:$K$8)*1000000</f>
        <v>666.23576105102995</v>
      </c>
      <c r="S15" s="336">
        <f t="shared" si="3"/>
        <v>41339.401253453136</v>
      </c>
      <c r="T15" s="336">
        <f>S15/SUM('Prod &amp; Defects - Qty'!$L$8:$Q$8)*1000000</f>
        <v>666.23576105103007</v>
      </c>
      <c r="U15" s="336">
        <f t="shared" si="4"/>
        <v>84155.619148247904</v>
      </c>
      <c r="V15" s="336">
        <f>U15/'Prod &amp; Defects - Qty'!$R$8*1000000</f>
        <v>666.23576105102995</v>
      </c>
      <c r="W15" s="336">
        <f t="shared" si="0"/>
        <v>599.61218494592697</v>
      </c>
      <c r="X15" s="336">
        <f t="shared" si="0"/>
        <v>539.65096645133428</v>
      </c>
      <c r="Y15" s="336">
        <f t="shared" si="5"/>
        <v>569.63157569863063</v>
      </c>
      <c r="Z15" s="958">
        <f>Y15</f>
        <v>569.63157569863063</v>
      </c>
    </row>
    <row r="16" spans="1:26" ht="18" customHeight="1" thickTop="1">
      <c r="A16" s="1032" t="s">
        <v>37</v>
      </c>
      <c r="B16" s="81">
        <v>4130</v>
      </c>
      <c r="C16" s="82" t="s">
        <v>152</v>
      </c>
      <c r="D16" s="352">
        <f>'[3]Falhas UM-4 Qty'!Z16</f>
        <v>2.0691227855939395E-2</v>
      </c>
      <c r="E16" s="333">
        <f>'Prod &amp; Defects - Qty'!F$8*'Falhas UM-4 Qty'!$D16/1000000</f>
        <v>0.20395461930919917</v>
      </c>
      <c r="F16" s="333">
        <f>'Prod &amp; Defects - Qty'!G$8*'Falhas UM-4 Qty'!$D16/1000000</f>
        <v>0.23287013847622387</v>
      </c>
      <c r="G16" s="333">
        <f>'Prod &amp; Defects - Qty'!H$8*'Falhas UM-4 Qty'!$D16/1000000</f>
        <v>0.21092232262564714</v>
      </c>
      <c r="H16" s="333">
        <f>'Prod &amp; Defects - Qty'!I$8*'Falhas UM-4 Qty'!$D16/1000000</f>
        <v>0.21198283732867035</v>
      </c>
      <c r="I16" s="333">
        <f>'Prod &amp; Defects - Qty'!J$8*'Falhas UM-4 Qty'!$D16/1000000</f>
        <v>0.22885044969897167</v>
      </c>
      <c r="J16" s="333">
        <f>'Prod &amp; Defects - Qty'!K$8*'Falhas UM-4 Qty'!$D16/1000000</f>
        <v>0.24115930158348514</v>
      </c>
      <c r="K16" s="333">
        <f>'Prod &amp; Defects - Qty'!L$8*'Falhas UM-4 Qty'!$D16/1000000</f>
        <v>0.2353033918687322</v>
      </c>
      <c r="L16" s="333">
        <f>'Prod &amp; Defects - Qty'!M$8*'Falhas UM-4 Qty'!$D16/1000000</f>
        <v>0.23483271181087231</v>
      </c>
      <c r="M16" s="333">
        <f>'Prod &amp; Defects - Qty'!N$8*'Falhas UM-4 Qty'!$D16/1000000</f>
        <v>0.2345550621303775</v>
      </c>
      <c r="N16" s="333">
        <f>'Prod &amp; Defects - Qty'!O$8*'Falhas UM-4 Qty'!$D16/1000000</f>
        <v>0.1735912900758918</v>
      </c>
      <c r="O16" s="333">
        <f>'Prod &amp; Defects - Qty'!P$8*'Falhas UM-4 Qty'!$D16/1000000</f>
        <v>0.18131055891098219</v>
      </c>
      <c r="P16" s="333">
        <f>'Prod &amp; Defects - Qty'!Q$8*'Falhas UM-4 Qty'!$D16/1000000</f>
        <v>0.2242812843159912</v>
      </c>
      <c r="Q16" s="333">
        <f t="shared" ref="Q16:Q62" si="7">SUM(E16:J16)</f>
        <v>1.3297396690221974</v>
      </c>
      <c r="R16" s="333">
        <f>Q16/SUM('Prod &amp; Defects - Qty'!$F$8:$K$8)*1000000</f>
        <v>2.0691227855939399E-2</v>
      </c>
      <c r="S16" s="333">
        <f t="shared" si="3"/>
        <v>1.2838742991128471</v>
      </c>
      <c r="T16" s="333">
        <f>S16/SUM('Prod &amp; Defects - Qty'!$L$8:$Q$8)*1000000</f>
        <v>2.0691227855939395E-2</v>
      </c>
      <c r="U16" s="333">
        <f t="shared" si="4"/>
        <v>2.6136139681350445</v>
      </c>
      <c r="V16" s="333">
        <f>U16/'Prod &amp; Defects - Qty'!$R$8*1000000</f>
        <v>2.0691227855939395E-2</v>
      </c>
      <c r="W16" s="333">
        <f t="shared" si="0"/>
        <v>1.8622105070345455E-2</v>
      </c>
      <c r="X16" s="333">
        <f t="shared" si="0"/>
        <v>1.6759894563310909E-2</v>
      </c>
      <c r="Y16" s="333">
        <f t="shared" si="5"/>
        <v>1.769099981682818E-2</v>
      </c>
      <c r="Z16" s="957">
        <f>Y16*1</f>
        <v>1.769099981682818E-2</v>
      </c>
    </row>
    <row r="17" spans="1:26" ht="18" customHeight="1">
      <c r="A17" s="1032"/>
      <c r="B17" s="81">
        <v>4140</v>
      </c>
      <c r="C17" s="89" t="s">
        <v>153</v>
      </c>
      <c r="D17" s="352">
        <f>'[3]Falhas UM-4 Qty'!Z17</f>
        <v>896.27715807970947</v>
      </c>
      <c r="E17" s="333">
        <f>'Prod &amp; Defects - Qty'!F$8*'Falhas UM-4 Qty'!$D17/1000000</f>
        <v>8834.6553353142626</v>
      </c>
      <c r="F17" s="333">
        <f>'Prod &amp; Defects - Qty'!G$8*'Falhas UM-4 Qty'!$D17/1000000</f>
        <v>10087.182228539741</v>
      </c>
      <c r="G17" s="333">
        <f>'Prod &amp; Defects - Qty'!H$8*'Falhas UM-4 Qty'!$D17/1000000</f>
        <v>9136.4737373099633</v>
      </c>
      <c r="H17" s="333">
        <f>'Prod &amp; Defects - Qty'!I$8*'Falhas UM-4 Qty'!$D17/1000000</f>
        <v>9182.4118087837905</v>
      </c>
      <c r="I17" s="333">
        <f>'Prod &amp; Defects - Qty'!J$8*'Falhas UM-4 Qty'!$D17/1000000</f>
        <v>9913.0622942987993</v>
      </c>
      <c r="J17" s="333">
        <f>'Prod &amp; Defects - Qty'!K$8*'Falhas UM-4 Qty'!$D17/1000000</f>
        <v>10446.242000360035</v>
      </c>
      <c r="K17" s="333">
        <f>'Prod &amp; Defects - Qty'!L$8*'Falhas UM-4 Qty'!$D17/1000000</f>
        <v>10192.582906097849</v>
      </c>
      <c r="L17" s="333">
        <f>'Prod &amp; Defects - Qty'!M$8*'Falhas UM-4 Qty'!$D17/1000000</f>
        <v>10172.194566287344</v>
      </c>
      <c r="M17" s="333">
        <f>'Prod &amp; Defects - Qty'!N$8*'Falhas UM-4 Qty'!$D17/1000000</f>
        <v>10160.167678936423</v>
      </c>
      <c r="N17" s="333">
        <f>'Prod &amp; Defects - Qty'!O$8*'Falhas UM-4 Qty'!$D17/1000000</f>
        <v>7519.4139864420858</v>
      </c>
      <c r="O17" s="333">
        <f>'Prod &amp; Defects - Qty'!P$8*'Falhas UM-4 Qty'!$D17/1000000</f>
        <v>7853.7877791497094</v>
      </c>
      <c r="P17" s="333">
        <f>'Prod &amp; Defects - Qty'!Q$8*'Falhas UM-4 Qty'!$D17/1000000</f>
        <v>9715.1408083064453</v>
      </c>
      <c r="Q17" s="333">
        <f t="shared" si="7"/>
        <v>57600.02740460659</v>
      </c>
      <c r="R17" s="333">
        <f>Q17/SUM('Prod &amp; Defects - Qty'!$F$8:$K$8)*1000000</f>
        <v>896.27715807970947</v>
      </c>
      <c r="S17" s="333">
        <f t="shared" si="3"/>
        <v>55613.287725219852</v>
      </c>
      <c r="T17" s="333">
        <f>S17/SUM('Prod &amp; Defects - Qty'!$L$8:$Q$8)*1000000</f>
        <v>896.27715807970947</v>
      </c>
      <c r="U17" s="333">
        <f t="shared" si="4"/>
        <v>113213.31512982644</v>
      </c>
      <c r="V17" s="333">
        <f>U17/'Prod &amp; Defects - Qty'!$R$8*1000000</f>
        <v>896.27715807970935</v>
      </c>
      <c r="W17" s="333">
        <f t="shared" si="0"/>
        <v>806.64944227173839</v>
      </c>
      <c r="X17" s="333">
        <f t="shared" si="0"/>
        <v>725.98449804456459</v>
      </c>
      <c r="Y17" s="333">
        <f t="shared" si="5"/>
        <v>766.31697015815143</v>
      </c>
      <c r="Z17" s="957">
        <f>Y17*1</f>
        <v>766.31697015815143</v>
      </c>
    </row>
    <row r="18" spans="1:26" ht="18" customHeight="1">
      <c r="A18" s="1032"/>
      <c r="B18" s="81">
        <v>4150</v>
      </c>
      <c r="C18" s="89" t="s">
        <v>154</v>
      </c>
      <c r="D18" s="352">
        <f>'[3]Falhas UM-4 Qty'!Z18</f>
        <v>0</v>
      </c>
      <c r="E18" s="333">
        <f>'Prod &amp; Defects - Qty'!F$8*'Falhas UM-4 Qty'!$D18/1000000</f>
        <v>0</v>
      </c>
      <c r="F18" s="333">
        <f>'Prod &amp; Defects - Qty'!G$8*'Falhas UM-4 Qty'!$D18/1000000</f>
        <v>0</v>
      </c>
      <c r="G18" s="333">
        <f>'Prod &amp; Defects - Qty'!H$8*'Falhas UM-4 Qty'!$D18/1000000</f>
        <v>0</v>
      </c>
      <c r="H18" s="333">
        <f>'Prod &amp; Defects - Qty'!I$8*'Falhas UM-4 Qty'!$D18/1000000</f>
        <v>0</v>
      </c>
      <c r="I18" s="333">
        <f>'Prod &amp; Defects - Qty'!J$8*'Falhas UM-4 Qty'!$D18/1000000</f>
        <v>0</v>
      </c>
      <c r="J18" s="333">
        <f>'Prod &amp; Defects - Qty'!K$8*'Falhas UM-4 Qty'!$D18/1000000</f>
        <v>0</v>
      </c>
      <c r="K18" s="333">
        <f>'Prod &amp; Defects - Qty'!L$8*'Falhas UM-4 Qty'!$D18/1000000</f>
        <v>0</v>
      </c>
      <c r="L18" s="333">
        <f>'Prod &amp; Defects - Qty'!M$8*'Falhas UM-4 Qty'!$D18/1000000</f>
        <v>0</v>
      </c>
      <c r="M18" s="333">
        <f>'Prod &amp; Defects - Qty'!N$8*'Falhas UM-4 Qty'!$D18/1000000</f>
        <v>0</v>
      </c>
      <c r="N18" s="333">
        <f>'Prod &amp; Defects - Qty'!O$8*'Falhas UM-4 Qty'!$D18/1000000</f>
        <v>0</v>
      </c>
      <c r="O18" s="333">
        <f>'Prod &amp; Defects - Qty'!P$8*'Falhas UM-4 Qty'!$D18/1000000</f>
        <v>0</v>
      </c>
      <c r="P18" s="333">
        <f>'Prod &amp; Defects - Qty'!Q$8*'Falhas UM-4 Qty'!$D18/1000000</f>
        <v>0</v>
      </c>
      <c r="Q18" s="333">
        <f t="shared" si="7"/>
        <v>0</v>
      </c>
      <c r="R18" s="333">
        <f>Q18/SUM('Prod &amp; Defects - Qty'!$F$8:$K$8)*1000000</f>
        <v>0</v>
      </c>
      <c r="S18" s="333">
        <f t="shared" si="3"/>
        <v>0</v>
      </c>
      <c r="T18" s="333">
        <f>S18/SUM('Prod &amp; Defects - Qty'!$L$8:$Q$8)*1000000</f>
        <v>0</v>
      </c>
      <c r="U18" s="333">
        <f t="shared" si="4"/>
        <v>0</v>
      </c>
      <c r="V18" s="333">
        <f>U18/'Prod &amp; Defects - Qty'!$R$8*1000000</f>
        <v>0</v>
      </c>
      <c r="W18" s="333">
        <f t="shared" si="0"/>
        <v>0</v>
      </c>
      <c r="X18" s="333">
        <f t="shared" si="0"/>
        <v>0</v>
      </c>
      <c r="Y18" s="333">
        <f t="shared" si="5"/>
        <v>0</v>
      </c>
      <c r="Z18" s="957">
        <f>Y18*1</f>
        <v>0</v>
      </c>
    </row>
    <row r="19" spans="1:26" ht="18" customHeight="1">
      <c r="A19" s="1032"/>
      <c r="B19" s="81">
        <v>4160</v>
      </c>
      <c r="C19" s="89" t="s">
        <v>155</v>
      </c>
      <c r="D19" s="352">
        <f>'[3]Falhas UM-4 Qty'!Z19</f>
        <v>5.9074581797431677E-2</v>
      </c>
      <c r="E19" s="333">
        <f>'Prod &amp; Defects - Qty'!F$8*'Falhas UM-4 Qty'!$D19/1000000</f>
        <v>0.58230153982315769</v>
      </c>
      <c r="F19" s="333">
        <f>'Prod &amp; Defects - Qty'!G$8*'Falhas UM-4 Qty'!$D19/1000000</f>
        <v>0.66485692097987703</v>
      </c>
      <c r="G19" s="333">
        <f>'Prod &amp; Defects - Qty'!H$8*'Falhas UM-4 Qty'!$D19/1000000</f>
        <v>0.60219471205892672</v>
      </c>
      <c r="H19" s="333">
        <f>'Prod &amp; Defects - Qty'!I$8*'Falhas UM-4 Qty'!$D19/1000000</f>
        <v>0.60522253926218939</v>
      </c>
      <c r="I19" s="333">
        <f>'Prod &amp; Defects - Qty'!J$8*'Falhas UM-4 Qty'!$D19/1000000</f>
        <v>0.65338049072038229</v>
      </c>
      <c r="J19" s="333">
        <f>'Prod &amp; Defects - Qty'!K$8*'Falhas UM-4 Qty'!$D19/1000000</f>
        <v>0.68852293284836052</v>
      </c>
      <c r="K19" s="333">
        <f>'Prod &amp; Defects - Qty'!L$8*'Falhas UM-4 Qty'!$D19/1000000</f>
        <v>0.67180399186278494</v>
      </c>
      <c r="L19" s="333">
        <f>'Prod &amp; Defects - Qty'!M$8*'Falhas UM-4 Qty'!$D19/1000000</f>
        <v>0.67046017467745134</v>
      </c>
      <c r="M19" s="333">
        <f>'Prod &amp; Defects - Qty'!N$8*'Falhas UM-4 Qty'!$D19/1000000</f>
        <v>0.66966746972656022</v>
      </c>
      <c r="N19" s="333">
        <f>'Prod &amp; Defects - Qty'!O$8*'Falhas UM-4 Qty'!$D19/1000000</f>
        <v>0.49561258211973735</v>
      </c>
      <c r="O19" s="333">
        <f>'Prod &amp; Defects - Qty'!P$8*'Falhas UM-4 Qty'!$D19/1000000</f>
        <v>0.51765151482058303</v>
      </c>
      <c r="P19" s="333">
        <f>'Prod &amp; Defects - Qty'!Q$8*'Falhas UM-4 Qty'!$D19/1000000</f>
        <v>0.64033527484232167</v>
      </c>
      <c r="Q19" s="333">
        <f t="shared" si="7"/>
        <v>3.796479135692894</v>
      </c>
      <c r="R19" s="333">
        <f>Q19/SUM('Prod &amp; Defects - Qty'!$F$8:$K$8)*1000000</f>
        <v>5.9074581797431684E-2</v>
      </c>
      <c r="S19" s="333">
        <f t="shared" si="3"/>
        <v>3.6655310080494385</v>
      </c>
      <c r="T19" s="333">
        <f>S19/SUM('Prod &amp; Defects - Qty'!$L$8:$Q$8)*1000000</f>
        <v>5.9074581797431684E-2</v>
      </c>
      <c r="U19" s="333">
        <f t="shared" si="4"/>
        <v>7.462010143742333</v>
      </c>
      <c r="V19" s="333">
        <f>U19/'Prod &amp; Defects - Qty'!$R$8*1000000</f>
        <v>5.9074581797431684E-2</v>
      </c>
      <c r="W19" s="333">
        <f t="shared" si="0"/>
        <v>5.3167123617688515E-2</v>
      </c>
      <c r="X19" s="333">
        <f t="shared" si="0"/>
        <v>4.7850411255919663E-2</v>
      </c>
      <c r="Y19" s="333">
        <f t="shared" si="5"/>
        <v>5.0508767436804089E-2</v>
      </c>
      <c r="Z19" s="957">
        <f>Y19*1</f>
        <v>5.0508767436804089E-2</v>
      </c>
    </row>
    <row r="20" spans="1:26" ht="18" customHeight="1">
      <c r="A20" s="1032"/>
      <c r="B20" s="81">
        <v>4170</v>
      </c>
      <c r="C20" s="37" t="s">
        <v>205</v>
      </c>
      <c r="D20" s="232">
        <f>'[3]Falhas UM-4 Qty'!Z20</f>
        <v>0</v>
      </c>
      <c r="E20" s="489">
        <f>'Prod &amp; Defects - Qty'!F$8*'Falhas UM-4 Qty'!$D20/1000000</f>
        <v>0</v>
      </c>
      <c r="F20" s="489">
        <f>'Prod &amp; Defects - Qty'!G$8*'Falhas UM-4 Qty'!$D20/1000000</f>
        <v>0</v>
      </c>
      <c r="G20" s="489">
        <f>'Prod &amp; Defects - Qty'!H$8*'Falhas UM-4 Qty'!$D20/1000000</f>
        <v>0</v>
      </c>
      <c r="H20" s="489">
        <f>'Prod &amp; Defects - Qty'!I$8*'Falhas UM-4 Qty'!$D20/1000000</f>
        <v>0</v>
      </c>
      <c r="I20" s="489">
        <f>'Prod &amp; Defects - Qty'!J$8*'Falhas UM-4 Qty'!$D20/1000000</f>
        <v>0</v>
      </c>
      <c r="J20" s="489">
        <f>'Prod &amp; Defects - Qty'!K$8*'Falhas UM-4 Qty'!$D20/1000000</f>
        <v>0</v>
      </c>
      <c r="K20" s="489">
        <f>'Prod &amp; Defects - Qty'!L$8*'Falhas UM-4 Qty'!$D20/1000000</f>
        <v>0</v>
      </c>
      <c r="L20" s="489">
        <f>'Prod &amp; Defects - Qty'!M$8*'Falhas UM-4 Qty'!$D20/1000000</f>
        <v>0</v>
      </c>
      <c r="M20" s="489">
        <f>'Prod &amp; Defects - Qty'!N$8*'Falhas UM-4 Qty'!$D20/1000000</f>
        <v>0</v>
      </c>
      <c r="N20" s="489">
        <f>'Prod &amp; Defects - Qty'!O$8*'Falhas UM-4 Qty'!$D20/1000000</f>
        <v>0</v>
      </c>
      <c r="O20" s="489">
        <f>'Prod &amp; Defects - Qty'!P$8*'Falhas UM-4 Qty'!$D20/1000000</f>
        <v>0</v>
      </c>
      <c r="P20" s="489">
        <f>'Prod &amp; Defects - Qty'!Q$8*'Falhas UM-4 Qty'!$D20/1000000</f>
        <v>0</v>
      </c>
      <c r="Q20" s="333">
        <f t="shared" si="7"/>
        <v>0</v>
      </c>
      <c r="R20" s="333">
        <f>Q20/SUM('Prod &amp; Defects - Qty'!$F$8:$K$8)*1000000</f>
        <v>0</v>
      </c>
      <c r="S20" s="333">
        <f t="shared" ref="S20" si="8">SUM(K20:P20)</f>
        <v>0</v>
      </c>
      <c r="T20" s="333">
        <f>S20/SUM('Prod &amp; Defects - Qty'!$L$8:$Q$8)*1000000</f>
        <v>0</v>
      </c>
      <c r="U20" s="489"/>
      <c r="V20" s="489"/>
      <c r="W20" s="489"/>
      <c r="X20" s="489"/>
      <c r="Y20" s="489"/>
      <c r="Z20" s="959"/>
    </row>
    <row r="21" spans="1:26" ht="18" customHeight="1">
      <c r="A21" s="1032"/>
      <c r="B21" s="81">
        <v>4180</v>
      </c>
      <c r="C21" s="90" t="s">
        <v>206</v>
      </c>
      <c r="D21" s="356">
        <f>'[3]Falhas UM-4 Qty'!Z21</f>
        <v>9.7698554307816003</v>
      </c>
      <c r="E21" s="337">
        <f>'Prod &amp; Defects - Qty'!F$8*'Falhas UM-4 Qty'!$D21/1000000</f>
        <v>96.302025136656994</v>
      </c>
      <c r="F21" s="337">
        <f>'Prod &amp; Defects - Qty'!G$8*'Falhas UM-4 Qty'!$D21/1000000</f>
        <v>109.95517534768879</v>
      </c>
      <c r="G21" s="337">
        <f>'Prod &amp; Defects - Qty'!H$8*'Falhas UM-4 Qty'!$D21/1000000</f>
        <v>99.591992003786828</v>
      </c>
      <c r="H21" s="337">
        <f>'Prod &amp; Defects - Qty'!I$8*'Falhas UM-4 Qty'!$D21/1000000</f>
        <v>100.09273924812113</v>
      </c>
      <c r="I21" s="337">
        <f>'Prod &amp; Defects - Qty'!J$8*'Falhas UM-4 Qty'!$D21/1000000</f>
        <v>108.05718367199341</v>
      </c>
      <c r="J21" s="337">
        <f>'Prod &amp; Defects - Qty'!K$8*'Falhas UM-4 Qty'!$D21/1000000</f>
        <v>113.86910088966017</v>
      </c>
      <c r="K21" s="337">
        <f>'Prod &amp; Defects - Qty'!L$8*'Falhas UM-4 Qty'!$D21/1000000</f>
        <v>111.10409381868428</v>
      </c>
      <c r="L21" s="337">
        <f>'Prod &amp; Defects - Qty'!M$8*'Falhas UM-4 Qty'!$D21/1000000</f>
        <v>110.88185103292697</v>
      </c>
      <c r="M21" s="337">
        <f>'Prod &amp; Defects - Qty'!N$8*'Falhas UM-4 Qty'!$D21/1000000</f>
        <v>110.75075213160885</v>
      </c>
      <c r="N21" s="337">
        <f>'Prod &amp; Defects - Qty'!O$8*'Falhas UM-4 Qty'!$D21/1000000</f>
        <v>81.965256962626881</v>
      </c>
      <c r="O21" s="337">
        <f>'Prod &amp; Defects - Qty'!P$8*'Falhas UM-4 Qty'!$D21/1000000</f>
        <v>85.610093367467044</v>
      </c>
      <c r="P21" s="337">
        <f>'Prod &amp; Defects - Qty'!Q$8*'Falhas UM-4 Qty'!$D21/1000000</f>
        <v>105.89974354606889</v>
      </c>
      <c r="Q21" s="337">
        <f t="shared" si="7"/>
        <v>627.86821629790745</v>
      </c>
      <c r="R21" s="337">
        <f>Q21/SUM('Prod &amp; Defects - Qty'!$F$8:$K$8)*1000000</f>
        <v>9.7698554307816021</v>
      </c>
      <c r="S21" s="337">
        <f t="shared" si="3"/>
        <v>606.21179085938286</v>
      </c>
      <c r="T21" s="337">
        <f>S21/SUM('Prod &amp; Defects - Qty'!$L$8:$Q$8)*1000000</f>
        <v>9.7698554307816003</v>
      </c>
      <c r="U21" s="337">
        <f t="shared" si="4"/>
        <v>1234.0800071572903</v>
      </c>
      <c r="V21" s="337">
        <f>U21/'Prod &amp; Defects - Qty'!$R$8*1000000</f>
        <v>9.7698554307816003</v>
      </c>
      <c r="W21" s="337">
        <f t="shared" ref="W21:X31" si="9">V21*Redutor</f>
        <v>8.792869887703441</v>
      </c>
      <c r="X21" s="337">
        <f t="shared" si="9"/>
        <v>7.9135828989330967</v>
      </c>
      <c r="Y21" s="337">
        <f t="shared" si="5"/>
        <v>8.3532263933182698</v>
      </c>
      <c r="Z21" s="960">
        <f t="shared" ref="Z21:Z31" si="10">Y21*1</f>
        <v>8.3532263933182698</v>
      </c>
    </row>
    <row r="22" spans="1:26" ht="18" customHeight="1">
      <c r="A22" s="1032" t="s">
        <v>156</v>
      </c>
      <c r="B22" s="81">
        <v>4190</v>
      </c>
      <c r="C22" s="82" t="s">
        <v>116</v>
      </c>
      <c r="D22" s="352">
        <f>'[3]Falhas UM-4 Qty'!Z22</f>
        <v>53.858829244377091</v>
      </c>
      <c r="E22" s="333">
        <f>'Prod &amp; Defects - Qty'!F$8*'Falhas UM-4 Qty'!$D22/1000000</f>
        <v>530.88956786210872</v>
      </c>
      <c r="F22" s="333">
        <f>'Prod &amp; Defects - Qty'!G$8*'Falhas UM-4 Qty'!$D22/1000000</f>
        <v>606.15605374550978</v>
      </c>
      <c r="G22" s="333">
        <f>'Prod &amp; Defects - Qty'!H$8*'Falhas UM-4 Qty'!$D22/1000000</f>
        <v>549.02635248208628</v>
      </c>
      <c r="H22" s="333">
        <f>'Prod &amp; Defects - Qty'!I$8*'Falhas UM-4 Qty'!$D22/1000000</f>
        <v>551.78684986285828</v>
      </c>
      <c r="I22" s="333">
        <f>'Prod &amp; Defects - Qty'!J$8*'Falhas UM-4 Qty'!$D22/1000000</f>
        <v>595.69288872809784</v>
      </c>
      <c r="J22" s="333">
        <f>'Prod &amp; Defects - Qty'!K$8*'Falhas UM-4 Qty'!$D22/1000000</f>
        <v>627.73257030030788</v>
      </c>
      <c r="K22" s="333">
        <f>'Prod &amp; Defects - Qty'!L$8*'Falhas UM-4 Qty'!$D22/1000000</f>
        <v>612.48976095166711</v>
      </c>
      <c r="L22" s="333">
        <f>'Prod &amp; Defects - Qty'!M$8*'Falhas UM-4 Qty'!$D22/1000000</f>
        <v>611.26459069877012</v>
      </c>
      <c r="M22" s="333">
        <f>'Prod &amp; Defects - Qty'!N$8*'Falhas UM-4 Qty'!$D22/1000000</f>
        <v>610.5418744426039</v>
      </c>
      <c r="N22" s="333">
        <f>'Prod &amp; Defects - Qty'!O$8*'Falhas UM-4 Qty'!$D22/1000000</f>
        <v>451.85446294453936</v>
      </c>
      <c r="O22" s="333">
        <f>'Prod &amp; Defects - Qty'!P$8*'Falhas UM-4 Qty'!$D22/1000000</f>
        <v>471.94755674135018</v>
      </c>
      <c r="P22" s="333">
        <f>'Prod &amp; Defects - Qty'!Q$8*'Falhas UM-4 Qty'!$D22/1000000</f>
        <v>583.79944770735995</v>
      </c>
      <c r="Q22" s="333">
        <f t="shared" si="7"/>
        <v>3461.2842829809688</v>
      </c>
      <c r="R22" s="333">
        <f>Q22/SUM('Prod &amp; Defects - Qty'!$F$8:$K$8)*1000000</f>
        <v>53.858829244377098</v>
      </c>
      <c r="S22" s="333">
        <f t="shared" si="3"/>
        <v>3341.8976934862903</v>
      </c>
      <c r="T22" s="333">
        <f>S22/SUM('Prod &amp; Defects - Qty'!$L$8:$Q$8)*1000000</f>
        <v>53.858829244377091</v>
      </c>
      <c r="U22" s="333">
        <f t="shared" si="4"/>
        <v>6803.1819764672591</v>
      </c>
      <c r="V22" s="333">
        <f>U22/'Prod &amp; Defects - Qty'!$R$8*1000000</f>
        <v>53.858829244377091</v>
      </c>
      <c r="W22" s="333">
        <f t="shared" si="9"/>
        <v>48.472946319939382</v>
      </c>
      <c r="X22" s="333">
        <f t="shared" si="9"/>
        <v>43.625651687945442</v>
      </c>
      <c r="Y22" s="333">
        <f t="shared" si="5"/>
        <v>46.049299003942409</v>
      </c>
      <c r="Z22" s="957">
        <f t="shared" si="10"/>
        <v>46.049299003942409</v>
      </c>
    </row>
    <row r="23" spans="1:26" ht="18" customHeight="1">
      <c r="A23" s="1032"/>
      <c r="B23" s="81">
        <v>4200</v>
      </c>
      <c r="C23" s="89" t="s">
        <v>115</v>
      </c>
      <c r="D23" s="352">
        <f>'[3]Falhas UM-4 Qty'!Z23</f>
        <v>8.6457072786097058E-2</v>
      </c>
      <c r="E23" s="333">
        <f>'Prod &amp; Defects - Qty'!F$8*'Falhas UM-4 Qty'!$D23/1000000</f>
        <v>0.85221232347574383</v>
      </c>
      <c r="F23" s="333">
        <f>'Prod &amp; Defects - Qty'!G$8*'Falhas UM-4 Qty'!$D23/1000000</f>
        <v>0.97303411146613772</v>
      </c>
      <c r="G23" s="333">
        <f>'Prod &amp; Defects - Qty'!H$8*'Falhas UM-4 Qty'!$D23/1000000</f>
        <v>0.88132646000627146</v>
      </c>
      <c r="H23" s="333">
        <f>'Prod &amp; Defects - Qty'!I$8*'Falhas UM-4 Qty'!$D23/1000000</f>
        <v>0.88575775801856815</v>
      </c>
      <c r="I23" s="333">
        <f>'Prod &amp; Defects - Qty'!J$8*'Falhas UM-4 Qty'!$D23/1000000</f>
        <v>0.95623807946591055</v>
      </c>
      <c r="J23" s="333">
        <f>'Prod &amp; Defects - Qty'!K$8*'Falhas UM-4 Qty'!$D23/1000000</f>
        <v>1.0076698896369631</v>
      </c>
      <c r="K23" s="333">
        <f>'Prod &amp; Defects - Qty'!L$8*'Falhas UM-4 Qty'!$D23/1000000</f>
        <v>0.98320131696635282</v>
      </c>
      <c r="L23" s="333">
        <f>'Prod &amp; Defects - Qty'!M$8*'Falhas UM-4 Qty'!$D23/1000000</f>
        <v>0.98123460816082986</v>
      </c>
      <c r="M23" s="333">
        <f>'Prod &amp; Defects - Qty'!N$8*'Falhas UM-4 Qty'!$D23/1000000</f>
        <v>0.98007446537942</v>
      </c>
      <c r="N23" s="333">
        <f>'Prod &amp; Defects - Qty'!O$8*'Falhas UM-4 Qty'!$D23/1000000</f>
        <v>0.72534094668605076</v>
      </c>
      <c r="O23" s="333">
        <f>'Prod &amp; Defects - Qty'!P$8*'Falhas UM-4 Qty'!$D23/1000000</f>
        <v>0.75759545532021522</v>
      </c>
      <c r="P23" s="333">
        <f>'Prod &amp; Defects - Qty'!Q$8*'Falhas UM-4 Qty'!$D23/1000000</f>
        <v>0.93714609194160992</v>
      </c>
      <c r="Q23" s="333">
        <f t="shared" si="7"/>
        <v>5.5562386220695945</v>
      </c>
      <c r="R23" s="333">
        <f>Q23/SUM('Prod &amp; Defects - Qty'!$F$8:$K$8)*1000000</f>
        <v>8.6457072786097058E-2</v>
      </c>
      <c r="S23" s="333">
        <f t="shared" si="3"/>
        <v>5.3645928844544795</v>
      </c>
      <c r="T23" s="333">
        <f>S23/SUM('Prod &amp; Defects - Qty'!$L$8:$Q$8)*1000000</f>
        <v>8.6457072786097086E-2</v>
      </c>
      <c r="U23" s="333">
        <f t="shared" si="4"/>
        <v>10.920831506524074</v>
      </c>
      <c r="V23" s="333">
        <f>U23/'Prod &amp; Defects - Qty'!$R$8*1000000</f>
        <v>8.6457072786097072E-2</v>
      </c>
      <c r="W23" s="333">
        <f t="shared" si="9"/>
        <v>7.7811365507487365E-2</v>
      </c>
      <c r="X23" s="333">
        <f t="shared" si="9"/>
        <v>7.0030228956738633E-2</v>
      </c>
      <c r="Y23" s="333">
        <f t="shared" si="5"/>
        <v>7.3920797232113006E-2</v>
      </c>
      <c r="Z23" s="957">
        <f t="shared" si="10"/>
        <v>7.3920797232113006E-2</v>
      </c>
    </row>
    <row r="24" spans="1:26" ht="18" customHeight="1">
      <c r="A24" s="1032"/>
      <c r="B24" s="81">
        <v>4210</v>
      </c>
      <c r="C24" s="89" t="s">
        <v>126</v>
      </c>
      <c r="D24" s="352">
        <f>'[3]Falhas UM-4 Qty'!Z24</f>
        <v>1.0889265122148644</v>
      </c>
      <c r="E24" s="333">
        <f>'Prod &amp; Defects - Qty'!F$8*'Falhas UM-4 Qty'!$D24/1000000</f>
        <v>10.733611064590615</v>
      </c>
      <c r="F24" s="333">
        <f>'Prod &amp; Defects - Qty'!G$8*'Falhas UM-4 Qty'!$D24/1000000</f>
        <v>12.255361037799286</v>
      </c>
      <c r="G24" s="333">
        <f>'Prod &amp; Defects - Qty'!H$8*'Falhas UM-4 Qty'!$D24/1000000</f>
        <v>11.100303506593265</v>
      </c>
      <c r="H24" s="333">
        <f>'Prod &amp; Defects - Qty'!I$8*'Falhas UM-4 Qty'!$D24/1000000</f>
        <v>11.156115688681055</v>
      </c>
      <c r="I24" s="333">
        <f>'Prod &amp; Defects - Qty'!J$8*'Falhas UM-4 Qty'!$D24/1000000</f>
        <v>12.043815076830809</v>
      </c>
      <c r="J24" s="333">
        <f>'Prod &amp; Defects - Qty'!K$8*'Falhas UM-4 Qty'!$D24/1000000</f>
        <v>12.691598535854732</v>
      </c>
      <c r="K24" s="333">
        <f>'Prod &amp; Defects - Qty'!L$8*'Falhas UM-4 Qty'!$D24/1000000</f>
        <v>12.383416953498775</v>
      </c>
      <c r="L24" s="333">
        <f>'Prod &amp; Defects - Qty'!M$8*'Falhas UM-4 Qty'!$D24/1000000</f>
        <v>12.358646263361729</v>
      </c>
      <c r="M24" s="333">
        <f>'Prod &amp; Defects - Qty'!N$8*'Falhas UM-4 Qty'!$D24/1000000</f>
        <v>12.3440342693175</v>
      </c>
      <c r="N24" s="333">
        <f>'Prod &amp; Defects - Qty'!O$8*'Falhas UM-4 Qty'!$D24/1000000</f>
        <v>9.1356665428127002</v>
      </c>
      <c r="O24" s="333">
        <f>'Prod &amp; Defects - Qty'!P$8*'Falhas UM-4 Qty'!$D24/1000000</f>
        <v>9.5419119598545414</v>
      </c>
      <c r="P24" s="333">
        <f>'Prod &amp; Defects - Qty'!Q$8*'Falhas UM-4 Qty'!$D24/1000000</f>
        <v>11.803351564521963</v>
      </c>
      <c r="Q24" s="333">
        <f t="shared" si="7"/>
        <v>69.980804910349761</v>
      </c>
      <c r="R24" s="333">
        <f>Q24/SUM('Prod &amp; Defects - Qty'!$F$8:$K$8)*1000000</f>
        <v>1.0889265122148644</v>
      </c>
      <c r="S24" s="333">
        <f t="shared" si="3"/>
        <v>67.567027553367211</v>
      </c>
      <c r="T24" s="333">
        <f>S24/SUM('Prod &amp; Defects - Qty'!$L$8:$Q$8)*1000000</f>
        <v>1.0889265122148646</v>
      </c>
      <c r="U24" s="333">
        <f t="shared" si="4"/>
        <v>137.54783246371699</v>
      </c>
      <c r="V24" s="333">
        <f>U24/'Prod &amp; Defects - Qty'!$R$8*1000000</f>
        <v>1.0889265122148644</v>
      </c>
      <c r="W24" s="333">
        <f t="shared" si="9"/>
        <v>0.98003386099337797</v>
      </c>
      <c r="X24" s="333">
        <f t="shared" si="9"/>
        <v>0.88203047489404018</v>
      </c>
      <c r="Y24" s="333">
        <f t="shared" si="5"/>
        <v>0.93103216794370902</v>
      </c>
      <c r="Z24" s="957">
        <f t="shared" si="10"/>
        <v>0.93103216794370902</v>
      </c>
    </row>
    <row r="25" spans="1:26" ht="18" customHeight="1">
      <c r="A25" s="1032"/>
      <c r="B25" s="81">
        <v>4220</v>
      </c>
      <c r="C25" s="89" t="s">
        <v>127</v>
      </c>
      <c r="D25" s="352">
        <f>'[3]Falhas UM-4 Qty'!Z25</f>
        <v>6.4138833563395725E-2</v>
      </c>
      <c r="E25" s="333">
        <f>'Prod &amp; Defects - Qty'!F$8*'Falhas UM-4 Qty'!$D25/1000000</f>
        <v>0.63222015983954549</v>
      </c>
      <c r="F25" s="333">
        <f>'Prod &amp; Defects - Qty'!G$8*'Falhas UM-4 Qty'!$D25/1000000</f>
        <v>0.72185271737385404</v>
      </c>
      <c r="G25" s="333">
        <f>'Prod &amp; Defects - Qty'!H$8*'Falhas UM-4 Qty'!$D25/1000000</f>
        <v>0.65381870229648797</v>
      </c>
      <c r="H25" s="333">
        <f>'Prod &amp; Defects - Qty'!I$8*'Falhas UM-4 Qty'!$D25/1000000</f>
        <v>0.65710609425323041</v>
      </c>
      <c r="I25" s="333">
        <f>'Prod &amp; Defects - Qty'!J$8*'Falhas UM-4 Qty'!$D25/1000000</f>
        <v>0.7093924539590456</v>
      </c>
      <c r="J25" s="333">
        <f>'Prod &amp; Defects - Qty'!K$8*'Falhas UM-4 Qty'!$D25/1000000</f>
        <v>0.74754753145729469</v>
      </c>
      <c r="K25" s="333">
        <f>'Prod &amp; Defects - Qty'!L$8*'Falhas UM-4 Qty'!$D25/1000000</f>
        <v>0.72939533569724468</v>
      </c>
      <c r="L25" s="333">
        <f>'Prod &amp; Defects - Qty'!M$8*'Falhas UM-4 Qty'!$D25/1000000</f>
        <v>0.72793631789013968</v>
      </c>
      <c r="M25" s="333">
        <f>'Prod &amp; Defects - Qty'!N$8*'Falhas UM-4 Qty'!$D25/1000000</f>
        <v>0.72707565719034095</v>
      </c>
      <c r="N25" s="333">
        <f>'Prod &amp; Defects - Qty'!O$8*'Falhas UM-4 Qty'!$D25/1000000</f>
        <v>0.53809966908449014</v>
      </c>
      <c r="O25" s="333">
        <f>'Prod &amp; Defects - Qty'!P$8*'Falhas UM-4 Qty'!$D25/1000000</f>
        <v>0.56202792034594684</v>
      </c>
      <c r="P25" s="333">
        <f>'Prod &amp; Defects - Qty'!Q$8*'Falhas UM-4 Qty'!$D25/1000000</f>
        <v>0.69522891856795999</v>
      </c>
      <c r="Q25" s="333">
        <f t="shared" si="7"/>
        <v>4.1219376591794585</v>
      </c>
      <c r="R25" s="333">
        <f>Q25/SUM('Prod &amp; Defects - Qty'!$F$8:$K$8)*1000000</f>
        <v>6.4138833563395739E-2</v>
      </c>
      <c r="S25" s="333">
        <f t="shared" si="3"/>
        <v>3.9797638187761222</v>
      </c>
      <c r="T25" s="333">
        <f>S25/SUM('Prod &amp; Defects - Qty'!$L$8:$Q$8)*1000000</f>
        <v>6.4138833563395725E-2</v>
      </c>
      <c r="U25" s="333">
        <f t="shared" si="4"/>
        <v>8.1017014779555812</v>
      </c>
      <c r="V25" s="333">
        <f>U25/'Prod &amp; Defects - Qty'!$R$8*1000000</f>
        <v>6.4138833563395725E-2</v>
      </c>
      <c r="W25" s="333">
        <f t="shared" si="9"/>
        <v>5.7724950207056154E-2</v>
      </c>
      <c r="X25" s="333">
        <f t="shared" si="9"/>
        <v>5.1952455186350541E-2</v>
      </c>
      <c r="Y25" s="333">
        <f t="shared" si="5"/>
        <v>5.4838702696703351E-2</v>
      </c>
      <c r="Z25" s="957">
        <f t="shared" si="10"/>
        <v>5.4838702696703351E-2</v>
      </c>
    </row>
    <row r="26" spans="1:26" ht="18" customHeight="1">
      <c r="A26" s="1032"/>
      <c r="B26" s="81">
        <v>4230</v>
      </c>
      <c r="C26" s="89" t="s">
        <v>157</v>
      </c>
      <c r="D26" s="352">
        <f>'[3]Falhas UM-4 Qty'!Z26</f>
        <v>0.11982224511917147</v>
      </c>
      <c r="E26" s="333">
        <f>'Prod &amp; Defects - Qty'!F$8*'Falhas UM-4 Qty'!$D26/1000000</f>
        <v>1.1810947401576837</v>
      </c>
      <c r="F26" s="333">
        <f>'Prod &amp; Defects - Qty'!G$8*'Falhas UM-4 Qty'!$D26/1000000</f>
        <v>1.3485435957549501</v>
      </c>
      <c r="G26" s="333">
        <f>'Prod &amp; Defects - Qty'!H$8*'Falhas UM-4 Qty'!$D26/1000000</f>
        <v>1.2214444893612546</v>
      </c>
      <c r="H26" s="333">
        <f>'Prod &amp; Defects - Qty'!I$8*'Falhas UM-4 Qty'!$D26/1000000</f>
        <v>1.227585896414662</v>
      </c>
      <c r="I26" s="333">
        <f>'Prod &amp; Defects - Qty'!J$8*'Falhas UM-4 Qty'!$D26/1000000</f>
        <v>1.3252657053695114</v>
      </c>
      <c r="J26" s="333">
        <f>'Prod &amp; Defects - Qty'!K$8*'Falhas UM-4 Qty'!$D26/1000000</f>
        <v>1.3965458767498864</v>
      </c>
      <c r="K26" s="333">
        <f>'Prod &amp; Defects - Qty'!L$8*'Falhas UM-4 Qty'!$D26/1000000</f>
        <v>1.3626344890776729</v>
      </c>
      <c r="L26" s="333">
        <f>'Prod &amp; Defects - Qty'!M$8*'Falhas UM-4 Qty'!$D26/1000000</f>
        <v>1.3599087957713953</v>
      </c>
      <c r="M26" s="333">
        <f>'Prod &amp; Defects - Qty'!N$8*'Falhas UM-4 Qty'!$D26/1000000</f>
        <v>1.3583009352662025</v>
      </c>
      <c r="N26" s="333">
        <f>'Prod &amp; Defects - Qty'!O$8*'Falhas UM-4 Qty'!$D26/1000000</f>
        <v>1.0052616623259532</v>
      </c>
      <c r="O26" s="333">
        <f>'Prod &amp; Defects - Qty'!P$8*'Falhas UM-4 Qty'!$D26/1000000</f>
        <v>1.0499637036421472</v>
      </c>
      <c r="P26" s="333">
        <f>'Prod &amp; Defects - Qty'!Q$8*'Falhas UM-4 Qty'!$D26/1000000</f>
        <v>1.2988058133649698</v>
      </c>
      <c r="Q26" s="333">
        <f t="shared" si="7"/>
        <v>7.7004803038079483</v>
      </c>
      <c r="R26" s="333">
        <f>Q26/SUM('Prod &amp; Defects - Qty'!$F$8:$K$8)*1000000</f>
        <v>0.11982224511917149</v>
      </c>
      <c r="S26" s="333">
        <f t="shared" si="3"/>
        <v>7.434875399448341</v>
      </c>
      <c r="T26" s="333">
        <f>S26/SUM('Prod &amp; Defects - Qty'!$L$8:$Q$8)*1000000</f>
        <v>0.11982224511917149</v>
      </c>
      <c r="U26" s="333">
        <f t="shared" si="4"/>
        <v>15.135355703256289</v>
      </c>
      <c r="V26" s="333">
        <f>U26/'Prod &amp; Defects - Qty'!$R$8*1000000</f>
        <v>0.11982224511917146</v>
      </c>
      <c r="W26" s="333">
        <f t="shared" si="9"/>
        <v>0.10784002060725431</v>
      </c>
      <c r="X26" s="333">
        <f t="shared" si="9"/>
        <v>9.7056018546528885E-2</v>
      </c>
      <c r="Y26" s="333">
        <f t="shared" si="5"/>
        <v>0.10244801957689159</v>
      </c>
      <c r="Z26" s="957">
        <f t="shared" si="10"/>
        <v>0.10244801957689159</v>
      </c>
    </row>
    <row r="27" spans="1:26" ht="18" customHeight="1">
      <c r="A27" s="1032"/>
      <c r="B27" s="81">
        <v>4240</v>
      </c>
      <c r="C27" s="92" t="s">
        <v>158</v>
      </c>
      <c r="D27" s="354">
        <f>'[3]Falhas UM-4 Qty'!Z27</f>
        <v>0.12482178718516806</v>
      </c>
      <c r="E27" s="335">
        <f>'Prod &amp; Defects - Qty'!F$8*'Falhas UM-4 Qty'!$D27/1000000</f>
        <v>1.2303755129513563</v>
      </c>
      <c r="F27" s="335">
        <f>'Prod &amp; Defects - Qty'!G$8*'Falhas UM-4 Qty'!$D27/1000000</f>
        <v>1.4048111145958939</v>
      </c>
      <c r="G27" s="335">
        <f>'Prod &amp; Defects - Qty'!H$8*'Falhas UM-4 Qty'!$D27/1000000</f>
        <v>1.2724088415962491</v>
      </c>
      <c r="H27" s="335">
        <f>'Prod &amp; Defects - Qty'!I$8*'Falhas UM-4 Qty'!$D27/1000000</f>
        <v>1.2788064967518131</v>
      </c>
      <c r="I27" s="335">
        <f>'Prod &amp; Defects - Qty'!J$8*'Falhas UM-4 Qty'!$D27/1000000</f>
        <v>1.3805619622208813</v>
      </c>
      <c r="J27" s="335">
        <f>'Prod &amp; Defects - Qty'!K$8*'Falhas UM-4 Qty'!$D27/1000000</f>
        <v>1.4548162742955257</v>
      </c>
      <c r="K27" s="335">
        <f>'Prod &amp; Defects - Qty'!L$8*'Falhas UM-4 Qty'!$D27/1000000</f>
        <v>1.4194899456078527</v>
      </c>
      <c r="L27" s="335">
        <f>'Prod &amp; Defects - Qty'!M$8*'Falhas UM-4 Qty'!$D27/1000000</f>
        <v>1.4166505236835694</v>
      </c>
      <c r="M27" s="335">
        <f>'Prod &amp; Defects - Qty'!N$8*'Falhas UM-4 Qty'!$D27/1000000</f>
        <v>1.4149755757504625</v>
      </c>
      <c r="N27" s="335">
        <f>'Prod &amp; Defects - Qty'!O$8*'Falhas UM-4 Qty'!$D27/1000000</f>
        <v>1.0472058602762897</v>
      </c>
      <c r="O27" s="335">
        <f>'Prod &amp; Defects - Qty'!P$8*'Falhas UM-4 Qty'!$D27/1000000</f>
        <v>1.0937730789289117</v>
      </c>
      <c r="P27" s="335">
        <f>'Prod &amp; Defects - Qty'!Q$8*'Falhas UM-4 Qty'!$D27/1000000</f>
        <v>1.3529980403009694</v>
      </c>
      <c r="Q27" s="335">
        <f t="shared" si="7"/>
        <v>8.0217802024117191</v>
      </c>
      <c r="R27" s="335">
        <f>Q27/SUM('Prod &amp; Defects - Qty'!$F$8:$K$8)*1000000</f>
        <v>0.12482178718516808</v>
      </c>
      <c r="S27" s="335">
        <f t="shared" si="3"/>
        <v>7.7450930245480549</v>
      </c>
      <c r="T27" s="335">
        <f>S27/SUM('Prod &amp; Defects - Qty'!$L$8:$Q$8)*1000000</f>
        <v>0.12482178718516808</v>
      </c>
      <c r="U27" s="335">
        <f t="shared" si="4"/>
        <v>15.766873226959774</v>
      </c>
      <c r="V27" s="335">
        <f>U27/'Prod &amp; Defects - Qty'!$R$8*1000000</f>
        <v>0.12482178718516805</v>
      </c>
      <c r="W27" s="335">
        <f t="shared" si="9"/>
        <v>0.11233960846665125</v>
      </c>
      <c r="X27" s="335">
        <f t="shared" si="9"/>
        <v>0.10110564761998612</v>
      </c>
      <c r="Y27" s="335">
        <f t="shared" si="5"/>
        <v>0.1067226280433187</v>
      </c>
      <c r="Z27" s="961">
        <f t="shared" si="10"/>
        <v>0.1067226280433187</v>
      </c>
    </row>
    <row r="28" spans="1:26" ht="18" customHeight="1">
      <c r="A28" s="1032"/>
      <c r="B28" s="81">
        <v>4250</v>
      </c>
      <c r="C28" s="89" t="s">
        <v>130</v>
      </c>
      <c r="D28" s="353">
        <f>'[3]Falhas UM-4 Qty'!Z28</f>
        <v>33.001990191830927</v>
      </c>
      <c r="E28" s="334">
        <f>'Prod &amp; Defects - Qty'!F$8*'Falhas UM-4 Qty'!$D28/1000000</f>
        <v>325.3025094926254</v>
      </c>
      <c r="F28" s="334">
        <f>'Prod &amp; Defects - Qty'!G$8*'Falhas UM-4 Qty'!$D28/1000000</f>
        <v>371.4220383376923</v>
      </c>
      <c r="G28" s="334">
        <f>'Prod &amp; Defects - Qty'!H$8*'Falhas UM-4 Qty'!$D28/1000000</f>
        <v>336.4158217672761</v>
      </c>
      <c r="H28" s="334">
        <f>'Prod &amp; Defects - Qty'!I$8*'Falhas UM-4 Qty'!$D28/1000000</f>
        <v>338.10731615664446</v>
      </c>
      <c r="I28" s="334">
        <f>'Prod &amp; Defects - Qty'!J$8*'Falhas UM-4 Qty'!$D28/1000000</f>
        <v>365.01073541624629</v>
      </c>
      <c r="J28" s="334">
        <f>'Prod &amp; Defects - Qty'!K$8*'Falhas UM-4 Qty'!$D28/1000000</f>
        <v>384.64304588103147</v>
      </c>
      <c r="K28" s="334">
        <f>'Prod &amp; Defects - Qty'!L$8*'Falhas UM-4 Qty'!$D28/1000000</f>
        <v>375.3030165547849</v>
      </c>
      <c r="L28" s="334">
        <f>'Prod &amp; Defects - Qty'!M$8*'Falhas UM-4 Qty'!$D28/1000000</f>
        <v>374.55229365128531</v>
      </c>
      <c r="M28" s="334">
        <f>'Prod &amp; Defects - Qty'!N$8*'Falhas UM-4 Qty'!$D28/1000000</f>
        <v>374.10944936498908</v>
      </c>
      <c r="N28" s="334">
        <f>'Prod &amp; Defects - Qty'!O$8*'Falhas UM-4 Qty'!$D28/1000000</f>
        <v>276.87375985410148</v>
      </c>
      <c r="O28" s="334">
        <f>'Prod &amp; Defects - Qty'!P$8*'Falhas UM-4 Qty'!$D28/1000000</f>
        <v>289.18580030706244</v>
      </c>
      <c r="P28" s="334">
        <f>'Prod &amp; Defects - Qty'!Q$8*'Falhas UM-4 Qty'!$D28/1000000</f>
        <v>357.72303107101141</v>
      </c>
      <c r="Q28" s="334">
        <f t="shared" si="7"/>
        <v>2120.9014670515162</v>
      </c>
      <c r="R28" s="334">
        <f>Q28/SUM('Prod &amp; Defects - Qty'!$F$8:$K$8)*1000000</f>
        <v>33.001990191830934</v>
      </c>
      <c r="S28" s="334">
        <f t="shared" si="3"/>
        <v>2047.7473508032349</v>
      </c>
      <c r="T28" s="334">
        <f>S28/SUM('Prod &amp; Defects - Qty'!$L$8:$Q$8)*1000000</f>
        <v>33.001990191830942</v>
      </c>
      <c r="U28" s="334">
        <f t="shared" si="4"/>
        <v>4168.6488178547515</v>
      </c>
      <c r="V28" s="334">
        <f>U28/'Prod &amp; Defects - Qty'!$R$8*1000000</f>
        <v>33.001990191830934</v>
      </c>
      <c r="W28" s="334">
        <f t="shared" si="9"/>
        <v>29.701791172647841</v>
      </c>
      <c r="X28" s="334">
        <f t="shared" si="9"/>
        <v>26.731612055383057</v>
      </c>
      <c r="Y28" s="334">
        <f t="shared" si="5"/>
        <v>28.216701614015449</v>
      </c>
      <c r="Z28" s="962">
        <f t="shared" si="10"/>
        <v>28.216701614015449</v>
      </c>
    </row>
    <row r="29" spans="1:26" ht="18" customHeight="1">
      <c r="A29" s="1032"/>
      <c r="B29" s="81">
        <v>4260</v>
      </c>
      <c r="C29" s="89" t="s">
        <v>131</v>
      </c>
      <c r="D29" s="352">
        <f>'[3]Falhas UM-4 Qty'!Z29</f>
        <v>2.4706912490445885</v>
      </c>
      <c r="E29" s="333">
        <f>'Prod &amp; Defects - Qty'!F$8*'Falhas UM-4 Qty'!$D29/1000000</f>
        <v>24.353745299112941</v>
      </c>
      <c r="F29" s="333">
        <f>'Prod &amp; Defects - Qty'!G$8*'Falhas UM-4 Qty'!$D29/1000000</f>
        <v>27.806479987694598</v>
      </c>
      <c r="G29" s="333">
        <f>'Prod &amp; Defects - Qty'!H$8*'Falhas UM-4 Qty'!$D29/1000000</f>
        <v>25.18574249762359</v>
      </c>
      <c r="H29" s="333">
        <f>'Prod &amp; Defects - Qty'!I$8*'Falhas UM-4 Qty'!$D29/1000000</f>
        <v>25.312376084305122</v>
      </c>
      <c r="I29" s="333">
        <f>'Prod &amp; Defects - Qty'!J$8*'Falhas UM-4 Qty'!$D29/1000000</f>
        <v>27.326498328076031</v>
      </c>
      <c r="J29" s="333">
        <f>'Prod &amp; Defects - Qty'!K$8*'Falhas UM-4 Qty'!$D29/1000000</f>
        <v>28.796269617077805</v>
      </c>
      <c r="K29" s="333">
        <f>'Prod &amp; Defects - Qty'!L$8*'Falhas UM-4 Qty'!$D29/1000000</f>
        <v>28.097029098913861</v>
      </c>
      <c r="L29" s="333">
        <f>'Prod &amp; Defects - Qty'!M$8*'Falhas UM-4 Qty'!$D29/1000000</f>
        <v>28.040826291224011</v>
      </c>
      <c r="M29" s="333">
        <f>'Prod &amp; Defects - Qty'!N$8*'Falhas UM-4 Qty'!$D29/1000000</f>
        <v>28.007672790587183</v>
      </c>
      <c r="N29" s="333">
        <f>'Prod &amp; Defects - Qty'!O$8*'Falhas UM-4 Qty'!$D29/1000000</f>
        <v>20.728130988019352</v>
      </c>
      <c r="O29" s="333">
        <f>'Prod &amp; Defects - Qty'!P$8*'Falhas UM-4 Qty'!$D29/1000000</f>
        <v>21.649870871832281</v>
      </c>
      <c r="P29" s="333">
        <f>'Prod &amp; Defects - Qty'!Q$8*'Falhas UM-4 Qty'!$D29/1000000</f>
        <v>26.780904948806043</v>
      </c>
      <c r="Q29" s="333">
        <f t="shared" si="7"/>
        <v>158.78111181389008</v>
      </c>
      <c r="R29" s="333">
        <f>Q29/SUM('Prod &amp; Defects - Qty'!$F$8:$K$8)*1000000</f>
        <v>2.4706912490445885</v>
      </c>
      <c r="S29" s="333">
        <f t="shared" si="3"/>
        <v>153.30443498938274</v>
      </c>
      <c r="T29" s="333">
        <f>S29/SUM('Prod &amp; Defects - Qty'!$L$8:$Q$8)*1000000</f>
        <v>2.4706912490445889</v>
      </c>
      <c r="U29" s="333">
        <f t="shared" si="4"/>
        <v>312.08554680327279</v>
      </c>
      <c r="V29" s="333">
        <f>U29/'Prod &amp; Defects - Qty'!$R$8*1000000</f>
        <v>2.470691249044588</v>
      </c>
      <c r="W29" s="333">
        <f t="shared" si="9"/>
        <v>2.2236221241401295</v>
      </c>
      <c r="X29" s="333">
        <f t="shared" si="9"/>
        <v>2.0012599117261165</v>
      </c>
      <c r="Y29" s="333">
        <f t="shared" si="5"/>
        <v>2.112441017933123</v>
      </c>
      <c r="Z29" s="957">
        <f t="shared" si="10"/>
        <v>2.112441017933123</v>
      </c>
    </row>
    <row r="30" spans="1:26" ht="18" customHeight="1">
      <c r="A30" s="1032"/>
      <c r="B30" s="81">
        <v>4270</v>
      </c>
      <c r="C30" s="89" t="s">
        <v>159</v>
      </c>
      <c r="D30" s="352">
        <f>'[3]Falhas UM-4 Qty'!Z30</f>
        <v>0.48891942417449058</v>
      </c>
      <c r="E30" s="333">
        <f>'Prod &amp; Defects - Qty'!F$8*'Falhas UM-4 Qty'!$D30/1000000</f>
        <v>4.8193067963222544</v>
      </c>
      <c r="F30" s="333">
        <f>'Prod &amp; Defects - Qty'!G$8*'Falhas UM-4 Qty'!$D30/1000000</f>
        <v>5.5025605442041172</v>
      </c>
      <c r="G30" s="333">
        <f>'Prod &amp; Defects - Qty'!H$8*'Falhas UM-4 Qty'!$D30/1000000</f>
        <v>4.9839488135584897</v>
      </c>
      <c r="H30" s="333">
        <f>'Prod &amp; Defects - Qty'!I$8*'Falhas UM-4 Qty'!$D30/1000000</f>
        <v>5.0090080435636271</v>
      </c>
      <c r="I30" s="333">
        <f>'Prod &amp; Defects - Qty'!J$8*'Falhas UM-4 Qty'!$D30/1000000</f>
        <v>5.4075780745305897</v>
      </c>
      <c r="J30" s="333">
        <f>'Prod &amp; Defects - Qty'!K$8*'Falhas UM-4 Qty'!$D30/1000000</f>
        <v>5.6984277436524708</v>
      </c>
      <c r="K30" s="333">
        <f>'Prod &amp; Defects - Qty'!L$8*'Falhas UM-4 Qty'!$D30/1000000</f>
        <v>5.5600566413820474</v>
      </c>
      <c r="L30" s="333">
        <f>'Prod &amp; Defects - Qty'!M$8*'Falhas UM-4 Qty'!$D30/1000000</f>
        <v>5.5489347966823752</v>
      </c>
      <c r="M30" s="333">
        <f>'Prod &amp; Defects - Qty'!N$8*'Falhas UM-4 Qty'!$D30/1000000</f>
        <v>5.5423741264865383</v>
      </c>
      <c r="N30" s="333">
        <f>'Prod &amp; Defects - Qty'!O$8*'Falhas UM-4 Qty'!$D30/1000000</f>
        <v>4.1018422964807053</v>
      </c>
      <c r="O30" s="333">
        <f>'Prod &amp; Defects - Qty'!P$8*'Falhas UM-4 Qty'!$D30/1000000</f>
        <v>4.2842432878659089</v>
      </c>
      <c r="P30" s="333">
        <f>'Prod &amp; Defects - Qty'!Q$8*'Falhas UM-4 Qty'!$D30/1000000</f>
        <v>5.2996118521508198</v>
      </c>
      <c r="Q30" s="333">
        <f t="shared" si="7"/>
        <v>31.420830015831548</v>
      </c>
      <c r="R30" s="333">
        <f>Q30/SUM('Prod &amp; Defects - Qty'!$F$8:$K$8)*1000000</f>
        <v>0.48891942417449064</v>
      </c>
      <c r="S30" s="333">
        <f t="shared" si="3"/>
        <v>30.337063001048392</v>
      </c>
      <c r="T30" s="333">
        <f>S30/SUM('Prod &amp; Defects - Qty'!$L$8:$Q$8)*1000000</f>
        <v>0.48891942417449064</v>
      </c>
      <c r="U30" s="333">
        <f t="shared" si="4"/>
        <v>61.75789301687994</v>
      </c>
      <c r="V30" s="333">
        <f>U30/'Prod &amp; Defects - Qty'!$R$8*1000000</f>
        <v>0.48891942417449052</v>
      </c>
      <c r="W30" s="333">
        <f t="shared" si="9"/>
        <v>0.44002748175704148</v>
      </c>
      <c r="X30" s="333">
        <f t="shared" si="9"/>
        <v>0.39602473358133733</v>
      </c>
      <c r="Y30" s="333">
        <f t="shared" si="5"/>
        <v>0.41802610766918941</v>
      </c>
      <c r="Z30" s="957">
        <f t="shared" si="10"/>
        <v>0.41802610766918941</v>
      </c>
    </row>
    <row r="31" spans="1:26" ht="18" customHeight="1">
      <c r="A31" s="1032"/>
      <c r="B31" s="81">
        <v>4280</v>
      </c>
      <c r="C31" s="89" t="s">
        <v>160</v>
      </c>
      <c r="D31" s="352">
        <f>'[3]Falhas UM-4 Qty'!Z31</f>
        <v>5.3845165795249361</v>
      </c>
      <c r="E31" s="333">
        <f>'Prod &amp; Defects - Qty'!F$8*'Falhas UM-4 Qty'!$D31/1000000</f>
        <v>53.075488646066177</v>
      </c>
      <c r="F31" s="333">
        <f>'Prod &amp; Defects - Qty'!G$8*'Falhas UM-4 Qty'!$D31/1000000</f>
        <v>60.600227798543443</v>
      </c>
      <c r="G31" s="333">
        <f>'Prod &amp; Defects - Qty'!H$8*'Falhas UM-4 Qty'!$D31/1000000</f>
        <v>54.88870699588275</v>
      </c>
      <c r="H31" s="333">
        <f>'Prod &amp; Defects - Qty'!I$8*'Falhas UM-4 Qty'!$D31/1000000</f>
        <v>55.164686702887863</v>
      </c>
      <c r="I31" s="333">
        <f>'Prod &amp; Defects - Qty'!J$8*'Falhas UM-4 Qty'!$D31/1000000</f>
        <v>59.554176736888749</v>
      </c>
      <c r="J31" s="333">
        <f>'Prod &amp; Defects - Qty'!K$8*'Falhas UM-4 Qty'!$D31/1000000</f>
        <v>62.75733207926514</v>
      </c>
      <c r="K31" s="333">
        <f>'Prod &amp; Defects - Qty'!L$8*'Falhas UM-4 Qty'!$D31/1000000</f>
        <v>61.233437839308891</v>
      </c>
      <c r="L31" s="333">
        <f>'Prod &amp; Defects - Qty'!M$8*'Falhas UM-4 Qty'!$D31/1000000</f>
        <v>61.110951895369567</v>
      </c>
      <c r="M31" s="333">
        <f>'Prod &amp; Defects - Qty'!N$8*'Falhas UM-4 Qty'!$D31/1000000</f>
        <v>61.038698604345321</v>
      </c>
      <c r="N31" s="333">
        <f>'Prod &amp; Defects - Qty'!O$8*'Falhas UM-4 Qty'!$D31/1000000</f>
        <v>45.173983196287487</v>
      </c>
      <c r="O31" s="333">
        <f>'Prod &amp; Defects - Qty'!P$8*'Falhas UM-4 Qty'!$D31/1000000</f>
        <v>47.182782834169949</v>
      </c>
      <c r="P31" s="333">
        <f>'Prod &amp; Defects - Qty'!Q$8*'Falhas UM-4 Qty'!$D31/1000000</f>
        <v>58.365134359580651</v>
      </c>
      <c r="Q31" s="333">
        <f t="shared" si="7"/>
        <v>346.04061895953413</v>
      </c>
      <c r="R31" s="333">
        <f>Q31/SUM('Prod &amp; Defects - Qty'!$F$8:$K$8)*1000000</f>
        <v>5.384516579524937</v>
      </c>
      <c r="S31" s="333">
        <f t="shared" si="3"/>
        <v>334.1049887290618</v>
      </c>
      <c r="T31" s="333">
        <f>S31/SUM('Prod &amp; Defects - Qty'!$L$8:$Q$8)*1000000</f>
        <v>5.3845165795249361</v>
      </c>
      <c r="U31" s="333">
        <f t="shared" si="4"/>
        <v>680.14560768859587</v>
      </c>
      <c r="V31" s="333">
        <f>U31/'Prod &amp; Defects - Qty'!$R$8*1000000</f>
        <v>5.3845165795249352</v>
      </c>
      <c r="W31" s="333">
        <f t="shared" si="9"/>
        <v>4.8460649215724416</v>
      </c>
      <c r="X31" s="333">
        <f t="shared" si="9"/>
        <v>4.3614584294151975</v>
      </c>
      <c r="Y31" s="333">
        <f t="shared" si="5"/>
        <v>4.6037616754938195</v>
      </c>
      <c r="Z31" s="957">
        <f t="shared" si="10"/>
        <v>4.6037616754938195</v>
      </c>
    </row>
    <row r="32" spans="1:26" ht="18" customHeight="1">
      <c r="A32" s="1032"/>
      <c r="B32" s="81">
        <v>4290</v>
      </c>
      <c r="C32" s="89" t="s">
        <v>161</v>
      </c>
      <c r="D32" s="352">
        <f>'[3]Falhas UM-4 Qty'!Z32</f>
        <v>0</v>
      </c>
      <c r="E32" s="333">
        <f>'Prod &amp; Defects - Qty'!F$8*'Falhas UM-4 Qty'!$D32/1000000</f>
        <v>0</v>
      </c>
      <c r="F32" s="333">
        <f>'Prod &amp; Defects - Qty'!G$8*'Falhas UM-4 Qty'!$D32/1000000</f>
        <v>0</v>
      </c>
      <c r="G32" s="333">
        <f>'Prod &amp; Defects - Qty'!H$8*'Falhas UM-4 Qty'!$D32/1000000</f>
        <v>0</v>
      </c>
      <c r="H32" s="333">
        <f>'Prod &amp; Defects - Qty'!I$8*'Falhas UM-4 Qty'!$D32/1000000</f>
        <v>0</v>
      </c>
      <c r="I32" s="333">
        <f>'Prod &amp; Defects - Qty'!J$8*'Falhas UM-4 Qty'!$D32/1000000</f>
        <v>0</v>
      </c>
      <c r="J32" s="333">
        <f>'Prod &amp; Defects - Qty'!K$8*'Falhas UM-4 Qty'!$D32/1000000</f>
        <v>0</v>
      </c>
      <c r="K32" s="333">
        <f>'Prod &amp; Defects - Qty'!L$8*'Falhas UM-4 Qty'!$D32/1000000</f>
        <v>0</v>
      </c>
      <c r="L32" s="333">
        <f>'Prod &amp; Defects - Qty'!M$8*'Falhas UM-4 Qty'!$D32/1000000</f>
        <v>0</v>
      </c>
      <c r="M32" s="333">
        <f>'Prod &amp; Defects - Qty'!N$8*'Falhas UM-4 Qty'!$D32/1000000</f>
        <v>0</v>
      </c>
      <c r="N32" s="333">
        <f>'Prod &amp; Defects - Qty'!O$8*'Falhas UM-4 Qty'!$D32/1000000</f>
        <v>0</v>
      </c>
      <c r="O32" s="333">
        <f>'Prod &amp; Defects - Qty'!P$8*'Falhas UM-4 Qty'!$D32/1000000</f>
        <v>0</v>
      </c>
      <c r="P32" s="333">
        <f>'Prod &amp; Defects - Qty'!Q$8*'Falhas UM-4 Qty'!$D32/1000000</f>
        <v>0</v>
      </c>
      <c r="Q32" s="333">
        <f t="shared" si="7"/>
        <v>0</v>
      </c>
      <c r="R32" s="333">
        <f>Q32/SUM('Prod &amp; Defects - Qty'!$F$8:$K$8)*1000000</f>
        <v>0</v>
      </c>
      <c r="S32" s="333">
        <f t="shared" ref="S32" si="11">SUM(K32:P32)</f>
        <v>0</v>
      </c>
      <c r="T32" s="333">
        <f>S32/SUM('Prod &amp; Defects - Qty'!$L$8:$Q$8)*1000000</f>
        <v>0</v>
      </c>
      <c r="U32" s="333"/>
      <c r="V32" s="333"/>
      <c r="W32" s="333"/>
      <c r="X32" s="333"/>
      <c r="Y32" s="333"/>
      <c r="Z32" s="957"/>
    </row>
    <row r="33" spans="1:26" ht="18" customHeight="1">
      <c r="A33" s="1032"/>
      <c r="B33" s="81">
        <v>4300</v>
      </c>
      <c r="C33" s="89" t="s">
        <v>116</v>
      </c>
      <c r="D33" s="352">
        <f>'[3]Falhas UM-4 Qty'!Z33</f>
        <v>12.669417879923891</v>
      </c>
      <c r="E33" s="333">
        <f>'Prod &amp; Defects - Qty'!F$8*'Falhas UM-4 Qty'!$D33/1000000</f>
        <v>124.88317844449756</v>
      </c>
      <c r="F33" s="333">
        <f>'Prod &amp; Defects - Qty'!G$8*'Falhas UM-4 Qty'!$D33/1000000</f>
        <v>142.58840106794986</v>
      </c>
      <c r="G33" s="333">
        <f>'Prod &amp; Defects - Qty'!H$8*'Falhas UM-4 Qty'!$D33/1000000</f>
        <v>129.14956348428493</v>
      </c>
      <c r="H33" s="333">
        <f>'Prod &amp; Defects - Qty'!I$8*'Falhas UM-4 Qty'!$D33/1000000</f>
        <v>129.7989258147349</v>
      </c>
      <c r="I33" s="333">
        <f>'Prod &amp; Defects - Qty'!J$8*'Falhas UM-4 Qty'!$D33/1000000</f>
        <v>140.12711084289302</v>
      </c>
      <c r="J33" s="333">
        <f>'Prod &amp; Defects - Qty'!K$8*'Falhas UM-4 Qty'!$D33/1000000</f>
        <v>147.66392737368315</v>
      </c>
      <c r="K33" s="333">
        <f>'Prod &amp; Defects - Qty'!L$8*'Falhas UM-4 Qty'!$D33/1000000</f>
        <v>144.07830317777473</v>
      </c>
      <c r="L33" s="333">
        <f>'Prod &amp; Defects - Qty'!M$8*'Falhas UM-4 Qty'!$D33/1000000</f>
        <v>143.79010170503989</v>
      </c>
      <c r="M33" s="333">
        <f>'Prod &amp; Defects - Qty'!N$8*'Falhas UM-4 Qty'!$D33/1000000</f>
        <v>143.62009440286781</v>
      </c>
      <c r="N33" s="333">
        <f>'Prod &amp; Defects - Qty'!O$8*'Falhas UM-4 Qty'!$D33/1000000</f>
        <v>106.29144918798289</v>
      </c>
      <c r="O33" s="333">
        <f>'Prod &amp; Defects - Qty'!P$8*'Falhas UM-4 Qty'!$D33/1000000</f>
        <v>111.01802429895005</v>
      </c>
      <c r="P33" s="333">
        <f>'Prod &amp; Defects - Qty'!Q$8*'Falhas UM-4 Qty'!$D33/1000000</f>
        <v>137.32937133692911</v>
      </c>
      <c r="Q33" s="333">
        <f t="shared" si="7"/>
        <v>814.21110702804333</v>
      </c>
      <c r="R33" s="333">
        <f>Q33/SUM('Prod &amp; Defects - Qty'!$F$8:$K$8)*1000000</f>
        <v>12.669417879923891</v>
      </c>
      <c r="S33" s="333">
        <f t="shared" si="3"/>
        <v>786.12734410954454</v>
      </c>
      <c r="T33" s="333">
        <f>S33/SUM('Prod &amp; Defects - Qty'!$L$8:$Q$8)*1000000</f>
        <v>12.669417879923895</v>
      </c>
      <c r="U33" s="333">
        <f t="shared" si="4"/>
        <v>1600.338451137588</v>
      </c>
      <c r="V33" s="333">
        <f>U33/'Prod &amp; Defects - Qty'!$R$8*1000000</f>
        <v>12.669417879923893</v>
      </c>
      <c r="W33" s="333">
        <f t="shared" ref="W33:X56" si="12">V33*Redutor</f>
        <v>11.402476091931504</v>
      </c>
      <c r="X33" s="333">
        <f t="shared" si="12"/>
        <v>10.262228482738355</v>
      </c>
      <c r="Y33" s="333">
        <f t="shared" si="5"/>
        <v>10.832352287334929</v>
      </c>
      <c r="Z33" s="957">
        <f>Y33*1</f>
        <v>10.832352287334929</v>
      </c>
    </row>
    <row r="34" spans="1:26" ht="18" customHeight="1" thickBot="1">
      <c r="A34" s="95"/>
      <c r="B34" s="87"/>
      <c r="C34" s="88" t="s">
        <v>1</v>
      </c>
      <c r="D34" s="88">
        <f>'[3]Falhas UM-4 Qty'!Z34</f>
        <v>246.49098908585751</v>
      </c>
      <c r="E34" s="336">
        <f>SUBTOTAL(109,E16:E33)</f>
        <v>10009.696926951798</v>
      </c>
      <c r="F34" s="336">
        <f t="shared" ref="F34:P34" si="13">SUBTOTAL(109,F16:F33)</f>
        <v>11428.814495005468</v>
      </c>
      <c r="G34" s="336">
        <f t="shared" si="13"/>
        <v>10351.658284388999</v>
      </c>
      <c r="H34" s="336">
        <f t="shared" si="13"/>
        <v>10403.706288007616</v>
      </c>
      <c r="I34" s="336">
        <f t="shared" si="13"/>
        <v>11231.535970315792</v>
      </c>
      <c r="J34" s="336">
        <f t="shared" si="13"/>
        <v>11835.630534587144</v>
      </c>
      <c r="K34" s="336">
        <f t="shared" si="13"/>
        <v>11548.233849604941</v>
      </c>
      <c r="L34" s="336">
        <f t="shared" si="13"/>
        <v>11525.133785754002</v>
      </c>
      <c r="M34" s="336">
        <f t="shared" si="13"/>
        <v>11511.507278234672</v>
      </c>
      <c r="N34" s="336">
        <f t="shared" si="13"/>
        <v>8519.5236504255081</v>
      </c>
      <c r="O34" s="336">
        <f t="shared" si="13"/>
        <v>8898.3703850502297</v>
      </c>
      <c r="P34" s="336">
        <f t="shared" si="13"/>
        <v>11007.290200116211</v>
      </c>
      <c r="Q34" s="336">
        <f t="shared" si="7"/>
        <v>65261.042499256808</v>
      </c>
      <c r="R34" s="336">
        <f>Q34/SUM('Prod &amp; Defects - Qty'!$F$8:$K$8)*1000000</f>
        <v>1015.485310339889</v>
      </c>
      <c r="S34" s="336">
        <f t="shared" si="3"/>
        <v>63010.059149185559</v>
      </c>
      <c r="T34" s="336">
        <f>S34/SUM('Prod &amp; Defects - Qty'!$L$8:$Q$8)*1000000</f>
        <v>1015.4853103398892</v>
      </c>
      <c r="U34" s="336">
        <f t="shared" si="4"/>
        <v>128271.10164844236</v>
      </c>
      <c r="V34" s="336">
        <f>U34/'Prod &amp; Defects - Qty'!$R$8*1000000</f>
        <v>1015.485310339889</v>
      </c>
      <c r="W34" s="336">
        <f t="shared" si="12"/>
        <v>913.93677930590013</v>
      </c>
      <c r="X34" s="336">
        <f t="shared" si="12"/>
        <v>822.54310137531013</v>
      </c>
      <c r="Y34" s="336">
        <f t="shared" si="5"/>
        <v>868.23994034060513</v>
      </c>
      <c r="Z34" s="958">
        <f>Y34</f>
        <v>868.23994034060513</v>
      </c>
    </row>
    <row r="35" spans="1:26" ht="18" customHeight="1" thickTop="1">
      <c r="A35" s="1034" t="s">
        <v>162</v>
      </c>
      <c r="B35" s="81">
        <v>4310</v>
      </c>
      <c r="C35" s="82" t="s">
        <v>152</v>
      </c>
      <c r="D35" s="352">
        <f>'[3]Falhas UM-4 Qty'!Z35</f>
        <v>0.5517660761583838</v>
      </c>
      <c r="E35" s="334">
        <f>'Prod &amp; Defects - Qty'!F$8*'Falhas UM-4 Qty'!$D35/1000000</f>
        <v>5.4387898482453094</v>
      </c>
      <c r="F35" s="334">
        <f>'Prod &amp; Defects - Qty'!G$8*'Falhas UM-4 Qty'!$D35/1000000</f>
        <v>6.2098703593659685</v>
      </c>
      <c r="G35" s="334">
        <f>'Prod &amp; Defects - Qty'!H$8*'Falhas UM-4 Qty'!$D35/1000000</f>
        <v>5.6245952700172568</v>
      </c>
      <c r="H35" s="334">
        <f>'Prod &amp; Defects - Qty'!I$8*'Falhas UM-4 Qty'!$D35/1000000</f>
        <v>5.6528756620978751</v>
      </c>
      <c r="I35" s="334">
        <f>'Prod &amp; Defects - Qty'!J$8*'Falhas UM-4 Qty'!$D35/1000000</f>
        <v>6.1026786586392436</v>
      </c>
      <c r="J35" s="334">
        <f>'Prod &amp; Defects - Qty'!K$8*'Falhas UM-4 Qty'!$D35/1000000</f>
        <v>6.4309147088929359</v>
      </c>
      <c r="K35" s="334">
        <f>'Prod &amp; Defects - Qty'!L$8*'Falhas UM-4 Qty'!$D35/1000000</f>
        <v>6.2747571164995248</v>
      </c>
      <c r="L35" s="334">
        <f>'Prod &amp; Defects - Qty'!M$8*'Falhas UM-4 Qty'!$D35/1000000</f>
        <v>6.2622056482899273</v>
      </c>
      <c r="M35" s="334">
        <f>'Prod &amp; Defects - Qty'!N$8*'Falhas UM-4 Qty'!$D35/1000000</f>
        <v>6.2548016568100655</v>
      </c>
      <c r="N35" s="334">
        <f>'Prod &amp; Defects - Qty'!O$8*'Falhas UM-4 Qty'!$D35/1000000</f>
        <v>4.6291010686904475</v>
      </c>
      <c r="O35" s="334">
        <f>'Prod &amp; Defects - Qty'!P$8*'Falhas UM-4 Qty'!$D35/1000000</f>
        <v>4.8349482376261914</v>
      </c>
      <c r="P35" s="334">
        <f>'Prod &amp; Defects - Qty'!Q$8*'Falhas UM-4 Qty'!$D35/1000000</f>
        <v>5.9808342484264321</v>
      </c>
      <c r="Q35" s="334">
        <f t="shared" si="7"/>
        <v>35.459724507258585</v>
      </c>
      <c r="R35" s="334">
        <f>Q35/SUM('Prod &amp; Defects - Qty'!$F$8:$K$8)*1000000</f>
        <v>0.5517660761583838</v>
      </c>
      <c r="S35" s="334">
        <f t="shared" si="3"/>
        <v>34.236647976342589</v>
      </c>
      <c r="T35" s="334">
        <f>S35/SUM('Prod &amp; Defects - Qty'!$L$8:$Q$8)*1000000</f>
        <v>0.55176607615838391</v>
      </c>
      <c r="U35" s="334">
        <f t="shared" si="4"/>
        <v>69.696372483601181</v>
      </c>
      <c r="V35" s="334">
        <f>U35/'Prod &amp; Defects - Qty'!$R$8*1000000</f>
        <v>0.55176607615838391</v>
      </c>
      <c r="W35" s="334">
        <f t="shared" si="12"/>
        <v>0.49658946854254554</v>
      </c>
      <c r="X35" s="334">
        <f t="shared" si="12"/>
        <v>0.446930521688291</v>
      </c>
      <c r="Y35" s="334">
        <f t="shared" si="5"/>
        <v>0.47175999511541827</v>
      </c>
      <c r="Z35" s="962">
        <f t="shared" ref="Z35:Z53" si="14">Y35*1</f>
        <v>0.47175999511541827</v>
      </c>
    </row>
    <row r="36" spans="1:26" ht="18" customHeight="1">
      <c r="A36" s="1032"/>
      <c r="B36" s="81">
        <v>4320</v>
      </c>
      <c r="C36" s="89" t="s">
        <v>153</v>
      </c>
      <c r="D36" s="353">
        <f>'[3]Falhas UM-4 Qty'!Z36</f>
        <v>1.8661705280025052E-2</v>
      </c>
      <c r="E36" s="334">
        <f>'Prod &amp; Defects - Qty'!F$8*'Falhas UM-4 Qty'!$D36/1000000</f>
        <v>0.18394949891557222</v>
      </c>
      <c r="F36" s="334">
        <f>'Prod &amp; Defects - Qty'!G$8*'Falhas UM-4 Qty'!$D36/1000000</f>
        <v>0.21002880655603373</v>
      </c>
      <c r="G36" s="334">
        <f>'Prod &amp; Defects - Qty'!H$8*'Falhas UM-4 Qty'!$D36/1000000</f>
        <v>0.19023376714148521</v>
      </c>
      <c r="H36" s="334">
        <f>'Prod &amp; Defects - Qty'!I$8*'Falhas UM-4 Qty'!$D36/1000000</f>
        <v>0.19119026005581319</v>
      </c>
      <c r="I36" s="334">
        <f>'Prod &amp; Defects - Qty'!J$8*'Falhas UM-4 Qty'!$D36/1000000</f>
        <v>0.20640339351622847</v>
      </c>
      <c r="J36" s="334">
        <f>'Prod &amp; Defects - Qty'!K$8*'Falhas UM-4 Qty'!$D36/1000000</f>
        <v>0.21750491768886643</v>
      </c>
      <c r="K36" s="334">
        <f>'Prod &amp; Defects - Qty'!L$8*'Falhas UM-4 Qty'!$D36/1000000</f>
        <v>0.21222339152695788</v>
      </c>
      <c r="L36" s="334">
        <f>'Prod &amp; Defects - Qty'!M$8*'Falhas UM-4 Qty'!$D36/1000000</f>
        <v>0.21179887865695704</v>
      </c>
      <c r="M36" s="334">
        <f>'Prod &amp; Defects - Qty'!N$8*'Falhas UM-4 Qty'!$D36/1000000</f>
        <v>0.21154846256060147</v>
      </c>
      <c r="N36" s="334">
        <f>'Prod &amp; Defects - Qty'!O$8*'Falhas UM-4 Qty'!$D36/1000000</f>
        <v>0.15656439130294206</v>
      </c>
      <c r="O36" s="334">
        <f>'Prod &amp; Defects - Qty'!P$8*'Falhas UM-4 Qty'!$D36/1000000</f>
        <v>0.16352650689031592</v>
      </c>
      <c r="P36" s="334">
        <f>'Prod &amp; Defects - Qty'!Q$8*'Falhas UM-4 Qty'!$D36/1000000</f>
        <v>0.20228239990741284</v>
      </c>
      <c r="Q36" s="334">
        <f t="shared" si="7"/>
        <v>1.1993106438739993</v>
      </c>
      <c r="R36" s="334">
        <f>Q36/SUM('Prod &amp; Defects - Qty'!$F$8:$K$8)*1000000</f>
        <v>1.8661705280025056E-2</v>
      </c>
      <c r="S36" s="334">
        <f t="shared" si="3"/>
        <v>1.1579440308451872</v>
      </c>
      <c r="T36" s="334">
        <f>S36/SUM('Prod &amp; Defects - Qty'!$L$8:$Q$8)*1000000</f>
        <v>1.8661705280025052E-2</v>
      </c>
      <c r="U36" s="334">
        <f t="shared" si="4"/>
        <v>2.3572546747191865</v>
      </c>
      <c r="V36" s="334">
        <f>U36/'Prod &amp; Defects - Qty'!$R$8*1000000</f>
        <v>1.8661705280025052E-2</v>
      </c>
      <c r="W36" s="334">
        <f t="shared" si="12"/>
        <v>1.6795534752022549E-2</v>
      </c>
      <c r="X36" s="334">
        <f t="shared" si="12"/>
        <v>1.5115981276820295E-2</v>
      </c>
      <c r="Y36" s="334">
        <f t="shared" si="5"/>
        <v>1.5955758014421423E-2</v>
      </c>
      <c r="Z36" s="962">
        <f t="shared" si="14"/>
        <v>1.5955758014421423E-2</v>
      </c>
    </row>
    <row r="37" spans="1:26" ht="18" customHeight="1">
      <c r="A37" s="1032"/>
      <c r="B37" s="81">
        <v>4330</v>
      </c>
      <c r="C37" s="89" t="s">
        <v>154</v>
      </c>
      <c r="D37" s="353">
        <f>'[3]Falhas UM-4 Qty'!Z37</f>
        <v>4.6554308258657494E-3</v>
      </c>
      <c r="E37" s="334">
        <f>'Prod &amp; Defects - Qty'!F$8*'Falhas UM-4 Qty'!$D37/1000000</f>
        <v>4.5888848570057553E-2</v>
      </c>
      <c r="F37" s="334">
        <f>'Prod &amp; Defects - Qty'!G$8*'Falhas UM-4 Qty'!$D37/1000000</f>
        <v>5.239470700500963E-2</v>
      </c>
      <c r="G37" s="334">
        <f>'Prod &amp; Defects - Qty'!H$8*'Falhas UM-4 Qty'!$D37/1000000</f>
        <v>4.745654967657105E-2</v>
      </c>
      <c r="H37" s="334">
        <f>'Prod &amp; Defects - Qty'!I$8*'Falhas UM-4 Qty'!$D37/1000000</f>
        <v>4.7695160592951279E-2</v>
      </c>
      <c r="I37" s="334">
        <f>'Prod &amp; Defects - Qty'!J$8*'Falhas UM-4 Qty'!$D37/1000000</f>
        <v>5.149029557160914E-2</v>
      </c>
      <c r="J37" s="334">
        <f>'Prod &amp; Defects - Qty'!K$8*'Falhas UM-4 Qty'!$D37/1000000</f>
        <v>5.4259730469003634E-2</v>
      </c>
      <c r="K37" s="334">
        <f>'Prod &amp; Defects - Qty'!L$8*'Falhas UM-4 Qty'!$D37/1000000</f>
        <v>5.2942177794539122E-2</v>
      </c>
      <c r="L37" s="334">
        <f>'Prod &amp; Defects - Qty'!M$8*'Falhas UM-4 Qty'!$D37/1000000</f>
        <v>5.2836276952610492E-2</v>
      </c>
      <c r="M37" s="334">
        <f>'Prod &amp; Defects - Qty'!N$8*'Falhas UM-4 Qty'!$D37/1000000</f>
        <v>5.2773807055204354E-2</v>
      </c>
      <c r="N37" s="334">
        <f>'Prod &amp; Defects - Qty'!O$8*'Falhas UM-4 Qty'!$D37/1000000</f>
        <v>3.9057239548455969E-2</v>
      </c>
      <c r="O37" s="334">
        <f>'Prod &amp; Defects - Qty'!P$8*'Falhas UM-4 Qty'!$D37/1000000</f>
        <v>4.0794039429943377E-2</v>
      </c>
      <c r="P37" s="334">
        <f>'Prod &amp; Defects - Qty'!Q$8*'Falhas UM-4 Qty'!$D37/1000000</f>
        <v>5.046225443647176E-2</v>
      </c>
      <c r="Q37" s="334">
        <f t="shared" si="7"/>
        <v>0.29918529188520226</v>
      </c>
      <c r="R37" s="334">
        <f>Q37/SUM('Prod &amp; Defects - Qty'!$F$8:$K$8)*1000000</f>
        <v>4.6554308258657494E-3</v>
      </c>
      <c r="S37" s="334">
        <f t="shared" si="3"/>
        <v>0.28886579521722511</v>
      </c>
      <c r="T37" s="334">
        <f>S37/SUM('Prod &amp; Defects - Qty'!$L$8:$Q$8)*1000000</f>
        <v>4.6554308258657511E-3</v>
      </c>
      <c r="U37" s="334">
        <f t="shared" si="4"/>
        <v>0.58805108710242737</v>
      </c>
      <c r="V37" s="334">
        <f>U37/'Prod &amp; Defects - Qty'!$R$8*1000000</f>
        <v>4.6554308258657494E-3</v>
      </c>
      <c r="W37" s="334">
        <f t="shared" si="12"/>
        <v>4.189887743279175E-3</v>
      </c>
      <c r="X37" s="334">
        <f t="shared" si="12"/>
        <v>3.7708989689512577E-3</v>
      </c>
      <c r="Y37" s="334">
        <f t="shared" si="5"/>
        <v>3.9803933561152159E-3</v>
      </c>
      <c r="Z37" s="962">
        <f t="shared" si="14"/>
        <v>3.9803933561152159E-3</v>
      </c>
    </row>
    <row r="38" spans="1:26" ht="18" customHeight="1">
      <c r="A38" s="1032"/>
      <c r="B38" s="81">
        <v>4340</v>
      </c>
      <c r="C38" s="89" t="s">
        <v>155</v>
      </c>
      <c r="D38" s="353">
        <f>'[3]Falhas UM-4 Qty'!Z38</f>
        <v>2.8081241672986413E-2</v>
      </c>
      <c r="E38" s="334">
        <f>'Prod &amp; Defects - Qty'!F$8*'Falhas UM-4 Qty'!$D38/1000000</f>
        <v>0.27679840921086502</v>
      </c>
      <c r="F38" s="334">
        <f>'Prod &amp; Defects - Qty'!G$8*'Falhas UM-4 Qty'!$D38/1000000</f>
        <v>0.31604130419430665</v>
      </c>
      <c r="G38" s="334">
        <f>'Prod &amp; Defects - Qty'!H$8*'Falhas UM-4 Qty'!$D38/1000000</f>
        <v>0.28625467551352823</v>
      </c>
      <c r="H38" s="334">
        <f>'Prod &amp; Defects - Qty'!I$8*'Falhas UM-4 Qty'!$D38/1000000</f>
        <v>0.28769396030999816</v>
      </c>
      <c r="I38" s="334">
        <f>'Prod &amp; Defects - Qty'!J$8*'Falhas UM-4 Qty'!$D38/1000000</f>
        <v>0.31058595602501915</v>
      </c>
      <c r="J38" s="334">
        <f>'Prod &amp; Defects - Qty'!K$8*'Falhas UM-4 Qty'!$D38/1000000</f>
        <v>0.32729099870748124</v>
      </c>
      <c r="K38" s="334">
        <f>'Prod &amp; Defects - Qty'!L$8*'Falhas UM-4 Qty'!$D38/1000000</f>
        <v>0.31934361071001338</v>
      </c>
      <c r="L38" s="334">
        <f>'Prod &amp; Defects - Qty'!M$8*'Falhas UM-4 Qty'!$D38/1000000</f>
        <v>0.31870482404411593</v>
      </c>
      <c r="M38" s="334">
        <f>'Prod &amp; Defects - Qty'!N$8*'Falhas UM-4 Qty'!$D38/1000000</f>
        <v>0.31832800987761573</v>
      </c>
      <c r="N38" s="334">
        <f>'Prod &amp; Defects - Qty'!O$8*'Falhas UM-4 Qty'!$D38/1000000</f>
        <v>0.23559060887473335</v>
      </c>
      <c r="O38" s="334">
        <f>'Prod &amp; Defects - Qty'!P$8*'Falhas UM-4 Qty'!$D38/1000000</f>
        <v>0.24606686747118506</v>
      </c>
      <c r="P38" s="334">
        <f>'Prod &amp; Defects - Qty'!Q$8*'Falhas UM-4 Qty'!$D38/1000000</f>
        <v>0.30438488191493501</v>
      </c>
      <c r="Q38" s="334">
        <f t="shared" si="7"/>
        <v>1.8046653039611984</v>
      </c>
      <c r="R38" s="334">
        <f>Q38/SUM('Prod &amp; Defects - Qty'!$F$8:$K$8)*1000000</f>
        <v>2.8081241672986413E-2</v>
      </c>
      <c r="S38" s="334">
        <f t="shared" si="3"/>
        <v>1.7424188028925984</v>
      </c>
      <c r="T38" s="334">
        <f>S38/SUM('Prod &amp; Defects - Qty'!$L$8:$Q$8)*1000000</f>
        <v>2.8081241672986416E-2</v>
      </c>
      <c r="U38" s="334">
        <f t="shared" si="4"/>
        <v>3.5470841068537968</v>
      </c>
      <c r="V38" s="334">
        <f>U38/'Prod &amp; Defects - Qty'!$R$8*1000000</f>
        <v>2.8081241672986413E-2</v>
      </c>
      <c r="W38" s="334">
        <f t="shared" si="12"/>
        <v>2.5273117505687771E-2</v>
      </c>
      <c r="X38" s="334">
        <f t="shared" si="12"/>
        <v>2.2745805755118993E-2</v>
      </c>
      <c r="Y38" s="334">
        <f t="shared" si="5"/>
        <v>2.4009461630403382E-2</v>
      </c>
      <c r="Z38" s="962">
        <f t="shared" si="14"/>
        <v>2.4009461630403382E-2</v>
      </c>
    </row>
    <row r="39" spans="1:26" ht="18" customHeight="1">
      <c r="A39" s="1032"/>
      <c r="B39" s="81">
        <v>4350</v>
      </c>
      <c r="C39" s="90" t="s">
        <v>216</v>
      </c>
      <c r="D39" s="354">
        <f>'[3]Falhas UM-4 Qty'!Z39</f>
        <v>0.35925042998407009</v>
      </c>
      <c r="E39" s="334">
        <f>'Prod &amp; Defects - Qty'!F$8*'Falhas UM-4 Qty'!$D39/1000000</f>
        <v>3.5411520860051238</v>
      </c>
      <c r="F39" s="334">
        <f>'Prod &amp; Defects - Qty'!G$8*'Falhas UM-4 Qty'!$D39/1000000</f>
        <v>4.0431963709693148</v>
      </c>
      <c r="G39" s="334">
        <f>'Prod &amp; Defects - Qty'!H$8*'Falhas UM-4 Qty'!$D39/1000000</f>
        <v>3.6621284934886873</v>
      </c>
      <c r="H39" s="334">
        <f>'Prod &amp; Defects - Qty'!I$8*'Falhas UM-4 Qty'!$D39/1000000</f>
        <v>3.6805416280652388</v>
      </c>
      <c r="I39" s="334">
        <f>'Prod &amp; Defects - Qty'!J$8*'Falhas UM-4 Qty'!$D39/1000000</f>
        <v>3.973404721499104</v>
      </c>
      <c r="J39" s="334">
        <f>'Prod &amp; Defects - Qty'!K$8*'Falhas UM-4 Qty'!$D39/1000000</f>
        <v>4.187116559332468</v>
      </c>
      <c r="K39" s="334">
        <f>'Prod &amp; Defects - Qty'!L$8*'Falhas UM-4 Qty'!$D39/1000000</f>
        <v>4.0854436137914902</v>
      </c>
      <c r="L39" s="334">
        <f>'Prod &amp; Defects - Qty'!M$8*'Falhas UM-4 Qty'!$D39/1000000</f>
        <v>4.0772714543455457</v>
      </c>
      <c r="M39" s="334">
        <f>'Prod &amp; Defects - Qty'!N$8*'Falhas UM-4 Qty'!$D39/1000000</f>
        <v>4.0724507753700312</v>
      </c>
      <c r="N39" s="334">
        <f>'Prod &amp; Defects - Qty'!O$8*'Falhas UM-4 Qty'!$D39/1000000</f>
        <v>3.0139702696934156</v>
      </c>
      <c r="O39" s="334">
        <f>'Prod &amp; Defects - Qty'!P$8*'Falhas UM-4 Qty'!$D39/1000000</f>
        <v>3.1479956966751605</v>
      </c>
      <c r="P39" s="334">
        <f>'Prod &amp; Defects - Qty'!Q$8*'Falhas UM-4 Qty'!$D39/1000000</f>
        <v>3.8940728113808323</v>
      </c>
      <c r="Q39" s="334">
        <f t="shared" si="7"/>
        <v>23.087539859359936</v>
      </c>
      <c r="R39" s="334">
        <f>Q39/SUM('Prod &amp; Defects - Qty'!$F$8:$K$8)*1000000</f>
        <v>0.35925042998407009</v>
      </c>
      <c r="S39" s="334">
        <f t="shared" si="3"/>
        <v>22.291204621256476</v>
      </c>
      <c r="T39" s="334">
        <f>S39/SUM('Prod &amp; Defects - Qty'!$L$8:$Q$8)*1000000</f>
        <v>0.35925042998407014</v>
      </c>
      <c r="U39" s="334">
        <f t="shared" si="4"/>
        <v>45.378744480616412</v>
      </c>
      <c r="V39" s="334">
        <f>U39/'Prod &amp; Defects - Qty'!$R$8*1000000</f>
        <v>0.35925042998407009</v>
      </c>
      <c r="W39" s="334">
        <f t="shared" si="12"/>
        <v>0.3233253869856631</v>
      </c>
      <c r="X39" s="334">
        <f t="shared" si="12"/>
        <v>0.29099284828709682</v>
      </c>
      <c r="Y39" s="334">
        <f t="shared" si="5"/>
        <v>0.30715911763637993</v>
      </c>
      <c r="Z39" s="962">
        <f t="shared" si="14"/>
        <v>0.30715911763637993</v>
      </c>
    </row>
    <row r="40" spans="1:26" ht="18" customHeight="1">
      <c r="A40" s="1032"/>
      <c r="B40" s="81">
        <v>4360</v>
      </c>
      <c r="C40" s="82" t="s">
        <v>115</v>
      </c>
      <c r="D40" s="352">
        <f>'[3]Falhas UM-4 Qty'!Z40</f>
        <v>0.36758670780279473</v>
      </c>
      <c r="E40" s="334">
        <f>'Prod &amp; Defects - Qty'!F$8*'Falhas UM-4 Qty'!$D40/1000000</f>
        <v>3.6233232544254483</v>
      </c>
      <c r="F40" s="334">
        <f>'Prod &amp; Defects - Qty'!G$8*'Falhas UM-4 Qty'!$D40/1000000</f>
        <v>4.1370172975735056</v>
      </c>
      <c r="G40" s="334">
        <f>'Prod &amp; Defects - Qty'!H$8*'Falhas UM-4 Qty'!$D40/1000000</f>
        <v>3.7471068762033379</v>
      </c>
      <c r="H40" s="334">
        <f>'Prod &amp; Defects - Qty'!I$8*'Falhas UM-4 Qty'!$D40/1000000</f>
        <v>3.7659472809862207</v>
      </c>
      <c r="I40" s="334">
        <f>'Prod &amp; Defects - Qty'!J$8*'Falhas UM-4 Qty'!$D40/1000000</f>
        <v>4.0656061578233906</v>
      </c>
      <c r="J40" s="334">
        <f>'Prod &amp; Defects - Qty'!K$8*'Falhas UM-4 Qty'!$D40/1000000</f>
        <v>4.284277102465361</v>
      </c>
      <c r="K40" s="334">
        <f>'Prod &amp; Defects - Qty'!L$8*'Falhas UM-4 Qty'!$D40/1000000</f>
        <v>4.1802448725646819</v>
      </c>
      <c r="L40" s="334">
        <f>'Prod &amp; Defects - Qty'!M$8*'Falhas UM-4 Qty'!$D40/1000000</f>
        <v>4.1718830810798186</v>
      </c>
      <c r="M40" s="334">
        <f>'Prod &amp; Defects - Qty'!N$8*'Falhas UM-4 Qty'!$D40/1000000</f>
        <v>4.1669505399717623</v>
      </c>
      <c r="N40" s="334">
        <f>'Prod &amp; Defects - Qty'!O$8*'Falhas UM-4 Qty'!$D40/1000000</f>
        <v>3.0839083725000145</v>
      </c>
      <c r="O40" s="334">
        <f>'Prod &amp; Defects - Qty'!P$8*'Falhas UM-4 Qty'!$D40/1000000</f>
        <v>3.2210438116093512</v>
      </c>
      <c r="P40" s="334">
        <f>'Prod &amp; Defects - Qty'!Q$8*'Falhas UM-4 Qty'!$D40/1000000</f>
        <v>3.9844333790869095</v>
      </c>
      <c r="Q40" s="334">
        <f t="shared" si="7"/>
        <v>23.623277969477265</v>
      </c>
      <c r="R40" s="334">
        <f>Q40/SUM('Prod &amp; Defects - Qty'!$F$8:$K$8)*1000000</f>
        <v>0.36758670780279473</v>
      </c>
      <c r="S40" s="334">
        <f t="shared" si="3"/>
        <v>22.808464056812536</v>
      </c>
      <c r="T40" s="334">
        <f>S40/SUM('Prod &amp; Defects - Qty'!$L$8:$Q$8)*1000000</f>
        <v>0.36758670780279473</v>
      </c>
      <c r="U40" s="334">
        <f t="shared" si="4"/>
        <v>46.431742026289797</v>
      </c>
      <c r="V40" s="334">
        <f>U40/'Prod &amp; Defects - Qty'!$R$8*1000000</f>
        <v>0.36758670780279468</v>
      </c>
      <c r="W40" s="334">
        <f t="shared" si="12"/>
        <v>0.33082803702251523</v>
      </c>
      <c r="X40" s="334">
        <f t="shared" si="12"/>
        <v>0.2977452333202637</v>
      </c>
      <c r="Y40" s="334">
        <f t="shared" si="5"/>
        <v>0.31428663517138944</v>
      </c>
      <c r="Z40" s="962">
        <f t="shared" si="14"/>
        <v>0.31428663517138944</v>
      </c>
    </row>
    <row r="41" spans="1:26" ht="18" customHeight="1">
      <c r="A41" s="1032"/>
      <c r="B41" s="81">
        <v>4370</v>
      </c>
      <c r="C41" s="89" t="s">
        <v>126</v>
      </c>
      <c r="D41" s="353">
        <f>'[3]Falhas UM-4 Qty'!Z41</f>
        <v>0</v>
      </c>
      <c r="E41" s="334">
        <f>'Prod &amp; Defects - Qty'!F$8*'Falhas UM-4 Qty'!$D41/1000000</f>
        <v>0</v>
      </c>
      <c r="F41" s="334">
        <f>'Prod &amp; Defects - Qty'!G$8*'Falhas UM-4 Qty'!$D41/1000000</f>
        <v>0</v>
      </c>
      <c r="G41" s="334">
        <f>'Prod &amp; Defects - Qty'!H$8*'Falhas UM-4 Qty'!$D41/1000000</f>
        <v>0</v>
      </c>
      <c r="H41" s="334">
        <f>'Prod &amp; Defects - Qty'!I$8*'Falhas UM-4 Qty'!$D41/1000000</f>
        <v>0</v>
      </c>
      <c r="I41" s="334">
        <f>'Prod &amp; Defects - Qty'!J$8*'Falhas UM-4 Qty'!$D41/1000000</f>
        <v>0</v>
      </c>
      <c r="J41" s="334">
        <f>'Prod &amp; Defects - Qty'!K$8*'Falhas UM-4 Qty'!$D41/1000000</f>
        <v>0</v>
      </c>
      <c r="K41" s="334">
        <f>'Prod &amp; Defects - Qty'!L$8*'Falhas UM-4 Qty'!$D41/1000000</f>
        <v>0</v>
      </c>
      <c r="L41" s="334">
        <f>'Prod &amp; Defects - Qty'!M$8*'Falhas UM-4 Qty'!$D41/1000000</f>
        <v>0</v>
      </c>
      <c r="M41" s="334">
        <f>'Prod &amp; Defects - Qty'!N$8*'Falhas UM-4 Qty'!$D41/1000000</f>
        <v>0</v>
      </c>
      <c r="N41" s="334">
        <f>'Prod &amp; Defects - Qty'!O$8*'Falhas UM-4 Qty'!$D41/1000000</f>
        <v>0</v>
      </c>
      <c r="O41" s="334">
        <f>'Prod &amp; Defects - Qty'!P$8*'Falhas UM-4 Qty'!$D41/1000000</f>
        <v>0</v>
      </c>
      <c r="P41" s="334">
        <f>'Prod &amp; Defects - Qty'!Q$8*'Falhas UM-4 Qty'!$D41/1000000</f>
        <v>0</v>
      </c>
      <c r="Q41" s="334">
        <f t="shared" si="7"/>
        <v>0</v>
      </c>
      <c r="R41" s="334">
        <f>Q41/SUM('Prod &amp; Defects - Qty'!$F$8:$K$8)*1000000</f>
        <v>0</v>
      </c>
      <c r="S41" s="334">
        <f t="shared" si="3"/>
        <v>0</v>
      </c>
      <c r="T41" s="334">
        <f>S41/SUM('Prod &amp; Defects - Qty'!$L$8:$Q$8)*1000000</f>
        <v>0</v>
      </c>
      <c r="U41" s="334">
        <f t="shared" si="4"/>
        <v>0</v>
      </c>
      <c r="V41" s="334">
        <f>U41/'Prod &amp; Defects - Qty'!$R$8*1000000</f>
        <v>0</v>
      </c>
      <c r="W41" s="334">
        <f t="shared" si="12"/>
        <v>0</v>
      </c>
      <c r="X41" s="334">
        <f t="shared" si="12"/>
        <v>0</v>
      </c>
      <c r="Y41" s="334">
        <f t="shared" si="5"/>
        <v>0</v>
      </c>
      <c r="Z41" s="962">
        <f t="shared" si="14"/>
        <v>0</v>
      </c>
    </row>
    <row r="42" spans="1:26" ht="18" customHeight="1">
      <c r="A42" s="1032"/>
      <c r="B42" s="81">
        <v>4380</v>
      </c>
      <c r="C42" s="89" t="s">
        <v>127</v>
      </c>
      <c r="D42" s="353">
        <f>'[3]Falhas UM-4 Qty'!Z42</f>
        <v>0</v>
      </c>
      <c r="E42" s="334">
        <f>'Prod &amp; Defects - Qty'!F$8*'Falhas UM-4 Qty'!$D42/1000000</f>
        <v>0</v>
      </c>
      <c r="F42" s="334">
        <f>'Prod &amp; Defects - Qty'!G$8*'Falhas UM-4 Qty'!$D42/1000000</f>
        <v>0</v>
      </c>
      <c r="G42" s="334">
        <f>'Prod &amp; Defects - Qty'!H$8*'Falhas UM-4 Qty'!$D42/1000000</f>
        <v>0</v>
      </c>
      <c r="H42" s="334">
        <f>'Prod &amp; Defects - Qty'!I$8*'Falhas UM-4 Qty'!$D42/1000000</f>
        <v>0</v>
      </c>
      <c r="I42" s="334">
        <f>'Prod &amp; Defects - Qty'!J$8*'Falhas UM-4 Qty'!$D42/1000000</f>
        <v>0</v>
      </c>
      <c r="J42" s="334">
        <f>'Prod &amp; Defects - Qty'!K$8*'Falhas UM-4 Qty'!$D42/1000000</f>
        <v>0</v>
      </c>
      <c r="K42" s="334">
        <f>'Prod &amp; Defects - Qty'!L$8*'Falhas UM-4 Qty'!$D42/1000000</f>
        <v>0</v>
      </c>
      <c r="L42" s="334">
        <f>'Prod &amp; Defects - Qty'!M$8*'Falhas UM-4 Qty'!$D42/1000000</f>
        <v>0</v>
      </c>
      <c r="M42" s="334">
        <f>'Prod &amp; Defects - Qty'!N$8*'Falhas UM-4 Qty'!$D42/1000000</f>
        <v>0</v>
      </c>
      <c r="N42" s="334">
        <f>'Prod &amp; Defects - Qty'!O$8*'Falhas UM-4 Qty'!$D42/1000000</f>
        <v>0</v>
      </c>
      <c r="O42" s="334">
        <f>'Prod &amp; Defects - Qty'!P$8*'Falhas UM-4 Qty'!$D42/1000000</f>
        <v>0</v>
      </c>
      <c r="P42" s="334">
        <f>'Prod &amp; Defects - Qty'!Q$8*'Falhas UM-4 Qty'!$D42/1000000</f>
        <v>0</v>
      </c>
      <c r="Q42" s="334">
        <f t="shared" si="7"/>
        <v>0</v>
      </c>
      <c r="R42" s="334">
        <f>Q42/SUM('Prod &amp; Defects - Qty'!$F$8:$K$8)*1000000</f>
        <v>0</v>
      </c>
      <c r="S42" s="334">
        <f t="shared" si="3"/>
        <v>0</v>
      </c>
      <c r="T42" s="334">
        <f>S42/SUM('Prod &amp; Defects - Qty'!$L$8:$Q$8)*1000000</f>
        <v>0</v>
      </c>
      <c r="U42" s="334">
        <f t="shared" si="4"/>
        <v>0</v>
      </c>
      <c r="V42" s="334">
        <f>U42/'Prod &amp; Defects - Qty'!$R$8*1000000</f>
        <v>0</v>
      </c>
      <c r="W42" s="334">
        <f t="shared" si="12"/>
        <v>0</v>
      </c>
      <c r="X42" s="334">
        <f t="shared" si="12"/>
        <v>0</v>
      </c>
      <c r="Y42" s="334">
        <f t="shared" si="5"/>
        <v>0</v>
      </c>
      <c r="Z42" s="962">
        <f t="shared" si="14"/>
        <v>0</v>
      </c>
    </row>
    <row r="43" spans="1:26" ht="18" customHeight="1">
      <c r="A43" s="1032"/>
      <c r="B43" s="81">
        <v>4390</v>
      </c>
      <c r="C43" s="89" t="s">
        <v>157</v>
      </c>
      <c r="D43" s="353">
        <f>'[3]Falhas UM-4 Qty'!Z43</f>
        <v>0</v>
      </c>
      <c r="E43" s="334">
        <f>'Prod &amp; Defects - Qty'!F$8*'Falhas UM-4 Qty'!$D43/1000000</f>
        <v>0</v>
      </c>
      <c r="F43" s="334">
        <f>'Prod &amp; Defects - Qty'!G$8*'Falhas UM-4 Qty'!$D43/1000000</f>
        <v>0</v>
      </c>
      <c r="G43" s="334">
        <f>'Prod &amp; Defects - Qty'!H$8*'Falhas UM-4 Qty'!$D43/1000000</f>
        <v>0</v>
      </c>
      <c r="H43" s="334">
        <f>'Prod &amp; Defects - Qty'!I$8*'Falhas UM-4 Qty'!$D43/1000000</f>
        <v>0</v>
      </c>
      <c r="I43" s="334">
        <f>'Prod &amp; Defects - Qty'!J$8*'Falhas UM-4 Qty'!$D43/1000000</f>
        <v>0</v>
      </c>
      <c r="J43" s="334">
        <f>'Prod &amp; Defects - Qty'!K$8*'Falhas UM-4 Qty'!$D43/1000000</f>
        <v>0</v>
      </c>
      <c r="K43" s="334">
        <f>'Prod &amp; Defects - Qty'!L$8*'Falhas UM-4 Qty'!$D43/1000000</f>
        <v>0</v>
      </c>
      <c r="L43" s="334">
        <f>'Prod &amp; Defects - Qty'!M$8*'Falhas UM-4 Qty'!$D43/1000000</f>
        <v>0</v>
      </c>
      <c r="M43" s="334">
        <f>'Prod &amp; Defects - Qty'!N$8*'Falhas UM-4 Qty'!$D43/1000000</f>
        <v>0</v>
      </c>
      <c r="N43" s="334">
        <f>'Prod &amp; Defects - Qty'!O$8*'Falhas UM-4 Qty'!$D43/1000000</f>
        <v>0</v>
      </c>
      <c r="O43" s="334">
        <f>'Prod &amp; Defects - Qty'!P$8*'Falhas UM-4 Qty'!$D43/1000000</f>
        <v>0</v>
      </c>
      <c r="P43" s="334">
        <f>'Prod &amp; Defects - Qty'!Q$8*'Falhas UM-4 Qty'!$D43/1000000</f>
        <v>0</v>
      </c>
      <c r="Q43" s="334">
        <f t="shared" si="7"/>
        <v>0</v>
      </c>
      <c r="R43" s="334">
        <f>Q43/SUM('Prod &amp; Defects - Qty'!$F$8:$K$8)*1000000</f>
        <v>0</v>
      </c>
      <c r="S43" s="334">
        <f t="shared" si="3"/>
        <v>0</v>
      </c>
      <c r="T43" s="334">
        <f>S43/SUM('Prod &amp; Defects - Qty'!$L$8:$Q$8)*1000000</f>
        <v>0</v>
      </c>
      <c r="U43" s="334">
        <f t="shared" si="4"/>
        <v>0</v>
      </c>
      <c r="V43" s="334">
        <f>U43/'Prod &amp; Defects - Qty'!$R$8*1000000</f>
        <v>0</v>
      </c>
      <c r="W43" s="334">
        <f t="shared" si="12"/>
        <v>0</v>
      </c>
      <c r="X43" s="334">
        <f t="shared" si="12"/>
        <v>0</v>
      </c>
      <c r="Y43" s="334">
        <f t="shared" si="5"/>
        <v>0</v>
      </c>
      <c r="Z43" s="962">
        <f t="shared" si="14"/>
        <v>0</v>
      </c>
    </row>
    <row r="44" spans="1:26" ht="18" customHeight="1">
      <c r="A44" s="1032"/>
      <c r="B44" s="81">
        <v>4400</v>
      </c>
      <c r="C44" s="89" t="s">
        <v>158</v>
      </c>
      <c r="D44" s="353">
        <f>'[3]Falhas UM-4 Qty'!Z44</f>
        <v>0</v>
      </c>
      <c r="E44" s="334">
        <f>'Prod &amp; Defects - Qty'!F$8*'Falhas UM-4 Qty'!$D44/1000000</f>
        <v>0</v>
      </c>
      <c r="F44" s="334">
        <f>'Prod &amp; Defects - Qty'!G$8*'Falhas UM-4 Qty'!$D44/1000000</f>
        <v>0</v>
      </c>
      <c r="G44" s="334">
        <f>'Prod &amp; Defects - Qty'!H$8*'Falhas UM-4 Qty'!$D44/1000000</f>
        <v>0</v>
      </c>
      <c r="H44" s="334">
        <f>'Prod &amp; Defects - Qty'!I$8*'Falhas UM-4 Qty'!$D44/1000000</f>
        <v>0</v>
      </c>
      <c r="I44" s="334">
        <f>'Prod &amp; Defects - Qty'!J$8*'Falhas UM-4 Qty'!$D44/1000000</f>
        <v>0</v>
      </c>
      <c r="J44" s="334">
        <f>'Prod &amp; Defects - Qty'!K$8*'Falhas UM-4 Qty'!$D44/1000000</f>
        <v>0</v>
      </c>
      <c r="K44" s="334">
        <f>'Prod &amp; Defects - Qty'!L$8*'Falhas UM-4 Qty'!$D44/1000000</f>
        <v>0</v>
      </c>
      <c r="L44" s="334">
        <f>'Prod &amp; Defects - Qty'!M$8*'Falhas UM-4 Qty'!$D44/1000000</f>
        <v>0</v>
      </c>
      <c r="M44" s="334">
        <f>'Prod &amp; Defects - Qty'!N$8*'Falhas UM-4 Qty'!$D44/1000000</f>
        <v>0</v>
      </c>
      <c r="N44" s="334">
        <f>'Prod &amp; Defects - Qty'!O$8*'Falhas UM-4 Qty'!$D44/1000000</f>
        <v>0</v>
      </c>
      <c r="O44" s="334">
        <f>'Prod &amp; Defects - Qty'!P$8*'Falhas UM-4 Qty'!$D44/1000000</f>
        <v>0</v>
      </c>
      <c r="P44" s="334">
        <f>'Prod &amp; Defects - Qty'!Q$8*'Falhas UM-4 Qty'!$D44/1000000</f>
        <v>0</v>
      </c>
      <c r="Q44" s="334">
        <f t="shared" si="7"/>
        <v>0</v>
      </c>
      <c r="R44" s="334">
        <f>Q44/SUM('Prod &amp; Defects - Qty'!$F$8:$K$8)*1000000</f>
        <v>0</v>
      </c>
      <c r="S44" s="334">
        <f t="shared" si="3"/>
        <v>0</v>
      </c>
      <c r="T44" s="334">
        <f>S44/SUM('Prod &amp; Defects - Qty'!$L$8:$Q$8)*1000000</f>
        <v>0</v>
      </c>
      <c r="U44" s="334">
        <f t="shared" si="4"/>
        <v>0</v>
      </c>
      <c r="V44" s="334">
        <f>U44/'Prod &amp; Defects - Qty'!$R$8*1000000</f>
        <v>0</v>
      </c>
      <c r="W44" s="334">
        <f t="shared" si="12"/>
        <v>0</v>
      </c>
      <c r="X44" s="334">
        <f t="shared" si="12"/>
        <v>0</v>
      </c>
      <c r="Y44" s="334">
        <f t="shared" si="5"/>
        <v>0</v>
      </c>
      <c r="Z44" s="962">
        <f t="shared" si="14"/>
        <v>0</v>
      </c>
    </row>
    <row r="45" spans="1:26" ht="18" customHeight="1">
      <c r="A45" s="1032"/>
      <c r="B45" s="81">
        <v>4410</v>
      </c>
      <c r="C45" s="92" t="s">
        <v>130</v>
      </c>
      <c r="D45" s="354">
        <f>'[3]Falhas UM-4 Qty'!Z45</f>
        <v>0</v>
      </c>
      <c r="E45" s="334">
        <f>'Prod &amp; Defects - Qty'!F$8*'Falhas UM-4 Qty'!$D45/1000000</f>
        <v>0</v>
      </c>
      <c r="F45" s="334">
        <f>'Prod &amp; Defects - Qty'!G$8*'Falhas UM-4 Qty'!$D45/1000000</f>
        <v>0</v>
      </c>
      <c r="G45" s="334">
        <f>'Prod &amp; Defects - Qty'!H$8*'Falhas UM-4 Qty'!$D45/1000000</f>
        <v>0</v>
      </c>
      <c r="H45" s="334">
        <f>'Prod &amp; Defects - Qty'!I$8*'Falhas UM-4 Qty'!$D45/1000000</f>
        <v>0</v>
      </c>
      <c r="I45" s="334">
        <f>'Prod &amp; Defects - Qty'!J$8*'Falhas UM-4 Qty'!$D45/1000000</f>
        <v>0</v>
      </c>
      <c r="J45" s="334">
        <f>'Prod &amp; Defects - Qty'!K$8*'Falhas UM-4 Qty'!$D45/1000000</f>
        <v>0</v>
      </c>
      <c r="K45" s="334">
        <f>'Prod &amp; Defects - Qty'!L$8*'Falhas UM-4 Qty'!$D45/1000000</f>
        <v>0</v>
      </c>
      <c r="L45" s="334">
        <f>'Prod &amp; Defects - Qty'!M$8*'Falhas UM-4 Qty'!$D45/1000000</f>
        <v>0</v>
      </c>
      <c r="M45" s="334">
        <f>'Prod &amp; Defects - Qty'!N$8*'Falhas UM-4 Qty'!$D45/1000000</f>
        <v>0</v>
      </c>
      <c r="N45" s="334">
        <f>'Prod &amp; Defects - Qty'!O$8*'Falhas UM-4 Qty'!$D45/1000000</f>
        <v>0</v>
      </c>
      <c r="O45" s="334">
        <f>'Prod &amp; Defects - Qty'!P$8*'Falhas UM-4 Qty'!$D45/1000000</f>
        <v>0</v>
      </c>
      <c r="P45" s="334">
        <f>'Prod &amp; Defects - Qty'!Q$8*'Falhas UM-4 Qty'!$D45/1000000</f>
        <v>0</v>
      </c>
      <c r="Q45" s="334">
        <f t="shared" si="7"/>
        <v>0</v>
      </c>
      <c r="R45" s="334">
        <f>Q45/SUM('Prod &amp; Defects - Qty'!$F$8:$K$8)*1000000</f>
        <v>0</v>
      </c>
      <c r="S45" s="334">
        <f t="shared" si="3"/>
        <v>0</v>
      </c>
      <c r="T45" s="334">
        <f>S45/SUM('Prod &amp; Defects - Qty'!$L$8:$Q$8)*1000000</f>
        <v>0</v>
      </c>
      <c r="U45" s="334">
        <f t="shared" si="4"/>
        <v>0</v>
      </c>
      <c r="V45" s="334">
        <f>U45/'Prod &amp; Defects - Qty'!$R$8*1000000</f>
        <v>0</v>
      </c>
      <c r="W45" s="334">
        <f t="shared" si="12"/>
        <v>0</v>
      </c>
      <c r="X45" s="334">
        <f t="shared" si="12"/>
        <v>0</v>
      </c>
      <c r="Y45" s="334">
        <f t="shared" si="5"/>
        <v>0</v>
      </c>
      <c r="Z45" s="962">
        <f t="shared" si="14"/>
        <v>0</v>
      </c>
    </row>
    <row r="46" spans="1:26" ht="18" customHeight="1">
      <c r="A46" s="1032"/>
      <c r="B46" s="81">
        <v>4420</v>
      </c>
      <c r="C46" s="89" t="s">
        <v>131</v>
      </c>
      <c r="D46" s="353">
        <f>'[3]Falhas UM-4 Qty'!Z46</f>
        <v>0</v>
      </c>
      <c r="E46" s="334">
        <f>'Prod &amp; Defects - Qty'!F$8*'Falhas UM-4 Qty'!$D46/1000000</f>
        <v>0</v>
      </c>
      <c r="F46" s="334">
        <f>'Prod &amp; Defects - Qty'!G$8*'Falhas UM-4 Qty'!$D46/1000000</f>
        <v>0</v>
      </c>
      <c r="G46" s="334">
        <f>'Prod &amp; Defects - Qty'!H$8*'Falhas UM-4 Qty'!$D46/1000000</f>
        <v>0</v>
      </c>
      <c r="H46" s="334">
        <f>'Prod &amp; Defects - Qty'!I$8*'Falhas UM-4 Qty'!$D46/1000000</f>
        <v>0</v>
      </c>
      <c r="I46" s="334">
        <f>'Prod &amp; Defects - Qty'!J$8*'Falhas UM-4 Qty'!$D46/1000000</f>
        <v>0</v>
      </c>
      <c r="J46" s="334">
        <f>'Prod &amp; Defects - Qty'!K$8*'Falhas UM-4 Qty'!$D46/1000000</f>
        <v>0</v>
      </c>
      <c r="K46" s="334">
        <f>'Prod &amp; Defects - Qty'!L$8*'Falhas UM-4 Qty'!$D46/1000000</f>
        <v>0</v>
      </c>
      <c r="L46" s="334">
        <f>'Prod &amp; Defects - Qty'!M$8*'Falhas UM-4 Qty'!$D46/1000000</f>
        <v>0</v>
      </c>
      <c r="M46" s="334">
        <f>'Prod &amp; Defects - Qty'!N$8*'Falhas UM-4 Qty'!$D46/1000000</f>
        <v>0</v>
      </c>
      <c r="N46" s="334">
        <f>'Prod &amp; Defects - Qty'!O$8*'Falhas UM-4 Qty'!$D46/1000000</f>
        <v>0</v>
      </c>
      <c r="O46" s="334">
        <f>'Prod &amp; Defects - Qty'!P$8*'Falhas UM-4 Qty'!$D46/1000000</f>
        <v>0</v>
      </c>
      <c r="P46" s="334">
        <f>'Prod &amp; Defects - Qty'!Q$8*'Falhas UM-4 Qty'!$D46/1000000</f>
        <v>0</v>
      </c>
      <c r="Q46" s="334">
        <f t="shared" si="7"/>
        <v>0</v>
      </c>
      <c r="R46" s="334">
        <f>Q46/SUM('Prod &amp; Defects - Qty'!$F$8:$K$8)*1000000</f>
        <v>0</v>
      </c>
      <c r="S46" s="334">
        <f t="shared" si="3"/>
        <v>0</v>
      </c>
      <c r="T46" s="334">
        <f>S46/SUM('Prod &amp; Defects - Qty'!$L$8:$Q$8)*1000000</f>
        <v>0</v>
      </c>
      <c r="U46" s="334">
        <f t="shared" si="4"/>
        <v>0</v>
      </c>
      <c r="V46" s="334">
        <f>U46/'Prod &amp; Defects - Qty'!$R$8*1000000</f>
        <v>0</v>
      </c>
      <c r="W46" s="334">
        <f t="shared" si="12"/>
        <v>0</v>
      </c>
      <c r="X46" s="334">
        <f t="shared" si="12"/>
        <v>0</v>
      </c>
      <c r="Y46" s="334">
        <f t="shared" si="5"/>
        <v>0</v>
      </c>
      <c r="Z46" s="962">
        <f t="shared" si="14"/>
        <v>0</v>
      </c>
    </row>
    <row r="47" spans="1:26" ht="18" customHeight="1">
      <c r="A47" s="1032"/>
      <c r="B47" s="81">
        <v>4430</v>
      </c>
      <c r="C47" s="89" t="s">
        <v>159</v>
      </c>
      <c r="D47" s="353">
        <f>'[3]Falhas UM-4 Qty'!Z47</f>
        <v>0</v>
      </c>
      <c r="E47" s="334">
        <f>'Prod &amp; Defects - Qty'!F$8*'Falhas UM-4 Qty'!$D47/1000000</f>
        <v>0</v>
      </c>
      <c r="F47" s="334">
        <f>'Prod &amp; Defects - Qty'!G$8*'Falhas UM-4 Qty'!$D47/1000000</f>
        <v>0</v>
      </c>
      <c r="G47" s="334">
        <f>'Prod &amp; Defects - Qty'!H$8*'Falhas UM-4 Qty'!$D47/1000000</f>
        <v>0</v>
      </c>
      <c r="H47" s="334">
        <f>'Prod &amp; Defects - Qty'!I$8*'Falhas UM-4 Qty'!$D47/1000000</f>
        <v>0</v>
      </c>
      <c r="I47" s="334">
        <f>'Prod &amp; Defects - Qty'!J$8*'Falhas UM-4 Qty'!$D47/1000000</f>
        <v>0</v>
      </c>
      <c r="J47" s="334">
        <f>'Prod &amp; Defects - Qty'!K$8*'Falhas UM-4 Qty'!$D47/1000000</f>
        <v>0</v>
      </c>
      <c r="K47" s="334">
        <f>'Prod &amp; Defects - Qty'!L$8*'Falhas UM-4 Qty'!$D47/1000000</f>
        <v>0</v>
      </c>
      <c r="L47" s="334">
        <f>'Prod &amp; Defects - Qty'!M$8*'Falhas UM-4 Qty'!$D47/1000000</f>
        <v>0</v>
      </c>
      <c r="M47" s="334">
        <f>'Prod &amp; Defects - Qty'!N$8*'Falhas UM-4 Qty'!$D47/1000000</f>
        <v>0</v>
      </c>
      <c r="N47" s="334">
        <f>'Prod &amp; Defects - Qty'!O$8*'Falhas UM-4 Qty'!$D47/1000000</f>
        <v>0</v>
      </c>
      <c r="O47" s="334">
        <f>'Prod &amp; Defects - Qty'!P$8*'Falhas UM-4 Qty'!$D47/1000000</f>
        <v>0</v>
      </c>
      <c r="P47" s="334">
        <f>'Prod &amp; Defects - Qty'!Q$8*'Falhas UM-4 Qty'!$D47/1000000</f>
        <v>0</v>
      </c>
      <c r="Q47" s="334">
        <f t="shared" si="7"/>
        <v>0</v>
      </c>
      <c r="R47" s="334">
        <f>Q47/SUM('Prod &amp; Defects - Qty'!$F$8:$K$8)*1000000</f>
        <v>0</v>
      </c>
      <c r="S47" s="334">
        <f t="shared" si="3"/>
        <v>0</v>
      </c>
      <c r="T47" s="334">
        <f>S47/SUM('Prod &amp; Defects - Qty'!$L$8:$Q$8)*1000000</f>
        <v>0</v>
      </c>
      <c r="U47" s="334">
        <f t="shared" si="4"/>
        <v>0</v>
      </c>
      <c r="V47" s="334">
        <f>U47/'Prod &amp; Defects - Qty'!$R$8*1000000</f>
        <v>0</v>
      </c>
      <c r="W47" s="334">
        <f t="shared" si="12"/>
        <v>0</v>
      </c>
      <c r="X47" s="334">
        <f t="shared" si="12"/>
        <v>0</v>
      </c>
      <c r="Y47" s="334">
        <f t="shared" si="5"/>
        <v>0</v>
      </c>
      <c r="Z47" s="962">
        <f t="shared" si="14"/>
        <v>0</v>
      </c>
    </row>
    <row r="48" spans="1:26" ht="18" customHeight="1">
      <c r="A48" s="1032"/>
      <c r="B48" s="81">
        <v>4440</v>
      </c>
      <c r="C48" s="89" t="s">
        <v>160</v>
      </c>
      <c r="D48" s="353">
        <f>'[3]Falhas UM-4 Qty'!Z48</f>
        <v>0</v>
      </c>
      <c r="E48" s="334">
        <f>'Prod &amp; Defects - Qty'!F$8*'Falhas UM-4 Qty'!$D48/1000000</f>
        <v>0</v>
      </c>
      <c r="F48" s="334">
        <f>'Prod &amp; Defects - Qty'!G$8*'Falhas UM-4 Qty'!$D48/1000000</f>
        <v>0</v>
      </c>
      <c r="G48" s="334">
        <f>'Prod &amp; Defects - Qty'!H$8*'Falhas UM-4 Qty'!$D48/1000000</f>
        <v>0</v>
      </c>
      <c r="H48" s="334">
        <f>'Prod &amp; Defects - Qty'!I$8*'Falhas UM-4 Qty'!$D48/1000000</f>
        <v>0</v>
      </c>
      <c r="I48" s="334">
        <f>'Prod &amp; Defects - Qty'!J$8*'Falhas UM-4 Qty'!$D48/1000000</f>
        <v>0</v>
      </c>
      <c r="J48" s="334">
        <f>'Prod &amp; Defects - Qty'!K$8*'Falhas UM-4 Qty'!$D48/1000000</f>
        <v>0</v>
      </c>
      <c r="K48" s="334">
        <f>'Prod &amp; Defects - Qty'!L$8*'Falhas UM-4 Qty'!$D48/1000000</f>
        <v>0</v>
      </c>
      <c r="L48" s="334">
        <f>'Prod &amp; Defects - Qty'!M$8*'Falhas UM-4 Qty'!$D48/1000000</f>
        <v>0</v>
      </c>
      <c r="M48" s="334">
        <f>'Prod &amp; Defects - Qty'!N$8*'Falhas UM-4 Qty'!$D48/1000000</f>
        <v>0</v>
      </c>
      <c r="N48" s="334">
        <f>'Prod &amp; Defects - Qty'!O$8*'Falhas UM-4 Qty'!$D48/1000000</f>
        <v>0</v>
      </c>
      <c r="O48" s="334">
        <f>'Prod &amp; Defects - Qty'!P$8*'Falhas UM-4 Qty'!$D48/1000000</f>
        <v>0</v>
      </c>
      <c r="P48" s="334">
        <f>'Prod &amp; Defects - Qty'!Q$8*'Falhas UM-4 Qty'!$D48/1000000</f>
        <v>0</v>
      </c>
      <c r="Q48" s="334">
        <f t="shared" si="7"/>
        <v>0</v>
      </c>
      <c r="R48" s="334">
        <f>Q48/SUM('Prod &amp; Defects - Qty'!$F$8:$K$8)*1000000</f>
        <v>0</v>
      </c>
      <c r="S48" s="334">
        <f t="shared" si="3"/>
        <v>0</v>
      </c>
      <c r="T48" s="334">
        <f>S48/SUM('Prod &amp; Defects - Qty'!$L$8:$Q$8)*1000000</f>
        <v>0</v>
      </c>
      <c r="U48" s="334">
        <f t="shared" si="4"/>
        <v>0</v>
      </c>
      <c r="V48" s="334">
        <f>U48/'Prod &amp; Defects - Qty'!$R$8*1000000</f>
        <v>0</v>
      </c>
      <c r="W48" s="334">
        <f t="shared" si="12"/>
        <v>0</v>
      </c>
      <c r="X48" s="334">
        <f t="shared" si="12"/>
        <v>0</v>
      </c>
      <c r="Y48" s="334">
        <f t="shared" si="5"/>
        <v>0</v>
      </c>
      <c r="Z48" s="962">
        <f t="shared" si="14"/>
        <v>0</v>
      </c>
    </row>
    <row r="49" spans="1:26" ht="18" customHeight="1">
      <c r="A49" s="1032"/>
      <c r="B49" s="81">
        <v>4450</v>
      </c>
      <c r="C49" s="89" t="s">
        <v>161</v>
      </c>
      <c r="D49" s="353">
        <f>'[3]Falhas UM-4 Qty'!Z49</f>
        <v>2.5045132750504955</v>
      </c>
      <c r="E49" s="334">
        <f>'Prod &amp; Defects - Qty'!F$8*'Falhas UM-4 Qty'!$D49/1000000</f>
        <v>24.687130948641734</v>
      </c>
      <c r="F49" s="334">
        <f>'Prod &amp; Defects - Qty'!G$8*'Falhas UM-4 Qty'!$D49/1000000</f>
        <v>28.187131147421749</v>
      </c>
      <c r="G49" s="334">
        <f>'Prod &amp; Defects - Qty'!H$8*'Falhas UM-4 Qty'!$D49/1000000</f>
        <v>25.530517603805759</v>
      </c>
      <c r="H49" s="334">
        <f>'Prod &amp; Defects - Qty'!I$8*'Falhas UM-4 Qty'!$D49/1000000</f>
        <v>25.658884715250299</v>
      </c>
      <c r="I49" s="334">
        <f>'Prod &amp; Defects - Qty'!J$8*'Falhas UM-4 Qty'!$D49/1000000</f>
        <v>27.700578876367917</v>
      </c>
      <c r="J49" s="334">
        <f>'Prod &amp; Defects - Qty'!K$8*'Falhas UM-4 Qty'!$D49/1000000</f>
        <v>29.190470300889892</v>
      </c>
      <c r="K49" s="334">
        <f>'Prod &amp; Defects - Qty'!L$8*'Falhas UM-4 Qty'!$D49/1000000</f>
        <v>28.48165767168258</v>
      </c>
      <c r="L49" s="334">
        <f>'Prod &amp; Defects - Qty'!M$8*'Falhas UM-4 Qty'!$D49/1000000</f>
        <v>28.4246854870728</v>
      </c>
      <c r="M49" s="334">
        <f>'Prod &amp; Defects - Qty'!N$8*'Falhas UM-4 Qty'!$D49/1000000</f>
        <v>28.391078138323163</v>
      </c>
      <c r="N49" s="334">
        <f>'Prod &amp; Defects - Qty'!O$8*'Falhas UM-4 Qty'!$D49/1000000</f>
        <v>21.011884526872795</v>
      </c>
      <c r="O49" s="334">
        <f>'Prod &amp; Defects - Qty'!P$8*'Falhas UM-4 Qty'!$D49/1000000</f>
        <v>21.946242381600975</v>
      </c>
      <c r="P49" s="334">
        <f>'Prod &amp; Defects - Qty'!Q$8*'Falhas UM-4 Qty'!$D49/1000000</f>
        <v>27.147516707353578</v>
      </c>
      <c r="Q49" s="334">
        <f t="shared" si="7"/>
        <v>160.95471359237735</v>
      </c>
      <c r="R49" s="334">
        <f>Q49/SUM('Prod &amp; Defects - Qty'!$F$8:$K$8)*1000000</f>
        <v>2.5045132750504959</v>
      </c>
      <c r="S49" s="334">
        <f t="shared" si="3"/>
        <v>155.4030649129059</v>
      </c>
      <c r="T49" s="334">
        <f>S49/SUM('Prod &amp; Defects - Qty'!$L$8:$Q$8)*1000000</f>
        <v>2.5045132750504964</v>
      </c>
      <c r="U49" s="334">
        <f t="shared" si="4"/>
        <v>316.35777850528325</v>
      </c>
      <c r="V49" s="334">
        <f>U49/'Prod &amp; Defects - Qty'!$R$8*1000000</f>
        <v>2.5045132750504959</v>
      </c>
      <c r="W49" s="334">
        <f t="shared" si="12"/>
        <v>2.2540619475454462</v>
      </c>
      <c r="X49" s="334">
        <f t="shared" si="12"/>
        <v>2.0286557527909017</v>
      </c>
      <c r="Y49" s="334">
        <f t="shared" si="5"/>
        <v>2.141358850168174</v>
      </c>
      <c r="Z49" s="962">
        <f t="shared" si="14"/>
        <v>2.141358850168174</v>
      </c>
    </row>
    <row r="50" spans="1:26" ht="18" customHeight="1">
      <c r="A50" s="1032"/>
      <c r="B50" s="81">
        <v>4460</v>
      </c>
      <c r="C50" s="89" t="s">
        <v>217</v>
      </c>
      <c r="D50" s="353">
        <f>'[3]Falhas UM-4 Qty'!Z50</f>
        <v>0.32680377778452863</v>
      </c>
      <c r="E50" s="334">
        <f>'Prod &amp; Defects - Qty'!F$8*'Falhas UM-4 Qty'!$D50/1000000</f>
        <v>3.2213235749428439</v>
      </c>
      <c r="F50" s="334">
        <f>'Prod &amp; Defects - Qty'!G$8*'Falhas UM-4 Qty'!$D50/1000000</f>
        <v>3.678024403244442</v>
      </c>
      <c r="G50" s="334">
        <f>'Prod &amp; Defects - Qty'!H$8*'Falhas UM-4 Qty'!$D50/1000000</f>
        <v>3.3313736784046046</v>
      </c>
      <c r="H50" s="334">
        <f>'Prod &amp; Defects - Qty'!I$8*'Falhas UM-4 Qty'!$D50/1000000</f>
        <v>3.3481237820599818</v>
      </c>
      <c r="I50" s="334">
        <f>'Prod &amp; Defects - Qty'!J$8*'Falhas UM-4 Qty'!$D50/1000000</f>
        <v>3.614536171078123</v>
      </c>
      <c r="J50" s="334">
        <f>'Prod &amp; Defects - Qty'!K$8*'Falhas UM-4 Qty'!$D50/1000000</f>
        <v>3.80894605936779</v>
      </c>
      <c r="K50" s="334">
        <f>'Prod &amp; Defects - Qty'!L$8*'Falhas UM-4 Qty'!$D50/1000000</f>
        <v>3.7164559746579524</v>
      </c>
      <c r="L50" s="334">
        <f>'Prod &amp; Defects - Qty'!M$8*'Falhas UM-4 Qty'!$D50/1000000</f>
        <v>3.7090219053940396</v>
      </c>
      <c r="M50" s="334">
        <f>'Prod &amp; Defects - Qty'!N$8*'Falhas UM-4 Qty'!$D50/1000000</f>
        <v>3.7046366187828186</v>
      </c>
      <c r="N50" s="334">
        <f>'Prod &amp; Defects - Qty'!O$8*'Falhas UM-4 Qty'!$D50/1000000</f>
        <v>2.7417555778840366</v>
      </c>
      <c r="O50" s="334">
        <f>'Prod &amp; Defects - Qty'!P$8*'Falhas UM-4 Qty'!$D50/1000000</f>
        <v>2.8636761441552059</v>
      </c>
      <c r="P50" s="334">
        <f>'Prod &amp; Defects - Qty'!Q$8*'Falhas UM-4 Qty'!$D50/1000000</f>
        <v>3.5423693321221799</v>
      </c>
      <c r="Q50" s="334">
        <f t="shared" si="7"/>
        <v>21.002327669097788</v>
      </c>
      <c r="R50" s="334">
        <f>Q50/SUM('Prod &amp; Defects - Qty'!$F$8:$K$8)*1000000</f>
        <v>0.32680377778452868</v>
      </c>
      <c r="S50" s="334">
        <f t="shared" si="3"/>
        <v>20.277915552996234</v>
      </c>
      <c r="T50" s="334">
        <f>S50/SUM('Prod &amp; Defects - Qty'!$L$8:$Q$8)*1000000</f>
        <v>0.32680377778452868</v>
      </c>
      <c r="U50" s="334">
        <f t="shared" si="4"/>
        <v>41.280243222094022</v>
      </c>
      <c r="V50" s="334">
        <f>U50/'Prod &amp; Defects - Qty'!$R$8*1000000</f>
        <v>0.32680377778452868</v>
      </c>
      <c r="W50" s="334">
        <f t="shared" si="12"/>
        <v>0.29412340000607584</v>
      </c>
      <c r="X50" s="334">
        <f t="shared" si="12"/>
        <v>0.26471106000546829</v>
      </c>
      <c r="Y50" s="334">
        <f t="shared" si="5"/>
        <v>0.27941723000577207</v>
      </c>
      <c r="Z50" s="962">
        <f t="shared" si="14"/>
        <v>0.27941723000577207</v>
      </c>
    </row>
    <row r="51" spans="1:26" ht="18" customHeight="1">
      <c r="A51" s="1032"/>
      <c r="B51" s="600">
        <v>4462</v>
      </c>
      <c r="C51" s="37" t="s">
        <v>248</v>
      </c>
      <c r="D51" s="598">
        <f>'[3]Falhas UM-4 Qty'!Z51</f>
        <v>0.40877356184797781</v>
      </c>
      <c r="E51" s="599">
        <f>'Prod &amp; Defects - Qty'!F$8*'Falhas UM-4 Qty'!$D51/1000000</f>
        <v>4.0293044362003894</v>
      </c>
      <c r="F51" s="599">
        <f>'Prod &amp; Defects - Qty'!G$8*'Falhas UM-4 Qty'!$D51/1000000</f>
        <v>4.6005561688130232</v>
      </c>
      <c r="G51" s="599">
        <f>'Prod &amp; Defects - Qty'!H$8*'Falhas UM-4 Qty'!$D51/1000000</f>
        <v>4.166957596389568</v>
      </c>
      <c r="H51" s="599">
        <f>'Prod &amp; Defects - Qty'!I$8*'Falhas UM-4 Qty'!$D51/1000000</f>
        <v>4.1879090051491259</v>
      </c>
      <c r="I51" s="599">
        <f>'Prod &amp; Defects - Qty'!J$8*'Falhas UM-4 Qty'!$D51/1000000</f>
        <v>4.521143651081454</v>
      </c>
      <c r="J51" s="599">
        <f>'Prod &amp; Defects - Qty'!K$8*'Falhas UM-4 Qty'!$D51/1000000</f>
        <v>4.7643159394600518</v>
      </c>
      <c r="K51" s="599">
        <f>'Prod &amp; Defects - Qty'!L$8*'Falhas UM-4 Qty'!$D51/1000000</f>
        <v>4.6486272481641118</v>
      </c>
      <c r="L51" s="599">
        <f>'Prod &amp; Defects - Qty'!M$8*'Falhas UM-4 Qty'!$D51/1000000</f>
        <v>4.6393285460724911</v>
      </c>
      <c r="M51" s="599">
        <f>'Prod &amp; Defects - Qty'!N$8*'Falhas UM-4 Qty'!$D51/1000000</f>
        <v>4.6338433303263784</v>
      </c>
      <c r="N51" s="599">
        <f>'Prod &amp; Defects - Qty'!O$8*'Falhas UM-4 Qty'!$D51/1000000</f>
        <v>3.429449931350447</v>
      </c>
      <c r="O51" s="599">
        <f>'Prod &amp; Defects - Qty'!P$8*'Falhas UM-4 Qty'!$D51/1000000</f>
        <v>3.5819509350874594</v>
      </c>
      <c r="P51" s="599">
        <f>'Prod &amp; Defects - Qty'!Q$8*'Falhas UM-4 Qty'!$D51/1000000</f>
        <v>4.4308757355533155</v>
      </c>
      <c r="Q51" s="334">
        <f t="shared" si="7"/>
        <v>26.270186797093611</v>
      </c>
      <c r="R51" s="334">
        <f>Q51/SUM('Prod &amp; Defects - Qty'!$F$8:$K$8)*1000000</f>
        <v>0.40877356184797781</v>
      </c>
      <c r="S51" s="334">
        <f t="shared" ref="S51:S53" si="15">SUM(K51:P51)</f>
        <v>25.364075726554201</v>
      </c>
      <c r="T51" s="334">
        <f>S51/SUM('Prod &amp; Defects - Qty'!$L$8:$Q$8)*1000000</f>
        <v>0.40877356184797786</v>
      </c>
      <c r="U51" s="334">
        <f t="shared" ref="U51:U53" si="16">Q51+S51</f>
        <v>51.634262523647813</v>
      </c>
      <c r="V51" s="334">
        <f>U51/'Prod &amp; Defects - Qty'!$R$8*1000000</f>
        <v>0.40877356184797781</v>
      </c>
      <c r="W51" s="334">
        <f t="shared" si="12"/>
        <v>0.36789620566318004</v>
      </c>
      <c r="X51" s="334">
        <f t="shared" si="12"/>
        <v>0.33110658509686203</v>
      </c>
      <c r="Y51" s="334">
        <f t="shared" ref="Y51:Y53" si="17">(W51+X51)/2</f>
        <v>0.34950139538002101</v>
      </c>
      <c r="Z51" s="962">
        <f t="shared" si="14"/>
        <v>0.34950139538002101</v>
      </c>
    </row>
    <row r="52" spans="1:26" ht="18" customHeight="1">
      <c r="A52" s="1032"/>
      <c r="B52" s="600">
        <v>4464</v>
      </c>
      <c r="C52" s="37" t="s">
        <v>249</v>
      </c>
      <c r="D52" s="598">
        <f>'[3]Falhas UM-4 Qty'!Z52</f>
        <v>0.22042499650990821</v>
      </c>
      <c r="E52" s="599">
        <f>'Prod &amp; Defects - Qty'!F$8*'Falhas UM-4 Qty'!$D52/1000000</f>
        <v>2.1727418286829754</v>
      </c>
      <c r="F52" s="599">
        <f>'Prod &amp; Defects - Qty'!G$8*'Falhas UM-4 Qty'!$D52/1000000</f>
        <v>2.4807807355980156</v>
      </c>
      <c r="G52" s="599">
        <f>'Prod &amp; Defects - Qty'!H$8*'Falhas UM-4 Qty'!$D52/1000000</f>
        <v>2.2469692254282712</v>
      </c>
      <c r="H52" s="599">
        <f>'Prod &amp; Defects - Qty'!I$8*'Falhas UM-4 Qty'!$D52/1000000</f>
        <v>2.2582669575561152</v>
      </c>
      <c r="I52" s="599">
        <f>'Prod &amp; Defects - Qty'!J$8*'Falhas UM-4 Qty'!$D52/1000000</f>
        <v>2.4379587295350746</v>
      </c>
      <c r="J52" s="599">
        <f>'Prod &amp; Defects - Qty'!K$8*'Falhas UM-4 Qty'!$D52/1000000</f>
        <v>2.5690857294683358</v>
      </c>
      <c r="K52" s="599">
        <f>'Prod &amp; Defects - Qty'!L$8*'Falhas UM-4 Qty'!$D52/1000000</f>
        <v>2.5067023422946146</v>
      </c>
      <c r="L52" s="599">
        <f>'Prod &amp; Defects - Qty'!M$8*'Falhas UM-4 Qty'!$D52/1000000</f>
        <v>2.5016881570160319</v>
      </c>
      <c r="M52" s="599">
        <f>'Prod &amp; Defects - Qty'!N$8*'Falhas UM-4 Qty'!$D52/1000000</f>
        <v>2.4987303369059757</v>
      </c>
      <c r="N52" s="599">
        <f>'Prod &amp; Defects - Qty'!O$8*'Falhas UM-4 Qty'!$D52/1000000</f>
        <v>1.8492793069380518</v>
      </c>
      <c r="O52" s="599">
        <f>'Prod &amp; Defects - Qty'!P$8*'Falhas UM-4 Qty'!$D52/1000000</f>
        <v>1.9315131800499088</v>
      </c>
      <c r="P52" s="599">
        <f>'Prod &amp; Defects - Qty'!Q$8*'Falhas UM-4 Qty'!$D52/1000000</f>
        <v>2.3892831134426462</v>
      </c>
      <c r="Q52" s="334">
        <f t="shared" si="7"/>
        <v>14.165803206268787</v>
      </c>
      <c r="R52" s="334">
        <f>Q52/SUM('Prod &amp; Defects - Qty'!$F$8:$K$8)*1000000</f>
        <v>0.22042499650990824</v>
      </c>
      <c r="S52" s="334">
        <f t="shared" si="15"/>
        <v>13.677196436647227</v>
      </c>
      <c r="T52" s="334">
        <f>S52/SUM('Prod &amp; Defects - Qty'!$L$8:$Q$8)*1000000</f>
        <v>0.22042499650990821</v>
      </c>
      <c r="U52" s="334">
        <f t="shared" si="16"/>
        <v>27.842999642916013</v>
      </c>
      <c r="V52" s="334">
        <f>U52/'Prod &amp; Defects - Qty'!$R$8*1000000</f>
        <v>0.22042499650990818</v>
      </c>
      <c r="W52" s="334">
        <f t="shared" si="12"/>
        <v>0.19838249685891737</v>
      </c>
      <c r="X52" s="334">
        <f t="shared" si="12"/>
        <v>0.17854424717302564</v>
      </c>
      <c r="Y52" s="334">
        <f t="shared" si="17"/>
        <v>0.18846337201597152</v>
      </c>
      <c r="Z52" s="962">
        <f t="shared" si="14"/>
        <v>0.18846337201597152</v>
      </c>
    </row>
    <row r="53" spans="1:26" ht="18" customHeight="1">
      <c r="A53" s="1032"/>
      <c r="B53" s="600">
        <v>4466</v>
      </c>
      <c r="C53" s="37" t="s">
        <v>116</v>
      </c>
      <c r="D53" s="598">
        <f>'[3]Falhas UM-4 Qty'!Z53</f>
        <v>2.107403233125805</v>
      </c>
      <c r="E53" s="599">
        <f>'Prod &amp; Defects - Qty'!F$8*'Falhas UM-4 Qty'!$D53/1000000</f>
        <v>20.772794497054033</v>
      </c>
      <c r="F53" s="599">
        <f>'Prod &amp; Defects - Qty'!G$8*'Falhas UM-4 Qty'!$D53/1000000</f>
        <v>23.717842466385022</v>
      </c>
      <c r="G53" s="599">
        <f>'Prod &amp; Defects - Qty'!H$8*'Falhas UM-4 Qty'!$D53/1000000</f>
        <v>21.482455644221236</v>
      </c>
      <c r="H53" s="599">
        <f>'Prod &amp; Defects - Qty'!I$8*'Falhas UM-4 Qty'!$D53/1000000</f>
        <v>21.590469152626294</v>
      </c>
      <c r="I53" s="599">
        <f>'Prod &amp; Defects - Qty'!J$8*'Falhas UM-4 Qty'!$D53/1000000</f>
        <v>23.308436838825365</v>
      </c>
      <c r="J53" s="599">
        <f>'Prod &amp; Defects - Qty'!K$8*'Falhas UM-4 Qty'!$D53/1000000</f>
        <v>24.562094400285371</v>
      </c>
      <c r="K53" s="599">
        <f>'Prod &amp; Defects - Qty'!L$8*'Falhas UM-4 Qty'!$D53/1000000</f>
        <v>23.96566952150657</v>
      </c>
      <c r="L53" s="599">
        <f>'Prod &amp; Defects - Qty'!M$8*'Falhas UM-4 Qty'!$D53/1000000</f>
        <v>23.917730719488251</v>
      </c>
      <c r="M53" s="599">
        <f>'Prod &amp; Defects - Qty'!N$8*'Falhas UM-4 Qty'!$D53/1000000</f>
        <v>23.889452077040112</v>
      </c>
      <c r="N53" s="599">
        <f>'Prod &amp; Defects - Qty'!O$8*'Falhas UM-4 Qty'!$D53/1000000</f>
        <v>17.68028695519892</v>
      </c>
      <c r="O53" s="599">
        <f>'Prod &amp; Defects - Qty'!P$8*'Falhas UM-4 Qty'!$D53/1000000</f>
        <v>18.466495111316984</v>
      </c>
      <c r="P53" s="599">
        <f>'Prod &amp; Defects - Qty'!Q$8*'Falhas UM-4 Qty'!$D53/1000000</f>
        <v>22.843066974464435</v>
      </c>
      <c r="Q53" s="334">
        <f t="shared" si="7"/>
        <v>135.43409299939731</v>
      </c>
      <c r="R53" s="334">
        <f>Q53/SUM('Prod &amp; Defects - Qty'!$F$8:$K$8)*1000000</f>
        <v>2.107403233125805</v>
      </c>
      <c r="S53" s="334">
        <f t="shared" si="15"/>
        <v>130.76270135901527</v>
      </c>
      <c r="T53" s="334">
        <f>S53/SUM('Prod &amp; Defects - Qty'!$L$8:$Q$8)*1000000</f>
        <v>2.1074032331258055</v>
      </c>
      <c r="U53" s="334">
        <f t="shared" si="16"/>
        <v>266.1967943584126</v>
      </c>
      <c r="V53" s="334">
        <f>U53/'Prod &amp; Defects - Qty'!$R$8*1000000</f>
        <v>2.1074032331258055</v>
      </c>
      <c r="W53" s="334">
        <f t="shared" si="12"/>
        <v>1.8966629098132251</v>
      </c>
      <c r="X53" s="334">
        <f t="shared" si="12"/>
        <v>1.7069966188319026</v>
      </c>
      <c r="Y53" s="334">
        <f t="shared" si="17"/>
        <v>1.8018297643225638</v>
      </c>
      <c r="Z53" s="962">
        <f t="shared" si="14"/>
        <v>1.8018297643225638</v>
      </c>
    </row>
    <row r="54" spans="1:26" ht="18" customHeight="1">
      <c r="A54" s="1032"/>
      <c r="B54" s="96"/>
      <c r="C54" s="97" t="s">
        <v>1</v>
      </c>
      <c r="D54" s="357">
        <f>'[3]Falhas UM-4 Qty'!Z54</f>
        <v>3.4371256696012713</v>
      </c>
      <c r="E54" s="338">
        <f>SUBTOTAL(109,E35:E53)</f>
        <v>67.993197230894353</v>
      </c>
      <c r="F54" s="338">
        <f t="shared" ref="F54:P54" si="18">SUBTOTAL(109,F35:F53)</f>
        <v>77.632883767126401</v>
      </c>
      <c r="G54" s="338">
        <f t="shared" si="18"/>
        <v>70.316049380290309</v>
      </c>
      <c r="H54" s="338">
        <f t="shared" si="18"/>
        <v>70.669597564749907</v>
      </c>
      <c r="I54" s="338">
        <f t="shared" si="18"/>
        <v>76.292823449962526</v>
      </c>
      <c r="J54" s="338">
        <f t="shared" si="18"/>
        <v>80.39627644702756</v>
      </c>
      <c r="K54" s="338">
        <f t="shared" si="18"/>
        <v>78.444067541193036</v>
      </c>
      <c r="L54" s="338">
        <f t="shared" si="18"/>
        <v>78.287154978412588</v>
      </c>
      <c r="M54" s="338">
        <f t="shared" si="18"/>
        <v>78.194593753023725</v>
      </c>
      <c r="N54" s="338">
        <f t="shared" si="18"/>
        <v>57.870848248854259</v>
      </c>
      <c r="O54" s="338">
        <f t="shared" si="18"/>
        <v>60.444252911912685</v>
      </c>
      <c r="P54" s="338">
        <f t="shared" si="18"/>
        <v>74.769581838089138</v>
      </c>
      <c r="Q54" s="338">
        <f t="shared" si="7"/>
        <v>443.30082784005111</v>
      </c>
      <c r="R54" s="338">
        <f>Q54/SUM('Prod &amp; Defects - Qty'!$F$8:$K$8)*1000000</f>
        <v>6.8979204360428428</v>
      </c>
      <c r="S54" s="338">
        <f t="shared" si="3"/>
        <v>428.01049927148551</v>
      </c>
      <c r="T54" s="338">
        <f>S54/SUM('Prod &amp; Defects - Qty'!$L$8:$Q$8)*1000000</f>
        <v>6.8979204360428437</v>
      </c>
      <c r="U54" s="338">
        <f t="shared" si="4"/>
        <v>871.31132711153668</v>
      </c>
      <c r="V54" s="338">
        <f>U54/'Prod &amp; Defects - Qty'!$R$8*1000000</f>
        <v>6.8979204360428428</v>
      </c>
      <c r="W54" s="338">
        <f t="shared" si="12"/>
        <v>6.2081283924385584</v>
      </c>
      <c r="X54" s="338">
        <f t="shared" si="12"/>
        <v>5.5873155531947027</v>
      </c>
      <c r="Y54" s="338">
        <f t="shared" si="5"/>
        <v>5.8977219728166306</v>
      </c>
      <c r="Z54" s="963">
        <f>Y54</f>
        <v>5.8977219728166306</v>
      </c>
    </row>
    <row r="55" spans="1:26" ht="18" customHeight="1">
      <c r="A55" s="1032"/>
      <c r="B55" s="81">
        <v>4470</v>
      </c>
      <c r="C55" s="82" t="s">
        <v>266</v>
      </c>
      <c r="D55" s="352">
        <f>'[3]Falhas UM-4 Qty'!Z55</f>
        <v>328.46519772758239</v>
      </c>
      <c r="E55" s="368">
        <f>'Prod &amp; Defects - Qty'!F$8*'Falhas UM-4 Qty'!$D55/1000000</f>
        <v>3237.7002865791701</v>
      </c>
      <c r="F55" s="368">
        <f>'Prod &amp; Defects - Qty'!G$8*'Falhas UM-4 Qty'!$D55/1000000</f>
        <v>3696.7229113706785</v>
      </c>
      <c r="G55" s="368">
        <f>'Prod &amp; Defects - Qty'!H$8*'Falhas UM-4 Qty'!$D55/1000000</f>
        <v>3348.309867773612</v>
      </c>
      <c r="H55" s="368">
        <f>'Prod &amp; Defects - Qty'!I$8*'Falhas UM-4 Qty'!$D55/1000000</f>
        <v>3365.1451263695162</v>
      </c>
      <c r="I55" s="368">
        <f>'Prod &amp; Defects - Qty'!J$8*'Falhas UM-4 Qty'!$D55/1000000</f>
        <v>3632.9119148355217</v>
      </c>
      <c r="J55" s="368">
        <f>'Prod &amp; Defects - Qty'!K$8*'Falhas UM-4 Qty'!$D55/1000000</f>
        <v>3828.3101529775709</v>
      </c>
      <c r="K55" s="368">
        <f>'Prod &amp; Defects - Qty'!L$8*'Falhas UM-4 Qty'!$D55/1000000</f>
        <v>3735.3498629588676</v>
      </c>
      <c r="L55" s="368">
        <f>'Prod &amp; Defects - Qty'!M$8*'Falhas UM-4 Qty'!$D55/1000000</f>
        <v>3727.8780000347442</v>
      </c>
      <c r="M55" s="368">
        <f>'Prod &amp; Defects - Qty'!N$8*'Falhas UM-4 Qty'!$D55/1000000</f>
        <v>3723.4704193035432</v>
      </c>
      <c r="N55" s="368">
        <f>'Prod &amp; Defects - Qty'!O$8*'Falhas UM-4 Qty'!$D55/1000000</f>
        <v>2755.6942398755114</v>
      </c>
      <c r="O55" s="368">
        <f>'Prod &amp; Defects - Qty'!P$8*'Falhas UM-4 Qty'!$D55/1000000</f>
        <v>2878.234631479314</v>
      </c>
      <c r="P55" s="368">
        <f>'Prod &amp; Defects - Qty'!Q$8*'Falhas UM-4 Qty'!$D55/1000000</f>
        <v>3560.3781908139244</v>
      </c>
      <c r="Q55" s="368">
        <f t="shared" si="7"/>
        <v>21109.10025990607</v>
      </c>
      <c r="R55" s="368">
        <f>Q55/SUM('Prod &amp; Defects - Qty'!$F$8:$K$8)*1000000</f>
        <v>328.46519772758239</v>
      </c>
      <c r="S55" s="368">
        <f t="shared" si="3"/>
        <v>20381.005344465902</v>
      </c>
      <c r="T55" s="368">
        <f>S55/SUM('Prod &amp; Defects - Qty'!$L$8:$Q$8)*1000000</f>
        <v>328.46519772758239</v>
      </c>
      <c r="U55" s="368">
        <f t="shared" si="4"/>
        <v>41490.105604371973</v>
      </c>
      <c r="V55" s="368">
        <f>U55/'Prod &amp; Defects - Qty'!$R$8*1000000</f>
        <v>328.46519772758234</v>
      </c>
      <c r="W55" s="368">
        <f t="shared" si="12"/>
        <v>295.61867795482414</v>
      </c>
      <c r="X55" s="368">
        <f t="shared" si="12"/>
        <v>266.05681015934175</v>
      </c>
      <c r="Y55" s="368">
        <f t="shared" si="5"/>
        <v>280.83774405708294</v>
      </c>
      <c r="Z55" s="957">
        <f>Y55*1</f>
        <v>280.83774405708294</v>
      </c>
    </row>
    <row r="56" spans="1:26" ht="18" customHeight="1">
      <c r="A56" s="1032"/>
      <c r="B56" s="96">
        <v>4475</v>
      </c>
      <c r="C56" s="99" t="s">
        <v>267</v>
      </c>
      <c r="D56" s="358">
        <f>'[3]Falhas UM-4 Qty'!Z56</f>
        <v>13.616968517648694</v>
      </c>
      <c r="E56" s="369">
        <f>'Prod &amp; Defects - Qty'!F$8*'Falhas UM-4 Qty'!$D56/1000000</f>
        <v>134.22323940844257</v>
      </c>
      <c r="F56" s="369">
        <f>'Prod &amp; Defects - Qty'!G$8*'Falhas UM-4 Qty'!$D56/1000000</f>
        <v>153.25264244388495</v>
      </c>
      <c r="G56" s="369">
        <f>'Prod &amp; Defects - Qty'!H$8*'Falhas UM-4 Qty'!$D56/1000000</f>
        <v>138.80870902682258</v>
      </c>
      <c r="H56" s="369">
        <f>'Prod &amp; Defects - Qty'!I$8*'Falhas UM-4 Qty'!$D56/1000000</f>
        <v>139.50663741580533</v>
      </c>
      <c r="I56" s="369">
        <f>'Prod &amp; Defects - Qty'!J$8*'Falhas UM-4 Qty'!$D56/1000000</f>
        <v>150.60727137592886</v>
      </c>
      <c r="J56" s="369">
        <f>'Prod &amp; Defects - Qty'!K$8*'Falhas UM-4 Qty'!$D56/1000000</f>
        <v>158.70776931480341</v>
      </c>
      <c r="K56" s="369">
        <f>'Prod &amp; Defects - Qty'!L$8*'Falhas UM-4 Qty'!$D56/1000000</f>
        <v>154.85397490573482</v>
      </c>
      <c r="L56" s="369">
        <f>'Prod &amp; Defects - Qty'!M$8*'Falhas UM-4 Qty'!$D56/1000000</f>
        <v>154.5442187339703</v>
      </c>
      <c r="M56" s="369">
        <f>'Prod &amp; Defects - Qty'!N$8*'Falhas UM-4 Qty'!$D56/1000000</f>
        <v>154.36149652025941</v>
      </c>
      <c r="N56" s="369">
        <f>'Prod &amp; Defects - Qty'!O$8*'Falhas UM-4 Qty'!$D56/1000000</f>
        <v>114.24102756777279</v>
      </c>
      <c r="O56" s="369">
        <f>'Prod &amp; Defects - Qty'!P$8*'Falhas UM-4 Qty'!$D56/1000000</f>
        <v>119.32110504981164</v>
      </c>
      <c r="P56" s="369">
        <f>'Prod &amp; Defects - Qty'!Q$8*'Falhas UM-4 Qty'!$D56/1000000</f>
        <v>147.60028785589984</v>
      </c>
      <c r="Q56" s="369">
        <f t="shared" si="7"/>
        <v>875.10626898568773</v>
      </c>
      <c r="R56" s="369">
        <f>Q56/SUM('Prod &amp; Defects - Qty'!$F$8:$K$8)*1000000</f>
        <v>13.616968517648694</v>
      </c>
      <c r="S56" s="369">
        <f t="shared" si="3"/>
        <v>844.92211063344882</v>
      </c>
      <c r="T56" s="369">
        <f>S56/SUM('Prod &amp; Defects - Qty'!$L$8:$Q$8)*1000000</f>
        <v>13.616968517648695</v>
      </c>
      <c r="U56" s="369">
        <f t="shared" si="4"/>
        <v>1720.0283796191366</v>
      </c>
      <c r="V56" s="369">
        <f>U56/'Prod &amp; Defects - Qty'!$R$8*1000000</f>
        <v>13.616968517648694</v>
      </c>
      <c r="W56" s="369">
        <f t="shared" si="12"/>
        <v>12.255271665883825</v>
      </c>
      <c r="X56" s="369">
        <f t="shared" si="12"/>
        <v>11.029744499295443</v>
      </c>
      <c r="Y56" s="369">
        <f t="shared" si="5"/>
        <v>11.642508082589634</v>
      </c>
      <c r="Z56" s="964">
        <f>Y56*1</f>
        <v>11.642508082589634</v>
      </c>
    </row>
    <row r="57" spans="1:26" ht="18" customHeight="1">
      <c r="A57" s="1032"/>
      <c r="B57" s="78">
        <v>4480</v>
      </c>
      <c r="C57" s="79" t="s">
        <v>268</v>
      </c>
      <c r="D57" s="351">
        <f>'[3]Falhas UM-4 Qty'!Z57</f>
        <v>1040.9004120724787</v>
      </c>
      <c r="E57" s="370">
        <f>'Prod &amp; Defects - Qty'!F$8*'Falhas UM-4 Qty'!$D57/1000000</f>
        <v>10260.215041906826</v>
      </c>
      <c r="F57" s="370">
        <f>'Prod &amp; Defects - Qty'!G$8*'Falhas UM-4 Qty'!$D57/1000000</f>
        <v>11714.849635165439</v>
      </c>
      <c r="G57" s="370">
        <f>'Prod &amp; Defects - Qty'!H$8*'Falhas UM-4 Qty'!$D57/1000000</f>
        <v>10610.734851740521</v>
      </c>
      <c r="H57" s="370">
        <f>'Prod &amp; Defects - Qty'!I$8*'Falhas UM-4 Qty'!$D57/1000000</f>
        <v>10664.085488980198</v>
      </c>
      <c r="I57" s="370">
        <f>'Prod &amp; Defects - Qty'!J$8*'Falhas UM-4 Qty'!$D57/1000000</f>
        <v>11512.633713820593</v>
      </c>
      <c r="J57" s="370">
        <f>'Prod &amp; Defects - Qty'!K$8*'Falhas UM-4 Qty'!$D57/1000000</f>
        <v>12131.847280455375</v>
      </c>
      <c r="K57" s="370">
        <f>'Prod &amp; Defects - Qty'!L$8*'Falhas UM-4 Qty'!$D57/1000000</f>
        <v>11837.257762733936</v>
      </c>
      <c r="L57" s="370">
        <f>'Prod &amp; Defects - Qty'!M$8*'Falhas UM-4 Qty'!$D57/1000000</f>
        <v>11813.579561053893</v>
      </c>
      <c r="M57" s="370">
        <f>'Prod &amp; Defects - Qty'!N$8*'Falhas UM-4 Qty'!$D57/1000000</f>
        <v>11799.612015538904</v>
      </c>
      <c r="N57" s="370">
        <f>'Prod &amp; Defects - Qty'!O$8*'Falhas UM-4 Qty'!$D57/1000000</f>
        <v>8732.7463904140295</v>
      </c>
      <c r="O57" s="370">
        <f>'Prod &amp; Defects - Qty'!P$8*'Falhas UM-4 Qty'!$D57/1000000</f>
        <v>9121.0747277793453</v>
      </c>
      <c r="P57" s="370">
        <f>'Prod &amp; Defects - Qty'!Q$8*'Falhas UM-4 Qty'!$D57/1000000</f>
        <v>11282.775623083537</v>
      </c>
      <c r="Q57" s="370">
        <f t="shared" si="7"/>
        <v>66894.36601206896</v>
      </c>
      <c r="R57" s="370"/>
      <c r="S57" s="370"/>
      <c r="T57" s="370"/>
      <c r="U57" s="370"/>
      <c r="V57" s="370"/>
      <c r="W57" s="370"/>
      <c r="X57" s="370"/>
      <c r="Y57" s="370"/>
      <c r="Z57" s="956"/>
    </row>
    <row r="58" spans="1:26" ht="18" customHeight="1">
      <c r="A58" s="1032"/>
      <c r="B58" s="228">
        <v>4485</v>
      </c>
      <c r="C58" s="630" t="s">
        <v>269</v>
      </c>
      <c r="D58" s="598">
        <f>'[3]Falhas UM-4 Qty'!Z58</f>
        <v>41.460197314317895</v>
      </c>
      <c r="E58" s="631">
        <f>'Prod &amp; Defects - Qty'!F$8*'Falhas UM-4 Qty'!$D58/1000000</f>
        <v>408.67554205096155</v>
      </c>
      <c r="F58" s="631">
        <f>'Prod &amp; Defects - Qty'!G$8*'Falhas UM-4 Qty'!$D58/1000000</f>
        <v>466.61522250190484</v>
      </c>
      <c r="G58" s="631">
        <f>'Prod &amp; Defects - Qty'!H$8*'Falhas UM-4 Qty'!$D58/1000000</f>
        <v>422.6371279142499</v>
      </c>
      <c r="H58" s="631">
        <f>'Prod &amp; Defects - Qty'!I$8*'Falhas UM-4 Qty'!$D58/1000000</f>
        <v>424.76214191284907</v>
      </c>
      <c r="I58" s="631">
        <f>'Prod &amp; Defects - Qty'!J$8*'Falhas UM-4 Qty'!$D58/1000000</f>
        <v>458.56074207148487</v>
      </c>
      <c r="J58" s="631">
        <f>'Prod &amp; Defects - Qty'!K$8*'Falhas UM-4 Qty'!$D58/1000000</f>
        <v>483.22469296882866</v>
      </c>
      <c r="K58" s="631">
        <f>'Prod &amp; Defects - Qty'!L$8*'Falhas UM-4 Qty'!$D58/1000000</f>
        <v>471.49087156785293</v>
      </c>
      <c r="L58" s="631">
        <f>'Prod &amp; Defects - Qty'!M$8*'Falhas UM-4 Qty'!$D58/1000000</f>
        <v>470.54774300116497</v>
      </c>
      <c r="M58" s="631">
        <f>'Prod &amp; Defects - Qty'!N$8*'Falhas UM-4 Qty'!$D58/1000000</f>
        <v>469.99140044780279</v>
      </c>
      <c r="N58" s="631">
        <f>'Prod &amp; Defects - Qty'!O$8*'Falhas UM-4 Qty'!$D58/1000000</f>
        <v>347.83480171900669</v>
      </c>
      <c r="O58" s="631">
        <f>'Prod &amp; Defects - Qty'!P$8*'Falhas UM-4 Qty'!$D58/1000000</f>
        <v>363.30234242047578</v>
      </c>
      <c r="P58" s="631">
        <f>'Prod &amp; Defects - Qty'!Q$8*'Falhas UM-4 Qty'!$D58/1000000</f>
        <v>449.40524392226587</v>
      </c>
      <c r="Q58" s="631">
        <f t="shared" si="7"/>
        <v>2664.4754694202788</v>
      </c>
      <c r="R58" s="631"/>
      <c r="S58" s="631"/>
      <c r="T58" s="631"/>
      <c r="U58" s="631"/>
      <c r="V58" s="631"/>
      <c r="W58" s="631"/>
      <c r="X58" s="631"/>
      <c r="Y58" s="631"/>
      <c r="Z58" s="959"/>
    </row>
    <row r="59" spans="1:26" ht="18" customHeight="1">
      <c r="A59" s="1032"/>
      <c r="B59" s="100">
        <v>4490</v>
      </c>
      <c r="C59" s="79" t="s">
        <v>67</v>
      </c>
      <c r="D59" s="351">
        <f>'[3]Falhas UM-4 Qty'!Z59</f>
        <v>2.7353803225551886E-2</v>
      </c>
      <c r="E59" s="370">
        <f>'Prod &amp; Defects - Qty'!F$8*'Falhas UM-4 Qty'!$D59/1000000</f>
        <v>0.26962800672676135</v>
      </c>
      <c r="F59" s="370">
        <f>'Prod &amp; Defects - Qty'!G$8*'Falhas UM-4 Qty'!$D59/1000000</f>
        <v>0.30785432306556798</v>
      </c>
      <c r="G59" s="370">
        <f>'Prod &amp; Defects - Qty'!H$8*'Falhas UM-4 Qty'!$D59/1000000</f>
        <v>0.27883931051110555</v>
      </c>
      <c r="H59" s="370">
        <f>'Prod &amp; Defects - Qty'!I$8*'Falhas UM-4 Qty'!$D59/1000000</f>
        <v>0.28024131094850219</v>
      </c>
      <c r="I59" s="370">
        <f>'Prod &amp; Defects - Qty'!J$8*'Falhas UM-4 Qty'!$D59/1000000</f>
        <v>0.30254029450204062</v>
      </c>
      <c r="J59" s="370">
        <f>'Prod &amp; Defects - Qty'!K$8*'Falhas UM-4 Qty'!$D59/1000000</f>
        <v>0.31881259669336742</v>
      </c>
      <c r="K59" s="370">
        <f>'Prod &amp; Defects - Qty'!L$8*'Falhas UM-4 Qty'!$D59/1000000</f>
        <v>0.31107108405046402</v>
      </c>
      <c r="L59" s="370">
        <f>'Prod &amp; Defects - Qty'!M$8*'Falhas UM-4 Qty'!$D59/1000000</f>
        <v>0.31044884501397324</v>
      </c>
      <c r="M59" s="370">
        <f>'Prod &amp; Defects - Qty'!N$8*'Falhas UM-4 Qty'!$D59/1000000</f>
        <v>0.31008179213635911</v>
      </c>
      <c r="N59" s="370">
        <f>'Prod &amp; Defects - Qty'!O$8*'Falhas UM-4 Qty'!$D59/1000000</f>
        <v>0.229487685480329</v>
      </c>
      <c r="O59" s="370">
        <f>'Prod &amp; Defects - Qty'!P$8*'Falhas UM-4 Qty'!$D59/1000000</f>
        <v>0.23969255888031851</v>
      </c>
      <c r="P59" s="370">
        <f>'Prod &amp; Defects - Qty'!Q$8*'Falhas UM-4 Qty'!$D59/1000000</f>
        <v>0.2964998578657404</v>
      </c>
      <c r="Q59" s="370">
        <f t="shared" si="7"/>
        <v>1.7579158424473451</v>
      </c>
      <c r="R59" s="370">
        <f>Q59/SUM('Prod &amp; Defects - Qty'!$F$8:$K$8)*1000000</f>
        <v>2.7353803225551886E-2</v>
      </c>
      <c r="S59" s="370">
        <f t="shared" si="3"/>
        <v>1.6972818234271845</v>
      </c>
      <c r="T59" s="370">
        <f>S59/SUM('Prod &amp; Defects - Qty'!$L$8:$Q$8)*1000000</f>
        <v>2.7353803225551893E-2</v>
      </c>
      <c r="U59" s="370">
        <f t="shared" si="4"/>
        <v>3.4551976658745298</v>
      </c>
      <c r="V59" s="370">
        <f>U59/'Prod &amp; Defects - Qty'!$R$8*1000000</f>
        <v>2.7353803225551889E-2</v>
      </c>
      <c r="W59" s="370">
        <f t="shared" ref="W59:X61" si="19">V59*Redutor</f>
        <v>2.4618422902996699E-2</v>
      </c>
      <c r="X59" s="370">
        <f t="shared" si="19"/>
        <v>2.2156580612697031E-2</v>
      </c>
      <c r="Y59" s="370">
        <f t="shared" si="5"/>
        <v>2.3387501757846867E-2</v>
      </c>
      <c r="Z59" s="956">
        <f>Y59*1</f>
        <v>2.3387501757846867E-2</v>
      </c>
    </row>
    <row r="60" spans="1:26" ht="18" customHeight="1">
      <c r="A60" s="1032"/>
      <c r="B60" s="101">
        <v>4500</v>
      </c>
      <c r="C60" s="90" t="s">
        <v>66</v>
      </c>
      <c r="D60" s="356">
        <f>'[3]Falhas UM-4 Qty'!Z60</f>
        <v>3.4354251053342542</v>
      </c>
      <c r="E60" s="371">
        <f>'Prod &amp; Defects - Qty'!F$8*'Falhas UM-4 Qty'!$D60/1000000</f>
        <v>33.863182233653006</v>
      </c>
      <c r="F60" s="371">
        <f>'Prod &amp; Defects - Qty'!G$8*'Falhas UM-4 Qty'!$D60/1000000</f>
        <v>38.664110490390364</v>
      </c>
      <c r="G60" s="371">
        <f>'Prod &amp; Defects - Qty'!H$8*'Falhas UM-4 Qty'!$D60/1000000</f>
        <v>35.020050403415837</v>
      </c>
      <c r="H60" s="371">
        <f>'Prod &amp; Defects - Qty'!I$8*'Falhas UM-4 Qty'!$D60/1000000</f>
        <v>35.196130762721154</v>
      </c>
      <c r="I60" s="371">
        <f>'Prod &amp; Defects - Qty'!J$8*'Falhas UM-4 Qty'!$D60/1000000</f>
        <v>37.996709800728603</v>
      </c>
      <c r="J60" s="371">
        <f>'Prod &amp; Defects - Qty'!K$8*'Falhas UM-4 Qty'!$D60/1000000</f>
        <v>40.040384495933331</v>
      </c>
      <c r="K60" s="371">
        <f>'Prod &amp; Defects - Qty'!L$8*'Falhas UM-4 Qty'!$D60/1000000</f>
        <v>39.068110671069029</v>
      </c>
      <c r="L60" s="371">
        <f>'Prod &amp; Defects - Qty'!M$8*'Falhas UM-4 Qty'!$D60/1000000</f>
        <v>38.989962283809938</v>
      </c>
      <c r="M60" s="371">
        <f>'Prod &amp; Defects - Qty'!N$8*'Falhas UM-4 Qty'!$D60/1000000</f>
        <v>38.943863294929194</v>
      </c>
      <c r="N60" s="371">
        <f>'Prod &amp; Defects - Qty'!O$8*'Falhas UM-4 Qty'!$D60/1000000</f>
        <v>28.821869835186956</v>
      </c>
      <c r="O60" s="371">
        <f>'Prod &amp; Defects - Qty'!P$8*'Falhas UM-4 Qty'!$D60/1000000</f>
        <v>30.103522627158966</v>
      </c>
      <c r="P60" s="371">
        <f>'Prod &amp; Defects - Qty'!Q$8*'Falhas UM-4 Qty'!$D60/1000000</f>
        <v>37.238077902399318</v>
      </c>
      <c r="Q60" s="371">
        <f t="shared" si="7"/>
        <v>220.78056818684232</v>
      </c>
      <c r="R60" s="371">
        <f>Q60/SUM('Prod &amp; Defects - Qty'!$F$8:$K$8)*1000000</f>
        <v>3.4354251053342546</v>
      </c>
      <c r="S60" s="371">
        <f t="shared" si="3"/>
        <v>213.16540661455338</v>
      </c>
      <c r="T60" s="371">
        <f>S60/SUM('Prod &amp; Defects - Qty'!$L$8:$Q$8)*1000000</f>
        <v>3.4354251053342546</v>
      </c>
      <c r="U60" s="371">
        <f t="shared" si="4"/>
        <v>433.94597480139566</v>
      </c>
      <c r="V60" s="371">
        <f>U60/'Prod &amp; Defects - Qty'!$R$8*1000000</f>
        <v>3.4354251053342542</v>
      </c>
      <c r="W60" s="371">
        <f t="shared" si="19"/>
        <v>3.0918825948008286</v>
      </c>
      <c r="X60" s="371">
        <f t="shared" si="19"/>
        <v>2.7826943353207456</v>
      </c>
      <c r="Y60" s="371">
        <f t="shared" si="5"/>
        <v>2.9372884650607869</v>
      </c>
      <c r="Z60" s="960">
        <f>Y60*1</f>
        <v>2.9372884650607869</v>
      </c>
    </row>
    <row r="61" spans="1:26" ht="18" customHeight="1" thickBot="1">
      <c r="A61" s="1033"/>
      <c r="B61" s="102"/>
      <c r="C61" s="103" t="s">
        <v>1</v>
      </c>
      <c r="D61" s="88">
        <f>'[3]Falhas UM-4 Qty'!Z61</f>
        <v>1133.8546252249439</v>
      </c>
      <c r="E61" s="372">
        <f>SUBTOTAL(109,E57:E58)</f>
        <v>10668.890583957787</v>
      </c>
      <c r="F61" s="372">
        <f t="shared" ref="F61:P61" si="20">SUBTOTAL(109,F57:F58)</f>
        <v>12181.464857667344</v>
      </c>
      <c r="G61" s="372">
        <f t="shared" si="20"/>
        <v>11033.37197965477</v>
      </c>
      <c r="H61" s="372">
        <f t="shared" si="20"/>
        <v>11088.847630893048</v>
      </c>
      <c r="I61" s="372">
        <f t="shared" si="20"/>
        <v>11971.194455892077</v>
      </c>
      <c r="J61" s="372">
        <f t="shared" si="20"/>
        <v>12615.071973424203</v>
      </c>
      <c r="K61" s="372">
        <f t="shared" si="20"/>
        <v>12308.748634301788</v>
      </c>
      <c r="L61" s="372">
        <f t="shared" si="20"/>
        <v>12284.127304055059</v>
      </c>
      <c r="M61" s="372">
        <f t="shared" si="20"/>
        <v>12269.603415986707</v>
      </c>
      <c r="N61" s="372">
        <f t="shared" si="20"/>
        <v>9080.5811921330369</v>
      </c>
      <c r="O61" s="372">
        <f t="shared" si="20"/>
        <v>9484.3770701998219</v>
      </c>
      <c r="P61" s="372">
        <f t="shared" si="20"/>
        <v>11732.180867005802</v>
      </c>
      <c r="Q61" s="372">
        <f t="shared" si="7"/>
        <v>69558.841481489231</v>
      </c>
      <c r="R61" s="372">
        <f>Q61/SUM('Prod &amp; Defects - Qty'!$F$8:$K$8)*1000000</f>
        <v>1082.3606093867968</v>
      </c>
      <c r="S61" s="372">
        <f t="shared" si="3"/>
        <v>67159.618483682221</v>
      </c>
      <c r="T61" s="372">
        <f>S61/SUM('Prod &amp; Defects - Qty'!$L$8:$Q$8)*1000000</f>
        <v>1082.360609386797</v>
      </c>
      <c r="U61" s="372">
        <f t="shared" si="4"/>
        <v>136718.45996517147</v>
      </c>
      <c r="V61" s="372">
        <f>U61/'Prod &amp; Defects - Qty'!$R$8*1000000</f>
        <v>1082.3606093867968</v>
      </c>
      <c r="W61" s="372">
        <f t="shared" si="19"/>
        <v>974.12454844811714</v>
      </c>
      <c r="X61" s="372">
        <f t="shared" si="19"/>
        <v>876.71209360330545</v>
      </c>
      <c r="Y61" s="372">
        <f t="shared" si="5"/>
        <v>925.41832102571129</v>
      </c>
      <c r="Z61" s="965">
        <f>Y61</f>
        <v>925.41832102571129</v>
      </c>
    </row>
    <row r="62" spans="1:26" ht="18" customHeight="1" thickTop="1" thickBot="1">
      <c r="A62" s="105"/>
      <c r="B62" s="106"/>
      <c r="C62" s="107" t="s">
        <v>59</v>
      </c>
      <c r="D62" s="359">
        <f>'[3]Falhas UM-4 Qty'!Z62</f>
        <v>0</v>
      </c>
      <c r="E62" s="373">
        <f>SUMIF($C$6:$C$61,$C$61,E6:E61)</f>
        <v>27313.704803501147</v>
      </c>
      <c r="F62" s="373">
        <f t="shared" ref="F62:P62" si="21">SUMIF($C$6:$C$61,$C$61,F6:F61)</f>
        <v>31186.085617640761</v>
      </c>
      <c r="G62" s="373">
        <f t="shared" si="21"/>
        <v>28246.823122607795</v>
      </c>
      <c r="H62" s="373">
        <f t="shared" si="21"/>
        <v>28388.84778297714</v>
      </c>
      <c r="I62" s="373">
        <f t="shared" si="21"/>
        <v>30647.766882641361</v>
      </c>
      <c r="J62" s="373">
        <f t="shared" si="21"/>
        <v>32296.174494012666</v>
      </c>
      <c r="K62" s="373">
        <f t="shared" si="21"/>
        <v>31511.948131077312</v>
      </c>
      <c r="L62" s="373">
        <f t="shared" si="21"/>
        <v>31448.914421907979</v>
      </c>
      <c r="M62" s="373">
        <f t="shared" si="21"/>
        <v>31411.731437587696</v>
      </c>
      <c r="N62" s="373">
        <f t="shared" si="21"/>
        <v>23247.432539901249</v>
      </c>
      <c r="O62" s="373">
        <f t="shared" si="21"/>
        <v>24281.200889814834</v>
      </c>
      <c r="P62" s="373">
        <f t="shared" si="21"/>
        <v>30035.861965303335</v>
      </c>
      <c r="Q62" s="108">
        <f t="shared" si="7"/>
        <v>178079.40270338088</v>
      </c>
      <c r="R62" s="108">
        <f>Q62/SUM('Prod &amp; Defects - Qty'!$F$8:$K$8)*1000000</f>
        <v>2770.9796012137585</v>
      </c>
      <c r="S62" s="108">
        <f t="shared" si="3"/>
        <v>171937.08938559241</v>
      </c>
      <c r="T62" s="108">
        <f>S62/SUM('Prod &amp; Defects - Qty'!$L$8:$Q$8)*1000000</f>
        <v>2770.979601213759</v>
      </c>
      <c r="U62" s="108">
        <f t="shared" si="4"/>
        <v>350016.49208897329</v>
      </c>
      <c r="V62" s="108">
        <f>U62/'Prod &amp; Defects - Qty'!$R$8*1000000</f>
        <v>2770.9796012137585</v>
      </c>
      <c r="W62" s="108"/>
      <c r="X62" s="108"/>
      <c r="Y62" s="108"/>
      <c r="Z62" s="966"/>
    </row>
    <row r="63" spans="1:26" ht="18" customHeight="1">
      <c r="C63" s="109"/>
      <c r="D63" s="109"/>
      <c r="E63" s="261"/>
      <c r="F63" s="261"/>
      <c r="G63" s="261"/>
      <c r="H63" s="261"/>
      <c r="I63" s="261"/>
      <c r="J63" s="261"/>
      <c r="K63" s="261"/>
      <c r="L63" s="261"/>
      <c r="M63" s="261"/>
      <c r="N63" s="261"/>
      <c r="O63" s="261"/>
      <c r="P63" s="261"/>
      <c r="Q63" s="261"/>
    </row>
    <row r="64" spans="1:26">
      <c r="C64" s="109" t="s">
        <v>286</v>
      </c>
      <c r="E64" s="641">
        <f>'[24]Totalização (MTG+ACB)'!$K$110</f>
        <v>9186.4315068493142</v>
      </c>
      <c r="F64" s="641">
        <f>'[25]Totalização (MTG+ACB)'!$K$110</f>
        <v>8757.6952380952389</v>
      </c>
      <c r="G64" s="641">
        <f>'[26]Totalização (MTG+ACB)'!$K$110</f>
        <v>8237.268</v>
      </c>
      <c r="H64" s="641">
        <f>'[27]Totalização (MTG+ACB)'!$K$110</f>
        <v>10219.051724137931</v>
      </c>
      <c r="I64" s="641">
        <f>'[28]Totalização (MTG+ACB)'!$K$110</f>
        <v>14084.011594202899</v>
      </c>
      <c r="J64" s="641">
        <f>'[29]Totalização (MTG+ACB)'!$K$110</f>
        <v>12731.919444444444</v>
      </c>
      <c r="K64" s="641">
        <f>'[30]Totalização (MTG+ACB)'!$K$110</f>
        <v>8104.318181818182</v>
      </c>
      <c r="L64" s="641">
        <f>'[31]Totalização (MTG+ACB)'!$K$110</f>
        <v>4771.5190476190473</v>
      </c>
      <c r="M64" s="641">
        <f>'[32]Totalização (MTG+ACB)'!$K$110</f>
        <v>6275.3263157894744</v>
      </c>
      <c r="N64" s="641">
        <f>'[32]Totalização (MTG+ACB)'!$K$110</f>
        <v>6275.3263157894744</v>
      </c>
      <c r="O64" s="641">
        <f>'[32]Totalização (MTG+ACB)'!$K$110</f>
        <v>6275.3263157894744</v>
      </c>
      <c r="P64" s="641">
        <f>'[32]Totalização (MTG+ACB)'!$K$110</f>
        <v>6275.3263157894744</v>
      </c>
    </row>
    <row r="65" spans="1:26">
      <c r="C65" s="109" t="s">
        <v>287</v>
      </c>
      <c r="E65" s="641">
        <f>'[24]Totalização (MTG+ACB)'!$K$111</f>
        <v>359.88082191780825</v>
      </c>
      <c r="F65" s="641">
        <f>'[25]Totalização (MTG+ACB)'!$K$111</f>
        <v>736.62857142857138</v>
      </c>
      <c r="G65" s="641">
        <f>'[26]Totalização (MTG+ACB)'!$K$111</f>
        <v>539.76400000000001</v>
      </c>
      <c r="H65" s="641">
        <f>'[27]Totalização (MTG+ACB)'!$K$111</f>
        <v>779.65517241379314</v>
      </c>
      <c r="I65" s="641">
        <f>'[28]Totalização (MTG+ACB)'!$K$111</f>
        <v>1282.9565217391305</v>
      </c>
      <c r="J65" s="641">
        <f>'[29]Totalização (MTG+ACB)'!$K$111</f>
        <v>189.32222222222222</v>
      </c>
      <c r="K65" s="641">
        <f>'[30]Totalização (MTG+ACB)'!$K$111</f>
        <v>1039.0151515151515</v>
      </c>
      <c r="L65" s="641">
        <f>'[31]Totalização (MTG+ACB)'!$K$111</f>
        <v>424.9444444444444</v>
      </c>
      <c r="M65" s="641">
        <f>'[32]Totalização (MTG+ACB)'!$K$111</f>
        <v>268.46315789473687</v>
      </c>
      <c r="N65" s="641">
        <f>'[32]Totalização (MTG+ACB)'!$K$111</f>
        <v>268.46315789473687</v>
      </c>
      <c r="O65" s="641">
        <f>'[32]Totalização (MTG+ACB)'!$K$111</f>
        <v>268.46315789473687</v>
      </c>
      <c r="P65" s="641">
        <f>'[32]Totalização (MTG+ACB)'!$K$111</f>
        <v>268.46315789473687</v>
      </c>
    </row>
    <row r="66" spans="1:26" ht="13.5" thickBot="1">
      <c r="C66" s="75" t="s">
        <v>288</v>
      </c>
      <c r="E66" s="232">
        <f>'Prod &amp; Defects - Qty'!F8</f>
        <v>9857057.3350800052</v>
      </c>
      <c r="F66" s="232">
        <f>'Prod &amp; Defects - Qty'!G8</f>
        <v>11254534.534999996</v>
      </c>
      <c r="G66" s="232">
        <f>'Prod &amp; Defects - Qty'!H8</f>
        <v>10193804.064900002</v>
      </c>
      <c r="H66" s="232">
        <f>'Prod &amp; Defects - Qty'!I8</f>
        <v>10245058.379550003</v>
      </c>
      <c r="I66" s="232">
        <f>'Prod &amp; Defects - Qty'!J8</f>
        <v>11060264.3445</v>
      </c>
      <c r="J66" s="232">
        <f>'Prod &amp; Defects - Qty'!K8</f>
        <v>11655146.96675</v>
      </c>
      <c r="K66" s="232">
        <f>'Prod &amp; Defects - Qty'!L8</f>
        <v>11372132.843299998</v>
      </c>
      <c r="L66" s="232">
        <f>'Prod &amp; Defects - Qty'!M8</f>
        <v>11349385.0363</v>
      </c>
      <c r="M66" s="232">
        <f>'Prod &amp; Defects - Qty'!N8</f>
        <v>11335966.321739998</v>
      </c>
      <c r="N66" s="232">
        <f>'Prod &amp; Defects - Qty'!O8</f>
        <v>8389607.9674200006</v>
      </c>
      <c r="O66" s="232">
        <f>'Prod &amp; Defects - Qty'!P8</f>
        <v>8762677.6029599998</v>
      </c>
      <c r="P66" s="232">
        <f>'Prod &amp; Defects - Qty'!Q8</f>
        <v>10839438.13666</v>
      </c>
    </row>
    <row r="67" spans="1:26">
      <c r="A67" s="1047" t="s">
        <v>254</v>
      </c>
      <c r="B67" s="1048"/>
      <c r="C67" s="611" t="s">
        <v>65</v>
      </c>
      <c r="E67" s="627"/>
      <c r="F67" s="627"/>
      <c r="G67" s="627"/>
      <c r="H67" s="627"/>
      <c r="I67" s="627"/>
      <c r="J67" s="627"/>
      <c r="K67" s="627"/>
      <c r="L67" s="627"/>
      <c r="M67" s="627"/>
      <c r="N67" s="627"/>
      <c r="O67" s="627"/>
      <c r="P67" s="627"/>
      <c r="Q67" s="627"/>
      <c r="R67" s="627"/>
      <c r="S67" s="627"/>
      <c r="T67" s="627"/>
      <c r="U67" s="627"/>
      <c r="V67" s="627"/>
      <c r="W67" s="627"/>
      <c r="X67" s="627"/>
      <c r="Y67" s="627"/>
      <c r="Z67" s="627"/>
    </row>
    <row r="68" spans="1:26">
      <c r="A68" s="1049"/>
      <c r="B68" s="1050"/>
      <c r="C68" s="231" t="s">
        <v>64</v>
      </c>
      <c r="E68" s="628">
        <f t="shared" ref="E68:J68" si="22">E15+E34</f>
        <v>16576.821022312462</v>
      </c>
      <c r="F68" s="628">
        <f t="shared" si="22"/>
        <v>18926.987876206291</v>
      </c>
      <c r="G68" s="628">
        <f t="shared" si="22"/>
        <v>17143.135093572735</v>
      </c>
      <c r="H68" s="628">
        <f t="shared" si="22"/>
        <v>17229.330554519343</v>
      </c>
      <c r="I68" s="628">
        <f t="shared" si="22"/>
        <v>18600.279603299321</v>
      </c>
      <c r="J68" s="628">
        <f t="shared" si="22"/>
        <v>19600.706244141435</v>
      </c>
      <c r="K68" s="628">
        <f t="shared" ref="K68:L68" si="23">K15+K34</f>
        <v>19124.75542923433</v>
      </c>
      <c r="L68" s="628">
        <f t="shared" si="23"/>
        <v>19086.499962874506</v>
      </c>
      <c r="M68" s="628">
        <f t="shared" ref="M68:P68" si="24">M15+M34</f>
        <v>19063.933427847966</v>
      </c>
      <c r="N68" s="628">
        <f t="shared" si="24"/>
        <v>14108.980499519357</v>
      </c>
      <c r="O68" s="628">
        <f t="shared" si="24"/>
        <v>14736.379566703101</v>
      </c>
      <c r="P68" s="628">
        <f t="shared" si="24"/>
        <v>18228.911516459444</v>
      </c>
      <c r="Q68" s="628"/>
      <c r="R68" s="628"/>
      <c r="S68" s="628"/>
      <c r="T68" s="628"/>
      <c r="U68" s="628"/>
      <c r="V68" s="628"/>
      <c r="W68" s="628"/>
      <c r="X68" s="628"/>
      <c r="Y68" s="628"/>
      <c r="Z68" s="628"/>
    </row>
    <row r="69" spans="1:26">
      <c r="A69" s="1049"/>
      <c r="B69" s="1050"/>
      <c r="C69" s="231" t="s">
        <v>63</v>
      </c>
      <c r="E69" s="628">
        <f t="shared" ref="E69:M69" si="25">+E54+E58+E57+H55</f>
        <v>14102.028907558199</v>
      </c>
      <c r="F69" s="628">
        <f t="shared" si="25"/>
        <v>15892.009656269993</v>
      </c>
      <c r="G69" s="628">
        <f t="shared" si="25"/>
        <v>14931.99818201263</v>
      </c>
      <c r="H69" s="628">
        <f t="shared" si="25"/>
        <v>14894.867091416665</v>
      </c>
      <c r="I69" s="628">
        <f t="shared" si="25"/>
        <v>15775.365279376783</v>
      </c>
      <c r="J69" s="628">
        <f t="shared" si="25"/>
        <v>16418.938669174775</v>
      </c>
      <c r="K69" s="628">
        <f t="shared" si="25"/>
        <v>15142.886941718492</v>
      </c>
      <c r="L69" s="628">
        <f t="shared" si="25"/>
        <v>15240.649090512785</v>
      </c>
      <c r="M69" s="628">
        <f t="shared" si="25"/>
        <v>15908.176200553655</v>
      </c>
      <c r="N69" s="628">
        <f t="shared" ref="N69" si="26">+N54+N58+N57+Q55</f>
        <v>30247.55230028796</v>
      </c>
      <c r="O69" s="628">
        <f t="shared" ref="O69" si="27">+O54+O58+O57+R55</f>
        <v>9873.2865208393159</v>
      </c>
      <c r="P69" s="628">
        <f t="shared" ref="P69" si="28">+P54+P58+P57+S55</f>
        <v>32187.955793309797</v>
      </c>
      <c r="Q69" s="628"/>
      <c r="R69" s="628"/>
      <c r="S69" s="628"/>
      <c r="T69" s="628"/>
      <c r="U69" s="628"/>
      <c r="V69" s="628"/>
      <c r="W69" s="628"/>
      <c r="X69" s="628"/>
      <c r="Y69" s="628"/>
      <c r="Z69" s="628"/>
    </row>
    <row r="70" spans="1:26">
      <c r="A70" s="1049"/>
      <c r="B70" s="1050"/>
      <c r="C70" s="231" t="s">
        <v>256</v>
      </c>
      <c r="E70" s="628">
        <f t="shared" ref="E70:J70" si="29">SUM(E68:E69)</f>
        <v>30678.849929870659</v>
      </c>
      <c r="F70" s="628">
        <f t="shared" si="29"/>
        <v>34818.997532476285</v>
      </c>
      <c r="G70" s="628">
        <f t="shared" si="29"/>
        <v>32075.133275585365</v>
      </c>
      <c r="H70" s="628">
        <f t="shared" si="29"/>
        <v>32124.197645936008</v>
      </c>
      <c r="I70" s="628">
        <f t="shared" si="29"/>
        <v>34375.644882676104</v>
      </c>
      <c r="J70" s="628">
        <f t="shared" si="29"/>
        <v>36019.64491331621</v>
      </c>
      <c r="K70" s="628">
        <f t="shared" ref="K70:L70" si="30">SUM(K68:K69)</f>
        <v>34267.642370952824</v>
      </c>
      <c r="L70" s="628">
        <f t="shared" si="30"/>
        <v>34327.149053387293</v>
      </c>
      <c r="M70" s="628">
        <f t="shared" ref="M70:P70" si="31">SUM(M68:M69)</f>
        <v>34972.109628401624</v>
      </c>
      <c r="N70" s="628">
        <f t="shared" si="31"/>
        <v>44356.532799807319</v>
      </c>
      <c r="O70" s="628">
        <f t="shared" si="31"/>
        <v>24609.666087542417</v>
      </c>
      <c r="P70" s="628">
        <f t="shared" si="31"/>
        <v>50416.867309769237</v>
      </c>
      <c r="Q70" s="628"/>
      <c r="R70" s="628"/>
      <c r="S70" s="628"/>
      <c r="T70" s="628"/>
      <c r="U70" s="628"/>
      <c r="V70" s="628"/>
      <c r="W70" s="628"/>
      <c r="X70" s="628"/>
      <c r="Y70" s="628"/>
      <c r="Z70" s="628"/>
    </row>
    <row r="71" spans="1:26" ht="13.5" thickBot="1">
      <c r="A71" s="1051"/>
      <c r="B71" s="1052"/>
      <c r="C71" s="612" t="s">
        <v>257</v>
      </c>
      <c r="E71" s="629">
        <f>E70/'Prod &amp; Defects - Qty'!F8*1000000</f>
        <v>3112.3740977632906</v>
      </c>
      <c r="F71" s="629">
        <f>F70/'Prod &amp; Defects - Qty'!G8*1000000</f>
        <v>3093.774995686776</v>
      </c>
      <c r="G71" s="629">
        <f>G70/'Prod &amp; Defects - Qty'!H8*1000000</f>
        <v>3146.5322534527263</v>
      </c>
      <c r="H71" s="629">
        <f>H70/'Prod &amp; Defects - Qty'!I8*1000000</f>
        <v>3135.5797552172671</v>
      </c>
      <c r="I71" s="629">
        <f>I70/'Prod &amp; Defects - Qty'!J8*1000000</f>
        <v>3108.0310390384366</v>
      </c>
      <c r="J71" s="629">
        <f>J70/'Prod &amp; Defects - Qty'!K8*1000000</f>
        <v>3090.4496542234656</v>
      </c>
      <c r="K71" s="629">
        <f>K70/'Prod &amp; Defects - Qty'!L8*1000000</f>
        <v>3013.2995140961561</v>
      </c>
      <c r="L71" s="629">
        <f>L70/'Prod &amp; Defects - Qty'!M8*1000000</f>
        <v>3024.5822961856484</v>
      </c>
      <c r="M71" s="629">
        <f>M70/'Prod &amp; Defects - Qty'!N8*1000000</f>
        <v>3085.057650650609</v>
      </c>
      <c r="N71" s="629">
        <f>N70/'Prod &amp; Defects - Qty'!O8*1000000</f>
        <v>5287.0805134233206</v>
      </c>
      <c r="O71" s="629">
        <f>O70/'Prod &amp; Defects - Qty'!P8*1000000</f>
        <v>2808.4641707266924</v>
      </c>
      <c r="P71" s="629">
        <f>P70/'Prod &amp; Defects - Qty'!Q8*1000000</f>
        <v>4651.2436045236191</v>
      </c>
      <c r="Q71" s="629"/>
      <c r="R71" s="629"/>
      <c r="S71" s="629"/>
      <c r="T71" s="629"/>
      <c r="U71" s="629"/>
      <c r="V71" s="629"/>
      <c r="W71" s="629"/>
      <c r="X71" s="629"/>
      <c r="Y71" s="629"/>
      <c r="Z71" s="629"/>
    </row>
    <row r="72" spans="1:26">
      <c r="A72" s="1047" t="s">
        <v>258</v>
      </c>
      <c r="B72" s="1048"/>
      <c r="C72" s="611" t="s">
        <v>64</v>
      </c>
      <c r="E72" s="627">
        <f t="shared" ref="E72:J72" si="32">SUM(E16:E30)</f>
        <v>9831.7382598612348</v>
      </c>
      <c r="F72" s="627">
        <f t="shared" si="32"/>
        <v>11225.625866138977</v>
      </c>
      <c r="G72" s="627">
        <f t="shared" si="32"/>
        <v>10167.620013908832</v>
      </c>
      <c r="H72" s="627">
        <f t="shared" si="32"/>
        <v>10218.742675489992</v>
      </c>
      <c r="I72" s="627">
        <f t="shared" si="32"/>
        <v>11031.85468273601</v>
      </c>
      <c r="J72" s="627">
        <f t="shared" si="32"/>
        <v>11625.209275134195</v>
      </c>
      <c r="K72" s="627">
        <f t="shared" ref="K72:L72" si="33">SUM(K16:K30)</f>
        <v>11342.922108587856</v>
      </c>
      <c r="L72" s="627">
        <f t="shared" si="33"/>
        <v>11320.232732153592</v>
      </c>
      <c r="M72" s="627">
        <f t="shared" ref="M72:P72" si="34">SUM(M16:M30)</f>
        <v>11306.84848522746</v>
      </c>
      <c r="N72" s="627">
        <f t="shared" si="34"/>
        <v>8368.0582180412366</v>
      </c>
      <c r="O72" s="627">
        <f t="shared" si="34"/>
        <v>8740.1695779171096</v>
      </c>
      <c r="P72" s="627">
        <f t="shared" si="34"/>
        <v>10811.595694419701</v>
      </c>
      <c r="Q72" s="627"/>
      <c r="R72" s="627"/>
      <c r="S72" s="627"/>
      <c r="T72" s="627"/>
      <c r="U72" s="627"/>
      <c r="V72" s="627"/>
      <c r="W72" s="627"/>
      <c r="X72" s="627"/>
      <c r="Y72" s="627"/>
      <c r="Z72" s="627"/>
    </row>
    <row r="73" spans="1:26">
      <c r="A73" s="1049"/>
      <c r="B73" s="1050"/>
      <c r="C73" s="231" t="s">
        <v>63</v>
      </c>
      <c r="E73" s="628">
        <f t="shared" ref="E73:J73" si="35">SUM(E40:E53)</f>
        <v>58.506618539947425</v>
      </c>
      <c r="F73" s="628">
        <f t="shared" si="35"/>
        <v>66.801352219035749</v>
      </c>
      <c r="G73" s="628">
        <f t="shared" si="35"/>
        <v>60.505380624452769</v>
      </c>
      <c r="H73" s="628">
        <f t="shared" si="35"/>
        <v>60.80960089362803</v>
      </c>
      <c r="I73" s="628">
        <f t="shared" si="35"/>
        <v>65.648260424711324</v>
      </c>
      <c r="J73" s="628">
        <f t="shared" si="35"/>
        <v>69.1791895319368</v>
      </c>
      <c r="K73" s="628">
        <f t="shared" ref="K73:L73" si="36">SUM(K40:K53)</f>
        <v>67.49935763087052</v>
      </c>
      <c r="L73" s="628">
        <f t="shared" si="36"/>
        <v>67.36433789612343</v>
      </c>
      <c r="M73" s="628">
        <f t="shared" ref="M73:P73" si="37">SUM(M40:M53)</f>
        <v>67.284691041350214</v>
      </c>
      <c r="N73" s="628">
        <f t="shared" si="37"/>
        <v>49.79656467074426</v>
      </c>
      <c r="O73" s="628">
        <f t="shared" si="37"/>
        <v>52.010921563819892</v>
      </c>
      <c r="P73" s="628">
        <f t="shared" si="37"/>
        <v>64.337545242023054</v>
      </c>
      <c r="Q73" s="628"/>
      <c r="R73" s="628"/>
      <c r="S73" s="628"/>
      <c r="T73" s="628"/>
      <c r="U73" s="628"/>
      <c r="V73" s="628"/>
      <c r="W73" s="628"/>
      <c r="X73" s="628"/>
      <c r="Y73" s="628"/>
      <c r="Z73" s="628"/>
    </row>
    <row r="74" spans="1:26">
      <c r="A74" s="1049"/>
      <c r="B74" s="1050"/>
      <c r="C74" s="231" t="s">
        <v>256</v>
      </c>
      <c r="E74" s="628">
        <f t="shared" ref="E74:J74" si="38">SUM(E72:E73)</f>
        <v>9890.2448784011831</v>
      </c>
      <c r="F74" s="628">
        <f t="shared" si="38"/>
        <v>11292.427218358012</v>
      </c>
      <c r="G74" s="628">
        <f t="shared" si="38"/>
        <v>10228.125394533285</v>
      </c>
      <c r="H74" s="628">
        <f t="shared" si="38"/>
        <v>10279.55227638362</v>
      </c>
      <c r="I74" s="628">
        <f t="shared" si="38"/>
        <v>11097.502943160722</v>
      </c>
      <c r="J74" s="628">
        <f t="shared" si="38"/>
        <v>11694.388464666132</v>
      </c>
      <c r="K74" s="628">
        <f t="shared" ref="K74:L74" si="39">SUM(K72:K73)</f>
        <v>11410.421466218726</v>
      </c>
      <c r="L74" s="628">
        <f t="shared" si="39"/>
        <v>11387.597070049716</v>
      </c>
      <c r="M74" s="628">
        <f t="shared" ref="M74:P74" si="40">SUM(M72:M73)</f>
        <v>11374.13317626881</v>
      </c>
      <c r="N74" s="628">
        <f t="shared" si="40"/>
        <v>8417.8547827119801</v>
      </c>
      <c r="O74" s="628">
        <f t="shared" si="40"/>
        <v>8792.1804994809299</v>
      </c>
      <c r="P74" s="628">
        <f t="shared" si="40"/>
        <v>10875.933239661723</v>
      </c>
      <c r="Q74" s="628"/>
      <c r="R74" s="628"/>
      <c r="S74" s="628"/>
      <c r="T74" s="628"/>
      <c r="U74" s="628"/>
      <c r="V74" s="628"/>
      <c r="W74" s="628"/>
      <c r="X74" s="628"/>
      <c r="Y74" s="628"/>
      <c r="Z74" s="628"/>
    </row>
    <row r="75" spans="1:26" ht="13.5" thickBot="1">
      <c r="A75" s="1051"/>
      <c r="B75" s="1052"/>
      <c r="C75" s="612" t="s">
        <v>257</v>
      </c>
      <c r="E75" s="629">
        <f>E74/'Prod &amp; Defects - Qty'!F8*1000000</f>
        <v>1003.3668814325619</v>
      </c>
      <c r="F75" s="629">
        <f>F74/'Prod &amp; Defects - Qty'!G8*1000000</f>
        <v>1003.3668814325616</v>
      </c>
      <c r="G75" s="629">
        <f>G74/'Prod &amp; Defects - Qty'!H8*1000000</f>
        <v>1003.3668814325616</v>
      </c>
      <c r="H75" s="629">
        <f>H74/'Prod &amp; Defects - Qty'!I8*1000000</f>
        <v>1003.3668814325616</v>
      </c>
      <c r="I75" s="629">
        <f>I74/'Prod &amp; Defects - Qty'!J8*1000000</f>
        <v>1003.3668814325619</v>
      </c>
      <c r="J75" s="629">
        <f>J74/'Prod &amp; Defects - Qty'!K8*1000000</f>
        <v>1003.3668814325621</v>
      </c>
      <c r="K75" s="629">
        <f>K74/'Prod &amp; Defects - Qty'!L8*1000000</f>
        <v>1003.3668814325614</v>
      </c>
      <c r="L75" s="629">
        <f>L74/'Prod &amp; Defects - Qty'!M8*1000000</f>
        <v>1003.3668814325621</v>
      </c>
      <c r="M75" s="629">
        <f>M74/'Prod &amp; Defects - Qty'!N8*1000000</f>
        <v>1003.3668814325619</v>
      </c>
      <c r="N75" s="629">
        <f>N74/'Prod &amp; Defects - Qty'!O8*1000000</f>
        <v>1003.3668814325619</v>
      </c>
      <c r="O75" s="629">
        <f>O74/'Prod &amp; Defects - Qty'!P8*1000000</f>
        <v>1003.3668814325616</v>
      </c>
      <c r="P75" s="629">
        <f>P74/'Prod &amp; Defects - Qty'!Q8*1000000</f>
        <v>1003.3668814325619</v>
      </c>
      <c r="Q75" s="629"/>
      <c r="R75" s="629"/>
      <c r="S75" s="629"/>
      <c r="T75" s="629"/>
      <c r="U75" s="629"/>
      <c r="V75" s="629"/>
      <c r="W75" s="629"/>
      <c r="X75" s="629"/>
      <c r="Y75" s="629"/>
      <c r="Z75" s="629"/>
    </row>
    <row r="76" spans="1:26">
      <c r="A76" s="1047" t="s">
        <v>259</v>
      </c>
      <c r="B76" s="1048"/>
      <c r="C76" s="611" t="s">
        <v>264</v>
      </c>
      <c r="E76" s="627">
        <f>(E55+E57)/E$66*1000000</f>
        <v>1369.3656098000611</v>
      </c>
      <c r="F76" s="627">
        <f t="shared" ref="F76:G76" si="41">(F55+F57)/F$66*1000000</f>
        <v>1369.3656098000611</v>
      </c>
      <c r="G76" s="627">
        <f t="shared" si="41"/>
        <v>1369.3656098000611</v>
      </c>
      <c r="H76" s="627">
        <f t="shared" ref="H76:I76" si="42">(H55+H57)/H$66*1000000</f>
        <v>1369.3656098000608</v>
      </c>
      <c r="I76" s="627">
        <f t="shared" si="42"/>
        <v>1369.3656098000611</v>
      </c>
      <c r="J76" s="627">
        <f t="shared" ref="J76:K76" si="43">(J55+J57)/J$66*1000000</f>
        <v>1369.3656098000611</v>
      </c>
      <c r="K76" s="627">
        <f t="shared" si="43"/>
        <v>1369.3656098000608</v>
      </c>
      <c r="L76" s="627">
        <f t="shared" ref="L76:M76" si="44">(L55+L57)/L$66*1000000</f>
        <v>1369.3656098000611</v>
      </c>
      <c r="M76" s="627">
        <f t="shared" si="44"/>
        <v>1369.3656098000608</v>
      </c>
      <c r="N76" s="627">
        <f t="shared" ref="N76:P76" si="45">(N55+N57)/N$66*1000000</f>
        <v>1369.3656098000611</v>
      </c>
      <c r="O76" s="627">
        <f t="shared" si="45"/>
        <v>1369.3656098000613</v>
      </c>
      <c r="P76" s="627">
        <f t="shared" si="45"/>
        <v>1369.3656098000613</v>
      </c>
      <c r="Q76" s="627"/>
      <c r="R76" s="627"/>
      <c r="S76" s="627"/>
      <c r="T76" s="627"/>
      <c r="U76" s="627"/>
      <c r="V76" s="627"/>
      <c r="W76" s="627"/>
      <c r="X76" s="627"/>
      <c r="Y76" s="627"/>
      <c r="Z76" s="627"/>
    </row>
    <row r="77" spans="1:26">
      <c r="A77" s="1049"/>
      <c r="B77" s="1050"/>
      <c r="C77" s="231" t="s">
        <v>265</v>
      </c>
      <c r="E77" s="628">
        <f>(E56+E58)/E$66*1000000</f>
        <v>55.077165831966582</v>
      </c>
      <c r="F77" s="628">
        <f t="shared" ref="F77:G77" si="46">(F56+F58)/F$66*1000000</f>
        <v>55.077165831966582</v>
      </c>
      <c r="G77" s="628">
        <f t="shared" si="46"/>
        <v>55.077165831966589</v>
      </c>
      <c r="H77" s="628">
        <f t="shared" ref="H77:I77" si="47">(H56+H58)/H$66*1000000</f>
        <v>55.077165831966596</v>
      </c>
      <c r="I77" s="628">
        <f t="shared" si="47"/>
        <v>55.077165831966589</v>
      </c>
      <c r="J77" s="628">
        <f t="shared" ref="J77:K77" si="48">(J56+J58)/J$66*1000000</f>
        <v>55.077165831966582</v>
      </c>
      <c r="K77" s="628">
        <f t="shared" si="48"/>
        <v>55.077165831966589</v>
      </c>
      <c r="L77" s="628">
        <f t="shared" ref="L77:M77" si="49">(L56+L58)/L$66*1000000</f>
        <v>55.077165831966596</v>
      </c>
      <c r="M77" s="628">
        <f t="shared" si="49"/>
        <v>55.077165831966589</v>
      </c>
      <c r="N77" s="628">
        <f t="shared" ref="N77:P77" si="50">(N56+N58)/N$66*1000000</f>
        <v>55.077165831966582</v>
      </c>
      <c r="O77" s="628">
        <f t="shared" si="50"/>
        <v>55.077165831966596</v>
      </c>
      <c r="P77" s="628">
        <f t="shared" si="50"/>
        <v>55.077165831966589</v>
      </c>
      <c r="Q77" s="628"/>
      <c r="R77" s="628"/>
      <c r="S77" s="628"/>
      <c r="T77" s="628"/>
      <c r="U77" s="628"/>
      <c r="V77" s="628"/>
      <c r="W77" s="628"/>
      <c r="X77" s="628"/>
      <c r="Y77" s="628"/>
      <c r="Z77" s="628"/>
    </row>
    <row r="78" spans="1:26" ht="13.5" thickBot="1">
      <c r="A78" s="1051"/>
      <c r="B78" s="1052"/>
      <c r="C78" s="612" t="s">
        <v>257</v>
      </c>
      <c r="E78" s="629">
        <f t="shared" ref="E78:J78" si="51">E76+E77</f>
        <v>1424.4427756320276</v>
      </c>
      <c r="F78" s="629">
        <f t="shared" si="51"/>
        <v>1424.4427756320276</v>
      </c>
      <c r="G78" s="629">
        <f t="shared" si="51"/>
        <v>1424.4427756320276</v>
      </c>
      <c r="H78" s="629">
        <f t="shared" si="51"/>
        <v>1424.4427756320274</v>
      </c>
      <c r="I78" s="629">
        <f t="shared" si="51"/>
        <v>1424.4427756320276</v>
      </c>
      <c r="J78" s="629">
        <f t="shared" si="51"/>
        <v>1424.4427756320276</v>
      </c>
      <c r="K78" s="629">
        <f t="shared" ref="K78:L78" si="52">K76+K77</f>
        <v>1424.4427756320274</v>
      </c>
      <c r="L78" s="629">
        <f t="shared" si="52"/>
        <v>1424.4427756320276</v>
      </c>
      <c r="M78" s="629">
        <f t="shared" ref="M78:P78" si="53">M76+M77</f>
        <v>1424.4427756320274</v>
      </c>
      <c r="N78" s="629">
        <f t="shared" si="53"/>
        <v>1424.4427756320276</v>
      </c>
      <c r="O78" s="629">
        <f t="shared" si="53"/>
        <v>1424.4427756320279</v>
      </c>
      <c r="P78" s="629">
        <f t="shared" si="53"/>
        <v>1424.4427756320279</v>
      </c>
      <c r="Q78" s="629"/>
      <c r="R78" s="629"/>
      <c r="S78" s="629"/>
      <c r="T78" s="629"/>
      <c r="U78" s="629"/>
      <c r="V78" s="629"/>
      <c r="W78" s="629"/>
      <c r="X78" s="629"/>
      <c r="Y78" s="629"/>
      <c r="Z78" s="629"/>
    </row>
    <row r="79" spans="1:26">
      <c r="A79" s="1047" t="s">
        <v>285</v>
      </c>
      <c r="B79" s="1048"/>
      <c r="C79" s="611" t="s">
        <v>264</v>
      </c>
      <c r="E79" s="627">
        <f>E64/E$66*1000000</f>
        <v>931.96490540396678</v>
      </c>
      <c r="F79" s="627">
        <f t="shared" ref="F79:G79" si="54">F64/F$66*1000000</f>
        <v>778.14815093952188</v>
      </c>
      <c r="G79" s="627">
        <f t="shared" si="54"/>
        <v>808.06614955089447</v>
      </c>
      <c r="H79" s="627">
        <f t="shared" ref="H79:I79" si="55">H64/H$66*1000000</f>
        <v>997.4615415111756</v>
      </c>
      <c r="I79" s="627">
        <f t="shared" si="55"/>
        <v>1273.3883346293198</v>
      </c>
      <c r="J79" s="627">
        <f t="shared" ref="J79:K79" si="56">J64/J$66*1000000</f>
        <v>1092.3860060080135</v>
      </c>
      <c r="K79" s="627">
        <f t="shared" si="56"/>
        <v>712.64716069447945</v>
      </c>
      <c r="L79" s="627">
        <f t="shared" ref="L79:M79" si="57">L64/L$66*1000000</f>
        <v>420.42093314816333</v>
      </c>
      <c r="M79" s="627">
        <f t="shared" si="57"/>
        <v>553.57665484191841</v>
      </c>
      <c r="N79" s="627">
        <f t="shared" ref="N79:P79" si="58">N64/N$66*1000000</f>
        <v>747.98802758828833</v>
      </c>
      <c r="O79" s="627">
        <f t="shared" si="58"/>
        <v>716.14255369496789</v>
      </c>
      <c r="P79" s="627">
        <f t="shared" si="58"/>
        <v>578.9346492569324</v>
      </c>
      <c r="Q79" s="627"/>
      <c r="R79" s="627"/>
      <c r="S79" s="627"/>
      <c r="T79" s="627"/>
      <c r="U79" s="627"/>
      <c r="V79" s="627"/>
      <c r="W79" s="627"/>
      <c r="X79" s="627"/>
      <c r="Y79" s="627"/>
      <c r="Z79" s="627"/>
    </row>
    <row r="80" spans="1:26">
      <c r="A80" s="1049"/>
      <c r="B80" s="1050"/>
      <c r="C80" s="231" t="s">
        <v>265</v>
      </c>
      <c r="E80" s="644">
        <f>E65/E$66*1000000</f>
        <v>36.509965366340978</v>
      </c>
      <c r="F80" s="644">
        <f t="shared" ref="F80:G80" si="59">F65/F$66*1000000</f>
        <v>65.451713630427051</v>
      </c>
      <c r="G80" s="644">
        <f t="shared" si="59"/>
        <v>52.95020353182499</v>
      </c>
      <c r="H80" s="644">
        <f t="shared" ref="H80:I80" si="60">H65/H$66*1000000</f>
        <v>76.100608071697323</v>
      </c>
      <c r="I80" s="644">
        <f t="shared" si="60"/>
        <v>115.99691307352103</v>
      </c>
      <c r="J80" s="644">
        <f t="shared" ref="J80:K80" si="61">J65/J$66*1000000</f>
        <v>16.243658081903547</v>
      </c>
      <c r="K80" s="644">
        <f t="shared" si="61"/>
        <v>91.365020601856358</v>
      </c>
      <c r="L80" s="644">
        <f t="shared" ref="L80:M80" si="62">L65/L$66*1000000</f>
        <v>37.442067837622687</v>
      </c>
      <c r="M80" s="644">
        <f t="shared" si="62"/>
        <v>23.682423736552661</v>
      </c>
      <c r="N80" s="644">
        <f t="shared" ref="N80:P80" si="63">N65/N$66*1000000</f>
        <v>31.99948781126367</v>
      </c>
      <c r="O80" s="644">
        <f t="shared" si="63"/>
        <v>30.637114596576165</v>
      </c>
      <c r="P80" s="644">
        <f t="shared" si="63"/>
        <v>24.767257722221707</v>
      </c>
      <c r="Q80" s="628"/>
      <c r="R80" s="628"/>
      <c r="S80" s="628"/>
      <c r="T80" s="628"/>
      <c r="U80" s="628"/>
      <c r="V80" s="628"/>
      <c r="W80" s="628"/>
      <c r="X80" s="628"/>
      <c r="Y80" s="628"/>
      <c r="Z80" s="628"/>
    </row>
    <row r="81" spans="1:26" ht="13.5" thickBot="1">
      <c r="A81" s="1051"/>
      <c r="B81" s="1052"/>
      <c r="C81" s="612" t="s">
        <v>257</v>
      </c>
      <c r="E81" s="629">
        <f>E79+E80</f>
        <v>968.4748707703078</v>
      </c>
      <c r="F81" s="629">
        <f t="shared" ref="F81:G81" si="64">F79+F80</f>
        <v>843.59986456994898</v>
      </c>
      <c r="G81" s="629">
        <f t="shared" si="64"/>
        <v>861.01635308271943</v>
      </c>
      <c r="H81" s="629">
        <f t="shared" ref="H81:I81" si="65">H79+H80</f>
        <v>1073.562149582873</v>
      </c>
      <c r="I81" s="629">
        <f t="shared" si="65"/>
        <v>1389.3852477028408</v>
      </c>
      <c r="J81" s="629">
        <f t="shared" ref="J81:K81" si="66">J79+J80</f>
        <v>1108.629664089917</v>
      </c>
      <c r="K81" s="629">
        <f t="shared" si="66"/>
        <v>804.01218129633583</v>
      </c>
      <c r="L81" s="629">
        <f t="shared" ref="L81:M81" si="67">L79+L80</f>
        <v>457.86300098578602</v>
      </c>
      <c r="M81" s="629">
        <f t="shared" si="67"/>
        <v>577.25907857847108</v>
      </c>
      <c r="N81" s="629">
        <f t="shared" ref="N81:P81" si="68">N79+N80</f>
        <v>779.98751539955197</v>
      </c>
      <c r="O81" s="629">
        <f t="shared" si="68"/>
        <v>746.779668291544</v>
      </c>
      <c r="P81" s="629">
        <f t="shared" si="68"/>
        <v>603.70190697915416</v>
      </c>
      <c r="Q81" s="629"/>
      <c r="R81" s="629"/>
      <c r="S81" s="629"/>
      <c r="T81" s="629"/>
      <c r="U81" s="629"/>
      <c r="V81" s="629"/>
      <c r="W81" s="629"/>
      <c r="X81" s="629"/>
      <c r="Y81" s="629"/>
      <c r="Z81" s="629"/>
    </row>
  </sheetData>
  <mergeCells count="16">
    <mergeCell ref="A1:E1"/>
    <mergeCell ref="B4:C4"/>
    <mergeCell ref="A79:B81"/>
    <mergeCell ref="Y4:Z4"/>
    <mergeCell ref="A16:A21"/>
    <mergeCell ref="A22:A33"/>
    <mergeCell ref="A35:A61"/>
    <mergeCell ref="A6:A15"/>
    <mergeCell ref="U4:V4"/>
    <mergeCell ref="E4:P4"/>
    <mergeCell ref="Q4:R4"/>
    <mergeCell ref="S4:T4"/>
    <mergeCell ref="W4:X4"/>
    <mergeCell ref="A67:B71"/>
    <mergeCell ref="A72:B75"/>
    <mergeCell ref="A76:B78"/>
  </mergeCells>
  <printOptions gridLinesSet="0"/>
  <pageMargins left="0.78740157480314965" right="0.19685039370078741" top="0.59055118110236227" bottom="0.59055118110236227" header="0.51181102362204722" footer="0.31496062992125984"/>
  <pageSetup paperSize="9" scale="39" orientation="landscape" r:id="rId1"/>
  <headerFooter alignWithMargins="0">
    <oddFooter>&amp;L&amp;A&amp;R&amp;F</oddFooter>
  </headerFooter>
  <ignoredErrors>
    <ignoredError sqref="T59:T61 T6:T56 T62" evalError="1"/>
    <ignoredError sqref="Y15 Y34 Y54 Y61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indexed="56"/>
    <pageSetUpPr fitToPage="1"/>
  </sheetPr>
  <dimension ref="A1:T103"/>
  <sheetViews>
    <sheetView showGridLines="0" topLeftCell="A46" zoomScaleNormal="100" zoomScaleSheetLayoutView="53" workbookViewId="0">
      <selection activeCell="M68" sqref="M68"/>
    </sheetView>
  </sheetViews>
  <sheetFormatPr defaultColWidth="11.42578125" defaultRowHeight="12.75"/>
  <cols>
    <col min="1" max="1" width="3.140625" style="75" bestFit="1" customWidth="1"/>
    <col min="2" max="2" width="14.28515625" style="75" customWidth="1"/>
    <col min="3" max="3" width="25.140625" style="75" bestFit="1" customWidth="1"/>
    <col min="4" max="4" width="8" style="75" customWidth="1"/>
    <col min="5" max="13" width="12.85546875" style="75" customWidth="1"/>
    <col min="14" max="16384" width="11.42578125" style="75"/>
  </cols>
  <sheetData>
    <row r="1" spans="1:19" ht="18" customHeight="1">
      <c r="A1" s="1026" t="s">
        <v>141</v>
      </c>
      <c r="B1" s="1026"/>
      <c r="C1" s="1026"/>
      <c r="D1" s="1026"/>
      <c r="E1" s="1026"/>
    </row>
    <row r="2" spans="1:19" ht="18" customHeight="1"/>
    <row r="3" spans="1:19" ht="9.9499999999999993" customHeight="1" thickBot="1"/>
    <row r="4" spans="1:19" ht="51">
      <c r="A4" s="861"/>
      <c r="B4" s="1059" t="s">
        <v>57</v>
      </c>
      <c r="C4" s="1060"/>
      <c r="D4" s="862" t="s">
        <v>202</v>
      </c>
      <c r="E4" s="1061" t="s">
        <v>82</v>
      </c>
      <c r="F4" s="1062"/>
      <c r="G4" s="1062"/>
      <c r="H4" s="1062"/>
      <c r="I4" s="1062"/>
      <c r="J4" s="1062"/>
      <c r="K4" s="1062"/>
      <c r="L4" s="1062"/>
      <c r="M4" s="1062"/>
      <c r="N4" s="1062"/>
      <c r="O4" s="1062"/>
      <c r="P4" s="1062"/>
      <c r="Q4" s="1056" t="s">
        <v>252</v>
      </c>
      <c r="R4" s="1057"/>
      <c r="S4" s="1058"/>
    </row>
    <row r="5" spans="1:19" ht="35.25" customHeight="1" thickBot="1">
      <c r="A5" s="873"/>
      <c r="B5" s="874" t="s">
        <v>51</v>
      </c>
      <c r="C5" s="875" t="s">
        <v>50</v>
      </c>
      <c r="D5" s="876">
        <f>'Falhas UM-1 - Qty'!E5</f>
        <v>2022</v>
      </c>
      <c r="E5" s="877">
        <f>'Falhas UM-1 - Cost'!F5</f>
        <v>44652</v>
      </c>
      <c r="F5" s="877">
        <f>'Falhas UM-1 - Cost'!G5</f>
        <v>44682</v>
      </c>
      <c r="G5" s="877">
        <f>'Falhas UM-1 - Cost'!H5</f>
        <v>44713</v>
      </c>
      <c r="H5" s="877">
        <f>'Falhas UM-1 - Cost'!I5</f>
        <v>44743</v>
      </c>
      <c r="I5" s="877">
        <f>'Falhas UM-1 - Cost'!J5</f>
        <v>44774</v>
      </c>
      <c r="J5" s="877">
        <f>'Falhas UM-1 - Cost'!K5</f>
        <v>44805</v>
      </c>
      <c r="K5" s="877">
        <f>'Falhas UM-1 - Cost'!L5</f>
        <v>44835</v>
      </c>
      <c r="L5" s="877">
        <f>'Falhas UM-1 - Cost'!M5</f>
        <v>44866</v>
      </c>
      <c r="M5" s="877">
        <f>'Falhas UM-1 - Cost'!$N5</f>
        <v>44896</v>
      </c>
      <c r="N5" s="877">
        <f>'Falhas UM-1 - Cost'!O5</f>
        <v>44927</v>
      </c>
      <c r="O5" s="877">
        <f>'Falhas UM-1 - Cost'!P5</f>
        <v>44958</v>
      </c>
      <c r="P5" s="879">
        <f>'Falhas UM-1 - Cost'!Q5</f>
        <v>44986</v>
      </c>
      <c r="Q5" s="884" t="str">
        <f>'Falhas UM-1 - Cost'!R5</f>
        <v>1st Half</v>
      </c>
      <c r="R5" s="877" t="str">
        <f>'Falhas UM-1 - Cost'!S5</f>
        <v>2nd Half</v>
      </c>
      <c r="S5" s="878" t="str">
        <f>'Falhas UM-1 - Cost'!T5</f>
        <v>Total</v>
      </c>
    </row>
    <row r="6" spans="1:19" ht="18" customHeight="1">
      <c r="A6" s="1032" t="s">
        <v>142</v>
      </c>
      <c r="B6" s="81">
        <v>4010</v>
      </c>
      <c r="C6" s="82" t="s">
        <v>143</v>
      </c>
      <c r="D6" s="314">
        <f>'[7]Falhas UM-4'!I7</f>
        <v>88.917599999999993</v>
      </c>
      <c r="E6" s="343">
        <f>$D6/1000*'Falhas UM-4 Qty'!E6</f>
        <v>43.6070594678052</v>
      </c>
      <c r="F6" s="343">
        <f>$D6/1000*'Falhas UM-4 Qty'!F6</f>
        <v>49.789418897219868</v>
      </c>
      <c r="G6" s="343">
        <f>$D6/1000*'Falhas UM-4 Qty'!G6</f>
        <v>45.096807794680515</v>
      </c>
      <c r="H6" s="343">
        <f>$D6/1000*'Falhas UM-4 Qty'!H6</f>
        <v>45.323553959478595</v>
      </c>
      <c r="I6" s="343">
        <f>$D6/1000*'Falhas UM-4 Qty'!I6</f>
        <v>48.929978654358948</v>
      </c>
      <c r="J6" s="343">
        <f>$D6/1000*'Falhas UM-4 Qty'!J6</f>
        <v>51.561705446948316</v>
      </c>
      <c r="K6" s="343">
        <f>$D6/1000*'Falhas UM-4 Qty'!K6</f>
        <v>50.309667106094651</v>
      </c>
      <c r="L6" s="343">
        <f>$D6/1000*'Falhas UM-4 Qty'!L6</f>
        <v>50.209032105313966</v>
      </c>
      <c r="M6" s="343">
        <f>$D6/1000*'Falhas UM-4 Qty'!M6</f>
        <v>50.149668477416917</v>
      </c>
      <c r="N6" s="343">
        <f>$D6/1000*'Falhas UM-4 Qty'!N6</f>
        <v>37.115147159067106</v>
      </c>
      <c r="O6" s="343">
        <f>$D6/1000*'Falhas UM-4 Qty'!O6</f>
        <v>38.765585949224871</v>
      </c>
      <c r="P6" s="818">
        <f>$D6/1000*'Falhas UM-4 Qty'!P6</f>
        <v>47.953056105368759</v>
      </c>
      <c r="Q6" s="823">
        <f>SUM(E6:J6)</f>
        <v>284.30852422049145</v>
      </c>
      <c r="R6" s="343">
        <f>SUM(K6:P6)</f>
        <v>274.50215690248626</v>
      </c>
      <c r="S6" s="796">
        <f>SUM(Q6:R6)</f>
        <v>558.81068112297771</v>
      </c>
    </row>
    <row r="7" spans="1:19" ht="18" customHeight="1">
      <c r="A7" s="1032"/>
      <c r="B7" s="81">
        <v>4020</v>
      </c>
      <c r="C7" s="82" t="s">
        <v>144</v>
      </c>
      <c r="D7" s="314">
        <f>'[7]Falhas UM-4'!I8</f>
        <v>88.917599999999993</v>
      </c>
      <c r="E7" s="343">
        <f>$D7/1000*'Falhas UM-4 Qty'!E7</f>
        <v>40.533128225666914</v>
      </c>
      <c r="F7" s="343">
        <f>$D7/1000*'Falhas UM-4 Qty'!F7</f>
        <v>46.279683268541</v>
      </c>
      <c r="G7" s="343">
        <f>$D7/1000*'Falhas UM-4 Qty'!G7</f>
        <v>41.917861814543542</v>
      </c>
      <c r="H7" s="343">
        <f>$D7/1000*'Falhas UM-4 Qty'!H7</f>
        <v>42.128624280176524</v>
      </c>
      <c r="I7" s="343">
        <f>$D7/1000*'Falhas UM-4 Qty'!I7</f>
        <v>45.480826340526875</v>
      </c>
      <c r="J7" s="343">
        <f>$D7/1000*'Falhas UM-4 Qty'!J7</f>
        <v>47.927038509859301</v>
      </c>
      <c r="K7" s="343">
        <f>$D7/1000*'Falhas UM-4 Qty'!K7</f>
        <v>46.763258350577068</v>
      </c>
      <c r="L7" s="343">
        <f>$D7/1000*'Falhas UM-4 Qty'!L7</f>
        <v>46.66971727166883</v>
      </c>
      <c r="M7" s="343">
        <f>$D7/1000*'Falhas UM-4 Qty'!M7</f>
        <v>46.614538280678438</v>
      </c>
      <c r="N7" s="343">
        <f>$D7/1000*'Falhas UM-4 Qty'!N7</f>
        <v>34.498841180145327</v>
      </c>
      <c r="O7" s="343">
        <f>$D7/1000*'Falhas UM-4 Qty'!O7</f>
        <v>36.032937904999464</v>
      </c>
      <c r="P7" s="818">
        <f>$D7/1000*'Falhas UM-4 Qty'!P7</f>
        <v>44.572768621707304</v>
      </c>
      <c r="Q7" s="823">
        <f t="shared" ref="Q7:Q62" si="0">SUM(E7:J7)</f>
        <v>264.26716243931418</v>
      </c>
      <c r="R7" s="343">
        <f t="shared" ref="R7:R62" si="1">SUM(K7:P7)</f>
        <v>255.15206160977641</v>
      </c>
      <c r="S7" s="796">
        <f t="shared" ref="S7:S62" si="2">SUM(Q7:R7)</f>
        <v>519.41922404909064</v>
      </c>
    </row>
    <row r="8" spans="1:19" ht="18" customHeight="1">
      <c r="A8" s="1032"/>
      <c r="B8" s="81">
        <v>4030</v>
      </c>
      <c r="C8" s="82" t="s">
        <v>145</v>
      </c>
      <c r="D8" s="314">
        <f>'[7]Falhas UM-4'!I9</f>
        <v>110.66759999999999</v>
      </c>
      <c r="E8" s="343">
        <f>$D8/1000*'Falhas UM-4 Qty'!E8</f>
        <v>9.842684358375589</v>
      </c>
      <c r="F8" s="343">
        <f>$D8/1000*'Falhas UM-4 Qty'!F8</f>
        <v>11.238123839881593</v>
      </c>
      <c r="G8" s="343">
        <f>$D8/1000*'Falhas UM-4 Qty'!G8</f>
        <v>10.178940064075661</v>
      </c>
      <c r="H8" s="343">
        <f>$D8/1000*'Falhas UM-4 Qty'!H8</f>
        <v>10.230119642722267</v>
      </c>
      <c r="I8" s="343">
        <f>$D8/1000*'Falhas UM-4 Qty'!I8</f>
        <v>11.044136922657534</v>
      </c>
      <c r="J8" s="343">
        <f>$D8/1000*'Falhas UM-4 Qty'!J8</f>
        <v>11.638152122330917</v>
      </c>
      <c r="K8" s="343">
        <f>$D8/1000*'Falhas UM-4 Qty'!K8</f>
        <v>11.355550673299364</v>
      </c>
      <c r="L8" s="343">
        <f>$D8/1000*'Falhas UM-4 Qty'!L8</f>
        <v>11.332836035803101</v>
      </c>
      <c r="M8" s="343">
        <f>$D8/1000*'Falhas UM-4 Qty'!M8</f>
        <v>11.319436887617243</v>
      </c>
      <c r="N8" s="343">
        <f>$D8/1000*'Falhas UM-4 Qty'!N8</f>
        <v>8.377374738396794</v>
      </c>
      <c r="O8" s="343">
        <f>$D8/1000*'Falhas UM-4 Qty'!O8</f>
        <v>8.7499003859088784</v>
      </c>
      <c r="P8" s="818">
        <f>$D8/1000*'Falhas UM-4 Qty'!P8</f>
        <v>10.823632710503784</v>
      </c>
      <c r="Q8" s="823">
        <f t="shared" si="0"/>
        <v>64.172156950043558</v>
      </c>
      <c r="R8" s="343">
        <f t="shared" si="1"/>
        <v>61.958731431529174</v>
      </c>
      <c r="S8" s="796">
        <f t="shared" si="2"/>
        <v>126.13088838157273</v>
      </c>
    </row>
    <row r="9" spans="1:19" ht="18" customHeight="1">
      <c r="A9" s="1032"/>
      <c r="B9" s="81">
        <v>4040</v>
      </c>
      <c r="C9" s="82" t="s">
        <v>146</v>
      </c>
      <c r="D9" s="314">
        <f>'[7]Falhas UM-4'!I10</f>
        <v>110.66759999999999</v>
      </c>
      <c r="E9" s="343">
        <f>$D9/1000*'Falhas UM-4 Qty'!E9</f>
        <v>155.05658887972791</v>
      </c>
      <c r="F9" s="343">
        <f>$D9/1000*'Falhas UM-4 Qty'!F9</f>
        <v>177.0396250223323</v>
      </c>
      <c r="G9" s="343">
        <f>$D9/1000*'Falhas UM-4 Qty'!G9</f>
        <v>160.35378838535181</v>
      </c>
      <c r="H9" s="343">
        <f>$D9/1000*'Falhas UM-4 Qty'!H9</f>
        <v>161.16004515396304</v>
      </c>
      <c r="I9" s="343">
        <f>$D9/1000*'Falhas UM-4 Qty'!I9</f>
        <v>173.98365486451036</v>
      </c>
      <c r="J9" s="343">
        <f>$D9/1000*'Falhas UM-4 Qty'!J9</f>
        <v>183.34146491413244</v>
      </c>
      <c r="K9" s="343">
        <f>$D9/1000*'Falhas UM-4 Qty'!K9</f>
        <v>178.88950698235004</v>
      </c>
      <c r="L9" s="343">
        <f>$D9/1000*'Falhas UM-4 Qty'!L9</f>
        <v>178.53167226170157</v>
      </c>
      <c r="M9" s="343">
        <f>$D9/1000*'Falhas UM-4 Qty'!M9</f>
        <v>178.32058897019837</v>
      </c>
      <c r="N9" s="343">
        <f>$D9/1000*'Falhas UM-4 Qty'!N9</f>
        <v>131.97285449854536</v>
      </c>
      <c r="O9" s="343">
        <f>$D9/1000*'Falhas UM-4 Qty'!O9</f>
        <v>137.84143201970534</v>
      </c>
      <c r="P9" s="818">
        <f>$D9/1000*'Falhas UM-4 Qty'!P9</f>
        <v>170.50994487592601</v>
      </c>
      <c r="Q9" s="823">
        <f t="shared" si="0"/>
        <v>1010.9351672200177</v>
      </c>
      <c r="R9" s="343">
        <f t="shared" si="1"/>
        <v>976.06599960842664</v>
      </c>
      <c r="S9" s="796">
        <f t="shared" si="2"/>
        <v>1987.0011668284442</v>
      </c>
    </row>
    <row r="10" spans="1:19" ht="18" customHeight="1">
      <c r="A10" s="1032"/>
      <c r="B10" s="81">
        <v>4050</v>
      </c>
      <c r="C10" s="82" t="s">
        <v>147</v>
      </c>
      <c r="D10" s="314">
        <f>'[7]Falhas UM-4'!I11</f>
        <v>130.66759999999999</v>
      </c>
      <c r="E10" s="343">
        <f>$D10/1000*'Falhas UM-4 Qty'!E10</f>
        <v>13.78342945079423</v>
      </c>
      <c r="F10" s="343">
        <f>$D10/1000*'Falhas UM-4 Qty'!F10</f>
        <v>15.737565227770952</v>
      </c>
      <c r="G10" s="343">
        <f>$D10/1000*'Falhas UM-4 Qty'!G10</f>
        <v>14.254312863102383</v>
      </c>
      <c r="H10" s="343">
        <f>$D10/1000*'Falhas UM-4 Qty'!H10</f>
        <v>14.325983363335034</v>
      </c>
      <c r="I10" s="343">
        <f>$D10/1000*'Falhas UM-4 Qty'!I10</f>
        <v>15.46591118598919</v>
      </c>
      <c r="J10" s="343">
        <f>$D10/1000*'Falhas UM-4 Qty'!J10</f>
        <v>16.297754034879326</v>
      </c>
      <c r="K10" s="343">
        <f>$D10/1000*'Falhas UM-4 Qty'!K10</f>
        <v>15.902006595096394</v>
      </c>
      <c r="L10" s="343">
        <f>$D10/1000*'Falhas UM-4 Qty'!L10</f>
        <v>15.870197629977676</v>
      </c>
      <c r="M10" s="343">
        <f>$D10/1000*'Falhas UM-4 Qty'!M10</f>
        <v>15.851433824597352</v>
      </c>
      <c r="N10" s="343">
        <f>$D10/1000*'Falhas UM-4 Qty'!N10</f>
        <v>11.73144941819659</v>
      </c>
      <c r="O10" s="343">
        <f>$D10/1000*'Falhas UM-4 Qty'!O10</f>
        <v>12.253124277832308</v>
      </c>
      <c r="P10" s="818">
        <f>$D10/1000*'Falhas UM-4 Qty'!P10</f>
        <v>15.157123040279945</v>
      </c>
      <c r="Q10" s="823">
        <f t="shared" si="0"/>
        <v>89.864956125871117</v>
      </c>
      <c r="R10" s="343">
        <f t="shared" si="1"/>
        <v>86.765334785980258</v>
      </c>
      <c r="S10" s="796">
        <f t="shared" si="2"/>
        <v>176.63029091185138</v>
      </c>
    </row>
    <row r="11" spans="1:19" ht="18" customHeight="1">
      <c r="A11" s="1032"/>
      <c r="B11" s="81">
        <v>4060</v>
      </c>
      <c r="C11" s="82" t="s">
        <v>148</v>
      </c>
      <c r="D11" s="314">
        <f>'[7]Falhas UM-4'!I12</f>
        <v>130.66759999999999</v>
      </c>
      <c r="E11" s="343">
        <f>$D11/1000*'Falhas UM-4 Qty'!E11</f>
        <v>2.268955494901574</v>
      </c>
      <c r="F11" s="343">
        <f>$D11/1000*'Falhas UM-4 Qty'!F11</f>
        <v>2.5906350250057169</v>
      </c>
      <c r="G11" s="343">
        <f>$D11/1000*'Falhas UM-4 Qty'!G11</f>
        <v>2.3464698399075639</v>
      </c>
      <c r="H11" s="343">
        <f>$D11/1000*'Falhas UM-4 Qty'!H11</f>
        <v>2.3582678598347342</v>
      </c>
      <c r="I11" s="343">
        <f>$D11/1000*'Falhas UM-4 Qty'!I11</f>
        <v>2.5459167687101156</v>
      </c>
      <c r="J11" s="343">
        <f>$D11/1000*'Falhas UM-4 Qty'!J11</f>
        <v>2.6828503533177619</v>
      </c>
      <c r="K11" s="343">
        <f>$D11/1000*'Falhas UM-4 Qty'!K11</f>
        <v>2.6177044960190203</v>
      </c>
      <c r="L11" s="343">
        <f>$D11/1000*'Falhas UM-4 Qty'!L11</f>
        <v>2.6124682718666135</v>
      </c>
      <c r="M11" s="343">
        <f>$D11/1000*'Falhas UM-4 Qty'!M11</f>
        <v>2.6093794731409452</v>
      </c>
      <c r="N11" s="343">
        <f>$D11/1000*'Falhas UM-4 Qty'!N11</f>
        <v>1.9311693592368795</v>
      </c>
      <c r="O11" s="343">
        <f>$D11/1000*'Falhas UM-4 Qty'!O11</f>
        <v>2.0170447245476706</v>
      </c>
      <c r="P11" s="818">
        <f>$D11/1000*'Falhas UM-4 Qty'!P11</f>
        <v>2.4950856919836277</v>
      </c>
      <c r="Q11" s="823">
        <f t="shared" si="0"/>
        <v>14.793095341677468</v>
      </c>
      <c r="R11" s="343">
        <f t="shared" si="1"/>
        <v>14.282852016794756</v>
      </c>
      <c r="S11" s="796">
        <f t="shared" si="2"/>
        <v>29.075947358472224</v>
      </c>
    </row>
    <row r="12" spans="1:19" ht="18" customHeight="1">
      <c r="A12" s="1032"/>
      <c r="B12" s="81">
        <v>4070</v>
      </c>
      <c r="C12" s="82" t="s">
        <v>149</v>
      </c>
      <c r="D12" s="314">
        <f>'[7]Falhas UM-4'!I13</f>
        <v>130.66759999999999</v>
      </c>
      <c r="E12" s="343">
        <f>$D12/1000*'Falhas UM-4 Qty'!E12</f>
        <v>14.808208506896301</v>
      </c>
      <c r="F12" s="343">
        <f>$D12/1000*'Falhas UM-4 Qty'!F12</f>
        <v>16.907631596016525</v>
      </c>
      <c r="G12" s="343">
        <f>$D12/1000*'Falhas UM-4 Qty'!G12</f>
        <v>15.31410145442368</v>
      </c>
      <c r="H12" s="343">
        <f>$D12/1000*'Falhas UM-4 Qty'!H12</f>
        <v>15.391100557950667</v>
      </c>
      <c r="I12" s="343">
        <f>$D12/1000*'Falhas UM-4 Qty'!I12</f>
        <v>16.61578044918792</v>
      </c>
      <c r="J12" s="343">
        <f>$D12/1000*'Falhas UM-4 Qty'!J12</f>
        <v>17.509469671838236</v>
      </c>
      <c r="K12" s="343">
        <f>$D12/1000*'Falhas UM-4 Qty'!K12</f>
        <v>17.084298953237553</v>
      </c>
      <c r="L12" s="343">
        <f>$D12/1000*'Falhas UM-4 Qty'!L12</f>
        <v>17.050125035233464</v>
      </c>
      <c r="M12" s="343">
        <f>$D12/1000*'Falhas UM-4 Qty'!M12</f>
        <v>17.029966166684343</v>
      </c>
      <c r="N12" s="343">
        <f>$D12/1000*'Falhas UM-4 Qty'!N12</f>
        <v>12.60366657608221</v>
      </c>
      <c r="O12" s="343">
        <f>$D12/1000*'Falhas UM-4 Qty'!O12</f>
        <v>13.164127245313296</v>
      </c>
      <c r="P12" s="818">
        <f>$D12/1000*'Falhas UM-4 Qty'!P12</f>
        <v>16.284034328787033</v>
      </c>
      <c r="Q12" s="823">
        <f t="shared" si="0"/>
        <v>96.54629223631332</v>
      </c>
      <c r="R12" s="343">
        <f t="shared" si="1"/>
        <v>93.216218305337904</v>
      </c>
      <c r="S12" s="796">
        <f t="shared" si="2"/>
        <v>189.76251054165124</v>
      </c>
    </row>
    <row r="13" spans="1:19" ht="18" customHeight="1">
      <c r="A13" s="1032"/>
      <c r="B13" s="81">
        <v>4080</v>
      </c>
      <c r="C13" s="82" t="s">
        <v>150</v>
      </c>
      <c r="D13" s="314">
        <f>'[7]Falhas UM-4'!I14</f>
        <v>160.00289999999998</v>
      </c>
      <c r="E13" s="343">
        <f>$D13/1000*'Falhas UM-4 Qty'!E13</f>
        <v>617.49604338220854</v>
      </c>
      <c r="F13" s="343">
        <f>$D13/1000*'Falhas UM-4 Qty'!F13</f>
        <v>705.04109991711982</v>
      </c>
      <c r="G13" s="343">
        <f>$D13/1000*'Falhas UM-4 Qty'!G13</f>
        <v>638.59156572899599</v>
      </c>
      <c r="H13" s="343">
        <f>$D13/1000*'Falhas UM-4 Qty'!H13</f>
        <v>641.80239584053504</v>
      </c>
      <c r="I13" s="343">
        <f>$D13/1000*'Falhas UM-4 Qty'!I13</f>
        <v>692.87103030071114</v>
      </c>
      <c r="J13" s="343">
        <f>$D13/1000*'Falhas UM-4 Qty'!J13</f>
        <v>730.1374936100907</v>
      </c>
      <c r="K13" s="343">
        <f>$D13/1000*'Falhas UM-4 Qty'!K13</f>
        <v>712.40805413227486</v>
      </c>
      <c r="L13" s="343">
        <f>$D13/1000*'Falhas UM-4 Qty'!L13</f>
        <v>710.98301617818584</v>
      </c>
      <c r="M13" s="343">
        <f>$D13/1000*'Falhas UM-4 Qty'!M13</f>
        <v>710.14239986984933</v>
      </c>
      <c r="N13" s="343">
        <f>$D13/1000*'Falhas UM-4 Qty'!N13</f>
        <v>525.56757552507986</v>
      </c>
      <c r="O13" s="343">
        <f>$D13/1000*'Falhas UM-4 Qty'!O13</f>
        <v>548.93854883088966</v>
      </c>
      <c r="P13" s="818">
        <f>$D13/1000*'Falhas UM-4 Qty'!P13</f>
        <v>679.03735712819037</v>
      </c>
      <c r="Q13" s="823">
        <f t="shared" si="0"/>
        <v>4025.9396287796612</v>
      </c>
      <c r="R13" s="343">
        <f t="shared" si="1"/>
        <v>3887.07695166447</v>
      </c>
      <c r="S13" s="796">
        <f t="shared" si="2"/>
        <v>7913.0165804441313</v>
      </c>
    </row>
    <row r="14" spans="1:19" ht="18" customHeight="1">
      <c r="A14" s="1032"/>
      <c r="B14" s="81">
        <v>4090</v>
      </c>
      <c r="C14" s="82" t="s">
        <v>151</v>
      </c>
      <c r="D14" s="314">
        <f>'[7]Falhas UM-4'!I15</f>
        <v>160.00289999999998</v>
      </c>
      <c r="E14" s="343">
        <f>$D14/1000*'Falhas UM-4 Qty'!E14</f>
        <v>5.6568827595474005</v>
      </c>
      <c r="F14" s="343">
        <f>$D14/1000*'Falhas UM-4 Qty'!F14</f>
        <v>6.4588832359932251</v>
      </c>
      <c r="G14" s="343">
        <f>$D14/1000*'Falhas UM-4 Qty'!G14</f>
        <v>5.850138891220011</v>
      </c>
      <c r="H14" s="343">
        <f>$D14/1000*'Falhas UM-4 Qty'!H14</f>
        <v>5.8795533137032967</v>
      </c>
      <c r="I14" s="343">
        <f>$D14/1000*'Falhas UM-4 Qty'!I14</f>
        <v>6.347393198553517</v>
      </c>
      <c r="J14" s="343">
        <f>$D14/1000*'Falhas UM-4 Qty'!J14</f>
        <v>6.6887913598266717</v>
      </c>
      <c r="K14" s="343">
        <f>$D14/1000*'Falhas UM-4 Qty'!K14</f>
        <v>6.5263719215268585</v>
      </c>
      <c r="L14" s="343">
        <f>$D14/1000*'Falhas UM-4 Qty'!L14</f>
        <v>6.5133171453536658</v>
      </c>
      <c r="M14" s="343">
        <f>$D14/1000*'Falhas UM-4 Qty'!M14</f>
        <v>6.5056162573026635</v>
      </c>
      <c r="N14" s="343">
        <f>$D14/1000*'Falhas UM-4 Qty'!N14</f>
        <v>4.8147258412872471</v>
      </c>
      <c r="O14" s="343">
        <f>$D14/1000*'Falhas UM-4 Qty'!O14</f>
        <v>5.0288273847454725</v>
      </c>
      <c r="P14" s="818">
        <f>$D14/1000*'Falhas UM-4 Qty'!P14</f>
        <v>6.2206628848786005</v>
      </c>
      <c r="Q14" s="823">
        <f t="shared" si="0"/>
        <v>36.881642758844123</v>
      </c>
      <c r="R14" s="343">
        <f t="shared" si="1"/>
        <v>35.609521435094507</v>
      </c>
      <c r="S14" s="796">
        <f t="shared" si="2"/>
        <v>72.49116419393863</v>
      </c>
    </row>
    <row r="15" spans="1:19" ht="18" customHeight="1" thickBot="1">
      <c r="A15" s="1032"/>
      <c r="B15" s="84"/>
      <c r="C15" s="85" t="s">
        <v>1</v>
      </c>
      <c r="D15" s="317"/>
      <c r="E15" s="346">
        <f>SUBTOTAL(109,E6:E14)</f>
        <v>903.05298052592366</v>
      </c>
      <c r="F15" s="346">
        <f t="shared" ref="F15:M15" si="3">SUBTOTAL(109,F6:F14)</f>
        <v>1031.082666029881</v>
      </c>
      <c r="G15" s="346">
        <f t="shared" si="3"/>
        <v>933.9039868363011</v>
      </c>
      <c r="H15" s="346">
        <f t="shared" si="3"/>
        <v>938.59964397169904</v>
      </c>
      <c r="I15" s="346">
        <f t="shared" si="3"/>
        <v>1013.2846286852056</v>
      </c>
      <c r="J15" s="346">
        <f t="shared" si="3"/>
        <v>1067.7847200232236</v>
      </c>
      <c r="K15" s="346">
        <f t="shared" si="3"/>
        <v>1041.8564192104759</v>
      </c>
      <c r="L15" s="346">
        <f t="shared" si="3"/>
        <v>1039.7723819351047</v>
      </c>
      <c r="M15" s="346">
        <f t="shared" si="3"/>
        <v>1038.5430282074856</v>
      </c>
      <c r="N15" s="346">
        <f>SUBTOTAL(109,N6:N14)</f>
        <v>768.61280429603733</v>
      </c>
      <c r="O15" s="346">
        <f t="shared" ref="O15" si="4">SUBTOTAL(109,O6:O14)</f>
        <v>802.79152872316695</v>
      </c>
      <c r="P15" s="346">
        <f t="shared" ref="P15" si="5">SUBTOTAL(109,P6:P14)</f>
        <v>993.05366538762541</v>
      </c>
      <c r="Q15" s="826">
        <f t="shared" si="0"/>
        <v>5887.7086260722344</v>
      </c>
      <c r="R15" s="346">
        <f t="shared" si="1"/>
        <v>5684.6298277598962</v>
      </c>
      <c r="S15" s="800">
        <f t="shared" si="2"/>
        <v>11572.33845383213</v>
      </c>
    </row>
    <row r="16" spans="1:19" ht="18" customHeight="1" thickTop="1">
      <c r="A16" s="1032" t="s">
        <v>37</v>
      </c>
      <c r="B16" s="81">
        <v>4130</v>
      </c>
      <c r="C16" s="82" t="s">
        <v>152</v>
      </c>
      <c r="D16" s="314">
        <f>'[7]Falhas UM-4'!I17</f>
        <v>160.00289999999998</v>
      </c>
      <c r="E16" s="343">
        <f>$D16/1000*'Falhas UM-4 Qty'!E16</f>
        <v>3.2633330557867858E-2</v>
      </c>
      <c r="F16" s="343">
        <f>$D16/1000*'Falhas UM-4 Qty'!F16</f>
        <v>3.7259897479597397E-2</v>
      </c>
      <c r="G16" s="343">
        <f>$D16/1000*'Falhas UM-4 Qty'!G16</f>
        <v>3.3748183294839154E-2</v>
      </c>
      <c r="H16" s="343">
        <f>$D16/1000*'Falhas UM-4 Qty'!H16</f>
        <v>3.3917868722815506E-2</v>
      </c>
      <c r="I16" s="343">
        <f>$D16/1000*'Falhas UM-4 Qty'!I16</f>
        <v>3.6616735618139586E-2</v>
      </c>
      <c r="J16" s="343">
        <f>$D16/1000*'Falhas UM-4 Qty'!J16</f>
        <v>3.858618761533221E-2</v>
      </c>
      <c r="K16" s="343">
        <f>$D16/1000*'Falhas UM-4 Qty'!K16</f>
        <v>3.7649225078833566E-2</v>
      </c>
      <c r="L16" s="343">
        <f>$D16/1000*'Falhas UM-4 Qty'!L16</f>
        <v>3.7573914904603815E-2</v>
      </c>
      <c r="M16" s="343">
        <f>$D16/1000*'Falhas UM-4 Qty'!M16</f>
        <v>3.7529490150540572E-2</v>
      </c>
      <c r="N16" s="343">
        <f>$D16/1000*'Falhas UM-4 Qty'!N16</f>
        <v>2.7775109826883904E-2</v>
      </c>
      <c r="O16" s="343">
        <f>$D16/1000*'Falhas UM-4 Qty'!O16</f>
        <v>2.9010215226377988E-2</v>
      </c>
      <c r="P16" s="818">
        <f>$D16/1000*'Falhas UM-4 Qty'!P16</f>
        <v>3.5885655906283107E-2</v>
      </c>
      <c r="Q16" s="823">
        <f t="shared" si="0"/>
        <v>0.21276220328859169</v>
      </c>
      <c r="R16" s="343">
        <f t="shared" si="1"/>
        <v>0.20542361109352297</v>
      </c>
      <c r="S16" s="796">
        <f t="shared" si="2"/>
        <v>0.41818581438211466</v>
      </c>
    </row>
    <row r="17" spans="1:19" ht="18" customHeight="1">
      <c r="A17" s="1032"/>
      <c r="B17" s="81">
        <v>4140</v>
      </c>
      <c r="C17" s="89" t="s">
        <v>153</v>
      </c>
      <c r="D17" s="314">
        <f>'[7]Falhas UM-4'!I18</f>
        <v>20.357800000000001</v>
      </c>
      <c r="E17" s="343">
        <f>$D17/1000*'Falhas UM-4 Qty'!E17</f>
        <v>179.85414638526072</v>
      </c>
      <c r="F17" s="343">
        <f>$D17/1000*'Falhas UM-4 Qty'!F17</f>
        <v>205.35283837216636</v>
      </c>
      <c r="G17" s="343">
        <f>$D17/1000*'Falhas UM-4 Qty'!G17</f>
        <v>185.99850504940881</v>
      </c>
      <c r="H17" s="343">
        <f>$D17/1000*'Falhas UM-4 Qty'!H17</f>
        <v>186.93370312085867</v>
      </c>
      <c r="I17" s="343">
        <f>$D17/1000*'Falhas UM-4 Qty'!I17</f>
        <v>201.80813957487612</v>
      </c>
      <c r="J17" s="343">
        <f>$D17/1000*'Falhas UM-4 Qty'!J17</f>
        <v>212.66250539492952</v>
      </c>
      <c r="K17" s="343">
        <f>$D17/1000*'Falhas UM-4 Qty'!K17</f>
        <v>207.49856428575882</v>
      </c>
      <c r="L17" s="343">
        <f>$D17/1000*'Falhas UM-4 Qty'!L17</f>
        <v>207.08350254156451</v>
      </c>
      <c r="M17" s="343">
        <f>$D17/1000*'Falhas UM-4 Qty'!M17</f>
        <v>206.83866157425194</v>
      </c>
      <c r="N17" s="343">
        <f>$D17/1000*'Falhas UM-4 Qty'!N17</f>
        <v>153.07872605319071</v>
      </c>
      <c r="O17" s="343">
        <f>$D17/1000*'Falhas UM-4 Qty'!O17</f>
        <v>159.88584085037397</v>
      </c>
      <c r="P17" s="818">
        <f>$D17/1000*'Falhas UM-4 Qty'!P17</f>
        <v>197.77889354734097</v>
      </c>
      <c r="Q17" s="823">
        <f t="shared" si="0"/>
        <v>1172.6098378975003</v>
      </c>
      <c r="R17" s="343">
        <f t="shared" si="1"/>
        <v>1132.1641888524809</v>
      </c>
      <c r="S17" s="796">
        <f t="shared" si="2"/>
        <v>2304.7740267499812</v>
      </c>
    </row>
    <row r="18" spans="1:19" ht="18" customHeight="1">
      <c r="A18" s="1032"/>
      <c r="B18" s="81">
        <v>4150</v>
      </c>
      <c r="C18" s="89" t="s">
        <v>154</v>
      </c>
      <c r="D18" s="314">
        <f>'[7]Falhas UM-4'!I19</f>
        <v>20.357800000000001</v>
      </c>
      <c r="E18" s="343">
        <f>$D18/1000*'Falhas UM-4 Qty'!E18</f>
        <v>0</v>
      </c>
      <c r="F18" s="343">
        <f>$D18/1000*'Falhas UM-4 Qty'!F18</f>
        <v>0</v>
      </c>
      <c r="G18" s="343">
        <f>$D18/1000*'Falhas UM-4 Qty'!G18</f>
        <v>0</v>
      </c>
      <c r="H18" s="343">
        <f>$D18/1000*'Falhas UM-4 Qty'!H18</f>
        <v>0</v>
      </c>
      <c r="I18" s="343">
        <f>$D18/1000*'Falhas UM-4 Qty'!I18</f>
        <v>0</v>
      </c>
      <c r="J18" s="343">
        <f>$D18/1000*'Falhas UM-4 Qty'!J18</f>
        <v>0</v>
      </c>
      <c r="K18" s="343">
        <f>$D18/1000*'Falhas UM-4 Qty'!K18</f>
        <v>0</v>
      </c>
      <c r="L18" s="343">
        <f>$D18/1000*'Falhas UM-4 Qty'!L18</f>
        <v>0</v>
      </c>
      <c r="M18" s="343">
        <f>$D18/1000*'Falhas UM-4 Qty'!M18</f>
        <v>0</v>
      </c>
      <c r="N18" s="343">
        <f>$D18/1000*'Falhas UM-4 Qty'!N18</f>
        <v>0</v>
      </c>
      <c r="O18" s="343">
        <f>$D18/1000*'Falhas UM-4 Qty'!O18</f>
        <v>0</v>
      </c>
      <c r="P18" s="818">
        <f>$D18/1000*'Falhas UM-4 Qty'!P18</f>
        <v>0</v>
      </c>
      <c r="Q18" s="823">
        <f t="shared" si="0"/>
        <v>0</v>
      </c>
      <c r="R18" s="343">
        <f t="shared" si="1"/>
        <v>0</v>
      </c>
      <c r="S18" s="796">
        <f t="shared" si="2"/>
        <v>0</v>
      </c>
    </row>
    <row r="19" spans="1:19" ht="18" customHeight="1">
      <c r="A19" s="1032"/>
      <c r="B19" s="81">
        <v>4160</v>
      </c>
      <c r="C19" s="89" t="s">
        <v>155</v>
      </c>
      <c r="D19" s="314">
        <f>'[7]Falhas UM-4'!I20</f>
        <v>20.357800000000001</v>
      </c>
      <c r="E19" s="343">
        <f>$D19/1000*'Falhas UM-4 Qty'!E19</f>
        <v>1.1854378287411881E-2</v>
      </c>
      <c r="F19" s="343">
        <f>$D19/1000*'Falhas UM-4 Qty'!F19</f>
        <v>1.3535024225924142E-2</v>
      </c>
      <c r="G19" s="343">
        <f>$D19/1000*'Falhas UM-4 Qty'!G19</f>
        <v>1.2259359509153221E-2</v>
      </c>
      <c r="H19" s="343">
        <f>$D19/1000*'Falhas UM-4 Qty'!H19</f>
        <v>1.23209994097918E-2</v>
      </c>
      <c r="I19" s="343">
        <f>$D19/1000*'Falhas UM-4 Qty'!I19</f>
        <v>1.33013893539874E-2</v>
      </c>
      <c r="J19" s="343">
        <f>$D19/1000*'Falhas UM-4 Qty'!J19</f>
        <v>1.4016812162340355E-2</v>
      </c>
      <c r="K19" s="343">
        <f>$D19/1000*'Falhas UM-4 Qty'!K19</f>
        <v>1.3676451305544205E-2</v>
      </c>
      <c r="L19" s="343">
        <f>$D19/1000*'Falhas UM-4 Qty'!L19</f>
        <v>1.3649094144048621E-2</v>
      </c>
      <c r="M19" s="343">
        <f>$D19/1000*'Falhas UM-4 Qty'!M19</f>
        <v>1.363295641519937E-2</v>
      </c>
      <c r="N19" s="343">
        <f>$D19/1000*'Falhas UM-4 Qty'!N19</f>
        <v>1.008958182427719E-2</v>
      </c>
      <c r="O19" s="343">
        <f>$D19/1000*'Falhas UM-4 Qty'!O19</f>
        <v>1.0538246008414466E-2</v>
      </c>
      <c r="P19" s="818">
        <f>$D19/1000*'Falhas UM-4 Qty'!P19</f>
        <v>1.3035817458185018E-2</v>
      </c>
      <c r="Q19" s="823">
        <f t="shared" si="0"/>
        <v>7.7287962948608804E-2</v>
      </c>
      <c r="R19" s="343">
        <f t="shared" si="1"/>
        <v>7.4622147155668866E-2</v>
      </c>
      <c r="S19" s="796">
        <f t="shared" si="2"/>
        <v>0.15191011010427768</v>
      </c>
    </row>
    <row r="20" spans="1:19" ht="18" customHeight="1">
      <c r="A20" s="1032"/>
      <c r="B20" s="81">
        <v>4170</v>
      </c>
      <c r="C20" s="90" t="s">
        <v>205</v>
      </c>
      <c r="D20" s="318">
        <f>'[7]Falhas UM-4'!I21</f>
        <v>160.00289999999998</v>
      </c>
      <c r="E20" s="347">
        <f>$D20/1000*'Falhas UM-4 Qty'!E20</f>
        <v>0</v>
      </c>
      <c r="F20" s="347">
        <f>$D20/1000*'Falhas UM-4 Qty'!F20</f>
        <v>0</v>
      </c>
      <c r="G20" s="347">
        <f>$D20/1000*'Falhas UM-4 Qty'!G20</f>
        <v>0</v>
      </c>
      <c r="H20" s="347">
        <f>$D20/1000*'Falhas UM-4 Qty'!H20</f>
        <v>0</v>
      </c>
      <c r="I20" s="347">
        <f>$D20/1000*'Falhas UM-4 Qty'!I20</f>
        <v>0</v>
      </c>
      <c r="J20" s="347">
        <f>$D20/1000*'Falhas UM-4 Qty'!J20</f>
        <v>0</v>
      </c>
      <c r="K20" s="347">
        <f>$D20/1000*'Falhas UM-4 Qty'!K20</f>
        <v>0</v>
      </c>
      <c r="L20" s="347">
        <f>$D20/1000*'Falhas UM-4 Qty'!L20</f>
        <v>0</v>
      </c>
      <c r="M20" s="347">
        <f>$D20/1000*'Falhas UM-4 Qty'!M20</f>
        <v>0</v>
      </c>
      <c r="N20" s="347">
        <f>$D20/1000*'Falhas UM-4 Qty'!N20</f>
        <v>0</v>
      </c>
      <c r="O20" s="347">
        <f>$D20/1000*'Falhas UM-4 Qty'!O20</f>
        <v>0</v>
      </c>
      <c r="P20" s="377">
        <f>$D20/1000*'Falhas UM-4 Qty'!P20</f>
        <v>0</v>
      </c>
      <c r="Q20" s="827">
        <f t="shared" si="0"/>
        <v>0</v>
      </c>
      <c r="R20" s="347">
        <f t="shared" si="1"/>
        <v>0</v>
      </c>
      <c r="S20" s="801">
        <f t="shared" si="2"/>
        <v>0</v>
      </c>
    </row>
    <row r="21" spans="1:19" ht="18" customHeight="1">
      <c r="A21" s="1032" t="s">
        <v>156</v>
      </c>
      <c r="B21" s="81">
        <v>4180</v>
      </c>
      <c r="C21" s="82" t="s">
        <v>206</v>
      </c>
      <c r="D21" s="314">
        <f>'[7]Falhas UM-4'!I22</f>
        <v>160.00289999999998</v>
      </c>
      <c r="E21" s="343">
        <f>$D21/1000*'Falhas UM-4 Qty'!E21</f>
        <v>15.408603297738013</v>
      </c>
      <c r="F21" s="343">
        <f>$D21/1000*'Falhas UM-4 Qty'!F21</f>
        <v>17.593146925638713</v>
      </c>
      <c r="G21" s="343">
        <f>$D21/1000*'Falhas UM-4 Qty'!G21</f>
        <v>15.935007537382701</v>
      </c>
      <c r="H21" s="343">
        <f>$D21/1000*'Falhas UM-4 Qty'!H21</f>
        <v>16.015128548643197</v>
      </c>
      <c r="I21" s="343">
        <f>$D21/1000*'Falhas UM-4 Qty'!I21</f>
        <v>17.289462753351593</v>
      </c>
      <c r="J21" s="343">
        <f>$D21/1000*'Falhas UM-4 Qty'!J21</f>
        <v>18.219386362738206</v>
      </c>
      <c r="K21" s="343">
        <f>$D21/1000*'Falhas UM-4 Qty'!K21</f>
        <v>17.776977212861556</v>
      </c>
      <c r="L21" s="343">
        <f>$D21/1000*'Falhas UM-4 Qty'!L21</f>
        <v>17.74141772263631</v>
      </c>
      <c r="M21" s="343">
        <f>$D21/1000*'Falhas UM-4 Qty'!M21</f>
        <v>17.720441518238594</v>
      </c>
      <c r="N21" s="343">
        <f>$D21/1000*'Falhas UM-4 Qty'!N21</f>
        <v>13.11467881326549</v>
      </c>
      <c r="O21" s="343">
        <f>$D21/1000*'Falhas UM-4 Qty'!O21</f>
        <v>13.69786320806549</v>
      </c>
      <c r="P21" s="818">
        <f>$D21/1000*'Falhas UM-4 Qty'!P21</f>
        <v>16.944266076627304</v>
      </c>
      <c r="Q21" s="823">
        <f t="shared" si="0"/>
        <v>100.46073542549242</v>
      </c>
      <c r="R21" s="343">
        <f t="shared" si="1"/>
        <v>96.995644551694738</v>
      </c>
      <c r="S21" s="796">
        <f t="shared" si="2"/>
        <v>197.45637997718717</v>
      </c>
    </row>
    <row r="22" spans="1:19" ht="18" customHeight="1">
      <c r="A22" s="1032"/>
      <c r="B22" s="81">
        <v>4190</v>
      </c>
      <c r="C22" s="89" t="s">
        <v>116</v>
      </c>
      <c r="D22" s="314">
        <f>'[7]Falhas UM-4'!I23</f>
        <v>160.00289999999998</v>
      </c>
      <c r="E22" s="343">
        <f>$D22/1000*'Falhas UM-4 Qty'!E22</f>
        <v>84.943870437684183</v>
      </c>
      <c r="F22" s="343">
        <f>$D22/1000*'Falhas UM-4 Qty'!F22</f>
        <v>96.986726451837413</v>
      </c>
      <c r="G22" s="343">
        <f>$D22/1000*'Falhas UM-4 Qty'!G22</f>
        <v>87.845808573555985</v>
      </c>
      <c r="H22" s="343">
        <f>$D22/1000*'Falhas UM-4 Qty'!H22</f>
        <v>88.287496159921915</v>
      </c>
      <c r="I22" s="343">
        <f>$D22/1000*'Falhas UM-4 Qty'!I22</f>
        <v>95.312589705872952</v>
      </c>
      <c r="J22" s="343">
        <f>$D22/1000*'Falhas UM-4 Qty'!J22</f>
        <v>100.43903167250312</v>
      </c>
      <c r="K22" s="343">
        <f>$D22/1000*'Falhas UM-4 Qty'!K22</f>
        <v>98.000137972573484</v>
      </c>
      <c r="L22" s="343">
        <f>$D22/1000*'Falhas UM-4 Qty'!L22</f>
        <v>97.80410717911623</v>
      </c>
      <c r="M22" s="343">
        <f>$D22/1000*'Falhas UM-4 Qty'!M22</f>
        <v>97.688470482252498</v>
      </c>
      <c r="N22" s="343">
        <f>$D22/1000*'Falhas UM-4 Qty'!N22</f>
        <v>72.298024449068819</v>
      </c>
      <c r="O22" s="343">
        <f>$D22/1000*'Falhas UM-4 Qty'!O22</f>
        <v>75.512977726530565</v>
      </c>
      <c r="P22" s="818">
        <f>$D22/1000*'Falhas UM-4 Qty'!P22</f>
        <v>93.409604651575933</v>
      </c>
      <c r="Q22" s="823">
        <f t="shared" si="0"/>
        <v>553.8155230013756</v>
      </c>
      <c r="R22" s="343">
        <f t="shared" si="1"/>
        <v>534.71332246111751</v>
      </c>
      <c r="S22" s="796">
        <f t="shared" si="2"/>
        <v>1088.5288454624931</v>
      </c>
    </row>
    <row r="23" spans="1:19" ht="18" customHeight="1">
      <c r="A23" s="1032"/>
      <c r="B23" s="81">
        <v>4200</v>
      </c>
      <c r="C23" s="89" t="s">
        <v>115</v>
      </c>
      <c r="D23" s="314">
        <f>'[7]Falhas UM-4'!I24</f>
        <v>160.00289999999998</v>
      </c>
      <c r="E23" s="343">
        <f>$D23/1000*'Falhas UM-4 Qty'!E23</f>
        <v>0.13635644317185708</v>
      </c>
      <c r="F23" s="343">
        <f>$D23/1000*'Falhas UM-4 Qty'!F23</f>
        <v>0.15568827963350526</v>
      </c>
      <c r="G23" s="343">
        <f>$D23/1000*'Falhas UM-4 Qty'!G23</f>
        <v>0.14101478944773743</v>
      </c>
      <c r="H23" s="343">
        <f>$D23/1000*'Falhas UM-4 Qty'!H23</f>
        <v>0.14172380998046913</v>
      </c>
      <c r="I23" s="343">
        <f>$D23/1000*'Falhas UM-4 Qty'!I23</f>
        <v>0.15300086580497613</v>
      </c>
      <c r="J23" s="343">
        <f>$D23/1000*'Falhas UM-4 Qty'!J23</f>
        <v>0.16123010458459403</v>
      </c>
      <c r="K23" s="343">
        <f>$D23/1000*'Falhas UM-4 Qty'!K23</f>
        <v>0.15731506199843562</v>
      </c>
      <c r="L23" s="343">
        <f>$D23/1000*'Falhas UM-4 Qty'!L23</f>
        <v>0.15700038288609641</v>
      </c>
      <c r="M23" s="343">
        <f>$D23/1000*'Falhas UM-4 Qty'!M23</f>
        <v>0.15681475667665679</v>
      </c>
      <c r="N23" s="343">
        <f>$D23/1000*'Falhas UM-4 Qty'!N23</f>
        <v>0.1160566549585135</v>
      </c>
      <c r="O23" s="343">
        <f>$D23/1000*'Falhas UM-4 Qty'!O23</f>
        <v>0.12121746987805485</v>
      </c>
      <c r="P23" s="818">
        <f>$D23/1000*'Falhas UM-4 Qty'!P23</f>
        <v>0.14994609243432419</v>
      </c>
      <c r="Q23" s="823">
        <f t="shared" si="0"/>
        <v>0.88901429262313902</v>
      </c>
      <c r="R23" s="343">
        <f t="shared" si="1"/>
        <v>0.8583504188320813</v>
      </c>
      <c r="S23" s="796">
        <f t="shared" si="2"/>
        <v>1.7473647114552202</v>
      </c>
    </row>
    <row r="24" spans="1:19" ht="18" customHeight="1">
      <c r="A24" s="1032"/>
      <c r="B24" s="81">
        <v>4210</v>
      </c>
      <c r="C24" s="89" t="s">
        <v>126</v>
      </c>
      <c r="D24" s="314">
        <f>'[7]Falhas UM-4'!I25</f>
        <v>160.00289999999998</v>
      </c>
      <c r="E24" s="343">
        <f>$D24/1000*'Falhas UM-4 Qty'!E24</f>
        <v>1.7174088978065856</v>
      </c>
      <c r="F24" s="343">
        <f>$D24/1000*'Falhas UM-4 Qty'!F24</f>
        <v>1.960893306594895</v>
      </c>
      <c r="G24" s="343">
        <f>$D24/1000*'Falhas UM-4 Qty'!G24</f>
        <v>1.7760807519350914</v>
      </c>
      <c r="H24" s="343">
        <f>$D24/1000*'Falhas UM-4 Qty'!H24</f>
        <v>1.7850108629244656</v>
      </c>
      <c r="I24" s="343">
        <f>$D24/1000*'Falhas UM-4 Qty'!I24</f>
        <v>1.927045339356652</v>
      </c>
      <c r="J24" s="343">
        <f>$D24/1000*'Falhas UM-4 Qty'!J24</f>
        <v>2.0306925713725108</v>
      </c>
      <c r="K24" s="343">
        <f>$D24/1000*'Falhas UM-4 Qty'!K24</f>
        <v>1.981382624468969</v>
      </c>
      <c r="L24" s="343">
        <f>$D24/1000*'Falhas UM-4 Qty'!L24</f>
        <v>1.97741924221204</v>
      </c>
      <c r="M24" s="343">
        <f>$D24/1000*'Falhas UM-4 Qty'!M24</f>
        <v>1.9750812807901807</v>
      </c>
      <c r="N24" s="343">
        <f>$D24/1000*'Falhas UM-4 Qty'!N24</f>
        <v>1.461733140283006</v>
      </c>
      <c r="O24" s="343">
        <f>$D24/1000*'Falhas UM-4 Qty'!O24</f>
        <v>1.5267335851214099</v>
      </c>
      <c r="P24" s="818">
        <f>$D24/1000*'Falhas UM-4 Qty'!P24</f>
        <v>1.8885704800430509</v>
      </c>
      <c r="Q24" s="823">
        <f t="shared" si="0"/>
        <v>11.1971317299902</v>
      </c>
      <c r="R24" s="343">
        <f t="shared" si="1"/>
        <v>10.810920352918655</v>
      </c>
      <c r="S24" s="796">
        <f t="shared" si="2"/>
        <v>22.008052082908854</v>
      </c>
    </row>
    <row r="25" spans="1:19" ht="18" customHeight="1">
      <c r="A25" s="1032"/>
      <c r="B25" s="81">
        <v>4220</v>
      </c>
      <c r="C25" s="89" t="s">
        <v>127</v>
      </c>
      <c r="D25" s="314">
        <f>'[7]Falhas UM-4'!I26</f>
        <v>160.00289999999998</v>
      </c>
      <c r="E25" s="343">
        <f>$D25/1000*'Falhas UM-4 Qty'!E25</f>
        <v>0.1011570590127908</v>
      </c>
      <c r="F25" s="343">
        <f>$D25/1000*'Falhas UM-4 Qty'!F25</f>
        <v>0.11549852815269701</v>
      </c>
      <c r="G25" s="343">
        <f>$D25/1000*'Falhas UM-4 Qty'!G25</f>
        <v>0.10461288844167473</v>
      </c>
      <c r="H25" s="343">
        <f>$D25/1000*'Falhas UM-4 Qty'!H25</f>
        <v>0.10513888068819019</v>
      </c>
      <c r="I25" s="343">
        <f>$D25/1000*'Falhas UM-4 Qty'!I25</f>
        <v>0.11350484987156376</v>
      </c>
      <c r="J25" s="343">
        <f>$D25/1000*'Falhas UM-4 Qty'!J25</f>
        <v>0.11960977292100836</v>
      </c>
      <c r="K25" s="343">
        <f>$D25/1000*'Falhas UM-4 Qty'!K25</f>
        <v>0.11670536895803266</v>
      </c>
      <c r="L25" s="343">
        <f>$D25/1000*'Falhas UM-4 Qty'!L25</f>
        <v>0.11647192187774422</v>
      </c>
      <c r="M25" s="343">
        <f>$D25/1000*'Falhas UM-4 Qty'!M25</f>
        <v>0.11633421366986038</v>
      </c>
      <c r="N25" s="343">
        <f>$D25/1000*'Falhas UM-4 Qty'!N25</f>
        <v>8.6097507542558752E-2</v>
      </c>
      <c r="O25" s="343">
        <f>$D25/1000*'Falhas UM-4 Qty'!O25</f>
        <v>8.9926097136320479E-2</v>
      </c>
      <c r="P25" s="818">
        <f>$D25/1000*'Falhas UM-4 Qty'!P25</f>
        <v>0.11123864313473743</v>
      </c>
      <c r="Q25" s="823">
        <f t="shared" si="0"/>
        <v>0.65952197908792487</v>
      </c>
      <c r="R25" s="343">
        <f t="shared" si="1"/>
        <v>0.63677375231925393</v>
      </c>
      <c r="S25" s="796">
        <f t="shared" si="2"/>
        <v>1.2962957314071788</v>
      </c>
    </row>
    <row r="26" spans="1:19" ht="18" customHeight="1">
      <c r="A26" s="1032"/>
      <c r="B26" s="81">
        <v>4230</v>
      </c>
      <c r="C26" s="92" t="s">
        <v>157</v>
      </c>
      <c r="D26" s="316">
        <f>'[7]Falhas UM-4'!I27</f>
        <v>160.00289999999998</v>
      </c>
      <c r="E26" s="345">
        <f>$D26/1000*'Falhas UM-4 Qty'!E26</f>
        <v>0.18897858359997582</v>
      </c>
      <c r="F26" s="345">
        <f>$D26/1000*'Falhas UM-4 Qty'!F26</f>
        <v>0.21577088609721967</v>
      </c>
      <c r="G26" s="345">
        <f>$D26/1000*'Falhas UM-4 Qty'!G26</f>
        <v>0.19543466048681984</v>
      </c>
      <c r="H26" s="345">
        <f>$D26/1000*'Falhas UM-4 Qty'!H26</f>
        <v>0.1964173034254455</v>
      </c>
      <c r="I26" s="345">
        <f>$D26/1000*'Falhas UM-4 Qty'!I26</f>
        <v>0.21204635612966735</v>
      </c>
      <c r="J26" s="345">
        <f>$D26/1000*'Falhas UM-4 Qty'!J26</f>
        <v>0.22345139026302435</v>
      </c>
      <c r="K26" s="345">
        <f>$D26/1000*'Falhas UM-4 Qty'!K26</f>
        <v>0.21802546989244595</v>
      </c>
      <c r="L26" s="345">
        <f>$D26/1000*'Falhas UM-4 Qty'!L26</f>
        <v>0.21758935105893096</v>
      </c>
      <c r="M26" s="345">
        <f>$D26/1000*'Falhas UM-4 Qty'!M26</f>
        <v>0.21733208871530466</v>
      </c>
      <c r="N26" s="345">
        <f>$D26/1000*'Falhas UM-4 Qty'!N26</f>
        <v>0.16084478123097323</v>
      </c>
      <c r="O26" s="345">
        <f>$D26/1000*'Falhas UM-4 Qty'!O26</f>
        <v>0.1679972374774841</v>
      </c>
      <c r="P26" s="819">
        <f>$D26/1000*'Falhas UM-4 Qty'!P26</f>
        <v>0.2078126966752539</v>
      </c>
      <c r="Q26" s="825">
        <f t="shared" si="0"/>
        <v>1.2320991800021526</v>
      </c>
      <c r="R26" s="345">
        <f t="shared" si="1"/>
        <v>1.1896016250503927</v>
      </c>
      <c r="S26" s="798">
        <f t="shared" si="2"/>
        <v>2.421700805052545</v>
      </c>
    </row>
    <row r="27" spans="1:19" ht="18" customHeight="1">
      <c r="A27" s="1032"/>
      <c r="B27" s="81">
        <v>4240</v>
      </c>
      <c r="C27" s="89" t="s">
        <v>158</v>
      </c>
      <c r="D27" s="315">
        <f>'[7]Falhas UM-4'!I28</f>
        <v>160.00289999999998</v>
      </c>
      <c r="E27" s="344">
        <f>$D27/1000*'Falhas UM-4 Qty'!E27</f>
        <v>0.19686365016120452</v>
      </c>
      <c r="F27" s="344">
        <f>$D27/1000*'Falhas UM-4 Qty'!F27</f>
        <v>0.22477385228757532</v>
      </c>
      <c r="G27" s="344">
        <f>$D27/1000*'Falhas UM-4 Qty'!G27</f>
        <v>0.20358910464104046</v>
      </c>
      <c r="H27" s="344">
        <f>$D27/1000*'Falhas UM-4 Qty'!H27</f>
        <v>0.20461274801913065</v>
      </c>
      <c r="I27" s="344">
        <f>$D27/1000*'Falhas UM-4 Qty'!I27</f>
        <v>0.22089391758503144</v>
      </c>
      <c r="J27" s="344">
        <f>$D27/1000*'Falhas UM-4 Qty'!J27</f>
        <v>0.23277482285447954</v>
      </c>
      <c r="K27" s="344">
        <f>$D27/1000*'Falhas UM-4 Qty'!K27</f>
        <v>0.22712250781809865</v>
      </c>
      <c r="L27" s="344">
        <f>$D27/1000*'Falhas UM-4 Qty'!L27</f>
        <v>0.22666819207588976</v>
      </c>
      <c r="M27" s="344">
        <f>$D27/1000*'Falhas UM-4 Qty'!M27</f>
        <v>0.22640019554924365</v>
      </c>
      <c r="N27" s="344">
        <f>$D27/1000*'Falhas UM-4 Qty'!N27</f>
        <v>0.16755597454120114</v>
      </c>
      <c r="O27" s="344">
        <f>$D27/1000*'Falhas UM-4 Qty'!O27</f>
        <v>0.17500686457055475</v>
      </c>
      <c r="P27" s="601">
        <f>$D27/1000*'Falhas UM-4 Qty'!P27</f>
        <v>0.21648361014247194</v>
      </c>
      <c r="Q27" s="824">
        <f t="shared" si="0"/>
        <v>1.2835080955484619</v>
      </c>
      <c r="R27" s="344">
        <f t="shared" si="1"/>
        <v>1.2392373446974598</v>
      </c>
      <c r="S27" s="797">
        <f t="shared" si="2"/>
        <v>2.522745440245922</v>
      </c>
    </row>
    <row r="28" spans="1:19" ht="18" customHeight="1">
      <c r="A28" s="1032"/>
      <c r="B28" s="81">
        <v>4250</v>
      </c>
      <c r="C28" s="89" t="s">
        <v>130</v>
      </c>
      <c r="D28" s="314">
        <f>'[7]Falhas UM-4'!I29</f>
        <v>160.00289999999998</v>
      </c>
      <c r="E28" s="343">
        <f>$D28/1000*'Falhas UM-4 Qty'!E28</f>
        <v>52.049344896097587</v>
      </c>
      <c r="F28" s="343">
        <f>$D28/1000*'Falhas UM-4 Qty'!F28</f>
        <v>59.428603257941937</v>
      </c>
      <c r="G28" s="343">
        <f>$D28/1000*'Falhas UM-4 Qty'!G28</f>
        <v>53.827507088647295</v>
      </c>
      <c r="H28" s="343">
        <f>$D28/1000*'Falhas UM-4 Qty'!H28</f>
        <v>54.098151096279956</v>
      </c>
      <c r="I28" s="343">
        <f>$D28/1000*'Falhas UM-4 Qty'!I28</f>
        <v>58.402776197732102</v>
      </c>
      <c r="J28" s="343">
        <f>$D28/1000*'Falhas UM-4 Qty'!J28</f>
        <v>61.54400280579808</v>
      </c>
      <c r="K28" s="343">
        <f>$D28/1000*'Falhas UM-4 Qty'!K28</f>
        <v>60.049571027513586</v>
      </c>
      <c r="L28" s="343">
        <f>$D28/1000*'Falhas UM-4 Qty'!L28</f>
        <v>59.929453185857227</v>
      </c>
      <c r="M28" s="343">
        <f>$D28/1000*'Falhas UM-4 Qty'!M28</f>
        <v>59.858596815801398</v>
      </c>
      <c r="N28" s="343">
        <f>$D28/1000*'Falhas UM-4 Qty'!N28</f>
        <v>44.300604510559808</v>
      </c>
      <c r="O28" s="343">
        <f>$D28/1000*'Falhas UM-4 Qty'!O28</f>
        <v>46.270566687950875</v>
      </c>
      <c r="P28" s="818">
        <f>$D28/1000*'Falhas UM-4 Qty'!P28</f>
        <v>57.236722368151923</v>
      </c>
      <c r="Q28" s="823">
        <f t="shared" si="0"/>
        <v>339.35038534249696</v>
      </c>
      <c r="R28" s="343">
        <f t="shared" si="1"/>
        <v>327.64551459583481</v>
      </c>
      <c r="S28" s="796">
        <f t="shared" si="2"/>
        <v>666.99589993833183</v>
      </c>
    </row>
    <row r="29" spans="1:19" ht="18" customHeight="1">
      <c r="A29" s="1032"/>
      <c r="B29" s="81">
        <v>4260</v>
      </c>
      <c r="C29" s="89" t="s">
        <v>131</v>
      </c>
      <c r="D29" s="314">
        <f>'[7]Falhas UM-4'!I30</f>
        <v>160.00289999999998</v>
      </c>
      <c r="E29" s="343">
        <f>$D29/1000*'Falhas UM-4 Qty'!E29</f>
        <v>3.8966698737194374</v>
      </c>
      <c r="F29" s="343">
        <f>$D29/1000*'Falhas UM-4 Qty'!F29</f>
        <v>4.4491174368230997</v>
      </c>
      <c r="G29" s="343">
        <f>$D29/1000*'Falhas UM-4 Qty'!G29</f>
        <v>4.0297918382730167</v>
      </c>
      <c r="H29" s="343">
        <f>$D29/1000*'Falhas UM-4 Qty'!H29</f>
        <v>4.0500535793794636</v>
      </c>
      <c r="I29" s="343">
        <f>$D29/1000*'Falhas UM-4 Qty'!I29</f>
        <v>4.3723189793373161</v>
      </c>
      <c r="J29" s="343">
        <f>$D29/1000*'Falhas UM-4 Qty'!J29</f>
        <v>4.6074866479143379</v>
      </c>
      <c r="K29" s="343">
        <f>$D29/1000*'Falhas UM-4 Qty'!K29</f>
        <v>4.4956061372106042</v>
      </c>
      <c r="L29" s="343">
        <f>$D29/1000*'Falhas UM-4 Qty'!L29</f>
        <v>4.4866135249920855</v>
      </c>
      <c r="M29" s="343">
        <f>$D29/1000*'Falhas UM-4 Qty'!M29</f>
        <v>4.4813088687450415</v>
      </c>
      <c r="N29" s="343">
        <f>$D29/1000*'Falhas UM-4 Qty'!N29</f>
        <v>3.3165610696629608</v>
      </c>
      <c r="O29" s="343">
        <f>$D29/1000*'Falhas UM-4 Qty'!O29</f>
        <v>3.4640421241186927</v>
      </c>
      <c r="P29" s="818">
        <f>$D29/1000*'Falhas UM-4 Qty'!P29</f>
        <v>4.2850224564333175</v>
      </c>
      <c r="Q29" s="823">
        <f t="shared" si="0"/>
        <v>25.405438355446673</v>
      </c>
      <c r="R29" s="343">
        <f t="shared" si="1"/>
        <v>24.529154181162699</v>
      </c>
      <c r="S29" s="796">
        <f t="shared" si="2"/>
        <v>49.934592536609372</v>
      </c>
    </row>
    <row r="30" spans="1:19" ht="18" customHeight="1">
      <c r="A30" s="1032"/>
      <c r="B30" s="81">
        <v>4270</v>
      </c>
      <c r="C30" s="89" t="s">
        <v>159</v>
      </c>
      <c r="D30" s="314">
        <f>'[7]Falhas UM-4'!I31</f>
        <v>160.00289999999998</v>
      </c>
      <c r="E30" s="343">
        <f>$D30/1000*'Falhas UM-4 Qty'!E30</f>
        <v>0.77110306340126988</v>
      </c>
      <c r="F30" s="343">
        <f>$D30/1000*'Falhas UM-4 Qty'!F30</f>
        <v>0.88042564449823679</v>
      </c>
      <c r="G30" s="343">
        <f>$D30/1000*'Falhas UM-4 Qty'!G30</f>
        <v>0.79744626362091753</v>
      </c>
      <c r="H30" s="343">
        <f>$D30/1000*'Falhas UM-4 Qty'!H30</f>
        <v>0.80145581309350655</v>
      </c>
      <c r="I30" s="343">
        <f>$D30/1000*'Falhas UM-4 Qty'!I30</f>
        <v>0.86522817390131035</v>
      </c>
      <c r="J30" s="343">
        <f>$D30/1000*'Falhas UM-4 Qty'!J30</f>
        <v>0.91176496442485178</v>
      </c>
      <c r="K30" s="343">
        <f>$D30/1000*'Falhas UM-4 Qty'!K30</f>
        <v>0.88962518678538749</v>
      </c>
      <c r="L30" s="343">
        <f>$D30/1000*'Falhas UM-4 Qty'!L30</f>
        <v>0.8878456593800903</v>
      </c>
      <c r="M30" s="343">
        <f>$D30/1000*'Falhas UM-4 Qty'!M30</f>
        <v>0.8867959331228128</v>
      </c>
      <c r="N30" s="343">
        <f>$D30/1000*'Falhas UM-4 Qty'!N30</f>
        <v>0.6563066627795725</v>
      </c>
      <c r="O30" s="343">
        <f>$D30/1000*'Falhas UM-4 Qty'!O30</f>
        <v>0.68549135036408015</v>
      </c>
      <c r="P30" s="818">
        <f>$D30/1000*'Falhas UM-4 Qty'!P30</f>
        <v>0.84795326521850223</v>
      </c>
      <c r="Q30" s="823">
        <f t="shared" si="0"/>
        <v>5.027423922940093</v>
      </c>
      <c r="R30" s="343">
        <f t="shared" si="1"/>
        <v>4.8540180576504444</v>
      </c>
      <c r="S30" s="796">
        <f t="shared" si="2"/>
        <v>9.8814419805905374</v>
      </c>
    </row>
    <row r="31" spans="1:19" ht="18" customHeight="1">
      <c r="A31" s="1032"/>
      <c r="B31" s="81">
        <v>4280</v>
      </c>
      <c r="C31" s="89" t="s">
        <v>160</v>
      </c>
      <c r="D31" s="314">
        <f>'[7]Falhas UM-4'!I32</f>
        <v>160.00289999999998</v>
      </c>
      <c r="E31" s="343">
        <f>$D31/1000*'Falhas UM-4 Qty'!E31</f>
        <v>8.4922321022876606</v>
      </c>
      <c r="F31" s="343">
        <f>$D31/1000*'Falhas UM-4 Qty'!F31</f>
        <v>9.696212188427566</v>
      </c>
      <c r="G31" s="343">
        <f>$D31/1000*'Falhas UM-4 Qty'!G31</f>
        <v>8.7823522965915259</v>
      </c>
      <c r="H31" s="343">
        <f>$D31/1000*'Falhas UM-4 Qty'!H31</f>
        <v>8.8265098500534958</v>
      </c>
      <c r="I31" s="343">
        <f>$D31/1000*'Falhas UM-4 Qty'!I31</f>
        <v>9.5288409850147353</v>
      </c>
      <c r="J31" s="343">
        <f>$D31/1000*'Falhas UM-4 Qty'!J31</f>
        <v>10.041355128945451</v>
      </c>
      <c r="K31" s="343">
        <f>$D31/1000*'Falhas UM-4 Qty'!K31</f>
        <v>9.7975276312591557</v>
      </c>
      <c r="L31" s="343">
        <f>$D31/1000*'Falhas UM-4 Qty'!L31</f>
        <v>9.7779295250196263</v>
      </c>
      <c r="M31" s="343">
        <f>$D31/1000*'Falhas UM-4 Qty'!M31</f>
        <v>9.7663687889212021</v>
      </c>
      <c r="N31" s="343">
        <f>$D31/1000*'Falhas UM-4 Qty'!N31</f>
        <v>7.2279683159572663</v>
      </c>
      <c r="O31" s="343">
        <f>$D31/1000*'Falhas UM-4 Qty'!O31</f>
        <v>7.5493820835374095</v>
      </c>
      <c r="P31" s="818">
        <f>$D31/1000*'Falhas UM-4 Qty'!P31</f>
        <v>9.3385907564225459</v>
      </c>
      <c r="Q31" s="823">
        <f t="shared" si="0"/>
        <v>55.367502551320442</v>
      </c>
      <c r="R31" s="343">
        <f t="shared" si="1"/>
        <v>53.457767101117206</v>
      </c>
      <c r="S31" s="796">
        <f t="shared" si="2"/>
        <v>108.82526965243764</v>
      </c>
    </row>
    <row r="32" spans="1:19" ht="18" customHeight="1">
      <c r="A32" s="1032"/>
      <c r="B32" s="81">
        <v>4290</v>
      </c>
      <c r="C32" s="89" t="s">
        <v>161</v>
      </c>
      <c r="D32" s="314">
        <f>'[7]Falhas UM-4'!I33</f>
        <v>160.00289999999998</v>
      </c>
      <c r="E32" s="343">
        <f>$D32/1000*'Falhas UM-4 Qty'!E32</f>
        <v>0</v>
      </c>
      <c r="F32" s="343">
        <f>$D32/1000*'Falhas UM-4 Qty'!F32</f>
        <v>0</v>
      </c>
      <c r="G32" s="343">
        <f>$D32/1000*'Falhas UM-4 Qty'!G32</f>
        <v>0</v>
      </c>
      <c r="H32" s="343">
        <f>$D32/1000*'Falhas UM-4 Qty'!H32</f>
        <v>0</v>
      </c>
      <c r="I32" s="343">
        <f>$D32/1000*'Falhas UM-4 Qty'!I32</f>
        <v>0</v>
      </c>
      <c r="J32" s="343">
        <f>$D32/1000*'Falhas UM-4 Qty'!J32</f>
        <v>0</v>
      </c>
      <c r="K32" s="343">
        <f>$D32/1000*'Falhas UM-4 Qty'!K32</f>
        <v>0</v>
      </c>
      <c r="L32" s="343">
        <f>$D32/1000*'Falhas UM-4 Qty'!L32</f>
        <v>0</v>
      </c>
      <c r="M32" s="343">
        <f>$D32/1000*'Falhas UM-4 Qty'!M32</f>
        <v>0</v>
      </c>
      <c r="N32" s="343">
        <f>$D32/1000*'Falhas UM-4 Qty'!N32</f>
        <v>0</v>
      </c>
      <c r="O32" s="343">
        <f>$D32/1000*'Falhas UM-4 Qty'!O32</f>
        <v>0</v>
      </c>
      <c r="P32" s="818">
        <f>$D32/1000*'Falhas UM-4 Qty'!P32</f>
        <v>0</v>
      </c>
      <c r="Q32" s="823">
        <f t="shared" si="0"/>
        <v>0</v>
      </c>
      <c r="R32" s="343">
        <f t="shared" si="1"/>
        <v>0</v>
      </c>
      <c r="S32" s="796">
        <f t="shared" si="2"/>
        <v>0</v>
      </c>
    </row>
    <row r="33" spans="1:19" ht="18" customHeight="1" thickBot="1">
      <c r="A33" s="95"/>
      <c r="B33" s="81">
        <v>4300</v>
      </c>
      <c r="C33" s="89" t="s">
        <v>116</v>
      </c>
      <c r="D33" s="314">
        <f>'[7]Falhas UM-4'!I34</f>
        <v>160.00289999999998</v>
      </c>
      <c r="E33" s="343">
        <f>$D33/1000*'Falhas UM-4 Qty'!E33</f>
        <v>19.981670712337095</v>
      </c>
      <c r="F33" s="343">
        <f>$D33/1000*'Falhas UM-4 Qty'!F33</f>
        <v>22.814557677235072</v>
      </c>
      <c r="G33" s="343">
        <f>$D33/1000*'Falhas UM-4 Qty'!G33</f>
        <v>20.664304691219691</v>
      </c>
      <c r="H33" s="343">
        <f>$D33/1000*'Falhas UM-4 Qty'!H33</f>
        <v>20.768204547242444</v>
      </c>
      <c r="I33" s="343">
        <f>$D33/1000*'Falhas UM-4 Qty'!I33</f>
        <v>22.420744103484324</v>
      </c>
      <c r="J33" s="343">
        <f>$D33/1000*'Falhas UM-4 Qty'!J33</f>
        <v>23.626656605178685</v>
      </c>
      <c r="K33" s="343">
        <f>$D33/1000*'Falhas UM-4 Qty'!K33</f>
        <v>23.052946335523167</v>
      </c>
      <c r="L33" s="343">
        <f>$D33/1000*'Falhas UM-4 Qty'!L33</f>
        <v>23.006833264101324</v>
      </c>
      <c r="M33" s="343">
        <f>$D33/1000*'Falhas UM-4 Qty'!M33</f>
        <v>22.979631602732614</v>
      </c>
      <c r="N33" s="343">
        <f>$D33/1000*'Falhas UM-4 Qty'!N33</f>
        <v>17.006940115279907</v>
      </c>
      <c r="O33" s="343">
        <f>$D33/1000*'Falhas UM-4 Qty'!O33</f>
        <v>17.763205840102472</v>
      </c>
      <c r="P33" s="818">
        <f>$D33/1000*'Falhas UM-4 Qty'!P33</f>
        <v>21.973097669085533</v>
      </c>
      <c r="Q33" s="823">
        <f t="shared" si="0"/>
        <v>130.2761383366973</v>
      </c>
      <c r="R33" s="343">
        <f t="shared" si="1"/>
        <v>125.78265482682501</v>
      </c>
      <c r="S33" s="796">
        <f t="shared" si="2"/>
        <v>256.0587931635223</v>
      </c>
    </row>
    <row r="34" spans="1:19" ht="18" customHeight="1" thickTop="1" thickBot="1">
      <c r="A34" s="1034" t="s">
        <v>162</v>
      </c>
      <c r="B34" s="87"/>
      <c r="C34" s="88" t="s">
        <v>1</v>
      </c>
      <c r="D34" s="319"/>
      <c r="E34" s="346">
        <f>SUBTOTAL(109,E16:E33)</f>
        <v>367.78289311112371</v>
      </c>
      <c r="F34" s="346">
        <f t="shared" ref="F34:M34" si="6">SUBTOTAL(109,F16:F33)</f>
        <v>419.92504772903976</v>
      </c>
      <c r="G34" s="346">
        <f t="shared" si="6"/>
        <v>380.34746307645628</v>
      </c>
      <c r="H34" s="346">
        <f t="shared" si="6"/>
        <v>382.25984518864288</v>
      </c>
      <c r="I34" s="346">
        <f t="shared" si="6"/>
        <v>412.67650992729045</v>
      </c>
      <c r="J34" s="346">
        <f t="shared" si="6"/>
        <v>434.87255124420562</v>
      </c>
      <c r="K34" s="346">
        <f t="shared" si="6"/>
        <v>424.31283249900605</v>
      </c>
      <c r="L34" s="346">
        <f t="shared" si="6"/>
        <v>423.46407470182669</v>
      </c>
      <c r="M34" s="346">
        <f t="shared" si="6"/>
        <v>422.9634005660331</v>
      </c>
      <c r="N34" s="346">
        <f>SUBTOTAL(109,N16:N33)</f>
        <v>313.02996273997189</v>
      </c>
      <c r="O34" s="346">
        <f t="shared" ref="O34" si="7">SUBTOTAL(109,O16:O33)</f>
        <v>326.94979958646218</v>
      </c>
      <c r="P34" s="346">
        <f t="shared" ref="P34" si="8">SUBTOTAL(109,P16:P33)</f>
        <v>404.43712378665026</v>
      </c>
      <c r="Q34" s="826">
        <f t="shared" si="0"/>
        <v>2397.8643102767587</v>
      </c>
      <c r="R34" s="346">
        <f t="shared" si="1"/>
        <v>2315.1571938799502</v>
      </c>
      <c r="S34" s="800">
        <f t="shared" si="2"/>
        <v>4713.0215041567089</v>
      </c>
    </row>
    <row r="35" spans="1:19" ht="18" customHeight="1" thickTop="1">
      <c r="A35" s="1032"/>
      <c r="B35" s="81">
        <v>4310</v>
      </c>
      <c r="C35" s="89" t="s">
        <v>152</v>
      </c>
      <c r="D35" s="315">
        <f>'[7]Falhas UM-4'!I36</f>
        <v>160.00289999999998</v>
      </c>
      <c r="E35" s="344">
        <f>$D35/1000*'Falhas UM-4 Qty'!E35</f>
        <v>0.87022214820980925</v>
      </c>
      <c r="F35" s="344">
        <f>$D35/1000*'Falhas UM-4 Qty'!F35</f>
        <v>0.99359726612259702</v>
      </c>
      <c r="G35" s="344">
        <f>$D35/1000*'Falhas UM-4 Qty'!G35</f>
        <v>0.89995155452904396</v>
      </c>
      <c r="H35" s="344">
        <f>$D35/1000*'Falhas UM-4 Qty'!H35</f>
        <v>0.90447649927508</v>
      </c>
      <c r="I35" s="344">
        <f>$D35/1000*'Falhas UM-4 Qty'!I35</f>
        <v>0.97644628315038884</v>
      </c>
      <c r="J35" s="344">
        <f>$D35/1000*'Falhas UM-4 Qty'!J35</f>
        <v>1.0289650030755253</v>
      </c>
      <c r="K35" s="344">
        <f>$D35/1000*'Falhas UM-4 Qty'!K35</f>
        <v>1.0039793354355617</v>
      </c>
      <c r="L35" s="344">
        <f>$D35/1000*'Falhas UM-4 Qty'!L35</f>
        <v>1.0019710641227682</v>
      </c>
      <c r="M35" s="344">
        <f>$D35/1000*'Falhas UM-4 Qty'!M35</f>
        <v>1.000786404014415</v>
      </c>
      <c r="N35" s="344">
        <f>$D35/1000*'Falhas UM-4 Qty'!N35</f>
        <v>0.74066959538357069</v>
      </c>
      <c r="O35" s="344">
        <f>$D35/1000*'Falhas UM-4 Qty'!O35</f>
        <v>0.77360573937007959</v>
      </c>
      <c r="P35" s="601">
        <f>$D35/1000*'Falhas UM-4 Qty'!P35</f>
        <v>0.9569508241675494</v>
      </c>
      <c r="Q35" s="824">
        <f t="shared" si="0"/>
        <v>5.6736587543624442</v>
      </c>
      <c r="R35" s="344">
        <f t="shared" si="1"/>
        <v>5.4779629624939448</v>
      </c>
      <c r="S35" s="797">
        <f t="shared" si="2"/>
        <v>11.15162171685639</v>
      </c>
    </row>
    <row r="36" spans="1:19" ht="18" customHeight="1">
      <c r="A36" s="1032"/>
      <c r="B36" s="81">
        <v>4320</v>
      </c>
      <c r="C36" s="89" t="s">
        <v>153</v>
      </c>
      <c r="D36" s="315">
        <f>'[7]Falhas UM-4'!I37</f>
        <v>20.357800000000001</v>
      </c>
      <c r="E36" s="344">
        <f>$D36/1000*'Falhas UM-4 Qty'!E36</f>
        <v>3.7448071090234367E-3</v>
      </c>
      <c r="F36" s="344">
        <f>$D36/1000*'Falhas UM-4 Qty'!F36</f>
        <v>4.2757244381064242E-3</v>
      </c>
      <c r="G36" s="344">
        <f>$D36/1000*'Falhas UM-4 Qty'!G36</f>
        <v>3.8727409847129279E-3</v>
      </c>
      <c r="H36" s="344">
        <f>$D36/1000*'Falhas UM-4 Qty'!H36</f>
        <v>3.892213076164234E-3</v>
      </c>
      <c r="I36" s="344">
        <f>$D36/1000*'Falhas UM-4 Qty'!I36</f>
        <v>4.2019190045246768E-3</v>
      </c>
      <c r="J36" s="344">
        <f>$D36/1000*'Falhas UM-4 Qty'!J36</f>
        <v>4.4279216133264057E-3</v>
      </c>
      <c r="K36" s="344">
        <f>$D36/1000*'Falhas UM-4 Qty'!K36</f>
        <v>4.3204013600275032E-3</v>
      </c>
      <c r="L36" s="344">
        <f>$D36/1000*'Falhas UM-4 Qty'!L36</f>
        <v>4.3117592119226002E-3</v>
      </c>
      <c r="M36" s="344">
        <f>$D36/1000*'Falhas UM-4 Qty'!M36</f>
        <v>4.3066612911162134E-3</v>
      </c>
      <c r="N36" s="344">
        <f>$D36/1000*'Falhas UM-4 Qty'!N36</f>
        <v>3.1873065652670341E-3</v>
      </c>
      <c r="O36" s="344">
        <f>$D36/1000*'Falhas UM-4 Qty'!O36</f>
        <v>3.3290399219716737E-3</v>
      </c>
      <c r="P36" s="601">
        <f>$D36/1000*'Falhas UM-4 Qty'!P36</f>
        <v>4.1180246408351294E-3</v>
      </c>
      <c r="Q36" s="824">
        <f t="shared" si="0"/>
        <v>2.4415326225858104E-2</v>
      </c>
      <c r="R36" s="344">
        <f t="shared" si="1"/>
        <v>2.3573192991140156E-2</v>
      </c>
      <c r="S36" s="797">
        <f t="shared" si="2"/>
        <v>4.798851921699826E-2</v>
      </c>
    </row>
    <row r="37" spans="1:19" ht="18" customHeight="1">
      <c r="A37" s="1032"/>
      <c r="B37" s="81">
        <v>4330</v>
      </c>
      <c r="C37" s="89" t="s">
        <v>154</v>
      </c>
      <c r="D37" s="315">
        <f>'[7]Falhas UM-4'!I38</f>
        <v>20.357800000000001</v>
      </c>
      <c r="E37" s="344">
        <f>$D37/1000*'Falhas UM-4 Qty'!E37</f>
        <v>9.341960014195177E-4</v>
      </c>
      <c r="F37" s="344">
        <f>$D37/1000*'Falhas UM-4 Qty'!F37</f>
        <v>1.0666409662665852E-3</v>
      </c>
      <c r="G37" s="344">
        <f>$D37/1000*'Falhas UM-4 Qty'!G37</f>
        <v>9.661109470056982E-4</v>
      </c>
      <c r="H37" s="344">
        <f>$D37/1000*'Falhas UM-4 Qty'!H37</f>
        <v>9.7096854031918361E-4</v>
      </c>
      <c r="I37" s="344">
        <f>$D37/1000*'Falhas UM-4 Qty'!I37</f>
        <v>1.0482291391877047E-3</v>
      </c>
      <c r="J37" s="344">
        <f>$D37/1000*'Falhas UM-4 Qty'!J37</f>
        <v>1.1046087409418823E-3</v>
      </c>
      <c r="K37" s="344">
        <f>$D37/1000*'Falhas UM-4 Qty'!K37</f>
        <v>1.0777862671056686E-3</v>
      </c>
      <c r="L37" s="344">
        <f>$D37/1000*'Falhas UM-4 Qty'!L37</f>
        <v>1.0756303589458539E-3</v>
      </c>
      <c r="M37" s="344">
        <f>$D37/1000*'Falhas UM-4 Qty'!M37</f>
        <v>1.0743586092684394E-3</v>
      </c>
      <c r="N37" s="344">
        <f>$D37/1000*'Falhas UM-4 Qty'!N37</f>
        <v>7.9511947127955699E-4</v>
      </c>
      <c r="O37" s="344">
        <f>$D37/1000*'Falhas UM-4 Qty'!O37</f>
        <v>8.3047689590690131E-4</v>
      </c>
      <c r="P37" s="601">
        <f>$D37/1000*'Falhas UM-4 Qty'!P37</f>
        <v>1.027300483366805E-3</v>
      </c>
      <c r="Q37" s="824">
        <f t="shared" si="0"/>
        <v>6.0907543351405719E-3</v>
      </c>
      <c r="R37" s="344">
        <f t="shared" si="1"/>
        <v>5.8806720858732252E-3</v>
      </c>
      <c r="S37" s="797">
        <f t="shared" si="2"/>
        <v>1.1971426421013797E-2</v>
      </c>
    </row>
    <row r="38" spans="1:19" ht="18" customHeight="1">
      <c r="A38" s="1032"/>
      <c r="B38" s="81">
        <v>4340</v>
      </c>
      <c r="C38" s="90" t="s">
        <v>155</v>
      </c>
      <c r="D38" s="316">
        <f>'[7]Falhas UM-4'!I39</f>
        <v>20.357800000000001</v>
      </c>
      <c r="E38" s="344">
        <f>$D38/1000*'Falhas UM-4 Qty'!E38</f>
        <v>5.6350066550329486E-3</v>
      </c>
      <c r="F38" s="344">
        <f>$D38/1000*'Falhas UM-4 Qty'!F38</f>
        <v>6.4339056625268565E-3</v>
      </c>
      <c r="G38" s="344">
        <f>$D38/1000*'Falhas UM-4 Qty'!G38</f>
        <v>5.8275154331693061E-3</v>
      </c>
      <c r="H38" s="344">
        <f>$D38/1000*'Falhas UM-4 Qty'!H38</f>
        <v>5.8568161051988817E-3</v>
      </c>
      <c r="I38" s="344">
        <f>$D38/1000*'Falhas UM-4 Qty'!I38</f>
        <v>6.3228467755661356E-3</v>
      </c>
      <c r="J38" s="344">
        <f>$D38/1000*'Falhas UM-4 Qty'!J38</f>
        <v>6.6629246934871624E-3</v>
      </c>
      <c r="K38" s="344">
        <f>$D38/1000*'Falhas UM-4 Qty'!K38</f>
        <v>6.5011333581123107E-3</v>
      </c>
      <c r="L38" s="344">
        <f>$D38/1000*'Falhas UM-4 Qty'!L38</f>
        <v>6.4881290669253043E-3</v>
      </c>
      <c r="M38" s="344">
        <f>$D38/1000*'Falhas UM-4 Qty'!M38</f>
        <v>6.4804579594865261E-3</v>
      </c>
      <c r="N38" s="344">
        <f>$D38/1000*'Falhas UM-4 Qty'!N38</f>
        <v>4.7961064973500471E-3</v>
      </c>
      <c r="O38" s="344">
        <f>$D38/1000*'Falhas UM-4 Qty'!O38</f>
        <v>5.0093800746048916E-3</v>
      </c>
      <c r="P38" s="601">
        <f>$D38/1000*'Falhas UM-4 Qty'!P38</f>
        <v>6.1966065490478648E-3</v>
      </c>
      <c r="Q38" s="824">
        <f t="shared" si="0"/>
        <v>3.6739015324981292E-2</v>
      </c>
      <c r="R38" s="344">
        <f t="shared" si="1"/>
        <v>3.5471813505526945E-2</v>
      </c>
      <c r="S38" s="797">
        <f t="shared" si="2"/>
        <v>7.2210828830508236E-2</v>
      </c>
    </row>
    <row r="39" spans="1:19" ht="18" customHeight="1">
      <c r="A39" s="1032"/>
      <c r="B39" s="81">
        <v>4350</v>
      </c>
      <c r="C39" s="82" t="s">
        <v>216</v>
      </c>
      <c r="D39" s="314">
        <f>'[7]Falhas UM-4'!I40</f>
        <v>160.00289999999998</v>
      </c>
      <c r="E39" s="344">
        <f>$D39/1000*'Falhas UM-4 Qty'!E39</f>
        <v>0.56659460310186915</v>
      </c>
      <c r="F39" s="344">
        <f>$D39/1000*'Falhas UM-4 Qty'!F39</f>
        <v>0.64692314462456613</v>
      </c>
      <c r="G39" s="344">
        <f>$D39/1000*'Falhas UM-4 Qty'!G39</f>
        <v>0.58595117913082095</v>
      </c>
      <c r="H39" s="344">
        <f>$D39/1000*'Falhas UM-4 Qty'!H39</f>
        <v>0.58889733406115952</v>
      </c>
      <c r="I39" s="344">
        <f>$D39/1000*'Falhas UM-4 Qty'!I39</f>
        <v>0.63575627831354886</v>
      </c>
      <c r="J39" s="344">
        <f>$D39/1000*'Falhas UM-4 Qty'!J39</f>
        <v>0.66995079213121689</v>
      </c>
      <c r="K39" s="344">
        <f>$D39/1000*'Falhas UM-4 Qty'!K39</f>
        <v>0.65368282599311833</v>
      </c>
      <c r="L39" s="344">
        <f>$D39/1000*'Falhas UM-4 Qty'!L39</f>
        <v>0.65237525678250485</v>
      </c>
      <c r="M39" s="344">
        <f>$D39/1000*'Falhas UM-4 Qty'!M39</f>
        <v>0.65160393416645346</v>
      </c>
      <c r="N39" s="344">
        <f>$D39/1000*'Falhas UM-4 Qty'!N39</f>
        <v>0.48224398366472854</v>
      </c>
      <c r="O39" s="344">
        <f>$D39/1000*'Falhas UM-4 Qty'!O39</f>
        <v>0.50368844065554597</v>
      </c>
      <c r="P39" s="601">
        <f>$D39/1000*'Falhas UM-4 Qty'!P39</f>
        <v>0.62306294263208606</v>
      </c>
      <c r="Q39" s="824">
        <f t="shared" si="0"/>
        <v>3.6940733313631817</v>
      </c>
      <c r="R39" s="344">
        <f t="shared" si="1"/>
        <v>3.5666573838944373</v>
      </c>
      <c r="S39" s="797">
        <f t="shared" si="2"/>
        <v>7.260730715257619</v>
      </c>
    </row>
    <row r="40" spans="1:19" ht="18" customHeight="1">
      <c r="A40" s="1032"/>
      <c r="B40" s="81">
        <v>4360</v>
      </c>
      <c r="C40" s="89" t="s">
        <v>115</v>
      </c>
      <c r="D40" s="315">
        <f>'[7]Falhas UM-4'!I41</f>
        <v>160.00289999999998</v>
      </c>
      <c r="E40" s="344">
        <f>$D40/1000*'Falhas UM-4 Qty'!E40</f>
        <v>0.57974222834550948</v>
      </c>
      <c r="F40" s="344">
        <f>$D40/1000*'Falhas UM-4 Qty'!F40</f>
        <v>0.66193476496192372</v>
      </c>
      <c r="G40" s="344">
        <f>$D40/1000*'Falhas UM-4 Qty'!G40</f>
        <v>0.59954796680247502</v>
      </c>
      <c r="H40" s="344">
        <f>$D40/1000*'Falhas UM-4 Qty'!H40</f>
        <v>0.60256248620491004</v>
      </c>
      <c r="I40" s="344">
        <f>$D40/1000*'Falhas UM-4 Qty'!I40</f>
        <v>0.65050877550960007</v>
      </c>
      <c r="J40" s="344">
        <f>$D40/1000*'Falhas UM-4 Qty'!J40</f>
        <v>0.68549676079805477</v>
      </c>
      <c r="K40" s="344">
        <f>$D40/1000*'Falhas UM-4 Qty'!K40</f>
        <v>0.6688513023204794</v>
      </c>
      <c r="L40" s="344">
        <f>$D40/1000*'Falhas UM-4 Qty'!L40</f>
        <v>0.66751339143370603</v>
      </c>
      <c r="M40" s="344">
        <f>$D40/1000*'Falhas UM-4 Qty'!M40</f>
        <v>0.6667241705520478</v>
      </c>
      <c r="N40" s="344">
        <f>$D40/1000*'Falhas UM-4 Qty'!N40</f>
        <v>0.49343428293428249</v>
      </c>
      <c r="O40" s="344">
        <f>$D40/1000*'Falhas UM-4 Qty'!O40</f>
        <v>0.51537635088454981</v>
      </c>
      <c r="P40" s="601">
        <f>$D40/1000*'Falhas UM-4 Qty'!P40</f>
        <v>0.63752089551070479</v>
      </c>
      <c r="Q40" s="824">
        <f t="shared" si="0"/>
        <v>3.7797929826224732</v>
      </c>
      <c r="R40" s="344">
        <f t="shared" si="1"/>
        <v>3.6494203936357703</v>
      </c>
      <c r="S40" s="797">
        <f t="shared" si="2"/>
        <v>7.4292133762582431</v>
      </c>
    </row>
    <row r="41" spans="1:19" ht="18" customHeight="1">
      <c r="A41" s="1032"/>
      <c r="B41" s="81">
        <v>4370</v>
      </c>
      <c r="C41" s="89" t="s">
        <v>126</v>
      </c>
      <c r="D41" s="315">
        <f>'[7]Falhas UM-4'!I42</f>
        <v>160.00289999999998</v>
      </c>
      <c r="E41" s="344">
        <f>$D41/1000*'Falhas UM-4 Qty'!E41</f>
        <v>0</v>
      </c>
      <c r="F41" s="344">
        <f>$D41/1000*'Falhas UM-4 Qty'!F41</f>
        <v>0</v>
      </c>
      <c r="G41" s="344">
        <f>$D41/1000*'Falhas UM-4 Qty'!G41</f>
        <v>0</v>
      </c>
      <c r="H41" s="344">
        <f>$D41/1000*'Falhas UM-4 Qty'!H41</f>
        <v>0</v>
      </c>
      <c r="I41" s="344">
        <f>$D41/1000*'Falhas UM-4 Qty'!I41</f>
        <v>0</v>
      </c>
      <c r="J41" s="344">
        <f>$D41/1000*'Falhas UM-4 Qty'!J41</f>
        <v>0</v>
      </c>
      <c r="K41" s="344">
        <f>$D41/1000*'Falhas UM-4 Qty'!K41</f>
        <v>0</v>
      </c>
      <c r="L41" s="344">
        <f>$D41/1000*'Falhas UM-4 Qty'!L41</f>
        <v>0</v>
      </c>
      <c r="M41" s="344">
        <f>$D41/1000*'Falhas UM-4 Qty'!M41</f>
        <v>0</v>
      </c>
      <c r="N41" s="344">
        <f>$D41/1000*'Falhas UM-4 Qty'!N41</f>
        <v>0</v>
      </c>
      <c r="O41" s="344">
        <f>$D41/1000*'Falhas UM-4 Qty'!O41</f>
        <v>0</v>
      </c>
      <c r="P41" s="601">
        <f>$D41/1000*'Falhas UM-4 Qty'!P41</f>
        <v>0</v>
      </c>
      <c r="Q41" s="824">
        <f t="shared" si="0"/>
        <v>0</v>
      </c>
      <c r="R41" s="344">
        <f t="shared" si="1"/>
        <v>0</v>
      </c>
      <c r="S41" s="797">
        <f t="shared" si="2"/>
        <v>0</v>
      </c>
    </row>
    <row r="42" spans="1:19" ht="18" customHeight="1">
      <c r="A42" s="1032"/>
      <c r="B42" s="81">
        <v>4380</v>
      </c>
      <c r="C42" s="89" t="s">
        <v>127</v>
      </c>
      <c r="D42" s="315">
        <f>'[7]Falhas UM-4'!I43</f>
        <v>160.00289999999998</v>
      </c>
      <c r="E42" s="344">
        <f>$D42/1000*'Falhas UM-4 Qty'!E42</f>
        <v>0</v>
      </c>
      <c r="F42" s="344">
        <f>$D42/1000*'Falhas UM-4 Qty'!F42</f>
        <v>0</v>
      </c>
      <c r="G42" s="344">
        <f>$D42/1000*'Falhas UM-4 Qty'!G42</f>
        <v>0</v>
      </c>
      <c r="H42" s="344">
        <f>$D42/1000*'Falhas UM-4 Qty'!H42</f>
        <v>0</v>
      </c>
      <c r="I42" s="344">
        <f>$D42/1000*'Falhas UM-4 Qty'!I42</f>
        <v>0</v>
      </c>
      <c r="J42" s="344">
        <f>$D42/1000*'Falhas UM-4 Qty'!J42</f>
        <v>0</v>
      </c>
      <c r="K42" s="344">
        <f>$D42/1000*'Falhas UM-4 Qty'!K42</f>
        <v>0</v>
      </c>
      <c r="L42" s="344">
        <f>$D42/1000*'Falhas UM-4 Qty'!L42</f>
        <v>0</v>
      </c>
      <c r="M42" s="344">
        <f>$D42/1000*'Falhas UM-4 Qty'!M42</f>
        <v>0</v>
      </c>
      <c r="N42" s="344">
        <f>$D42/1000*'Falhas UM-4 Qty'!N42</f>
        <v>0</v>
      </c>
      <c r="O42" s="344">
        <f>$D42/1000*'Falhas UM-4 Qty'!O42</f>
        <v>0</v>
      </c>
      <c r="P42" s="601">
        <f>$D42/1000*'Falhas UM-4 Qty'!P42</f>
        <v>0</v>
      </c>
      <c r="Q42" s="824">
        <f t="shared" si="0"/>
        <v>0</v>
      </c>
      <c r="R42" s="344">
        <f t="shared" si="1"/>
        <v>0</v>
      </c>
      <c r="S42" s="797">
        <f t="shared" si="2"/>
        <v>0</v>
      </c>
    </row>
    <row r="43" spans="1:19" ht="18" customHeight="1">
      <c r="A43" s="1032"/>
      <c r="B43" s="81">
        <v>4390</v>
      </c>
      <c r="C43" s="89" t="s">
        <v>157</v>
      </c>
      <c r="D43" s="315">
        <f>'[7]Falhas UM-4'!I44</f>
        <v>160.00289999999998</v>
      </c>
      <c r="E43" s="344">
        <f>$D43/1000*'Falhas UM-4 Qty'!E43</f>
        <v>0</v>
      </c>
      <c r="F43" s="344">
        <f>$D43/1000*'Falhas UM-4 Qty'!F43</f>
        <v>0</v>
      </c>
      <c r="G43" s="344">
        <f>$D43/1000*'Falhas UM-4 Qty'!G43</f>
        <v>0</v>
      </c>
      <c r="H43" s="344">
        <f>$D43/1000*'Falhas UM-4 Qty'!H43</f>
        <v>0</v>
      </c>
      <c r="I43" s="344">
        <f>$D43/1000*'Falhas UM-4 Qty'!I43</f>
        <v>0</v>
      </c>
      <c r="J43" s="344">
        <f>$D43/1000*'Falhas UM-4 Qty'!J43</f>
        <v>0</v>
      </c>
      <c r="K43" s="344">
        <f>$D43/1000*'Falhas UM-4 Qty'!K43</f>
        <v>0</v>
      </c>
      <c r="L43" s="344">
        <f>$D43/1000*'Falhas UM-4 Qty'!L43</f>
        <v>0</v>
      </c>
      <c r="M43" s="344">
        <f>$D43/1000*'Falhas UM-4 Qty'!M43</f>
        <v>0</v>
      </c>
      <c r="N43" s="344">
        <f>$D43/1000*'Falhas UM-4 Qty'!N43</f>
        <v>0</v>
      </c>
      <c r="O43" s="344">
        <f>$D43/1000*'Falhas UM-4 Qty'!O43</f>
        <v>0</v>
      </c>
      <c r="P43" s="601">
        <f>$D43/1000*'Falhas UM-4 Qty'!P43</f>
        <v>0</v>
      </c>
      <c r="Q43" s="824">
        <f t="shared" si="0"/>
        <v>0</v>
      </c>
      <c r="R43" s="344">
        <f t="shared" si="1"/>
        <v>0</v>
      </c>
      <c r="S43" s="797">
        <f t="shared" si="2"/>
        <v>0</v>
      </c>
    </row>
    <row r="44" spans="1:19" ht="18" customHeight="1">
      <c r="A44" s="1032"/>
      <c r="B44" s="81">
        <v>4400</v>
      </c>
      <c r="C44" s="92" t="s">
        <v>158</v>
      </c>
      <c r="D44" s="316">
        <f>'[7]Falhas UM-4'!I45</f>
        <v>160.00289999999998</v>
      </c>
      <c r="E44" s="344">
        <f>$D44/1000*'Falhas UM-4 Qty'!E44</f>
        <v>0</v>
      </c>
      <c r="F44" s="344">
        <f>$D44/1000*'Falhas UM-4 Qty'!F44</f>
        <v>0</v>
      </c>
      <c r="G44" s="344">
        <f>$D44/1000*'Falhas UM-4 Qty'!G44</f>
        <v>0</v>
      </c>
      <c r="H44" s="344">
        <f>$D44/1000*'Falhas UM-4 Qty'!H44</f>
        <v>0</v>
      </c>
      <c r="I44" s="344">
        <f>$D44/1000*'Falhas UM-4 Qty'!I44</f>
        <v>0</v>
      </c>
      <c r="J44" s="344">
        <f>$D44/1000*'Falhas UM-4 Qty'!J44</f>
        <v>0</v>
      </c>
      <c r="K44" s="344">
        <f>$D44/1000*'Falhas UM-4 Qty'!K44</f>
        <v>0</v>
      </c>
      <c r="L44" s="344">
        <f>$D44/1000*'Falhas UM-4 Qty'!L44</f>
        <v>0</v>
      </c>
      <c r="M44" s="344">
        <f>$D44/1000*'Falhas UM-4 Qty'!M44</f>
        <v>0</v>
      </c>
      <c r="N44" s="344">
        <f>$D44/1000*'Falhas UM-4 Qty'!N44</f>
        <v>0</v>
      </c>
      <c r="O44" s="344">
        <f>$D44/1000*'Falhas UM-4 Qty'!O44</f>
        <v>0</v>
      </c>
      <c r="P44" s="601">
        <f>$D44/1000*'Falhas UM-4 Qty'!P44</f>
        <v>0</v>
      </c>
      <c r="Q44" s="824">
        <f t="shared" si="0"/>
        <v>0</v>
      </c>
      <c r="R44" s="344">
        <f t="shared" si="1"/>
        <v>0</v>
      </c>
      <c r="S44" s="797">
        <f t="shared" si="2"/>
        <v>0</v>
      </c>
    </row>
    <row r="45" spans="1:19" ht="18" customHeight="1">
      <c r="A45" s="1032"/>
      <c r="B45" s="81">
        <v>4410</v>
      </c>
      <c r="C45" s="89" t="s">
        <v>130</v>
      </c>
      <c r="D45" s="315">
        <f>'[7]Falhas UM-4'!I46</f>
        <v>160.00289999999998</v>
      </c>
      <c r="E45" s="344">
        <f>$D45/1000*'Falhas UM-4 Qty'!E45</f>
        <v>0</v>
      </c>
      <c r="F45" s="344">
        <f>$D45/1000*'Falhas UM-4 Qty'!F45</f>
        <v>0</v>
      </c>
      <c r="G45" s="344">
        <f>$D45/1000*'Falhas UM-4 Qty'!G45</f>
        <v>0</v>
      </c>
      <c r="H45" s="344">
        <f>$D45/1000*'Falhas UM-4 Qty'!H45</f>
        <v>0</v>
      </c>
      <c r="I45" s="344">
        <f>$D45/1000*'Falhas UM-4 Qty'!I45</f>
        <v>0</v>
      </c>
      <c r="J45" s="344">
        <f>$D45/1000*'Falhas UM-4 Qty'!J45</f>
        <v>0</v>
      </c>
      <c r="K45" s="344">
        <f>$D45/1000*'Falhas UM-4 Qty'!K45</f>
        <v>0</v>
      </c>
      <c r="L45" s="344">
        <f>$D45/1000*'Falhas UM-4 Qty'!L45</f>
        <v>0</v>
      </c>
      <c r="M45" s="344">
        <f>$D45/1000*'Falhas UM-4 Qty'!M45</f>
        <v>0</v>
      </c>
      <c r="N45" s="344">
        <f>$D45/1000*'Falhas UM-4 Qty'!N45</f>
        <v>0</v>
      </c>
      <c r="O45" s="344">
        <f>$D45/1000*'Falhas UM-4 Qty'!O45</f>
        <v>0</v>
      </c>
      <c r="P45" s="601">
        <f>$D45/1000*'Falhas UM-4 Qty'!P45</f>
        <v>0</v>
      </c>
      <c r="Q45" s="824">
        <f t="shared" si="0"/>
        <v>0</v>
      </c>
      <c r="R45" s="344">
        <f t="shared" si="1"/>
        <v>0</v>
      </c>
      <c r="S45" s="797">
        <f t="shared" si="2"/>
        <v>0</v>
      </c>
    </row>
    <row r="46" spans="1:19" ht="18" customHeight="1">
      <c r="A46" s="1032"/>
      <c r="B46" s="81">
        <v>4420</v>
      </c>
      <c r="C46" s="89" t="s">
        <v>131</v>
      </c>
      <c r="D46" s="315">
        <f>'[7]Falhas UM-4'!I47</f>
        <v>160.00289999999998</v>
      </c>
      <c r="E46" s="344">
        <f>$D46/1000*'Falhas UM-4 Qty'!E46</f>
        <v>0</v>
      </c>
      <c r="F46" s="344">
        <f>$D46/1000*'Falhas UM-4 Qty'!F46</f>
        <v>0</v>
      </c>
      <c r="G46" s="344">
        <f>$D46/1000*'Falhas UM-4 Qty'!G46</f>
        <v>0</v>
      </c>
      <c r="H46" s="344">
        <f>$D46/1000*'Falhas UM-4 Qty'!H46</f>
        <v>0</v>
      </c>
      <c r="I46" s="344">
        <f>$D46/1000*'Falhas UM-4 Qty'!I46</f>
        <v>0</v>
      </c>
      <c r="J46" s="344">
        <f>$D46/1000*'Falhas UM-4 Qty'!J46</f>
        <v>0</v>
      </c>
      <c r="K46" s="344">
        <f>$D46/1000*'Falhas UM-4 Qty'!K46</f>
        <v>0</v>
      </c>
      <c r="L46" s="344">
        <f>$D46/1000*'Falhas UM-4 Qty'!L46</f>
        <v>0</v>
      </c>
      <c r="M46" s="344">
        <f>$D46/1000*'Falhas UM-4 Qty'!M46</f>
        <v>0</v>
      </c>
      <c r="N46" s="344">
        <f>$D46/1000*'Falhas UM-4 Qty'!N46</f>
        <v>0</v>
      </c>
      <c r="O46" s="344">
        <f>$D46/1000*'Falhas UM-4 Qty'!O46</f>
        <v>0</v>
      </c>
      <c r="P46" s="601">
        <f>$D46/1000*'Falhas UM-4 Qty'!P46</f>
        <v>0</v>
      </c>
      <c r="Q46" s="824">
        <f t="shared" si="0"/>
        <v>0</v>
      </c>
      <c r="R46" s="344">
        <f t="shared" si="1"/>
        <v>0</v>
      </c>
      <c r="S46" s="797">
        <f t="shared" si="2"/>
        <v>0</v>
      </c>
    </row>
    <row r="47" spans="1:19" ht="18" customHeight="1">
      <c r="A47" s="1032"/>
      <c r="B47" s="81">
        <v>4430</v>
      </c>
      <c r="C47" s="89" t="s">
        <v>159</v>
      </c>
      <c r="D47" s="315">
        <f>'[7]Falhas UM-4'!I48</f>
        <v>160.00289999999998</v>
      </c>
      <c r="E47" s="344">
        <f>$D47/1000*'Falhas UM-4 Qty'!E47</f>
        <v>0</v>
      </c>
      <c r="F47" s="344">
        <f>$D47/1000*'Falhas UM-4 Qty'!F47</f>
        <v>0</v>
      </c>
      <c r="G47" s="344">
        <f>$D47/1000*'Falhas UM-4 Qty'!G47</f>
        <v>0</v>
      </c>
      <c r="H47" s="344">
        <f>$D47/1000*'Falhas UM-4 Qty'!H47</f>
        <v>0</v>
      </c>
      <c r="I47" s="344">
        <f>$D47/1000*'Falhas UM-4 Qty'!I47</f>
        <v>0</v>
      </c>
      <c r="J47" s="344">
        <f>$D47/1000*'Falhas UM-4 Qty'!J47</f>
        <v>0</v>
      </c>
      <c r="K47" s="344">
        <f>$D47/1000*'Falhas UM-4 Qty'!K47</f>
        <v>0</v>
      </c>
      <c r="L47" s="344">
        <f>$D47/1000*'Falhas UM-4 Qty'!L47</f>
        <v>0</v>
      </c>
      <c r="M47" s="344">
        <f>$D47/1000*'Falhas UM-4 Qty'!M47</f>
        <v>0</v>
      </c>
      <c r="N47" s="344">
        <f>$D47/1000*'Falhas UM-4 Qty'!N47</f>
        <v>0</v>
      </c>
      <c r="O47" s="344">
        <f>$D47/1000*'Falhas UM-4 Qty'!O47</f>
        <v>0</v>
      </c>
      <c r="P47" s="601">
        <f>$D47/1000*'Falhas UM-4 Qty'!P47</f>
        <v>0</v>
      </c>
      <c r="Q47" s="824">
        <f t="shared" si="0"/>
        <v>0</v>
      </c>
      <c r="R47" s="344">
        <f t="shared" si="1"/>
        <v>0</v>
      </c>
      <c r="S47" s="797">
        <f t="shared" si="2"/>
        <v>0</v>
      </c>
    </row>
    <row r="48" spans="1:19" ht="18" customHeight="1">
      <c r="A48" s="1032"/>
      <c r="B48" s="81">
        <v>4440</v>
      </c>
      <c r="C48" s="89" t="s">
        <v>160</v>
      </c>
      <c r="D48" s="315">
        <f>'[7]Falhas UM-4'!I49</f>
        <v>160.00289999999998</v>
      </c>
      <c r="E48" s="344">
        <f>$D48/1000*'Falhas UM-4 Qty'!E48</f>
        <v>0</v>
      </c>
      <c r="F48" s="344">
        <f>$D48/1000*'Falhas UM-4 Qty'!F48</f>
        <v>0</v>
      </c>
      <c r="G48" s="344">
        <f>$D48/1000*'Falhas UM-4 Qty'!G48</f>
        <v>0</v>
      </c>
      <c r="H48" s="344">
        <f>$D48/1000*'Falhas UM-4 Qty'!H48</f>
        <v>0</v>
      </c>
      <c r="I48" s="344">
        <f>$D48/1000*'Falhas UM-4 Qty'!I48</f>
        <v>0</v>
      </c>
      <c r="J48" s="344">
        <f>$D48/1000*'Falhas UM-4 Qty'!J48</f>
        <v>0</v>
      </c>
      <c r="K48" s="344">
        <f>$D48/1000*'Falhas UM-4 Qty'!K48</f>
        <v>0</v>
      </c>
      <c r="L48" s="344">
        <f>$D48/1000*'Falhas UM-4 Qty'!L48</f>
        <v>0</v>
      </c>
      <c r="M48" s="344">
        <f>$D48/1000*'Falhas UM-4 Qty'!M48</f>
        <v>0</v>
      </c>
      <c r="N48" s="344">
        <f>$D48/1000*'Falhas UM-4 Qty'!N48</f>
        <v>0</v>
      </c>
      <c r="O48" s="344">
        <f>$D48/1000*'Falhas UM-4 Qty'!O48</f>
        <v>0</v>
      </c>
      <c r="P48" s="601">
        <f>$D48/1000*'Falhas UM-4 Qty'!P48</f>
        <v>0</v>
      </c>
      <c r="Q48" s="824">
        <f t="shared" si="0"/>
        <v>0</v>
      </c>
      <c r="R48" s="344">
        <f t="shared" si="1"/>
        <v>0</v>
      </c>
      <c r="S48" s="797">
        <f t="shared" si="2"/>
        <v>0</v>
      </c>
    </row>
    <row r="49" spans="1:20" ht="18" customHeight="1">
      <c r="A49" s="1032"/>
      <c r="B49" s="81">
        <v>4450</v>
      </c>
      <c r="C49" s="89" t="s">
        <v>161</v>
      </c>
      <c r="D49" s="315">
        <f>'[7]Falhas UM-4'!I50</f>
        <v>160.00289999999998</v>
      </c>
      <c r="E49" s="344">
        <f>$D49/1000*'Falhas UM-4 Qty'!E49</f>
        <v>3.9500125444624277</v>
      </c>
      <c r="F49" s="344">
        <f>$D49/1000*'Falhas UM-4 Qty'!F49</f>
        <v>4.510022726267807</v>
      </c>
      <c r="G49" s="344">
        <f>$D49/1000*'Falhas UM-4 Qty'!G49</f>
        <v>4.0849568551099722</v>
      </c>
      <c r="H49" s="344">
        <f>$D49/1000*'Falhas UM-4 Qty'!H49</f>
        <v>4.105495965205721</v>
      </c>
      <c r="I49" s="344">
        <f>$D49/1000*'Falhas UM-4 Qty'!I49</f>
        <v>4.4321729518976074</v>
      </c>
      <c r="J49" s="344">
        <f>$D49/1000*'Falhas UM-4 Qty'!J49</f>
        <v>4.6705599005062544</v>
      </c>
      <c r="K49" s="344">
        <f>$D49/1000*'Falhas UM-4 Qty'!K49</f>
        <v>4.55714782427646</v>
      </c>
      <c r="L49" s="344">
        <f>$D49/1000*'Falhas UM-4 Qty'!L49</f>
        <v>4.5480321095195597</v>
      </c>
      <c r="M49" s="344">
        <f>$D49/1000*'Falhas UM-4 Qty'!M49</f>
        <v>4.5426548362583068</v>
      </c>
      <c r="N49" s="344">
        <f>$D49/1000*'Falhas UM-4 Qty'!N49</f>
        <v>3.3619624587647747</v>
      </c>
      <c r="O49" s="344">
        <f>$D49/1000*'Falhas UM-4 Qty'!O49</f>
        <v>3.511462425159062</v>
      </c>
      <c r="P49" s="601">
        <f>$D49/1000*'Falhas UM-4 Qty'!P49</f>
        <v>4.3436814009750231</v>
      </c>
      <c r="Q49" s="824">
        <f t="shared" si="0"/>
        <v>25.75322094344979</v>
      </c>
      <c r="R49" s="344">
        <f t="shared" si="1"/>
        <v>24.864941054953189</v>
      </c>
      <c r="S49" s="797">
        <f t="shared" si="2"/>
        <v>50.618161998402982</v>
      </c>
    </row>
    <row r="50" spans="1:20" ht="18" customHeight="1">
      <c r="A50" s="1032"/>
      <c r="B50" s="81">
        <v>4460</v>
      </c>
      <c r="C50" s="89" t="s">
        <v>217</v>
      </c>
      <c r="D50" s="315">
        <f>'[7]Falhas UM-4'!I51</f>
        <v>160.00289999999998</v>
      </c>
      <c r="E50" s="344">
        <f>$D50/1000*'Falhas UM-4 Qty'!E50</f>
        <v>0.51542111382922229</v>
      </c>
      <c r="F50" s="344">
        <f>$D50/1000*'Falhas UM-4 Qty'!F50</f>
        <v>0.58849457078987999</v>
      </c>
      <c r="G50" s="344">
        <f>$D50/1000*'Falhas UM-4 Qty'!G50</f>
        <v>0.53302944952840403</v>
      </c>
      <c r="H50" s="344">
        <f>$D50/1000*'Falhas UM-4 Qty'!H50</f>
        <v>0.53570951468856498</v>
      </c>
      <c r="I50" s="344">
        <f>$D50/1000*'Falhas UM-4 Qty'!I50</f>
        <v>0.5783362695273957</v>
      </c>
      <c r="J50" s="344">
        <f>$D50/1000*'Falhas UM-4 Qty'!J50</f>
        <v>0.60944241544241851</v>
      </c>
      <c r="K50" s="344">
        <f>$D50/1000*'Falhas UM-4 Qty'!K50</f>
        <v>0.59464373366759882</v>
      </c>
      <c r="L50" s="344">
        <f>$D50/1000*'Falhas UM-4 Qty'!L50</f>
        <v>0.59345426102657195</v>
      </c>
      <c r="M50" s="344">
        <f>$D50/1000*'Falhas UM-4 Qty'!M50</f>
        <v>0.59275260245144534</v>
      </c>
      <c r="N50" s="344">
        <f>$D50/1000*'Falhas UM-4 Qty'!N50</f>
        <v>0.43868884355262167</v>
      </c>
      <c r="O50" s="344">
        <f>$D50/1000*'Falhas UM-4 Qty'!O50</f>
        <v>0.45819648772565091</v>
      </c>
      <c r="P50" s="601">
        <f>$D50/1000*'Falhas UM-4 Qty'!P50</f>
        <v>0.56678936601061181</v>
      </c>
      <c r="Q50" s="824">
        <f t="shared" si="0"/>
        <v>3.3604333338058856</v>
      </c>
      <c r="R50" s="344">
        <f t="shared" si="1"/>
        <v>3.2445252944345002</v>
      </c>
      <c r="S50" s="797">
        <f t="shared" si="2"/>
        <v>6.6049586282403858</v>
      </c>
    </row>
    <row r="51" spans="1:20" ht="18" customHeight="1">
      <c r="A51" s="1032"/>
      <c r="B51" s="600">
        <v>4462</v>
      </c>
      <c r="C51" s="37" t="s">
        <v>248</v>
      </c>
      <c r="D51" s="954">
        <f>'[7]Falhas UM-4'!I52</f>
        <v>160.00289999999998</v>
      </c>
      <c r="E51" s="601">
        <f>$D51/1000*'Falhas UM-4 Qty'!E51</f>
        <v>0.64470039477492713</v>
      </c>
      <c r="F51" s="601">
        <f>$D51/1000*'Falhas UM-4 Qty'!F51</f>
        <v>0.7361023286229732</v>
      </c>
      <c r="G51" s="601">
        <f>$D51/1000*'Falhas UM-4 Qty'!G51</f>
        <v>0.66672529959936033</v>
      </c>
      <c r="H51" s="601">
        <f>$D51/1000*'Falhas UM-4 Qty'!H51</f>
        <v>0.670077585759975</v>
      </c>
      <c r="I51" s="601">
        <f>$D51/1000*'Falhas UM-4 Qty'!I51</f>
        <v>0.72339609548962069</v>
      </c>
      <c r="J51" s="601">
        <f>$D51/1000*'Falhas UM-4 Qty'!J51</f>
        <v>0.7623043668298326</v>
      </c>
      <c r="K51" s="601">
        <f>$D51/1000*'Falhas UM-4 Qty'!K51</f>
        <v>0.74379384072527743</v>
      </c>
      <c r="L51" s="601">
        <f>$D51/1000*'Falhas UM-4 Qty'!L51</f>
        <v>0.74230602142438207</v>
      </c>
      <c r="M51" s="601">
        <f>$D51/1000*'Falhas UM-4 Qty'!M51</f>
        <v>0.74142837099787839</v>
      </c>
      <c r="N51" s="601">
        <f>$D51/1000*'Falhas UM-4 Qty'!N51</f>
        <v>0.54872193442087236</v>
      </c>
      <c r="O51" s="601">
        <f>$D51/1000*'Falhas UM-4 Qty'!O51</f>
        <v>0.57312253727170515</v>
      </c>
      <c r="P51" s="601">
        <f>$D51/1000*'Falhas UM-4 Qty'!P51</f>
        <v>0.70895296722816348</v>
      </c>
      <c r="Q51" s="824">
        <f t="shared" si="0"/>
        <v>4.203306071076689</v>
      </c>
      <c r="R51" s="344">
        <f t="shared" si="1"/>
        <v>4.0583256720682792</v>
      </c>
      <c r="S51" s="797">
        <f t="shared" si="2"/>
        <v>8.2616317431449673</v>
      </c>
    </row>
    <row r="52" spans="1:20" ht="18" customHeight="1">
      <c r="A52" s="1032"/>
      <c r="B52" s="600">
        <v>4464</v>
      </c>
      <c r="C52" s="37" t="s">
        <v>249</v>
      </c>
      <c r="D52" s="954">
        <f>'[7]Falhas UM-4'!I53</f>
        <v>160.00289999999998</v>
      </c>
      <c r="E52" s="601">
        <f>$D52/1000*'Falhas UM-4 Qty'!E52</f>
        <v>0.34764499354057921</v>
      </c>
      <c r="F52" s="601">
        <f>$D52/1000*'Falhas UM-4 Qty'!F52</f>
        <v>0.39693211195981565</v>
      </c>
      <c r="G52" s="601">
        <f>$D52/1000*'Falhas UM-4 Qty'!G52</f>
        <v>0.35952159227927705</v>
      </c>
      <c r="H52" s="601">
        <f>$D52/1000*'Falhas UM-4 Qty'!H52</f>
        <v>0.36132926218315531</v>
      </c>
      <c r="I52" s="601">
        <f>$D52/1000*'Falhas UM-4 Qty'!I52</f>
        <v>0.39008046680592756</v>
      </c>
      <c r="J52" s="601">
        <f>$D52/1000*'Falhas UM-4 Qty'!J52</f>
        <v>0.41106116706354912</v>
      </c>
      <c r="K52" s="601">
        <f>$D52/1000*'Falhas UM-4 Qty'!K52</f>
        <v>0.40107964420393094</v>
      </c>
      <c r="L52" s="601">
        <f>$D52/1000*'Falhas UM-4 Qty'!L52</f>
        <v>0.4002773600182204</v>
      </c>
      <c r="M52" s="601">
        <f>$D52/1000*'Falhas UM-4 Qty'!M52</f>
        <v>0.39980410022293306</v>
      </c>
      <c r="N52" s="601">
        <f>$D52/1000*'Falhas UM-4 Qty'!N52</f>
        <v>0.29589005202007834</v>
      </c>
      <c r="O52" s="601">
        <f>$D52/1000*'Falhas UM-4 Qty'!O52</f>
        <v>0.30904771019620753</v>
      </c>
      <c r="P52" s="601">
        <f>$D52/1000*'Falhas UM-4 Qty'!P52</f>
        <v>0.38229222707185234</v>
      </c>
      <c r="Q52" s="824">
        <f t="shared" si="0"/>
        <v>2.2665695938323038</v>
      </c>
      <c r="R52" s="344">
        <f t="shared" si="1"/>
        <v>2.1883910937332227</v>
      </c>
      <c r="S52" s="797">
        <f t="shared" si="2"/>
        <v>4.4549606875655261</v>
      </c>
    </row>
    <row r="53" spans="1:20" ht="18" customHeight="1">
      <c r="A53" s="1032"/>
      <c r="B53" s="600">
        <v>4466</v>
      </c>
      <c r="C53" s="602" t="s">
        <v>116</v>
      </c>
      <c r="D53" s="955">
        <f>'[7]Falhas UM-4'!I54</f>
        <v>160.00289999999998</v>
      </c>
      <c r="E53" s="377">
        <f>$D53/1000*'Falhas UM-4 Qty'!E53</f>
        <v>3.3237073606326861</v>
      </c>
      <c r="F53" s="377">
        <f>$D53/1000*'Falhas UM-4 Qty'!F53</f>
        <v>3.7949235763647553</v>
      </c>
      <c r="G53" s="377">
        <f>$D53/1000*'Falhas UM-4 Qty'!G53</f>
        <v>3.4372552021967655</v>
      </c>
      <c r="H53" s="377">
        <f>$D53/1000*'Falhas UM-4 Qty'!H53</f>
        <v>3.4545376767807494</v>
      </c>
      <c r="I53" s="377">
        <f>$D53/1000*'Falhas UM-4 Qty'!I53</f>
        <v>3.7294174886788904</v>
      </c>
      <c r="J53" s="377">
        <f>$D53/1000*'Falhas UM-4 Qty'!J53</f>
        <v>3.9300063341194198</v>
      </c>
      <c r="K53" s="377">
        <f>$D53/1000*'Falhas UM-4 Qty'!K53</f>
        <v>3.8345766238826631</v>
      </c>
      <c r="L53" s="377">
        <f>$D53/1000*'Falhas UM-4 Qty'!L53</f>
        <v>3.8269062765372062</v>
      </c>
      <c r="M53" s="377">
        <f>$D53/1000*'Falhas UM-4 Qty'!M53</f>
        <v>3.8223816117374407</v>
      </c>
      <c r="N53" s="377">
        <f>$D53/1000*'Falhas UM-4 Qty'!N53</f>
        <v>2.8288971856639966</v>
      </c>
      <c r="O53" s="377">
        <f>$D53/1000*'Falhas UM-4 Qty'!O53</f>
        <v>2.95469277064654</v>
      </c>
      <c r="P53" s="377">
        <f>$D53/1000*'Falhas UM-4 Qty'!P53</f>
        <v>3.6549569608085348</v>
      </c>
      <c r="Q53" s="827">
        <f t="shared" si="0"/>
        <v>21.669847638773266</v>
      </c>
      <c r="R53" s="347">
        <f t="shared" si="1"/>
        <v>20.92241142927638</v>
      </c>
      <c r="S53" s="801">
        <f t="shared" si="2"/>
        <v>42.592259068049643</v>
      </c>
    </row>
    <row r="54" spans="1:20" ht="18" customHeight="1" thickBot="1">
      <c r="A54" s="1032"/>
      <c r="B54" s="551"/>
      <c r="C54" s="552" t="s">
        <v>1</v>
      </c>
      <c r="D54" s="553"/>
      <c r="E54" s="554">
        <f>SUBTOTAL(109,E35:E53)</f>
        <v>10.808359396662507</v>
      </c>
      <c r="F54" s="554">
        <f t="shared" ref="F54:M54" si="9">SUBTOTAL(109,F35:F53)</f>
        <v>12.340706760781218</v>
      </c>
      <c r="G54" s="554">
        <f t="shared" si="9"/>
        <v>11.177605466541007</v>
      </c>
      <c r="H54" s="554">
        <f t="shared" si="9"/>
        <v>11.233806321880998</v>
      </c>
      <c r="I54" s="554">
        <f t="shared" si="9"/>
        <v>12.127687604292259</v>
      </c>
      <c r="J54" s="554">
        <f t="shared" si="9"/>
        <v>12.779982195014028</v>
      </c>
      <c r="K54" s="554">
        <f t="shared" si="9"/>
        <v>12.469654451490335</v>
      </c>
      <c r="L54" s="554">
        <f t="shared" si="9"/>
        <v>12.444711259502714</v>
      </c>
      <c r="M54" s="554">
        <f t="shared" si="9"/>
        <v>12.429997508260792</v>
      </c>
      <c r="N54" s="554">
        <f>SUBTOTAL(109,N35:N53)</f>
        <v>9.1992868689388221</v>
      </c>
      <c r="O54" s="554">
        <f t="shared" ref="O54" si="10">SUBTOTAL(109,O35:O53)</f>
        <v>9.6083613588018242</v>
      </c>
      <c r="P54" s="554">
        <f t="shared" ref="P54" si="11">SUBTOTAL(109,P35:P53)</f>
        <v>11.885549516077775</v>
      </c>
      <c r="Q54" s="885">
        <f t="shared" si="0"/>
        <v>70.468147745172018</v>
      </c>
      <c r="R54" s="554">
        <f t="shared" si="1"/>
        <v>68.037560963072266</v>
      </c>
      <c r="S54" s="863">
        <f t="shared" si="2"/>
        <v>138.5057087082443</v>
      </c>
    </row>
    <row r="55" spans="1:20" ht="18" customHeight="1" thickTop="1">
      <c r="A55" s="1032"/>
      <c r="B55" s="857">
        <v>4470</v>
      </c>
      <c r="C55" s="858" t="s">
        <v>218</v>
      </c>
      <c r="D55" s="853">
        <f>'[7]Falhas UM-4'!I56</f>
        <v>0</v>
      </c>
      <c r="E55" s="854">
        <f>$D55/1000*'Falhas UM-4 Qty'!E55</f>
        <v>0</v>
      </c>
      <c r="F55" s="854">
        <f>$D55/1000*'Falhas UM-4 Qty'!F55</f>
        <v>0</v>
      </c>
      <c r="G55" s="854">
        <f>$D55/1000*'Falhas UM-4 Qty'!G55</f>
        <v>0</v>
      </c>
      <c r="H55" s="854">
        <f>$D55/1000*'Falhas UM-4 Qty'!H55</f>
        <v>0</v>
      </c>
      <c r="I55" s="854">
        <f>$D55/1000*'Falhas UM-4 Qty'!I55</f>
        <v>0</v>
      </c>
      <c r="J55" s="854">
        <f>$D55/1000*'Falhas UM-4 Qty'!J55</f>
        <v>0</v>
      </c>
      <c r="K55" s="854">
        <f>$D55/1000*'Falhas UM-4 Qty'!K55</f>
        <v>0</v>
      </c>
      <c r="L55" s="854">
        <f>$D55/1000*'Falhas UM-4 Qty'!L55</f>
        <v>0</v>
      </c>
      <c r="M55" s="854">
        <f>$D55/1000*'Falhas UM-4 Qty'!M55</f>
        <v>0</v>
      </c>
      <c r="N55" s="854">
        <f>$D55/1000*'Falhas UM-4 Qty'!N55</f>
        <v>0</v>
      </c>
      <c r="O55" s="854">
        <f>$D55/1000*'Falhas UM-4 Qty'!O55</f>
        <v>0</v>
      </c>
      <c r="P55" s="854">
        <f>$D55/1000*'Falhas UM-4 Qty'!P55</f>
        <v>0</v>
      </c>
      <c r="Q55" s="886">
        <f t="shared" si="0"/>
        <v>0</v>
      </c>
      <c r="R55" s="854">
        <f t="shared" si="1"/>
        <v>0</v>
      </c>
      <c r="S55" s="864">
        <f t="shared" si="2"/>
        <v>0</v>
      </c>
    </row>
    <row r="56" spans="1:20" ht="18" customHeight="1">
      <c r="A56" s="1032"/>
      <c r="B56" s="101">
        <v>4480</v>
      </c>
      <c r="C56" s="90" t="s">
        <v>219</v>
      </c>
      <c r="D56" s="855">
        <f>'[7]Falhas UM-4'!I57</f>
        <v>0</v>
      </c>
      <c r="E56" s="377">
        <f>$D56/1000*'Falhas UM-4 Qty'!E56</f>
        <v>0</v>
      </c>
      <c r="F56" s="377">
        <f>$D56/1000*'Falhas UM-4 Qty'!F56</f>
        <v>0</v>
      </c>
      <c r="G56" s="377">
        <f>$D56/1000*'Falhas UM-4 Qty'!G56</f>
        <v>0</v>
      </c>
      <c r="H56" s="377">
        <f>$D56/1000*'Falhas UM-4 Qty'!H56</f>
        <v>0</v>
      </c>
      <c r="I56" s="377">
        <f>$D56/1000*'Falhas UM-4 Qty'!I56</f>
        <v>0</v>
      </c>
      <c r="J56" s="377">
        <f>$D56/1000*'Falhas UM-4 Qty'!J56</f>
        <v>0</v>
      </c>
      <c r="K56" s="377">
        <f>$D56/1000*'Falhas UM-4 Qty'!K56</f>
        <v>0</v>
      </c>
      <c r="L56" s="377">
        <f>$D56/1000*'Falhas UM-4 Qty'!L56</f>
        <v>0</v>
      </c>
      <c r="M56" s="377">
        <f>$D56/1000*'Falhas UM-4 Qty'!M56</f>
        <v>0</v>
      </c>
      <c r="N56" s="377">
        <f>$D56/1000*'Falhas UM-4 Qty'!N56</f>
        <v>0</v>
      </c>
      <c r="O56" s="377">
        <f>$D56/1000*'Falhas UM-4 Qty'!O56</f>
        <v>0</v>
      </c>
      <c r="P56" s="377">
        <f>$D56/1000*'Falhas UM-4 Qty'!P56</f>
        <v>0</v>
      </c>
      <c r="Q56" s="887">
        <f t="shared" si="0"/>
        <v>0</v>
      </c>
      <c r="R56" s="377">
        <f t="shared" si="1"/>
        <v>0</v>
      </c>
      <c r="S56" s="801">
        <f t="shared" si="2"/>
        <v>0</v>
      </c>
    </row>
    <row r="57" spans="1:20" ht="18" customHeight="1">
      <c r="A57" s="1032"/>
      <c r="B57" s="78">
        <v>4480</v>
      </c>
      <c r="C57" s="79" t="s">
        <v>268</v>
      </c>
      <c r="D57" s="856">
        <f>'[7]Falhas UM-4'!I58</f>
        <v>160.00289999999998</v>
      </c>
      <c r="E57" s="376">
        <f>$D57/1000*'Falhas UM-4 Qty'!E57</f>
        <v>1641.6641613287134</v>
      </c>
      <c r="F57" s="376">
        <f>$D57/1000*'Falhas UM-4 Qty'!F57</f>
        <v>1874.4099146904121</v>
      </c>
      <c r="G57" s="376">
        <f>$D57/1000*'Falhas UM-4 Qty'!G57</f>
        <v>1697.7483474095532</v>
      </c>
      <c r="H57" s="376">
        <f>$D57/1000*'Falhas UM-4 Qty'!H57</f>
        <v>1706.2846040847494</v>
      </c>
      <c r="I57" s="376">
        <f>$D57/1000*'Falhas UM-4 Qty'!I57</f>
        <v>1842.0547808490646</v>
      </c>
      <c r="J57" s="376">
        <f>$D57/1000*'Falhas UM-4 Qty'!J57</f>
        <v>1941.1307472299729</v>
      </c>
      <c r="K57" s="376">
        <f>$D57/1000*'Falhas UM-4 Qty'!K57</f>
        <v>1893.9955700849414</v>
      </c>
      <c r="L57" s="376">
        <f>$D57/1000*'Falhas UM-4 Qty'!L57</f>
        <v>1890.2069891493497</v>
      </c>
      <c r="M57" s="376">
        <f>$D57/1000*'Falhas UM-4 Qty'!M57</f>
        <v>1887.9721413610694</v>
      </c>
      <c r="N57" s="376">
        <f>$D57/1000*'Falhas UM-4 Qty'!N57</f>
        <v>1397.2647474307767</v>
      </c>
      <c r="O57" s="376">
        <f>$D57/1000*'Falhas UM-4 Qty'!O57</f>
        <v>1459.3984075614055</v>
      </c>
      <c r="P57" s="376">
        <f>$D57/1000*'Falhas UM-4 Qty'!P57</f>
        <v>1805.2768197426726</v>
      </c>
      <c r="Q57" s="888">
        <f t="shared" ref="Q57:Q58" si="12">SUM(E57:J57)</f>
        <v>10703.292555592465</v>
      </c>
      <c r="R57" s="376">
        <f t="shared" ref="R57:R58" si="13">SUM(K57:P57)</f>
        <v>10334.114675330215</v>
      </c>
      <c r="S57" s="809">
        <f t="shared" ref="S57:S58" si="14">SUM(Q57:R57)</f>
        <v>21037.407230922679</v>
      </c>
    </row>
    <row r="58" spans="1:20" ht="18" customHeight="1">
      <c r="A58" s="1032"/>
      <c r="B58" s="193">
        <v>4485</v>
      </c>
      <c r="C58" s="90" t="s">
        <v>269</v>
      </c>
      <c r="D58" s="855">
        <f>'[7]Falhas UM-4'!I59</f>
        <v>160.00289999999998</v>
      </c>
      <c r="E58" s="377">
        <f>$D58/1000*'Falhas UM-4 Qty'!E58</f>
        <v>65.389271887225789</v>
      </c>
      <c r="F58" s="377">
        <f>$D58/1000*'Falhas UM-4 Qty'!F58</f>
        <v>74.659788784450015</v>
      </c>
      <c r="G58" s="377">
        <f>$D58/1000*'Falhas UM-4 Qty'!G58</f>
        <v>67.62316611395093</v>
      </c>
      <c r="H58" s="377">
        <f>$D58/1000*'Falhas UM-4 Qty'!H58</f>
        <v>67.963174516267387</v>
      </c>
      <c r="I58" s="377">
        <f>$D58/1000*'Falhas UM-4 Qty'!I58</f>
        <v>73.371048557589575</v>
      </c>
      <c r="J58" s="377">
        <f>$D58/1000*'Falhas UM-4 Qty'!J58</f>
        <v>77.317352226622191</v>
      </c>
      <c r="K58" s="377">
        <f>$D58/1000*'Falhas UM-4 Qty'!K58</f>
        <v>75.439906774383999</v>
      </c>
      <c r="L58" s="377">
        <f>$D58/1000*'Falhas UM-4 Qty'!L58</f>
        <v>75.289003468641084</v>
      </c>
      <c r="M58" s="377">
        <f>$D58/1000*'Falhas UM-4 Qty'!M58</f>
        <v>75.199987046709737</v>
      </c>
      <c r="N58" s="377">
        <f>$D58/1000*'Falhas UM-4 Qty'!N58</f>
        <v>55.654576995966046</v>
      </c>
      <c r="O58" s="377">
        <f>$D58/1000*'Falhas UM-4 Qty'!O58</f>
        <v>58.129428364069135</v>
      </c>
      <c r="P58" s="377">
        <f>$D58/1000*'Falhas UM-4 Qty'!P58</f>
        <v>71.906142302769908</v>
      </c>
      <c r="Q58" s="887">
        <f t="shared" si="12"/>
        <v>426.3238020861059</v>
      </c>
      <c r="R58" s="377">
        <f t="shared" si="13"/>
        <v>411.61904495253998</v>
      </c>
      <c r="S58" s="801">
        <f t="shared" si="14"/>
        <v>837.94284703864582</v>
      </c>
    </row>
    <row r="59" spans="1:20" ht="18" customHeight="1">
      <c r="A59" s="1032"/>
      <c r="B59" s="859">
        <v>4490</v>
      </c>
      <c r="C59" s="99" t="s">
        <v>67</v>
      </c>
      <c r="D59" s="198">
        <f>'[7]Falhas UM-4'!I60</f>
        <v>180</v>
      </c>
      <c r="E59" s="375">
        <f>$D57/1000*'Falhas UM-4 Qty'!E59</f>
        <v>4.3141262997501317E-2</v>
      </c>
      <c r="F59" s="375">
        <f>$D57/1000*'Falhas UM-4 Qty'!F57</f>
        <v>1874.4099146904121</v>
      </c>
      <c r="G59" s="375">
        <f>$D57/1000*'Falhas UM-4 Qty'!G57</f>
        <v>1697.7483474095532</v>
      </c>
      <c r="H59" s="375">
        <f>$D57/1000*'Falhas UM-4 Qty'!H57</f>
        <v>1706.2846040847494</v>
      </c>
      <c r="I59" s="375">
        <f>$D57/1000*'Falhas UM-4 Qty'!I57</f>
        <v>1842.0547808490646</v>
      </c>
      <c r="J59" s="375">
        <f>$D57/1000*'Falhas UM-4 Qty'!J57</f>
        <v>1941.1307472299729</v>
      </c>
      <c r="K59" s="375">
        <f>$D57/1000*'Falhas UM-4 Qty'!K57</f>
        <v>1893.9955700849414</v>
      </c>
      <c r="L59" s="375">
        <f>$D57/1000*'Falhas UM-4 Qty'!L57</f>
        <v>1890.2069891493497</v>
      </c>
      <c r="M59" s="375">
        <f>$D57/1000*'Falhas UM-4 Qty'!M57</f>
        <v>1887.9721413610694</v>
      </c>
      <c r="N59" s="375">
        <f>$D57/1000*'Falhas UM-4 Qty'!N57</f>
        <v>1397.2647474307767</v>
      </c>
      <c r="O59" s="375">
        <f>$D57/1000*'Falhas UM-4 Qty'!O57</f>
        <v>1459.3984075614055</v>
      </c>
      <c r="P59" s="375">
        <f>$D57/1000*'Falhas UM-4 Qty'!P57</f>
        <v>1805.2768197426726</v>
      </c>
      <c r="Q59" s="889">
        <f t="shared" si="0"/>
        <v>9061.6715355267497</v>
      </c>
      <c r="R59" s="375">
        <f t="shared" si="1"/>
        <v>10334.114675330215</v>
      </c>
      <c r="S59" s="807">
        <f t="shared" si="2"/>
        <v>19395.786210856964</v>
      </c>
    </row>
    <row r="60" spans="1:20" ht="18" customHeight="1" thickBot="1">
      <c r="A60" s="1033"/>
      <c r="B60" s="102">
        <v>4500</v>
      </c>
      <c r="C60" s="90" t="s">
        <v>66</v>
      </c>
      <c r="D60" s="860">
        <f>'[7]Falhas UM-4'!I61</f>
        <v>5.8390659999999997E-2</v>
      </c>
      <c r="E60" s="377">
        <f>$D58/1000*'Falhas UM-4 Qty'!E60</f>
        <v>5.4182073606129579</v>
      </c>
      <c r="F60" s="377">
        <f>$D58/1000*'Falhas UM-4 Qty'!F58</f>
        <v>74.659788784450015</v>
      </c>
      <c r="G60" s="377">
        <f>$D58/1000*'Falhas UM-4 Qty'!G58</f>
        <v>67.62316611395093</v>
      </c>
      <c r="H60" s="377">
        <f>$D58/1000*'Falhas UM-4 Qty'!H58</f>
        <v>67.963174516267387</v>
      </c>
      <c r="I60" s="377">
        <f>$D58/1000*'Falhas UM-4 Qty'!I58</f>
        <v>73.371048557589575</v>
      </c>
      <c r="J60" s="377">
        <f>$D58/1000*'Falhas UM-4 Qty'!J58</f>
        <v>77.317352226622191</v>
      </c>
      <c r="K60" s="377">
        <f>$D58/1000*'Falhas UM-4 Qty'!K58</f>
        <v>75.439906774383999</v>
      </c>
      <c r="L60" s="377">
        <f>$D58/1000*'Falhas UM-4 Qty'!L58</f>
        <v>75.289003468641084</v>
      </c>
      <c r="M60" s="377">
        <f>$D58/1000*'Falhas UM-4 Qty'!M58</f>
        <v>75.199987046709737</v>
      </c>
      <c r="N60" s="377">
        <f>$D58/1000*'Falhas UM-4 Qty'!N58</f>
        <v>55.654576995966046</v>
      </c>
      <c r="O60" s="377">
        <f>$D58/1000*'Falhas UM-4 Qty'!O58</f>
        <v>58.129428364069135</v>
      </c>
      <c r="P60" s="377">
        <f>$D58/1000*'Falhas UM-4 Qty'!P58</f>
        <v>71.906142302769908</v>
      </c>
      <c r="Q60" s="887">
        <f t="shared" si="0"/>
        <v>366.35273755949305</v>
      </c>
      <c r="R60" s="377">
        <f t="shared" si="1"/>
        <v>411.61904495253998</v>
      </c>
      <c r="S60" s="801">
        <f t="shared" si="2"/>
        <v>777.97178251203309</v>
      </c>
    </row>
    <row r="61" spans="1:20" ht="18" customHeight="1" thickTop="1" thickBot="1">
      <c r="A61" s="104"/>
      <c r="B61" s="87"/>
      <c r="C61" s="103" t="s">
        <v>1</v>
      </c>
      <c r="D61" s="319">
        <f>'[33]Outras Perdas'!$F$62*1000</f>
        <v>180</v>
      </c>
      <c r="E61" s="378">
        <f>SUBTOTAL(109,E57:E58)</f>
        <v>1707.0534332159391</v>
      </c>
      <c r="F61" s="378">
        <f t="shared" ref="F61:P61" si="15">SUBTOTAL(109,F57:F58)</f>
        <v>1949.0697034748621</v>
      </c>
      <c r="G61" s="378">
        <f t="shared" si="15"/>
        <v>1765.3715135235041</v>
      </c>
      <c r="H61" s="378">
        <f t="shared" si="15"/>
        <v>1774.2477786010168</v>
      </c>
      <c r="I61" s="378">
        <f t="shared" si="15"/>
        <v>1915.4258294066542</v>
      </c>
      <c r="J61" s="378">
        <f t="shared" si="15"/>
        <v>2018.4480994565952</v>
      </c>
      <c r="K61" s="378">
        <f t="shared" si="15"/>
        <v>1969.4354768593255</v>
      </c>
      <c r="L61" s="378">
        <f t="shared" si="15"/>
        <v>1965.4959926179909</v>
      </c>
      <c r="M61" s="378">
        <f t="shared" si="15"/>
        <v>1963.1721284077792</v>
      </c>
      <c r="N61" s="378">
        <f t="shared" si="15"/>
        <v>1452.9193244267426</v>
      </c>
      <c r="O61" s="378">
        <f t="shared" si="15"/>
        <v>1517.5278359254746</v>
      </c>
      <c r="P61" s="378">
        <f t="shared" si="15"/>
        <v>1877.1829620454425</v>
      </c>
      <c r="Q61" s="890">
        <f t="shared" si="0"/>
        <v>11129.616357678571</v>
      </c>
      <c r="R61" s="378">
        <f t="shared" si="1"/>
        <v>10745.733720282757</v>
      </c>
      <c r="S61" s="811">
        <f t="shared" si="2"/>
        <v>21875.350077961328</v>
      </c>
    </row>
    <row r="62" spans="1:20" ht="18" customHeight="1" thickTop="1" thickBot="1">
      <c r="A62" s="865"/>
      <c r="B62" s="555"/>
      <c r="C62" s="552" t="s">
        <v>59</v>
      </c>
      <c r="D62" s="553">
        <f>'[33]Outras Perdas'!$F$53</f>
        <v>5.8390659999999997E-2</v>
      </c>
      <c r="E62" s="554">
        <f>SUMIF($C$6:$C$61,$C$61,E6:E61)</f>
        <v>2988.697666249649</v>
      </c>
      <c r="F62" s="554">
        <f t="shared" ref="F62:P62" si="16">SUMIF($C$6:$C$61,$C$61,F6:F61)</f>
        <v>3412.4181239945638</v>
      </c>
      <c r="G62" s="554">
        <f t="shared" si="16"/>
        <v>3090.8005689028023</v>
      </c>
      <c r="H62" s="554">
        <f t="shared" si="16"/>
        <v>3106.3410740832396</v>
      </c>
      <c r="I62" s="554">
        <f t="shared" si="16"/>
        <v>3353.5146556234426</v>
      </c>
      <c r="J62" s="554">
        <f t="shared" si="16"/>
        <v>3533.8853529190383</v>
      </c>
      <c r="K62" s="554">
        <f t="shared" si="16"/>
        <v>3448.0743830202982</v>
      </c>
      <c r="L62" s="554">
        <f t="shared" si="16"/>
        <v>3441.1771605144249</v>
      </c>
      <c r="M62" s="554">
        <f t="shared" si="16"/>
        <v>3437.1085546895583</v>
      </c>
      <c r="N62" s="554">
        <f t="shared" si="16"/>
        <v>2543.7613783316906</v>
      </c>
      <c r="O62" s="554">
        <f t="shared" si="16"/>
        <v>2656.8775255939054</v>
      </c>
      <c r="P62" s="554">
        <f t="shared" si="16"/>
        <v>3286.5593007357961</v>
      </c>
      <c r="Q62" s="885">
        <f t="shared" si="0"/>
        <v>19485.657441772735</v>
      </c>
      <c r="R62" s="554">
        <f t="shared" si="1"/>
        <v>18813.558302885674</v>
      </c>
      <c r="S62" s="863">
        <f t="shared" si="2"/>
        <v>38299.21574465841</v>
      </c>
      <c r="T62" s="232"/>
    </row>
    <row r="63" spans="1:20" ht="13.5" thickTop="1">
      <c r="A63" s="865"/>
      <c r="B63" s="173" t="s">
        <v>173</v>
      </c>
      <c r="C63" s="207" t="s">
        <v>175</v>
      </c>
      <c r="D63" s="207"/>
      <c r="E63" s="565">
        <f t="shared" ref="E63:P63" si="17">E15+E34</f>
        <v>1270.8358736370474</v>
      </c>
      <c r="F63" s="565">
        <f t="shared" si="17"/>
        <v>1451.0077137589208</v>
      </c>
      <c r="G63" s="565">
        <f t="shared" ref="G63:H63" si="18">G15+G34</f>
        <v>1314.2514499127574</v>
      </c>
      <c r="H63" s="565">
        <f t="shared" si="18"/>
        <v>1320.859489160342</v>
      </c>
      <c r="I63" s="565">
        <f t="shared" ref="I63" si="19">I15+I34</f>
        <v>1425.9611386124961</v>
      </c>
      <c r="J63" s="565">
        <f t="shared" ref="J63:K63" si="20">J15+J34</f>
        <v>1502.6572712674292</v>
      </c>
      <c r="K63" s="565">
        <f t="shared" si="20"/>
        <v>1466.1692517094821</v>
      </c>
      <c r="L63" s="565">
        <f t="shared" ref="L63:M63" si="21">L15+L34</f>
        <v>1463.2364566369315</v>
      </c>
      <c r="M63" s="565">
        <f t="shared" si="21"/>
        <v>1461.5064287735186</v>
      </c>
      <c r="N63" s="565">
        <f t="shared" si="17"/>
        <v>1081.6427670360092</v>
      </c>
      <c r="O63" s="565">
        <f t="shared" si="17"/>
        <v>1129.7413283096291</v>
      </c>
      <c r="P63" s="880">
        <f t="shared" si="17"/>
        <v>1397.4907891742757</v>
      </c>
      <c r="Q63" s="891">
        <f>SUM(E63:J63)</f>
        <v>8285.5729363489936</v>
      </c>
      <c r="R63" s="565">
        <f>SUM(K63:P63)</f>
        <v>7999.7870216398469</v>
      </c>
      <c r="S63" s="866">
        <f>SUM(E63:P63)</f>
        <v>16285.359957988838</v>
      </c>
    </row>
    <row r="64" spans="1:20">
      <c r="A64" s="865"/>
      <c r="B64" s="173"/>
      <c r="C64" s="173" t="s">
        <v>176</v>
      </c>
      <c r="D64" s="173"/>
      <c r="E64" s="565">
        <v>1614.1923723924283</v>
      </c>
      <c r="F64" s="565">
        <v>1661.8458070399442</v>
      </c>
      <c r="G64" s="565">
        <f>'[8]Falhas UM-4'!$P$16+'[8]Falhas UM-4'!$P$35</f>
        <v>1160.9648484275817</v>
      </c>
      <c r="H64" s="565">
        <f>'[9]Falhas UM-4'!$P$16+'[9]Falhas UM-4'!$P$35</f>
        <v>1594.9282820379922</v>
      </c>
      <c r="I64" s="565">
        <f>'[10]Falhas UM-4'!$P$16+'[10]Falhas UM-4'!$P$35</f>
        <v>1812.1269802708021</v>
      </c>
      <c r="J64" s="565">
        <f>'[11]Falhas UM-4'!$P$16+'[11]Falhas UM-4'!$P$35</f>
        <v>1759.562829422408</v>
      </c>
      <c r="K64" s="565">
        <f>'[12]Falhas UM-4'!$P$16+'[12]Falhas UM-4'!$P$35</f>
        <v>1662.1476860517976</v>
      </c>
      <c r="L64" s="565">
        <f>'[13]Falhas UM-4'!$P$16+'[13]Falhas UM-4'!$P$35</f>
        <v>1646.1120641108912</v>
      </c>
      <c r="M64" s="565">
        <f>'[2]Falhas UM-4'!$P$16+'[2]Falhas UM-4'!$P$35</f>
        <v>1556.2163781480349</v>
      </c>
      <c r="N64" s="565">
        <f>'[14]Falhas UM-4 Cost'!$N$64</f>
        <v>1998.0580181021035</v>
      </c>
      <c r="O64" s="565">
        <f>'[14]Falhas UM-4 Cost'!O$64</f>
        <v>2030.8651679144805</v>
      </c>
      <c r="P64" s="880">
        <f>'[14]Falhas UM-4 Cost'!P$64</f>
        <v>2476.0797858616888</v>
      </c>
      <c r="Q64" s="891">
        <f t="shared" ref="Q64:Q70" si="22">SUM(E64:J64)</f>
        <v>9603.6211195911565</v>
      </c>
      <c r="R64" s="565">
        <f t="shared" ref="R64:R70" si="23">SUM(K64:P64)</f>
        <v>11369.479100188997</v>
      </c>
      <c r="S64" s="866">
        <f t="shared" ref="S64:S70" si="24">SUM(E64:P64)</f>
        <v>20973.100219780154</v>
      </c>
    </row>
    <row r="65" spans="1:19">
      <c r="A65" s="865"/>
      <c r="B65" s="173" t="s">
        <v>174</v>
      </c>
      <c r="C65" s="173" t="s">
        <v>175</v>
      </c>
      <c r="D65" s="173"/>
      <c r="E65" s="565">
        <f t="shared" ref="E65:P65" si="25">E54</f>
        <v>10.808359396662507</v>
      </c>
      <c r="F65" s="565">
        <f t="shared" si="25"/>
        <v>12.340706760781218</v>
      </c>
      <c r="G65" s="565">
        <f t="shared" ref="G65:H65" si="26">G54</f>
        <v>11.177605466541007</v>
      </c>
      <c r="H65" s="565">
        <f t="shared" si="26"/>
        <v>11.233806321880998</v>
      </c>
      <c r="I65" s="565">
        <f t="shared" ref="I65" si="27">I54</f>
        <v>12.127687604292259</v>
      </c>
      <c r="J65" s="565">
        <f t="shared" ref="J65:K65" si="28">J54</f>
        <v>12.779982195014028</v>
      </c>
      <c r="K65" s="565">
        <f t="shared" si="28"/>
        <v>12.469654451490335</v>
      </c>
      <c r="L65" s="565">
        <f t="shared" ref="L65:M65" si="29">L54</f>
        <v>12.444711259502714</v>
      </c>
      <c r="M65" s="565">
        <f t="shared" si="29"/>
        <v>12.429997508260792</v>
      </c>
      <c r="N65" s="565">
        <f t="shared" si="25"/>
        <v>9.1992868689388221</v>
      </c>
      <c r="O65" s="565">
        <f t="shared" si="25"/>
        <v>9.6083613588018242</v>
      </c>
      <c r="P65" s="880">
        <f t="shared" si="25"/>
        <v>11.885549516077775</v>
      </c>
      <c r="Q65" s="891">
        <f t="shared" si="22"/>
        <v>70.468147745172018</v>
      </c>
      <c r="R65" s="565">
        <f t="shared" si="23"/>
        <v>68.037560963072266</v>
      </c>
      <c r="S65" s="866">
        <f t="shared" si="24"/>
        <v>138.5057087082443</v>
      </c>
    </row>
    <row r="66" spans="1:19">
      <c r="A66" s="865"/>
      <c r="B66" s="173"/>
      <c r="C66" s="173" t="s">
        <v>176</v>
      </c>
      <c r="D66" s="173"/>
      <c r="E66" s="565">
        <v>5.1956582156356186</v>
      </c>
      <c r="F66" s="565">
        <v>13.876964211493682</v>
      </c>
      <c r="G66" s="565">
        <f>'[8]Falhas UM-4'!$P$55</f>
        <v>8.7983859479515054</v>
      </c>
      <c r="H66" s="565">
        <f>'[9]Falhas UM-4'!$P$55</f>
        <v>12.888034448388382</v>
      </c>
      <c r="I66" s="565">
        <f>'[10]Falhas UM-4'!$P$55</f>
        <v>13.537474735050603</v>
      </c>
      <c r="J66" s="565">
        <f>'[11]Falhas UM-4'!$P$55</f>
        <v>14.022035973989116</v>
      </c>
      <c r="K66" s="565">
        <f>'[12]Falhas UM-4'!$P$55</f>
        <v>13.780469193764519</v>
      </c>
      <c r="L66" s="565">
        <f>'[13]Falhas UM-4'!$P$55</f>
        <v>14.943532422025161</v>
      </c>
      <c r="M66" s="565">
        <f>'[2]Falhas UM-4'!$P$55</f>
        <v>14.288028238276382</v>
      </c>
      <c r="N66" s="565">
        <f>'[14]Falhas UM-4 Cost'!$F$66</f>
        <v>13.300387815042095</v>
      </c>
      <c r="O66" s="565">
        <f>'[14]Falhas UM-4 Cost'!$F$66</f>
        <v>13.300387815042095</v>
      </c>
      <c r="P66" s="880">
        <f>'[14]Falhas UM-4 Cost'!$F$66</f>
        <v>13.300387815042095</v>
      </c>
      <c r="Q66" s="891">
        <f t="shared" si="22"/>
        <v>68.318553532508901</v>
      </c>
      <c r="R66" s="565">
        <f t="shared" si="23"/>
        <v>82.913193299192358</v>
      </c>
      <c r="S66" s="866">
        <f t="shared" si="24"/>
        <v>151.23174683170123</v>
      </c>
    </row>
    <row r="67" spans="1:19">
      <c r="A67" s="865"/>
      <c r="B67" s="173" t="s">
        <v>104</v>
      </c>
      <c r="C67" s="173" t="s">
        <v>175</v>
      </c>
      <c r="D67" s="173"/>
      <c r="E67" s="565">
        <f t="shared" ref="E67:P67" si="30">E61</f>
        <v>1707.0534332159391</v>
      </c>
      <c r="F67" s="565">
        <f t="shared" si="30"/>
        <v>1949.0697034748621</v>
      </c>
      <c r="G67" s="565">
        <f t="shared" ref="G67:H67" si="31">G61</f>
        <v>1765.3715135235041</v>
      </c>
      <c r="H67" s="565">
        <f t="shared" si="31"/>
        <v>1774.2477786010168</v>
      </c>
      <c r="I67" s="565">
        <f t="shared" ref="I67" si="32">I61</f>
        <v>1915.4258294066542</v>
      </c>
      <c r="J67" s="565">
        <f t="shared" ref="J67:K67" si="33">J61</f>
        <v>2018.4480994565952</v>
      </c>
      <c r="K67" s="565">
        <f t="shared" si="33"/>
        <v>1969.4354768593255</v>
      </c>
      <c r="L67" s="565">
        <f t="shared" ref="L67:M67" si="34">L61</f>
        <v>1965.4959926179909</v>
      </c>
      <c r="M67" s="565">
        <f t="shared" si="34"/>
        <v>1963.1721284077792</v>
      </c>
      <c r="N67" s="565">
        <f t="shared" si="30"/>
        <v>1452.9193244267426</v>
      </c>
      <c r="O67" s="565">
        <f t="shared" si="30"/>
        <v>1517.5278359254746</v>
      </c>
      <c r="P67" s="880">
        <f t="shared" si="30"/>
        <v>1877.1829620454425</v>
      </c>
      <c r="Q67" s="891">
        <f t="shared" si="22"/>
        <v>11129.616357678571</v>
      </c>
      <c r="R67" s="565">
        <f t="shared" si="23"/>
        <v>10745.733720282757</v>
      </c>
      <c r="S67" s="866">
        <f t="shared" si="24"/>
        <v>21875.35007796132</v>
      </c>
    </row>
    <row r="68" spans="1:19">
      <c r="A68" s="865"/>
      <c r="B68" s="231"/>
      <c r="C68" s="173" t="s">
        <v>176</v>
      </c>
      <c r="D68" s="173"/>
      <c r="E68" s="566">
        <v>442.17188865564611</v>
      </c>
      <c r="F68" s="566">
        <v>2126.0339919202643</v>
      </c>
      <c r="G68" s="566">
        <f>'[8]Falhas UM-4'!$P$62</f>
        <v>1347.9485595501822</v>
      </c>
      <c r="H68" s="566">
        <f>'[9]Falhas UM-4'!$P$62</f>
        <v>1974.6070965637261</v>
      </c>
      <c r="I68" s="566">
        <f>'[10]Falhas UM-4'!$P$62</f>
        <v>2074.0621719998448</v>
      </c>
      <c r="J68" s="566">
        <f>'[11]Falhas UM-4'!$P$62</f>
        <v>2148.3116480409039</v>
      </c>
      <c r="K68" s="566">
        <f>'[12]Falhas UM-4'!$P$62</f>
        <v>2111.4299228736168</v>
      </c>
      <c r="L68" s="566">
        <f>'[13]Falhas UM-4'!$P$62</f>
        <v>2289.7583347845398</v>
      </c>
      <c r="M68" s="566">
        <f>'[2]Falhas UM-4'!$P$62</f>
        <v>2190.2797302210975</v>
      </c>
      <c r="N68" s="566">
        <f>'[14]Falhas UM-4 Cost'!$F$68</f>
        <v>1346.6682931794001</v>
      </c>
      <c r="O68" s="566">
        <f>'[14]Falhas UM-4 Cost'!$F$68</f>
        <v>1346.6682931794001</v>
      </c>
      <c r="P68" s="881">
        <f>'[14]Falhas UM-4 Cost'!$F$68</f>
        <v>1346.6682931794001</v>
      </c>
      <c r="Q68" s="891">
        <f t="shared" si="22"/>
        <v>10113.135356730569</v>
      </c>
      <c r="R68" s="565">
        <f t="shared" si="23"/>
        <v>10631.472867417455</v>
      </c>
      <c r="S68" s="866">
        <f t="shared" si="24"/>
        <v>20744.608224148018</v>
      </c>
    </row>
    <row r="69" spans="1:19">
      <c r="A69" s="865"/>
      <c r="B69" s="198" t="s">
        <v>220</v>
      </c>
      <c r="C69" s="173" t="s">
        <v>175</v>
      </c>
      <c r="D69" s="173"/>
      <c r="E69" s="646">
        <f>SUMIF($C$63:$C$68,$C69,E$63:E$68)</f>
        <v>2988.697666249649</v>
      </c>
      <c r="F69" s="646">
        <f>F70</f>
        <v>3801.756763171702</v>
      </c>
      <c r="G69" s="646">
        <f t="shared" ref="G69:O69" si="35">G70</f>
        <v>2517.7117939257155</v>
      </c>
      <c r="H69" s="646">
        <f t="shared" si="35"/>
        <v>3582.4234130501068</v>
      </c>
      <c r="I69" s="646">
        <f t="shared" si="35"/>
        <v>3899.7266270056975</v>
      </c>
      <c r="J69" s="646">
        <f t="shared" si="35"/>
        <v>3921.8965134373011</v>
      </c>
      <c r="K69" s="646">
        <f t="shared" si="35"/>
        <v>3787.3580781191786</v>
      </c>
      <c r="L69" s="646">
        <f t="shared" si="35"/>
        <v>3950.8139313174561</v>
      </c>
      <c r="M69" s="646">
        <f t="shared" si="35"/>
        <v>3760.784136607409</v>
      </c>
      <c r="N69" s="646">
        <f t="shared" si="35"/>
        <v>3358.0266990965456</v>
      </c>
      <c r="O69" s="646">
        <f t="shared" si="35"/>
        <v>3390.8338489089228</v>
      </c>
      <c r="P69" s="882">
        <f t="shared" ref="F69:P70" si="36">SUMIF($C$63:$C$68,$C69,P$63:P$68)</f>
        <v>3286.5593007357961</v>
      </c>
      <c r="Q69" s="892">
        <f t="shared" si="22"/>
        <v>20712.21277684017</v>
      </c>
      <c r="R69" s="647">
        <f t="shared" si="23"/>
        <v>21534.375994785307</v>
      </c>
      <c r="S69" s="867">
        <f t="shared" si="24"/>
        <v>42246.588771625473</v>
      </c>
    </row>
    <row r="70" spans="1:19" ht="13.5" thickBot="1">
      <c r="A70" s="149"/>
      <c r="B70" s="868"/>
      <c r="C70" s="869" t="s">
        <v>176</v>
      </c>
      <c r="D70" s="869"/>
      <c r="E70" s="870">
        <f>SUMIF($C$63:$C$68,$C70,E$63:E$68)</f>
        <v>2061.5599192637101</v>
      </c>
      <c r="F70" s="870">
        <f t="shared" si="36"/>
        <v>3801.756763171702</v>
      </c>
      <c r="G70" s="870">
        <f t="shared" si="36"/>
        <v>2517.7117939257155</v>
      </c>
      <c r="H70" s="870">
        <f t="shared" si="36"/>
        <v>3582.4234130501068</v>
      </c>
      <c r="I70" s="870">
        <f t="shared" si="36"/>
        <v>3899.7266270056975</v>
      </c>
      <c r="J70" s="870">
        <f t="shared" si="36"/>
        <v>3921.8965134373011</v>
      </c>
      <c r="K70" s="870">
        <f t="shared" si="36"/>
        <v>3787.3580781191786</v>
      </c>
      <c r="L70" s="870">
        <f t="shared" si="36"/>
        <v>3950.8139313174561</v>
      </c>
      <c r="M70" s="870">
        <f t="shared" si="36"/>
        <v>3760.784136607409</v>
      </c>
      <c r="N70" s="870">
        <f t="shared" si="36"/>
        <v>3358.0266990965456</v>
      </c>
      <c r="O70" s="870">
        <f t="shared" si="36"/>
        <v>3390.8338489089228</v>
      </c>
      <c r="P70" s="883">
        <f t="shared" si="36"/>
        <v>3836.0484668561312</v>
      </c>
      <c r="Q70" s="893">
        <f t="shared" si="22"/>
        <v>19785.075029854233</v>
      </c>
      <c r="R70" s="871">
        <f t="shared" si="23"/>
        <v>22083.86516090564</v>
      </c>
      <c r="S70" s="872">
        <f t="shared" si="24"/>
        <v>41868.940190759873</v>
      </c>
    </row>
    <row r="100" spans="5:6">
      <c r="E100" s="1" t="s">
        <v>221</v>
      </c>
      <c r="F100" s="579">
        <f>12-COUNTIF($E$69:$P$69,"=0")</f>
        <v>12</v>
      </c>
    </row>
    <row r="101" spans="5:6">
      <c r="E101" s="1" t="s">
        <v>228</v>
      </c>
      <c r="F101" s="1">
        <f ca="1">OFFSET($E$5,0,0,,COUNTIF($E$69:$P$69,"&gt;0"))</f>
        <v>44682</v>
      </c>
    </row>
    <row r="102" spans="5:6">
      <c r="E102" s="1" t="s">
        <v>229</v>
      </c>
      <c r="F102" s="1">
        <f ca="1">OFFSET($E$69,0,0,,COUNTIF($E$69:$P$69,"&gt;0"))</f>
        <v>3801.756763171702</v>
      </c>
    </row>
    <row r="103" spans="5:6">
      <c r="E103" s="1" t="s">
        <v>230</v>
      </c>
      <c r="F103" s="1">
        <f ca="1">OFFSET($E$70,0,0,,COUNTIF($E$69:$P$69,"&gt;0"))</f>
        <v>3801.756763171702</v>
      </c>
    </row>
  </sheetData>
  <mergeCells count="8">
    <mergeCell ref="Q4:S4"/>
    <mergeCell ref="A21:A32"/>
    <mergeCell ref="A34:A60"/>
    <mergeCell ref="A1:E1"/>
    <mergeCell ref="B4:C4"/>
    <mergeCell ref="E4:P4"/>
    <mergeCell ref="A6:A15"/>
    <mergeCell ref="A16:A20"/>
  </mergeCells>
  <printOptions gridLinesSet="0"/>
  <pageMargins left="0.78740157480314965" right="0.19685039370078741" top="0.59055118110236227" bottom="0.59055118110236227" header="0.51181102362204722" footer="0.31496062992125984"/>
  <pageSetup paperSize="9" scale="32" orientation="landscape" r:id="rId1"/>
  <headerFooter alignWithMargins="0">
    <oddFooter>&amp;L&amp;A&amp;R&amp;F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51">
    <tabColor indexed="56"/>
    <pageSetUpPr fitToPage="1"/>
  </sheetPr>
  <dimension ref="A1:Y53"/>
  <sheetViews>
    <sheetView showGridLines="0" zoomScaleNormal="100" workbookViewId="0">
      <pane xSplit="4" ySplit="5" topLeftCell="E6" activePane="bottomRight" state="frozen"/>
      <selection activeCell="E6" sqref="E6"/>
      <selection pane="topRight" activeCell="E6" sqref="E6"/>
      <selection pane="bottomLeft" activeCell="E6" sqref="E6"/>
      <selection pane="bottomRight" activeCell="X6" sqref="X6"/>
    </sheetView>
  </sheetViews>
  <sheetFormatPr defaultColWidth="11.42578125" defaultRowHeight="12.75"/>
  <cols>
    <col min="1" max="1" width="4.7109375" style="1" customWidth="1"/>
    <col min="2" max="2" width="10.85546875" style="1" bestFit="1" customWidth="1"/>
    <col min="3" max="3" width="11.7109375" style="1" bestFit="1" customWidth="1"/>
    <col min="4" max="5" width="9.42578125" style="1" customWidth="1"/>
    <col min="6" max="6" width="11.7109375" style="1" bestFit="1" customWidth="1"/>
    <col min="7" max="17" width="10.42578125" style="1" bestFit="1" customWidth="1"/>
    <col min="18" max="18" width="8.5703125" style="1" bestFit="1" customWidth="1"/>
    <col min="19" max="19" width="9.28515625" style="1" customWidth="1"/>
    <col min="20" max="20" width="8.5703125" style="1" bestFit="1" customWidth="1"/>
    <col min="21" max="21" width="7.85546875" style="1" customWidth="1"/>
    <col min="22" max="22" width="8.5703125" style="1" bestFit="1" customWidth="1"/>
    <col min="23" max="23" width="7.85546875" style="1" customWidth="1"/>
    <col min="24" max="24" width="6.42578125" style="1" bestFit="1" customWidth="1"/>
    <col min="25" max="16384" width="11.42578125" style="1"/>
  </cols>
  <sheetData>
    <row r="1" spans="1:24" ht="18" customHeight="1">
      <c r="A1" s="997" t="s">
        <v>103</v>
      </c>
      <c r="B1" s="997"/>
      <c r="C1" s="997"/>
      <c r="D1" s="997"/>
      <c r="E1" s="997"/>
      <c r="F1" s="997"/>
    </row>
    <row r="2" spans="1:24" ht="18" customHeight="1">
      <c r="A2" s="17"/>
      <c r="B2" s="17"/>
      <c r="C2" s="17"/>
      <c r="D2" s="17"/>
      <c r="E2" s="528">
        <v>1</v>
      </c>
      <c r="F2" s="17"/>
    </row>
    <row r="3" spans="1:24" ht="9.9499999999999993" customHeight="1" thickBot="1">
      <c r="A3" s="17"/>
      <c r="B3" s="17"/>
      <c r="C3" s="17"/>
      <c r="D3" s="17"/>
      <c r="E3" s="17"/>
      <c r="F3" s="17"/>
    </row>
    <row r="4" spans="1:24" ht="25.5">
      <c r="A4" s="22"/>
      <c r="B4" s="1076" t="s">
        <v>57</v>
      </c>
      <c r="C4" s="1077"/>
      <c r="D4" s="1078"/>
      <c r="E4" s="475" t="s">
        <v>201</v>
      </c>
      <c r="F4" s="1079" t="s">
        <v>82</v>
      </c>
      <c r="G4" s="1080"/>
      <c r="H4" s="1080"/>
      <c r="I4" s="1080"/>
      <c r="J4" s="1080"/>
      <c r="K4" s="1080"/>
      <c r="L4" s="1080"/>
      <c r="M4" s="1080"/>
      <c r="N4" s="1080"/>
      <c r="O4" s="1080"/>
      <c r="P4" s="1080"/>
      <c r="Q4" s="1080"/>
      <c r="R4" s="12" t="s">
        <v>55</v>
      </c>
      <c r="S4" s="13"/>
      <c r="T4" s="12" t="s">
        <v>54</v>
      </c>
      <c r="U4" s="13"/>
      <c r="V4" s="12" t="s">
        <v>1</v>
      </c>
      <c r="W4" s="13"/>
      <c r="X4" s="119" t="s">
        <v>52</v>
      </c>
    </row>
    <row r="5" spans="1:24" ht="13.5" thickBot="1">
      <c r="A5" s="21"/>
      <c r="B5" s="20" t="s">
        <v>102</v>
      </c>
      <c r="C5" s="1074" t="s">
        <v>50</v>
      </c>
      <c r="D5" s="1075"/>
      <c r="E5" s="23">
        <f>'Falhas UM-1 - Qty'!E5</f>
        <v>2022</v>
      </c>
      <c r="F5" s="26">
        <f>'Falhas UM-4 Cost'!E5</f>
        <v>44652</v>
      </c>
      <c r="G5" s="26">
        <f>'Falhas UM-4 Cost'!F5</f>
        <v>44682</v>
      </c>
      <c r="H5" s="26">
        <f>'Falhas UM-4 Cost'!G5</f>
        <v>44713</v>
      </c>
      <c r="I5" s="26">
        <f>'Falhas UM-4 Cost'!H5</f>
        <v>44743</v>
      </c>
      <c r="J5" s="26">
        <f>'Falhas UM-4 Cost'!I5</f>
        <v>44774</v>
      </c>
      <c r="K5" s="26">
        <f>'Falhas UM-4 Cost'!J5</f>
        <v>44805</v>
      </c>
      <c r="L5" s="26">
        <f>'Falhas UM-4 Cost'!K5</f>
        <v>44835</v>
      </c>
      <c r="M5" s="26">
        <f>'Falhas UM-4 Cost'!L5</f>
        <v>44866</v>
      </c>
      <c r="N5" s="26">
        <f>'Falhas UM-4 Cost'!M5</f>
        <v>44896</v>
      </c>
      <c r="O5" s="26">
        <f>'Falhas UM-4 Cost'!N5</f>
        <v>44927</v>
      </c>
      <c r="P5" s="26">
        <f>'Falhas UM-4 Cost'!O5</f>
        <v>44958</v>
      </c>
      <c r="Q5" s="26">
        <f>'Falhas UM-4 Cost'!P5</f>
        <v>44986</v>
      </c>
      <c r="R5" s="6" t="s">
        <v>49</v>
      </c>
      <c r="S5" s="7" t="s">
        <v>48</v>
      </c>
      <c r="T5" s="6" t="s">
        <v>49</v>
      </c>
      <c r="U5" s="7" t="s">
        <v>48</v>
      </c>
      <c r="V5" s="6" t="s">
        <v>49</v>
      </c>
      <c r="W5" s="7" t="s">
        <v>48</v>
      </c>
      <c r="X5" s="120"/>
    </row>
    <row r="6" spans="1:24" ht="18" customHeight="1" thickTop="1">
      <c r="A6" s="1081" t="s">
        <v>101</v>
      </c>
      <c r="B6" s="115">
        <v>5010</v>
      </c>
      <c r="C6" s="1069" t="s">
        <v>98</v>
      </c>
      <c r="D6" s="66" t="s">
        <v>134</v>
      </c>
      <c r="E6" s="418">
        <f>'[3]BLIND-PVC-PRE - Qty'!X6</f>
        <v>29.559127720818633</v>
      </c>
      <c r="F6" s="386">
        <f>$E6*'Prod &amp; Defects - Qty'!F$5/1000000</f>
        <v>42.630706137161432</v>
      </c>
      <c r="G6" s="386">
        <f>$E6*'Prod &amp; Defects - Qty'!G$5/1000000</f>
        <v>23.263007149542339</v>
      </c>
      <c r="H6" s="386">
        <f>$E6*'Prod &amp; Defects - Qty'!H$5/1000000</f>
        <v>23.156258128567387</v>
      </c>
      <c r="I6" s="386">
        <f>$E6*'Prod &amp; Defects - Qty'!I$5/1000000</f>
        <v>23.401099243324538</v>
      </c>
      <c r="J6" s="386">
        <f>$E6*'Prod &amp; Defects - Qty'!J$5/1000000</f>
        <v>42.272093129561739</v>
      </c>
      <c r="K6" s="386">
        <f>$E6*'Prod &amp; Defects - Qty'!K$5/1000000</f>
        <v>48.985652084652116</v>
      </c>
      <c r="L6" s="386">
        <f>$E6*'Prod &amp; Defects - Qty'!L$5/1000000</f>
        <v>49.334393755041397</v>
      </c>
      <c r="M6" s="386">
        <f>$E6*'Prod &amp; Defects - Qty'!M$5/1000000</f>
        <v>49.390872143904552</v>
      </c>
      <c r="N6" s="386">
        <f>$E6*'Prod &amp; Defects - Qty'!N$5/1000000</f>
        <v>39.599743449215474</v>
      </c>
      <c r="O6" s="386">
        <f>$E6*'Prod &amp; Defects - Qty'!O$5/1000000</f>
        <v>36.698896612637746</v>
      </c>
      <c r="P6" s="386">
        <f>$E6*'Prod &amp; Defects - Qty'!P$5/1000000</f>
        <v>37.132100453288892</v>
      </c>
      <c r="Q6" s="386">
        <f>$E6*'Prod &amp; Defects - Qty'!Q$5/1000000</f>
        <v>45.71427759900147</v>
      </c>
      <c r="R6" s="272">
        <f>SUM(F6:K6)</f>
        <v>203.70881587280954</v>
      </c>
      <c r="S6" s="272">
        <f>R6/SUM('Prod &amp; Defects - Qty'!$F$5:$K$5)*1000000</f>
        <v>29.55912772081863</v>
      </c>
      <c r="T6" s="273">
        <f>SUM(L6:Q6)</f>
        <v>257.87028401308953</v>
      </c>
      <c r="U6" s="272">
        <f>T6/SUM('Prod &amp; Defects - Qty'!$L$5:$Q$5)*1000000</f>
        <v>29.559127720818637</v>
      </c>
      <c r="V6" s="273">
        <f>R6+T6</f>
        <v>461.57909988589904</v>
      </c>
      <c r="W6" s="272">
        <f>V6/'Prod &amp; Defects - Qty'!$R$5*1000000</f>
        <v>29.559127720818626</v>
      </c>
      <c r="X6" s="274">
        <f t="shared" ref="X6:X21" si="0">W6*Redutor</f>
        <v>26.603214948736763</v>
      </c>
    </row>
    <row r="7" spans="1:24" ht="18" customHeight="1">
      <c r="A7" s="1082"/>
      <c r="B7" s="116">
        <f>B6+10</f>
        <v>5020</v>
      </c>
      <c r="C7" s="1070"/>
      <c r="D7" s="28" t="s">
        <v>135</v>
      </c>
      <c r="E7" s="214">
        <f>'[3]BLIND-PVC-PRE - Qty'!X7</f>
        <v>153.87190520732938</v>
      </c>
      <c r="F7" s="387">
        <f>$E7*'Prod &amp; Defects - Qty'!F$5/1000000</f>
        <v>221.91683176898397</v>
      </c>
      <c r="G7" s="387">
        <f>$E7*'Prod &amp; Defects - Qty'!G$5/1000000</f>
        <v>121.09705214442877</v>
      </c>
      <c r="H7" s="387">
        <f>$E7*'Prod &amp; Defects - Qty'!H$5/1000000</f>
        <v>120.54136337744042</v>
      </c>
      <c r="I7" s="387">
        <f>$E7*'Prod &amp; Defects - Qty'!I$5/1000000</f>
        <v>121.81589925537958</v>
      </c>
      <c r="J7" s="387">
        <f>$E7*'Prod &amp; Defects - Qty'!J$5/1000000</f>
        <v>220.05004912124596</v>
      </c>
      <c r="K7" s="387">
        <f>$E7*'Prod &amp; Defects - Qty'!K$5/1000000</f>
        <v>254.99790404099437</v>
      </c>
      <c r="L7" s="387">
        <f>$E7*'Prod &amp; Defects - Qty'!L$5/1000000</f>
        <v>256.8133008197766</v>
      </c>
      <c r="M7" s="387">
        <f>$E7*'Prod &amp; Defects - Qty'!M$5/1000000</f>
        <v>257.10730263808102</v>
      </c>
      <c r="N7" s="387">
        <f>$E7*'Prod &amp; Defects - Qty'!N$5/1000000</f>
        <v>206.13896417385527</v>
      </c>
      <c r="O7" s="387">
        <f>$E7*'Prod &amp; Defects - Qty'!O$5/1000000</f>
        <v>191.03842285630833</v>
      </c>
      <c r="P7" s="387">
        <f>$E7*'Prod &amp; Defects - Qty'!P$5/1000000</f>
        <v>193.29349279388222</v>
      </c>
      <c r="Q7" s="387">
        <f>$E7*'Prod &amp; Defects - Qty'!Q$5/1000000</f>
        <v>237.96855765743433</v>
      </c>
      <c r="R7" s="59">
        <f t="shared" ref="R7:R9" si="1">SUM(F7:K7)</f>
        <v>1060.4190997084729</v>
      </c>
      <c r="S7" s="59">
        <f>R7/SUM('Prod &amp; Defects - Qty'!$F$5:$K$5)*1000000</f>
        <v>153.87190520732935</v>
      </c>
      <c r="T7" s="59">
        <f t="shared" ref="T7:T9" si="2">SUM(L7:Q7)</f>
        <v>1342.3600409393378</v>
      </c>
      <c r="U7" s="59">
        <f>T7/SUM('Prod &amp; Defects - Qty'!$L$5:$Q$5)*1000000</f>
        <v>153.87190520732941</v>
      </c>
      <c r="V7" s="59">
        <f t="shared" ref="V7:V9" si="3">R7+T7</f>
        <v>2402.7791406478109</v>
      </c>
      <c r="W7" s="59">
        <f>V7/'Prod &amp; Defects - Qty'!$R$5*1000000</f>
        <v>153.87190520732935</v>
      </c>
      <c r="X7" s="64">
        <f t="shared" si="0"/>
        <v>138.48471468659642</v>
      </c>
    </row>
    <row r="8" spans="1:24" ht="18" customHeight="1">
      <c r="A8" s="1082"/>
      <c r="B8" s="116">
        <f>B7+10</f>
        <v>5030</v>
      </c>
      <c r="C8" s="1070"/>
      <c r="D8" s="28" t="s">
        <v>136</v>
      </c>
      <c r="E8" s="214">
        <f>'[3]BLIND-PVC-PRE - Qty'!X8</f>
        <v>204.20831711717804</v>
      </c>
      <c r="F8" s="387">
        <f>$E8*'Prod &amp; Defects - Qty'!F$5/1000000</f>
        <v>294.51291120662313</v>
      </c>
      <c r="G8" s="387">
        <f>$E8*'Prod &amp; Defects - Qty'!G$5/1000000</f>
        <v>160.71176341740025</v>
      </c>
      <c r="H8" s="387">
        <f>$E8*'Prod &amp; Defects - Qty'!H$5/1000000</f>
        <v>159.974291116692</v>
      </c>
      <c r="I8" s="387">
        <f>$E8*'Prod &amp; Defects - Qty'!I$5/1000000</f>
        <v>161.66576836452828</v>
      </c>
      <c r="J8" s="387">
        <f>$E8*'Prod &amp; Defects - Qty'!J$5/1000000</f>
        <v>292.03544436558752</v>
      </c>
      <c r="K8" s="387">
        <f>$E8*'Prod &amp; Defects - Qty'!K$5/1000000</f>
        <v>338.41585819357709</v>
      </c>
      <c r="L8" s="387">
        <f>$E8*'Prod &amp; Defects - Qty'!L$5/1000000</f>
        <v>340.82512920764265</v>
      </c>
      <c r="M8" s="387">
        <f>$E8*'Prod &amp; Defects - Qty'!M$5/1000000</f>
        <v>341.21530840549195</v>
      </c>
      <c r="N8" s="387">
        <f>$E8*'Prod &amp; Defects - Qty'!N$5/1000000</f>
        <v>273.57359947874431</v>
      </c>
      <c r="O8" s="387">
        <f>$E8*'Prod &amp; Defects - Qty'!O$5/1000000</f>
        <v>253.53318907465066</v>
      </c>
      <c r="P8" s="387">
        <f>$E8*'Prod &amp; Defects - Qty'!P$5/1000000</f>
        <v>256.52596437247394</v>
      </c>
      <c r="Q8" s="387">
        <f>$E8*'Prod &amp; Defects - Qty'!Q$5/1000000</f>
        <v>315.81566901734891</v>
      </c>
      <c r="R8" s="59">
        <f t="shared" si="1"/>
        <v>1407.3160366644083</v>
      </c>
      <c r="S8" s="59">
        <f>R8/SUM('Prod &amp; Defects - Qty'!$F$5:$K$5)*1000000</f>
        <v>204.20831711717801</v>
      </c>
      <c r="T8" s="59">
        <f t="shared" si="2"/>
        <v>1781.4888595563525</v>
      </c>
      <c r="U8" s="59">
        <f>T8/SUM('Prod &amp; Defects - Qty'!$L$5:$Q$5)*1000000</f>
        <v>204.20831711717807</v>
      </c>
      <c r="V8" s="59">
        <f t="shared" si="3"/>
        <v>3188.8048962207608</v>
      </c>
      <c r="W8" s="59">
        <f>V8/'Prod &amp; Defects - Qty'!$R$5*1000000</f>
        <v>204.20831711717801</v>
      </c>
      <c r="X8" s="64">
        <f t="shared" si="0"/>
        <v>183.78748540546022</v>
      </c>
    </row>
    <row r="9" spans="1:24" ht="18" customHeight="1">
      <c r="A9" s="1082"/>
      <c r="B9" s="116"/>
      <c r="C9" s="1070"/>
      <c r="D9" s="28" t="s">
        <v>204</v>
      </c>
      <c r="E9" s="214">
        <f>'[3]BLIND-PVC-PRE - Qty'!X9</f>
        <v>219.70325698043069</v>
      </c>
      <c r="F9" s="387">
        <f>$E9*'Prod &amp; Defects - Qty'!F$5/1000000</f>
        <v>316.85999242506097</v>
      </c>
      <c r="G9" s="387">
        <f>$E9*'Prod &amp; Defects - Qty'!G$5/1000000</f>
        <v>172.90626726829373</v>
      </c>
      <c r="H9" s="387">
        <f>$E9*'Prod &amp; Defects - Qty'!H$5/1000000</f>
        <v>172.11283696787419</v>
      </c>
      <c r="I9" s="387">
        <f>$E9*'Prod &amp; Defects - Qty'!I$5/1000000</f>
        <v>173.93266030173319</v>
      </c>
      <c r="J9" s="387">
        <f>$E9*'Prod &amp; Defects - Qty'!J$5/1000000</f>
        <v>314.19454009814035</v>
      </c>
      <c r="K9" s="387">
        <f>$E9*'Prod &amp; Defects - Qty'!K$5/1000000</f>
        <v>364.09421177636278</v>
      </c>
      <c r="L9" s="387">
        <f>$E9*'Prod &amp; Defects - Qty'!L$5/1000000</f>
        <v>366.68629370628241</v>
      </c>
      <c r="M9" s="387">
        <f>$E9*'Prod &amp; Defects - Qty'!M$5/1000000</f>
        <v>367.1060789617689</v>
      </c>
      <c r="N9" s="387">
        <f>$E9*'Prod &amp; Defects - Qty'!N$5/1000000</f>
        <v>294.33184543042273</v>
      </c>
      <c r="O9" s="387">
        <f>$E9*'Prod &amp; Defects - Qty'!O$5/1000000</f>
        <v>272.77080668743457</v>
      </c>
      <c r="P9" s="387">
        <f>$E9*'Prod &amp; Defects - Qty'!P$5/1000000</f>
        <v>275.9906680996661</v>
      </c>
      <c r="Q9" s="387">
        <f>$E9*'Prod &amp; Defects - Qty'!Q$5/1000000</f>
        <v>339.77916310211106</v>
      </c>
      <c r="R9" s="59">
        <f t="shared" si="1"/>
        <v>1514.1005088374652</v>
      </c>
      <c r="S9" s="59">
        <f>R9/SUM('Prod &amp; Defects - Qty'!$F$5:$K$5)*1000000</f>
        <v>219.70325698043069</v>
      </c>
      <c r="T9" s="59">
        <f t="shared" si="2"/>
        <v>1916.6648559876858</v>
      </c>
      <c r="U9" s="59">
        <f>T9/SUM('Prod &amp; Defects - Qty'!$L$5:$Q$5)*1000000</f>
        <v>219.70325698043075</v>
      </c>
      <c r="V9" s="59">
        <f t="shared" si="3"/>
        <v>3430.7653648251508</v>
      </c>
      <c r="W9" s="59">
        <f>V9/'Prod &amp; Defects - Qty'!$R$5*1000000</f>
        <v>219.70325698043064</v>
      </c>
      <c r="X9" s="64">
        <f t="shared" si="0"/>
        <v>197.73293128238757</v>
      </c>
    </row>
    <row r="10" spans="1:24" ht="18" customHeight="1">
      <c r="A10" s="1082"/>
      <c r="B10" s="116"/>
      <c r="C10" s="1071"/>
      <c r="D10" s="67" t="s">
        <v>83</v>
      </c>
      <c r="E10" s="419">
        <f>'[3]BLIND-PVC-PRE - Qty'!X10</f>
        <v>549.79883181668049</v>
      </c>
      <c r="F10" s="388">
        <f>SUBTOTAL(109,F6:F9)</f>
        <v>875.92044153782945</v>
      </c>
      <c r="G10" s="388">
        <f t="shared" ref="G10:Q10" si="4">SUBTOTAL(109,G6:G9)</f>
        <v>477.97808997966513</v>
      </c>
      <c r="H10" s="388">
        <f t="shared" si="4"/>
        <v>475.78474959057394</v>
      </c>
      <c r="I10" s="388">
        <f t="shared" si="4"/>
        <v>480.81542716496563</v>
      </c>
      <c r="J10" s="388">
        <f t="shared" si="4"/>
        <v>868.55212671453558</v>
      </c>
      <c r="K10" s="388">
        <f t="shared" si="4"/>
        <v>1006.4936260955863</v>
      </c>
      <c r="L10" s="388">
        <f t="shared" si="4"/>
        <v>1013.659117488743</v>
      </c>
      <c r="M10" s="388">
        <f t="shared" si="4"/>
        <v>1014.8195621492464</v>
      </c>
      <c r="N10" s="388">
        <f t="shared" si="4"/>
        <v>813.64415253223785</v>
      </c>
      <c r="O10" s="388">
        <f t="shared" si="4"/>
        <v>754.04131523103138</v>
      </c>
      <c r="P10" s="388">
        <f t="shared" si="4"/>
        <v>762.94222571931118</v>
      </c>
      <c r="Q10" s="388">
        <f t="shared" si="4"/>
        <v>939.2776673758957</v>
      </c>
      <c r="R10" s="381">
        <f>SUM(F10:K10)</f>
        <v>4185.5444610831555</v>
      </c>
      <c r="S10" s="381">
        <f>R10/SUM('Prod &amp; Defects - Qty'!$F$5:$K$5)*1000000</f>
        <v>607.34260702575671</v>
      </c>
      <c r="T10" s="381">
        <f>SUM(L10:Q10)</f>
        <v>5298.3840404964649</v>
      </c>
      <c r="U10" s="381">
        <f>T10/SUM('Prod &amp; Defects - Qty'!$L$5:$Q$5)*1000000</f>
        <v>607.34260702575682</v>
      </c>
      <c r="V10" s="381">
        <f>T10+R10</f>
        <v>9483.9285015796195</v>
      </c>
      <c r="W10" s="381">
        <f>V10/'Prod &amp; Defects - Qty'!$R$5*1000000</f>
        <v>607.34260702575648</v>
      </c>
      <c r="X10" s="395">
        <f t="shared" si="0"/>
        <v>546.60834632318085</v>
      </c>
    </row>
    <row r="11" spans="1:24" ht="18" customHeight="1">
      <c r="A11" s="1082"/>
      <c r="B11" s="116">
        <f>B8+10</f>
        <v>5040</v>
      </c>
      <c r="C11" s="1072" t="s">
        <v>137</v>
      </c>
      <c r="D11" s="37" t="s">
        <v>134</v>
      </c>
      <c r="E11" s="219">
        <f>'[3]BLIND-PVC-PRE - Qty'!X11</f>
        <v>435.0386339445455</v>
      </c>
      <c r="F11" s="389">
        <f>F37*$E11/1000000</f>
        <v>939.21169058108535</v>
      </c>
      <c r="G11" s="389">
        <f t="shared" ref="G11:Q11" si="5">G37*$E11/1000000</f>
        <v>982.94727479407209</v>
      </c>
      <c r="H11" s="389">
        <f t="shared" si="5"/>
        <v>945.97326158266196</v>
      </c>
      <c r="I11" s="389">
        <f t="shared" si="5"/>
        <v>952.08902726953306</v>
      </c>
      <c r="J11" s="389">
        <f t="shared" si="5"/>
        <v>963.72007993691136</v>
      </c>
      <c r="K11" s="389">
        <f t="shared" si="5"/>
        <v>1095.7319415088132</v>
      </c>
      <c r="L11" s="389">
        <f t="shared" si="5"/>
        <v>1082.2542953774953</v>
      </c>
      <c r="M11" s="389">
        <f t="shared" si="5"/>
        <v>1082.8219695940918</v>
      </c>
      <c r="N11" s="389">
        <f t="shared" si="5"/>
        <v>1030.2738352476536</v>
      </c>
      <c r="O11" s="389">
        <f t="shared" si="5"/>
        <v>799.00745686766027</v>
      </c>
      <c r="P11" s="389">
        <f t="shared" si="5"/>
        <v>766.90231961441532</v>
      </c>
      <c r="Q11" s="389">
        <f t="shared" si="5"/>
        <v>972.34626219674226</v>
      </c>
      <c r="R11" s="382">
        <f t="shared" ref="R11:R15" si="6">SUM(F11:K11)</f>
        <v>5879.6732756730771</v>
      </c>
      <c r="S11" s="382">
        <f>R11/SUM('Prod &amp; Defects - Qty'!$F$11:$K$11)/5*1000000</f>
        <v>13.385804121370631</v>
      </c>
      <c r="T11" s="382">
        <f t="shared" ref="T11:T15" si="7">SUM(L11:Q11)</f>
        <v>5733.6061388980579</v>
      </c>
      <c r="U11" s="382">
        <f>T11/SUM('Prod &amp; Defects - Qty'!$L$11:$Q$11)*1000000</f>
        <v>66.929020606853143</v>
      </c>
      <c r="V11" s="382">
        <f t="shared" ref="V11:V15" si="8">R11+T11</f>
        <v>11613.279414571134</v>
      </c>
      <c r="W11" s="382">
        <f>V11/'Prod &amp; Defects - Qty'!$R$11*1000000</f>
        <v>66.929020606853129</v>
      </c>
      <c r="X11" s="396">
        <f t="shared" si="0"/>
        <v>60.236118546167816</v>
      </c>
    </row>
    <row r="12" spans="1:24" ht="18" customHeight="1">
      <c r="A12" s="1082"/>
      <c r="B12" s="116">
        <f>B11+10</f>
        <v>5050</v>
      </c>
      <c r="C12" s="1073"/>
      <c r="D12" s="37" t="s">
        <v>135</v>
      </c>
      <c r="E12" s="219">
        <f>'[3]BLIND-PVC-PRE - Qty'!X12</f>
        <v>676.12425839316234</v>
      </c>
      <c r="F12" s="389">
        <f t="shared" ref="F12:Q15" si="9">F38*$E12/1000000</f>
        <v>1751.6342454751398</v>
      </c>
      <c r="G12" s="389">
        <f t="shared" si="9"/>
        <v>1833.2013169049387</v>
      </c>
      <c r="H12" s="389">
        <f t="shared" si="9"/>
        <v>1764.2446073758156</v>
      </c>
      <c r="I12" s="389">
        <f t="shared" si="9"/>
        <v>1775.6505393098585</v>
      </c>
      <c r="J12" s="389">
        <f t="shared" si="9"/>
        <v>1797.3425075502666</v>
      </c>
      <c r="K12" s="389">
        <f t="shared" si="9"/>
        <v>2043.5452538078243</v>
      </c>
      <c r="L12" s="389">
        <f t="shared" si="9"/>
        <v>2018.4093800226437</v>
      </c>
      <c r="M12" s="389">
        <f t="shared" si="9"/>
        <v>2019.4680951217381</v>
      </c>
      <c r="N12" s="389">
        <f t="shared" si="9"/>
        <v>1921.4655760090322</v>
      </c>
      <c r="O12" s="389">
        <f t="shared" si="9"/>
        <v>1490.1526864231093</v>
      </c>
      <c r="P12" s="389">
        <f t="shared" si="9"/>
        <v>1430.2764535861113</v>
      </c>
      <c r="Q12" s="389">
        <f t="shared" si="9"/>
        <v>1813.4303782673373</v>
      </c>
      <c r="R12" s="382">
        <f t="shared" si="6"/>
        <v>10965.618470423844</v>
      </c>
      <c r="S12" s="382">
        <f>R12/SUM('Prod &amp; Defects - Qty'!$F$11:$K$11)*1000000</f>
        <v>124.82294001104536</v>
      </c>
      <c r="T12" s="382">
        <f t="shared" si="7"/>
        <v>10693.202569429972</v>
      </c>
      <c r="U12" s="382">
        <f>T12/SUM('Prod &amp; Defects - Qty'!$L$11:$Q$11)*1000000</f>
        <v>124.82294001104536</v>
      </c>
      <c r="V12" s="382">
        <f t="shared" si="8"/>
        <v>21658.821039853814</v>
      </c>
      <c r="W12" s="382">
        <f>V12/'Prod &amp; Defects - Qty'!$R$11*1000000</f>
        <v>124.82294001104532</v>
      </c>
      <c r="X12" s="396">
        <f t="shared" si="0"/>
        <v>112.34064600994078</v>
      </c>
    </row>
    <row r="13" spans="1:24" ht="18" customHeight="1">
      <c r="A13" s="1082"/>
      <c r="B13" s="116">
        <f t="shared" ref="B13:B21" si="10">B12+10</f>
        <v>5060</v>
      </c>
      <c r="C13" s="1073"/>
      <c r="D13" s="37" t="s">
        <v>136</v>
      </c>
      <c r="E13" s="219">
        <f>'[3]BLIND-PVC-PRE - Qty'!X13</f>
        <v>430.10157929177115</v>
      </c>
      <c r="F13" s="389">
        <f t="shared" si="9"/>
        <v>984.26618668376534</v>
      </c>
      <c r="G13" s="389">
        <f t="shared" si="9"/>
        <v>1030.0997906810387</v>
      </c>
      <c r="H13" s="389">
        <f t="shared" si="9"/>
        <v>991.35211392727717</v>
      </c>
      <c r="I13" s="389">
        <f t="shared" si="9"/>
        <v>997.76125622356165</v>
      </c>
      <c r="J13" s="389">
        <f t="shared" si="9"/>
        <v>1009.9502568193225</v>
      </c>
      <c r="K13" s="389">
        <f t="shared" si="9"/>
        <v>1148.2947992578977</v>
      </c>
      <c r="L13" s="389">
        <f t="shared" si="9"/>
        <v>1134.1706231044491</v>
      </c>
      <c r="M13" s="389">
        <f t="shared" si="9"/>
        <v>1134.7655289622569</v>
      </c>
      <c r="N13" s="389">
        <f t="shared" si="9"/>
        <v>1079.6966320040906</v>
      </c>
      <c r="O13" s="389">
        <f t="shared" si="9"/>
        <v>837.33627955212228</v>
      </c>
      <c r="P13" s="389">
        <f t="shared" si="9"/>
        <v>803.69104138684816</v>
      </c>
      <c r="Q13" s="389">
        <f t="shared" si="9"/>
        <v>1018.9902417382389</v>
      </c>
      <c r="R13" s="382">
        <f t="shared" si="6"/>
        <v>6161.7244035928634</v>
      </c>
      <c r="S13" s="382">
        <f>R13/SUM('Prod &amp; Defects - Qty'!$F$11:$K$11)*1000000</f>
        <v>70.139642161427304</v>
      </c>
      <c r="T13" s="382">
        <f t="shared" si="7"/>
        <v>6008.6503467480061</v>
      </c>
      <c r="U13" s="382">
        <f>T13/SUM('Prod &amp; Defects - Qty'!$L$11:$Q$11)*1000000</f>
        <v>70.139642161427304</v>
      </c>
      <c r="V13" s="382">
        <f t="shared" si="8"/>
        <v>12170.37475034087</v>
      </c>
      <c r="W13" s="382">
        <f>V13/'Prod &amp; Defects - Qty'!$R$11*1000000</f>
        <v>70.13964216142729</v>
      </c>
      <c r="X13" s="396">
        <f t="shared" si="0"/>
        <v>63.125677945284565</v>
      </c>
    </row>
    <row r="14" spans="1:24" ht="18" customHeight="1">
      <c r="A14" s="1082"/>
      <c r="B14" s="116">
        <f t="shared" si="10"/>
        <v>5070</v>
      </c>
      <c r="C14" s="1073"/>
      <c r="D14" s="37" t="s">
        <v>138</v>
      </c>
      <c r="E14" s="219">
        <f>'[3]BLIND-PVC-PRE - Qty'!X14</f>
        <v>545.18760368015887</v>
      </c>
      <c r="F14" s="389">
        <f t="shared" si="9"/>
        <v>1459.4973834943098</v>
      </c>
      <c r="G14" s="389">
        <f t="shared" si="9"/>
        <v>1527.4607312300657</v>
      </c>
      <c r="H14" s="389">
        <f t="shared" si="9"/>
        <v>1470.0045942584841</v>
      </c>
      <c r="I14" s="389">
        <f t="shared" si="9"/>
        <v>1479.5082494062713</v>
      </c>
      <c r="J14" s="389">
        <f t="shared" si="9"/>
        <v>1497.5824398210227</v>
      </c>
      <c r="K14" s="389">
        <f t="shared" si="9"/>
        <v>1702.7235900926926</v>
      </c>
      <c r="L14" s="389">
        <f t="shared" si="9"/>
        <v>1681.7798673286047</v>
      </c>
      <c r="M14" s="389">
        <f t="shared" si="9"/>
        <v>1682.6620103450396</v>
      </c>
      <c r="N14" s="389">
        <f t="shared" si="9"/>
        <v>1601.0043123465359</v>
      </c>
      <c r="O14" s="389">
        <f t="shared" si="9"/>
        <v>1241.6256147421914</v>
      </c>
      <c r="P14" s="389">
        <f t="shared" si="9"/>
        <v>1191.735516175758</v>
      </c>
      <c r="Q14" s="389">
        <f t="shared" si="9"/>
        <v>1510.9871818658955</v>
      </c>
      <c r="R14" s="382">
        <f t="shared" si="6"/>
        <v>9136.776988302845</v>
      </c>
      <c r="S14" s="382">
        <f>R14/SUM('Prod &amp; Defects - Qty'!$F$11:$K$11)*1000000</f>
        <v>104.00501977898413</v>
      </c>
      <c r="T14" s="382">
        <f t="shared" si="7"/>
        <v>8909.7945028040249</v>
      </c>
      <c r="U14" s="382">
        <f>T14/SUM('Prod &amp; Defects - Qty'!$L$11:$Q$11)*1000000</f>
        <v>104.00501977898416</v>
      </c>
      <c r="V14" s="382">
        <f t="shared" si="8"/>
        <v>18046.571491106872</v>
      </c>
      <c r="W14" s="382">
        <f>V14/'Prod &amp; Defects - Qty'!$R$11*1000000</f>
        <v>104.00501977898415</v>
      </c>
      <c r="X14" s="396">
        <f t="shared" si="0"/>
        <v>93.604517801085734</v>
      </c>
    </row>
    <row r="15" spans="1:24" ht="18" customHeight="1">
      <c r="A15" s="1082"/>
      <c r="B15" s="116">
        <f t="shared" si="10"/>
        <v>5080</v>
      </c>
      <c r="C15" s="1073"/>
      <c r="D15" s="37" t="s">
        <v>139</v>
      </c>
      <c r="E15" s="219">
        <f>'[3]BLIND-PVC-PRE - Qty'!X15</f>
        <v>947.17235082557272</v>
      </c>
      <c r="F15" s="389">
        <f t="shared" si="9"/>
        <v>4089.7303157859028</v>
      </c>
      <c r="G15" s="389">
        <f t="shared" si="9"/>
        <v>4280.1737977274397</v>
      </c>
      <c r="H15" s="389">
        <f t="shared" si="9"/>
        <v>4119.1730944318742</v>
      </c>
      <c r="I15" s="389">
        <f t="shared" si="9"/>
        <v>4145.8037598981073</v>
      </c>
      <c r="J15" s="389">
        <f t="shared" si="9"/>
        <v>4196.4503491338619</v>
      </c>
      <c r="K15" s="389">
        <f t="shared" si="9"/>
        <v>4771.2865843812206</v>
      </c>
      <c r="L15" s="389">
        <f t="shared" si="9"/>
        <v>4712.5991356181175</v>
      </c>
      <c r="M15" s="389">
        <f t="shared" si="9"/>
        <v>4715.0710325039718</v>
      </c>
      <c r="N15" s="389">
        <f t="shared" si="9"/>
        <v>4486.2539295762417</v>
      </c>
      <c r="O15" s="389">
        <f t="shared" si="9"/>
        <v>3479.2209803829669</v>
      </c>
      <c r="P15" s="389">
        <f t="shared" si="9"/>
        <v>3339.421450166486</v>
      </c>
      <c r="Q15" s="389">
        <f t="shared" si="9"/>
        <v>4234.0124445073752</v>
      </c>
      <c r="R15" s="382">
        <f t="shared" si="6"/>
        <v>25602.617901358408</v>
      </c>
      <c r="S15" s="382">
        <f>R15/SUM('Prod &amp; Defects - Qty'!$F$11:$K$11)*1000000</f>
        <v>291.43764640786856</v>
      </c>
      <c r="T15" s="382">
        <f t="shared" si="7"/>
        <v>24966.57897275516</v>
      </c>
      <c r="U15" s="382">
        <f>T15/SUM('Prod &amp; Defects - Qty'!$L$11:$Q$11)*1000000</f>
        <v>291.43764640786856</v>
      </c>
      <c r="V15" s="382">
        <f t="shared" si="8"/>
        <v>50569.196874113564</v>
      </c>
      <c r="W15" s="382">
        <f>V15/'Prod &amp; Defects - Qty'!$R$11*1000000</f>
        <v>291.4376464078685</v>
      </c>
      <c r="X15" s="396">
        <f t="shared" si="0"/>
        <v>262.29388176708164</v>
      </c>
    </row>
    <row r="16" spans="1:24" ht="18" customHeight="1">
      <c r="A16" s="1082"/>
      <c r="B16" s="116">
        <f t="shared" si="10"/>
        <v>5090</v>
      </c>
      <c r="C16" s="1073"/>
      <c r="D16" s="68" t="s">
        <v>83</v>
      </c>
      <c r="E16" s="420">
        <f>'[3]BLIND-PVC-PRE - Qty'!X16</f>
        <v>569.21614968067342</v>
      </c>
      <c r="F16" s="390">
        <f>SUBTOTAL(109,F11:F15)</f>
        <v>9224.3398220202034</v>
      </c>
      <c r="G16" s="390">
        <f t="shared" ref="G16:Q16" si="11">SUBTOTAL(109,G11:G15)</f>
        <v>9653.8829113375541</v>
      </c>
      <c r="H16" s="390">
        <f t="shared" si="11"/>
        <v>9290.7476715761131</v>
      </c>
      <c r="I16" s="390">
        <f t="shared" si="11"/>
        <v>9350.8128321073309</v>
      </c>
      <c r="J16" s="390">
        <f t="shared" si="11"/>
        <v>9465.0456332613849</v>
      </c>
      <c r="K16" s="390">
        <f t="shared" si="11"/>
        <v>10761.582169048448</v>
      </c>
      <c r="L16" s="390">
        <f t="shared" si="11"/>
        <v>10629.213301451309</v>
      </c>
      <c r="M16" s="390">
        <f t="shared" si="11"/>
        <v>10634.788636527097</v>
      </c>
      <c r="N16" s="390">
        <f t="shared" si="11"/>
        <v>10118.694285183554</v>
      </c>
      <c r="O16" s="390">
        <f t="shared" si="11"/>
        <v>7847.343017968049</v>
      </c>
      <c r="P16" s="390">
        <f t="shared" si="11"/>
        <v>7532.0267809296183</v>
      </c>
      <c r="Q16" s="390">
        <f t="shared" si="11"/>
        <v>9549.7665085755907</v>
      </c>
      <c r="R16" s="383">
        <f>SUM(R6:R15)</f>
        <v>66117.499961517344</v>
      </c>
      <c r="S16" s="384">
        <f>R16/SUM('Prod &amp; Defects - Qty'!$F$11:$K$11)*1000000</f>
        <v>752.62337036770703</v>
      </c>
      <c r="T16" s="383">
        <f>SUM(T6:T15)</f>
        <v>66908.60061162815</v>
      </c>
      <c r="U16" s="384">
        <f>T16/SUM('Prod &amp; Defects - Qty'!$L$11:$Q$11)*1000000</f>
        <v>781.03151849422636</v>
      </c>
      <c r="V16" s="383">
        <f t="shared" ref="V16:V30" si="12">T16+R16</f>
        <v>133026.10057314549</v>
      </c>
      <c r="W16" s="384">
        <f>V16/'Prod &amp; Defects - Qty'!$R$11*1000000</f>
        <v>766.64879132576721</v>
      </c>
      <c r="X16" s="397">
        <f t="shared" si="0"/>
        <v>689.98391219319046</v>
      </c>
    </row>
    <row r="17" spans="1:25" ht="18" customHeight="1">
      <c r="A17" s="1082"/>
      <c r="B17" s="116">
        <f t="shared" si="10"/>
        <v>5100</v>
      </c>
      <c r="C17" s="1072" t="s">
        <v>140</v>
      </c>
      <c r="D17" s="37" t="s">
        <v>134</v>
      </c>
      <c r="E17" s="219">
        <f>'[3]BLIND-PVC-PRE - Qty'!X17</f>
        <v>400.08940302403187</v>
      </c>
      <c r="F17" s="389">
        <f>$E17/1000000*F43</f>
        <v>1403.6087828218629</v>
      </c>
      <c r="G17" s="389">
        <f t="shared" ref="G17:Q17" si="13">$E17/1000000*G43</f>
        <v>1468.9696069457761</v>
      </c>
      <c r="H17" s="389">
        <f t="shared" si="13"/>
        <v>1413.7136404792616</v>
      </c>
      <c r="I17" s="389">
        <f t="shared" si="13"/>
        <v>1422.8533717218122</v>
      </c>
      <c r="J17" s="389">
        <f t="shared" si="13"/>
        <v>1440.2354463287581</v>
      </c>
      <c r="K17" s="389">
        <f t="shared" si="13"/>
        <v>1637.5211170643356</v>
      </c>
      <c r="L17" s="389">
        <f t="shared" si="13"/>
        <v>1617.3793932427561</v>
      </c>
      <c r="M17" s="389">
        <f t="shared" si="13"/>
        <v>1618.227756315945</v>
      </c>
      <c r="N17" s="389">
        <f t="shared" si="13"/>
        <v>1539.6969803159882</v>
      </c>
      <c r="O17" s="389">
        <f t="shared" si="13"/>
        <v>1194.0799877669183</v>
      </c>
      <c r="P17" s="389">
        <f t="shared" si="13"/>
        <v>1146.100333047676</v>
      </c>
      <c r="Q17" s="389">
        <f t="shared" si="13"/>
        <v>1453.1268799677805</v>
      </c>
      <c r="R17" s="382">
        <f t="shared" ref="R17:R30" si="14">SUM(F17:K17)</f>
        <v>8786.901965361807</v>
      </c>
      <c r="S17" s="382">
        <f>R17/SUM('Prod &amp; Defects - Qty'!$F$11:$K$11)*1000000</f>
        <v>100.02235075600798</v>
      </c>
      <c r="T17" s="382">
        <f t="shared" ref="T17:T30" si="15">SUM(L17:Q17)</f>
        <v>8568.6113306570642</v>
      </c>
      <c r="U17" s="382">
        <f>T17/SUM('Prod &amp; Defects - Qty'!$L$11:$Q$11)*1000000</f>
        <v>100.02235075600797</v>
      </c>
      <c r="V17" s="382">
        <f t="shared" ref="V17:V20" si="16">R17+T17</f>
        <v>17355.513296018871</v>
      </c>
      <c r="W17" s="382">
        <f>V17/'Prod &amp; Defects - Qty'!$R$11*1000000</f>
        <v>100.02235075600795</v>
      </c>
      <c r="X17" s="396">
        <f t="shared" si="0"/>
        <v>90.020115680407159</v>
      </c>
    </row>
    <row r="18" spans="1:25" ht="18" customHeight="1">
      <c r="A18" s="1082"/>
      <c r="B18" s="116">
        <f t="shared" si="10"/>
        <v>5110</v>
      </c>
      <c r="C18" s="1073"/>
      <c r="D18" s="37" t="s">
        <v>135</v>
      </c>
      <c r="E18" s="219">
        <f>'[3]BLIND-PVC-PRE - Qty'!X18</f>
        <v>374.23357160413588</v>
      </c>
      <c r="F18" s="389">
        <f t="shared" ref="F18:Q20" si="17">$E18/1000000*F44</f>
        <v>1312.9003766660828</v>
      </c>
      <c r="G18" s="389">
        <f t="shared" si="17"/>
        <v>1374.037248750177</v>
      </c>
      <c r="H18" s="389">
        <f t="shared" si="17"/>
        <v>1322.3522065398488</v>
      </c>
      <c r="I18" s="389">
        <f t="shared" si="17"/>
        <v>1330.9012814229848</v>
      </c>
      <c r="J18" s="389">
        <f t="shared" si="17"/>
        <v>1347.1600371232855</v>
      </c>
      <c r="K18" s="389">
        <f t="shared" si="17"/>
        <v>1531.6960948835006</v>
      </c>
      <c r="L18" s="389">
        <f t="shared" si="17"/>
        <v>1512.8560326698034</v>
      </c>
      <c r="M18" s="389">
        <f t="shared" si="17"/>
        <v>1513.6495701654153</v>
      </c>
      <c r="N18" s="389">
        <f t="shared" si="17"/>
        <v>1440.193856114566</v>
      </c>
      <c r="O18" s="389">
        <f t="shared" si="17"/>
        <v>1116.9124081404257</v>
      </c>
      <c r="P18" s="389">
        <f t="shared" si="17"/>
        <v>1072.0334450531761</v>
      </c>
      <c r="Q18" s="389">
        <f t="shared" si="17"/>
        <v>1359.2183601315041</v>
      </c>
      <c r="R18" s="382">
        <f t="shared" si="14"/>
        <v>8219.0472453858802</v>
      </c>
      <c r="S18" s="382">
        <f>R18/SUM('Prod &amp; Defects - Qty'!$F$11:$K$11)*1000000</f>
        <v>93.558392901033983</v>
      </c>
      <c r="T18" s="382">
        <f t="shared" si="15"/>
        <v>8014.8636722748906</v>
      </c>
      <c r="U18" s="382">
        <f>T18/SUM('Prod &amp; Defects - Qty'!$L$11:$Q$11)*1000000</f>
        <v>93.558392901033969</v>
      </c>
      <c r="V18" s="382">
        <f t="shared" si="16"/>
        <v>16233.910917660771</v>
      </c>
      <c r="W18" s="382">
        <f>V18/'Prod &amp; Defects - Qty'!$R$11*1000000</f>
        <v>93.558392901033955</v>
      </c>
      <c r="X18" s="396">
        <f t="shared" si="0"/>
        <v>84.202553610930565</v>
      </c>
    </row>
    <row r="19" spans="1:25" ht="18" customHeight="1">
      <c r="A19" s="1082"/>
      <c r="B19" s="116">
        <f t="shared" si="10"/>
        <v>5120</v>
      </c>
      <c r="C19" s="1073"/>
      <c r="D19" s="37" t="s">
        <v>136</v>
      </c>
      <c r="E19" s="219">
        <f>'[3]BLIND-PVC-PRE - Qty'!X19</f>
        <v>516.40370228806171</v>
      </c>
      <c r="F19" s="389">
        <f t="shared" si="17"/>
        <v>1811.6670087603202</v>
      </c>
      <c r="G19" s="389">
        <f t="shared" si="17"/>
        <v>1896.029581992884</v>
      </c>
      <c r="H19" s="389">
        <f t="shared" si="17"/>
        <v>1824.7095584153058</v>
      </c>
      <c r="I19" s="389">
        <f t="shared" si="17"/>
        <v>1836.506399361097</v>
      </c>
      <c r="J19" s="389">
        <f t="shared" si="17"/>
        <v>1858.9418040797143</v>
      </c>
      <c r="K19" s="389">
        <f t="shared" si="17"/>
        <v>2113.582516895885</v>
      </c>
      <c r="L19" s="389">
        <f t="shared" si="17"/>
        <v>2087.5851756183843</v>
      </c>
      <c r="M19" s="389">
        <f t="shared" si="17"/>
        <v>2088.6801754573403</v>
      </c>
      <c r="N19" s="389">
        <f t="shared" si="17"/>
        <v>1987.3188718001766</v>
      </c>
      <c r="O19" s="389">
        <f t="shared" si="17"/>
        <v>1541.2238410970399</v>
      </c>
      <c r="P19" s="389">
        <f t="shared" si="17"/>
        <v>1479.2955042197163</v>
      </c>
      <c r="Q19" s="389">
        <f t="shared" si="17"/>
        <v>1875.5810452310031</v>
      </c>
      <c r="R19" s="382">
        <f t="shared" si="14"/>
        <v>11341.436869505205</v>
      </c>
      <c r="S19" s="382">
        <f>R19/SUM('Prod &amp; Defects - Qty'!$F$11:$K$11)*1000000</f>
        <v>129.10092557201543</v>
      </c>
      <c r="T19" s="382">
        <f t="shared" si="15"/>
        <v>11059.684613423662</v>
      </c>
      <c r="U19" s="382">
        <f>T19/SUM('Prod &amp; Defects - Qty'!$L$11:$Q$11)*1000000</f>
        <v>129.10092557201546</v>
      </c>
      <c r="V19" s="382">
        <f t="shared" si="16"/>
        <v>22401.121482928866</v>
      </c>
      <c r="W19" s="382">
        <f>V19/'Prod &amp; Defects - Qty'!$R$11*1000000</f>
        <v>129.1009255720154</v>
      </c>
      <c r="X19" s="396">
        <f t="shared" si="0"/>
        <v>116.19083301481386</v>
      </c>
    </row>
    <row r="20" spans="1:25" ht="18" customHeight="1">
      <c r="A20" s="1082"/>
      <c r="B20" s="116">
        <f t="shared" si="10"/>
        <v>5130</v>
      </c>
      <c r="C20" s="1073"/>
      <c r="D20" s="37" t="s">
        <v>138</v>
      </c>
      <c r="E20" s="219">
        <f>'[3]BLIND-PVC-PRE - Qty'!X20</f>
        <v>448.98866314398612</v>
      </c>
      <c r="F20" s="389">
        <f t="shared" si="17"/>
        <v>1575.1590174921273</v>
      </c>
      <c r="G20" s="389">
        <f t="shared" si="17"/>
        <v>1648.5082959873198</v>
      </c>
      <c r="H20" s="389">
        <f t="shared" si="17"/>
        <v>1586.4988992699589</v>
      </c>
      <c r="I20" s="389">
        <f t="shared" si="17"/>
        <v>1596.7556960785503</v>
      </c>
      <c r="J20" s="389">
        <f t="shared" si="17"/>
        <v>1616.2622223235678</v>
      </c>
      <c r="K20" s="389">
        <f t="shared" si="17"/>
        <v>1837.660312079299</v>
      </c>
      <c r="L20" s="389">
        <f t="shared" si="17"/>
        <v>1815.0568499937933</v>
      </c>
      <c r="M20" s="389">
        <f t="shared" si="17"/>
        <v>1816.0089007084905</v>
      </c>
      <c r="N20" s="389">
        <f t="shared" si="17"/>
        <v>1727.8800278481349</v>
      </c>
      <c r="O20" s="389">
        <f t="shared" si="17"/>
        <v>1340.021438563952</v>
      </c>
      <c r="P20" s="389">
        <f t="shared" si="17"/>
        <v>1286.1776704769261</v>
      </c>
      <c r="Q20" s="389">
        <f t="shared" si="17"/>
        <v>1630.7292577207697</v>
      </c>
      <c r="R20" s="382">
        <f t="shared" si="14"/>
        <v>9860.8444432308243</v>
      </c>
      <c r="S20" s="382">
        <f>R20/SUM('Prod &amp; Defects - Qty'!$F$11:$K$11)*1000000</f>
        <v>112.24716578599656</v>
      </c>
      <c r="T20" s="382">
        <f t="shared" si="15"/>
        <v>9615.8741453120656</v>
      </c>
      <c r="U20" s="382">
        <f>T20/SUM('Prod &amp; Defects - Qty'!$L$11:$Q$11)*1000000</f>
        <v>112.24716578599651</v>
      </c>
      <c r="V20" s="382">
        <f t="shared" si="16"/>
        <v>19476.718588542892</v>
      </c>
      <c r="W20" s="382">
        <f>V20/'Prod &amp; Defects - Qty'!$R$11*1000000</f>
        <v>112.24716578599653</v>
      </c>
      <c r="X20" s="396">
        <f t="shared" si="0"/>
        <v>101.02244920739687</v>
      </c>
    </row>
    <row r="21" spans="1:25" ht="18" customHeight="1">
      <c r="A21" s="1082"/>
      <c r="B21" s="116">
        <f t="shared" si="10"/>
        <v>5140</v>
      </c>
      <c r="C21" s="1073"/>
      <c r="D21" s="69" t="s">
        <v>83</v>
      </c>
      <c r="E21" s="421">
        <f>'[3]BLIND-PVC-PRE - Qty'!X21</f>
        <v>231.12716414357988</v>
      </c>
      <c r="F21" s="391">
        <f>SUBTOTAL(109,F17:F20)</f>
        <v>6103.3351857403941</v>
      </c>
      <c r="G21" s="391">
        <f t="shared" ref="G21:Q21" si="18">SUBTOTAL(109,G17:G20)</f>
        <v>6387.5447336761572</v>
      </c>
      <c r="H21" s="391">
        <f t="shared" si="18"/>
        <v>6147.274304704375</v>
      </c>
      <c r="I21" s="391">
        <f t="shared" si="18"/>
        <v>6187.016748584444</v>
      </c>
      <c r="J21" s="391">
        <f t="shared" si="18"/>
        <v>6262.5995098553258</v>
      </c>
      <c r="K21" s="391">
        <f t="shared" si="18"/>
        <v>7120.4600409230206</v>
      </c>
      <c r="L21" s="391">
        <f t="shared" si="18"/>
        <v>7032.8774515247378</v>
      </c>
      <c r="M21" s="391">
        <f t="shared" si="18"/>
        <v>7036.5664026471914</v>
      </c>
      <c r="N21" s="391">
        <f t="shared" si="18"/>
        <v>6695.0897360788658</v>
      </c>
      <c r="O21" s="391">
        <f t="shared" si="18"/>
        <v>5192.2376755683363</v>
      </c>
      <c r="P21" s="391">
        <f t="shared" si="18"/>
        <v>4983.6069527974951</v>
      </c>
      <c r="Q21" s="391">
        <f t="shared" si="18"/>
        <v>6318.655543051058</v>
      </c>
      <c r="R21" s="384">
        <f t="shared" si="14"/>
        <v>38208.230523483711</v>
      </c>
      <c r="S21" s="384">
        <f>R21/SUM('Prod &amp; Defects - Qty'!$F$11:$K$11)*1000000</f>
        <v>434.92883501505383</v>
      </c>
      <c r="T21" s="384">
        <f t="shared" si="15"/>
        <v>37259.033761667684</v>
      </c>
      <c r="U21" s="384">
        <f>T21/SUM('Prod &amp; Defects - Qty'!$L$11:$Q$11)*1000000</f>
        <v>434.92883501505389</v>
      </c>
      <c r="V21" s="384">
        <f t="shared" si="12"/>
        <v>75467.264285151396</v>
      </c>
      <c r="W21" s="384">
        <f>V21/'Prod &amp; Defects - Qty'!$R$11*1000000</f>
        <v>434.92883501505378</v>
      </c>
      <c r="X21" s="398">
        <f t="shared" si="0"/>
        <v>391.43595151354839</v>
      </c>
    </row>
    <row r="22" spans="1:25" ht="18" customHeight="1" thickBot="1">
      <c r="A22" s="1083"/>
      <c r="B22" s="70"/>
      <c r="C22" s="71" t="s">
        <v>1</v>
      </c>
      <c r="D22" s="72"/>
      <c r="E22" s="422">
        <f>'[3]BLIND-PVC-PRE - Qty'!X22</f>
        <v>0</v>
      </c>
      <c r="F22" s="392">
        <f>SUMIF($D$6:$D$21,$D$21,F6:F21)</f>
        <v>16203.595449298427</v>
      </c>
      <c r="G22" s="392">
        <f t="shared" ref="G22:Q22" si="19">SUMIF($D$6:$D$21,$D$21,G6:G21)</f>
        <v>16519.405734993376</v>
      </c>
      <c r="H22" s="392">
        <f t="shared" si="19"/>
        <v>15913.806725871062</v>
      </c>
      <c r="I22" s="392">
        <f t="shared" si="19"/>
        <v>16018.64500785674</v>
      </c>
      <c r="J22" s="392">
        <f t="shared" si="19"/>
        <v>16596.197269831246</v>
      </c>
      <c r="K22" s="392">
        <f t="shared" si="19"/>
        <v>18888.535836067054</v>
      </c>
      <c r="L22" s="392">
        <f t="shared" si="19"/>
        <v>18675.749870464791</v>
      </c>
      <c r="M22" s="392">
        <f t="shared" si="19"/>
        <v>18686.174601323535</v>
      </c>
      <c r="N22" s="392">
        <f t="shared" si="19"/>
        <v>17627.428173794659</v>
      </c>
      <c r="O22" s="392">
        <f t="shared" si="19"/>
        <v>13793.622008767417</v>
      </c>
      <c r="P22" s="392">
        <f t="shared" si="19"/>
        <v>13278.575959446425</v>
      </c>
      <c r="Q22" s="392">
        <f t="shared" si="19"/>
        <v>16807.699719002543</v>
      </c>
      <c r="R22" s="385">
        <f t="shared" si="14"/>
        <v>100140.18602391791</v>
      </c>
      <c r="S22" s="399"/>
      <c r="T22" s="385">
        <f t="shared" si="15"/>
        <v>98869.250332799376</v>
      </c>
      <c r="U22" s="399"/>
      <c r="V22" s="385">
        <f t="shared" si="12"/>
        <v>199009.43635671728</v>
      </c>
      <c r="W22" s="399"/>
      <c r="X22" s="400">
        <f t="shared" ref="X22:X30" si="20">W22*0.9</f>
        <v>0</v>
      </c>
    </row>
    <row r="23" spans="1:25" ht="18" customHeight="1" thickTop="1">
      <c r="A23" s="1065" t="s">
        <v>89</v>
      </c>
      <c r="B23" s="65">
        <f>B21+10</f>
        <v>5150</v>
      </c>
      <c r="C23" s="73" t="s">
        <v>98</v>
      </c>
      <c r="D23" s="66"/>
      <c r="E23" s="418">
        <f>'[3]BLIND-PVC-PRE - Qty'!X23</f>
        <v>38648.658034234126</v>
      </c>
      <c r="F23" s="575">
        <f>$E23/1000000*F49</f>
        <v>44.034434407656597</v>
      </c>
      <c r="G23" s="575">
        <f t="shared" ref="G23:Q23" si="21">$E23/1000000*G49</f>
        <v>24.02900292468804</v>
      </c>
      <c r="H23" s="575">
        <f t="shared" si="21"/>
        <v>23.918738911066519</v>
      </c>
      <c r="I23" s="575">
        <f t="shared" si="21"/>
        <v>24.171642064333149</v>
      </c>
      <c r="J23" s="575">
        <f t="shared" si="21"/>
        <v>43.664013122349388</v>
      </c>
      <c r="K23" s="575">
        <f t="shared" si="21"/>
        <v>50.598633686660477</v>
      </c>
      <c r="L23" s="575">
        <f t="shared" si="21"/>
        <v>50.958858594982772</v>
      </c>
      <c r="M23" s="575">
        <f t="shared" si="21"/>
        <v>51.017196683538998</v>
      </c>
      <c r="N23" s="575">
        <f t="shared" si="21"/>
        <v>40.903669290958995</v>
      </c>
      <c r="O23" s="575">
        <f t="shared" si="21"/>
        <v>37.907304432705082</v>
      </c>
      <c r="P23" s="575">
        <f t="shared" si="21"/>
        <v>38.354772650682108</v>
      </c>
      <c r="Q23" s="575">
        <f t="shared" si="21"/>
        <v>47.219540580677588</v>
      </c>
      <c r="R23" s="894">
        <f t="shared" si="14"/>
        <v>210.41646511675418</v>
      </c>
      <c r="S23" s="386">
        <f>R23/SUM(F49:K49)*1000000</f>
        <v>38648.658034234126</v>
      </c>
      <c r="T23" s="379">
        <f t="shared" si="15"/>
        <v>266.36134223354554</v>
      </c>
      <c r="U23" s="386">
        <f>T23/SUM(L49:Q49)*1000000</f>
        <v>38648.658034234126</v>
      </c>
      <c r="V23" s="379">
        <f t="shared" si="12"/>
        <v>476.77780735029972</v>
      </c>
      <c r="W23" s="386">
        <f>V23/SUM(F49:Q49)*1000000</f>
        <v>38648.658034234133</v>
      </c>
      <c r="X23" s="401">
        <f t="shared" ref="X23:X24" si="22">W23*$Y$6</f>
        <v>0</v>
      </c>
      <c r="Y23" s="117">
        <v>0.79</v>
      </c>
    </row>
    <row r="24" spans="1:25" ht="18" customHeight="1">
      <c r="A24" s="1066"/>
      <c r="B24" s="65">
        <f>B23+10</f>
        <v>5160</v>
      </c>
      <c r="C24" s="43" t="s">
        <v>96</v>
      </c>
      <c r="D24" s="28"/>
      <c r="E24" s="214">
        <f>'[3]BLIND-PVC-PRE - Qty'!X24</f>
        <v>32522.187660837848</v>
      </c>
      <c r="F24" s="576">
        <f>$E24/1000000*F50</f>
        <v>116.83386303591021</v>
      </c>
      <c r="G24" s="576">
        <f t="shared" ref="G24:Q24" si="23">$E24/1000000*G50</f>
        <v>122.27438012804116</v>
      </c>
      <c r="H24" s="576">
        <f t="shared" si="23"/>
        <v>117.67497315861004</v>
      </c>
      <c r="I24" s="576">
        <f t="shared" si="23"/>
        <v>118.43574789958195</v>
      </c>
      <c r="J24" s="576">
        <f t="shared" si="23"/>
        <v>119.88260043339487</v>
      </c>
      <c r="K24" s="576">
        <f t="shared" si="23"/>
        <v>136.30430377107871</v>
      </c>
      <c r="L24" s="576">
        <f t="shared" si="23"/>
        <v>134.62774301492092</v>
      </c>
      <c r="M24" s="576">
        <f t="shared" si="23"/>
        <v>134.69835922672493</v>
      </c>
      <c r="N24" s="576">
        <f t="shared" si="23"/>
        <v>128.16159909842415</v>
      </c>
      <c r="O24" s="576">
        <f t="shared" si="23"/>
        <v>99.393064115919699</v>
      </c>
      <c r="P24" s="576">
        <f t="shared" si="23"/>
        <v>95.399324210197264</v>
      </c>
      <c r="Q24" s="576">
        <f t="shared" si="23"/>
        <v>120.95566011394924</v>
      </c>
      <c r="R24" s="895">
        <f t="shared" si="14"/>
        <v>731.40586842661696</v>
      </c>
      <c r="S24" s="387">
        <f>R24/SUM(F50:K50)*1000000</f>
        <v>32522.187660837852</v>
      </c>
      <c r="T24" s="380">
        <f t="shared" si="15"/>
        <v>713.23574978013608</v>
      </c>
      <c r="U24" s="387">
        <f>T24/SUM(L50:Q50)*1000000</f>
        <v>32522.187660837844</v>
      </c>
      <c r="V24" s="380">
        <f t="shared" si="12"/>
        <v>1444.641618206753</v>
      </c>
      <c r="W24" s="387">
        <f>V24/SUM(F50:Q50)*1000000</f>
        <v>32522.187660837852</v>
      </c>
      <c r="X24" s="402">
        <f t="shared" si="22"/>
        <v>0</v>
      </c>
      <c r="Y24" s="118">
        <v>0.25600000000000001</v>
      </c>
    </row>
    <row r="25" spans="1:25" ht="18" customHeight="1">
      <c r="A25" s="1066"/>
      <c r="B25" s="65"/>
      <c r="C25" s="63"/>
      <c r="D25" s="60"/>
      <c r="E25" s="423">
        <f>'[3]BLIND-PVC-PRE - Qty'!X25</f>
        <v>0</v>
      </c>
      <c r="F25" s="577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411">
        <f t="shared" si="14"/>
        <v>0</v>
      </c>
      <c r="S25" s="403"/>
      <c r="T25" s="411">
        <f t="shared" si="15"/>
        <v>0</v>
      </c>
      <c r="U25" s="403"/>
      <c r="V25" s="411">
        <f t="shared" si="12"/>
        <v>0</v>
      </c>
      <c r="W25" s="403"/>
      <c r="X25" s="404">
        <f t="shared" si="20"/>
        <v>0</v>
      </c>
    </row>
    <row r="26" spans="1:25" ht="18" customHeight="1" thickBot="1">
      <c r="A26" s="1068"/>
      <c r="B26" s="74"/>
      <c r="C26" s="71" t="s">
        <v>1</v>
      </c>
      <c r="D26" s="72"/>
      <c r="E26" s="422">
        <f>'[3]BLIND-PVC-PRE - Qty'!X26</f>
        <v>0</v>
      </c>
      <c r="F26" s="578"/>
      <c r="G26" s="578"/>
      <c r="H26" s="578"/>
      <c r="I26" s="578"/>
      <c r="J26" s="578"/>
      <c r="K26" s="578"/>
      <c r="L26" s="578"/>
      <c r="M26" s="578"/>
      <c r="N26" s="578"/>
      <c r="O26" s="578"/>
      <c r="P26" s="578"/>
      <c r="Q26" s="578"/>
      <c r="R26" s="385">
        <f t="shared" si="14"/>
        <v>0</v>
      </c>
      <c r="S26" s="399"/>
      <c r="T26" s="385">
        <f t="shared" si="15"/>
        <v>0</v>
      </c>
      <c r="U26" s="399"/>
      <c r="V26" s="385">
        <f t="shared" si="12"/>
        <v>0</v>
      </c>
      <c r="W26" s="399"/>
      <c r="X26" s="400">
        <f t="shared" si="20"/>
        <v>0</v>
      </c>
    </row>
    <row r="27" spans="1:25" ht="18" customHeight="1" thickTop="1">
      <c r="A27" s="1065" t="s">
        <v>100</v>
      </c>
      <c r="B27" s="65">
        <v>5170</v>
      </c>
      <c r="C27" s="73" t="s">
        <v>98</v>
      </c>
      <c r="D27" s="66"/>
      <c r="E27" s="425">
        <f>'[3]BLIND-PVC-PRE - Qty'!X27</f>
        <v>8.2103486304189607E-2</v>
      </c>
      <c r="F27" s="386">
        <f>$E27*'Prod &amp; Defects - Qty'!F5</f>
        <v>118411.12601591446</v>
      </c>
      <c r="G27" s="386">
        <f>$E27*'Prod &amp; Defects - Qty'!G5</f>
        <v>64615.370485087435</v>
      </c>
      <c r="H27" s="386">
        <f>$E27*'Prod &amp; Defects - Qty'!H5</f>
        <v>64318.864212494365</v>
      </c>
      <c r="I27" s="386">
        <f>$E27*'Prod &amp; Defects - Qty'!I5</f>
        <v>64998.93533306427</v>
      </c>
      <c r="J27" s="386">
        <f>$E27*'Prod &amp; Defects - Qty'!J5</f>
        <v>117415.04188122504</v>
      </c>
      <c r="K27" s="386">
        <f>$E27*'Prod &amp; Defects - Qty'!K5</f>
        <v>136062.63530575682</v>
      </c>
      <c r="L27" s="386">
        <f>$E27*'Prod &amp; Defects - Qty'!L5</f>
        <v>137031.30079646208</v>
      </c>
      <c r="M27" s="386">
        <f>$E27*'Prod &amp; Defects - Qty'!M5</f>
        <v>137188.17527091561</v>
      </c>
      <c r="N27" s="386">
        <f>$E27*'Prod &amp; Defects - Qty'!N5</f>
        <v>109992.31860425281</v>
      </c>
      <c r="O27" s="386">
        <f>$E27*'Prod &amp; Defects - Qty'!O5</f>
        <v>101934.92121529781</v>
      </c>
      <c r="P27" s="386">
        <f>$E27*'Prod &amp; Defects - Qty'!P5</f>
        <v>103138.1889819841</v>
      </c>
      <c r="Q27" s="386">
        <f>$E27*'Prod &amp; Defects - Qty'!Q5</f>
        <v>126976.05965253402</v>
      </c>
      <c r="R27" s="379">
        <f t="shared" si="14"/>
        <v>565821.97323354241</v>
      </c>
      <c r="S27" s="405">
        <f>R27/SUM(F51:K51)</f>
        <v>8.2103486304189607E-2</v>
      </c>
      <c r="T27" s="379">
        <f t="shared" si="15"/>
        <v>716260.9645214465</v>
      </c>
      <c r="U27" s="405">
        <f>T27/SUM(L51:Q51)</f>
        <v>8.2103486304189621E-2</v>
      </c>
      <c r="V27" s="379">
        <f t="shared" si="12"/>
        <v>1282082.9377549889</v>
      </c>
      <c r="W27" s="405">
        <f>V27/SUM(F51:Q51)</f>
        <v>8.2103486304189593E-2</v>
      </c>
      <c r="X27" s="406">
        <f t="shared" si="20"/>
        <v>7.3893137673770634E-2</v>
      </c>
    </row>
    <row r="28" spans="1:25" ht="18" customHeight="1">
      <c r="A28" s="1066"/>
      <c r="B28" s="65">
        <f>B27+10</f>
        <v>5180</v>
      </c>
      <c r="C28" s="43" t="s">
        <v>96</v>
      </c>
      <c r="D28" s="28"/>
      <c r="E28" s="426">
        <f>'[3]BLIND-PVC-PRE - Qty'!X28</f>
        <v>5.5692541348488847E-2</v>
      </c>
      <c r="F28" s="387">
        <f>$E28*'Prod &amp; Defects - Qty'!F11</f>
        <v>781530.7237189014</v>
      </c>
      <c r="G28" s="387">
        <f>$E28*'Prod &amp; Defects - Qty'!G11</f>
        <v>817923.6936159191</v>
      </c>
      <c r="H28" s="387">
        <f>$E28*'Prod &amp; Defects - Qty'!H11</f>
        <v>787157.11820625013</v>
      </c>
      <c r="I28" s="387">
        <f>$E28*'Prod &amp; Defects - Qty'!I11</f>
        <v>792246.12937517883</v>
      </c>
      <c r="J28" s="387">
        <f>$E28*'Prod &amp; Defects - Qty'!J11</f>
        <v>801924.48527716403</v>
      </c>
      <c r="K28" s="387">
        <f>$E28*'Prod &amp; Defects - Qty'!K11</f>
        <v>911773.33697739791</v>
      </c>
      <c r="L28" s="387">
        <f>$E28*'Prod &amp; Defects - Qty'!L11</f>
        <v>900558.40573168558</v>
      </c>
      <c r="M28" s="387">
        <f>$E28*'Prod &amp; Defects - Qty'!M11</f>
        <v>901030.77510888001</v>
      </c>
      <c r="N28" s="387">
        <f>$E28*'Prod &amp; Defects - Qty'!N11</f>
        <v>857304.76330802438</v>
      </c>
      <c r="O28" s="387">
        <f>$E28*'Prod &amp; Defects - Qty'!O11</f>
        <v>664864.88859208953</v>
      </c>
      <c r="P28" s="387">
        <f>$E28*'Prod &amp; Defects - Qty'!P11</f>
        <v>638149.77057955775</v>
      </c>
      <c r="Q28" s="387">
        <f>$E28*'Prod &amp; Defects - Qty'!Q11</f>
        <v>809102.44795806473</v>
      </c>
      <c r="R28" s="380">
        <f t="shared" si="14"/>
        <v>4892555.4871708117</v>
      </c>
      <c r="S28" s="407">
        <f>R28/SUM(F52:K52)</f>
        <v>5.5692541348488854E-2</v>
      </c>
      <c r="T28" s="380">
        <f t="shared" si="15"/>
        <v>4771011.0512783024</v>
      </c>
      <c r="U28" s="407">
        <f>T28/SUM(L52:Q52)</f>
        <v>5.5692541348488854E-2</v>
      </c>
      <c r="V28" s="380">
        <f t="shared" si="12"/>
        <v>9663566.5384491142</v>
      </c>
      <c r="W28" s="407">
        <f>V28/SUM(F52:Q52)</f>
        <v>5.5692541348488847E-2</v>
      </c>
      <c r="X28" s="408">
        <f t="shared" si="20"/>
        <v>5.0123287213639962E-2</v>
      </c>
    </row>
    <row r="29" spans="1:25" ht="18" customHeight="1">
      <c r="A29" s="1066"/>
      <c r="B29" s="65">
        <f>B28+10</f>
        <v>5190</v>
      </c>
      <c r="C29" s="43" t="s">
        <v>119</v>
      </c>
      <c r="D29" s="28"/>
      <c r="E29" s="426">
        <f>'[3]BLIND-PVC-PRE - Qty'!X29</f>
        <v>6.2503380669361841E-2</v>
      </c>
      <c r="F29" s="387">
        <f>$E29*'Prod &amp; Defects - Qty'!F8</f>
        <v>616099.40689423098</v>
      </c>
      <c r="G29" s="387">
        <f>$E29*'Prod &amp; Defects - Qty'!G8</f>
        <v>703446.45629758399</v>
      </c>
      <c r="H29" s="387">
        <f>$E29*'Prod &amp; Defects - Qty'!H8</f>
        <v>637147.21593733295</v>
      </c>
      <c r="I29" s="387">
        <f>$E29*'Prod &amp; Defects - Qty'!I8</f>
        <v>640350.78387684922</v>
      </c>
      <c r="J29" s="387">
        <f>$E29*'Prod &amp; Defects - Qty'!J8</f>
        <v>691303.91262805334</v>
      </c>
      <c r="K29" s="387">
        <f>$E29*'Prod &amp; Defects - Qty'!K8</f>
        <v>728486.08762013318</v>
      </c>
      <c r="L29" s="387">
        <f>$E29*'Prod &amp; Defects - Qty'!L8</f>
        <v>710796.74812733196</v>
      </c>
      <c r="M29" s="387">
        <f>$E29*'Prod &amp; Defects - Qty'!M8</f>
        <v>709374.93328701798</v>
      </c>
      <c r="N29" s="387">
        <f>$E29*'Prod &amp; Defects - Qty'!N8</f>
        <v>708536.21826278057</v>
      </c>
      <c r="O29" s="387">
        <f>$E29*'Prod &amp; Defects - Qty'!O8</f>
        <v>524378.8604543634</v>
      </c>
      <c r="P29" s="387">
        <f>$E29*'Prod &amp; Defects - Qty'!P8</f>
        <v>547696.97390069999</v>
      </c>
      <c r="Q29" s="387">
        <f>$E29*'Prod &amp; Defects - Qty'!Q8</f>
        <v>677501.52809765819</v>
      </c>
      <c r="R29" s="380">
        <f t="shared" si="14"/>
        <v>4016833.8632541834</v>
      </c>
      <c r="S29" s="407">
        <f>R29/SUM(F53:K53)</f>
        <v>6.2503380669361841E-2</v>
      </c>
      <c r="T29" s="380">
        <f t="shared" si="15"/>
        <v>3878285.2621298516</v>
      </c>
      <c r="U29" s="407">
        <f>T29/SUM(L53:Q53)</f>
        <v>6.2503380669361841E-2</v>
      </c>
      <c r="V29" s="380">
        <f t="shared" si="12"/>
        <v>7895119.1253840346</v>
      </c>
      <c r="W29" s="407">
        <f>V29/SUM(F53:Q53)</f>
        <v>6.2503380669361827E-2</v>
      </c>
      <c r="X29" s="408">
        <f t="shared" si="20"/>
        <v>5.6253042602425647E-2</v>
      </c>
    </row>
    <row r="30" spans="1:25" ht="18" customHeight="1" thickBot="1">
      <c r="A30" s="1067"/>
      <c r="B30" s="121"/>
      <c r="C30" s="122" t="s">
        <v>1</v>
      </c>
      <c r="D30" s="123"/>
      <c r="E30" s="424">
        <f>'[3]BLIND-PVC-PRE - Qty'!X30</f>
        <v>0</v>
      </c>
      <c r="F30" s="394"/>
      <c r="G30" s="394"/>
      <c r="H30" s="394"/>
      <c r="I30" s="394"/>
      <c r="J30" s="394"/>
      <c r="K30" s="394"/>
      <c r="L30" s="394"/>
      <c r="M30" s="394"/>
      <c r="N30" s="394"/>
      <c r="O30" s="394"/>
      <c r="P30" s="394"/>
      <c r="Q30" s="394"/>
      <c r="R30" s="409">
        <f t="shared" si="14"/>
        <v>0</v>
      </c>
      <c r="S30" s="409"/>
      <c r="T30" s="409">
        <f t="shared" si="15"/>
        <v>0</v>
      </c>
      <c r="U30" s="409"/>
      <c r="V30" s="409">
        <f t="shared" si="12"/>
        <v>0</v>
      </c>
      <c r="W30" s="393"/>
      <c r="X30" s="410">
        <f t="shared" si="20"/>
        <v>0</v>
      </c>
    </row>
    <row r="32" spans="1:25">
      <c r="C32" s="536" t="s">
        <v>190</v>
      </c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</row>
    <row r="33" spans="3:17">
      <c r="C33" s="536" t="s">
        <v>98</v>
      </c>
      <c r="D33" s="184" t="s">
        <v>134</v>
      </c>
      <c r="E33" s="184"/>
      <c r="F33" s="537">
        <f>'Prod &amp; Defects - Qty'!F$5/(V_BLD_UM1_BM1+V_BLD_UM1_BM2+V_BLD_UM1_BM3)*V_BLD_UM1_BM1</f>
        <v>413503.06365384621</v>
      </c>
      <c r="G33" s="537">
        <f>'Prod &amp; Defects - Qty'!G$5/(V_BLD_UM1_BM1+V_BLD_UM1_BM2+V_BLD_UM1_BM3)*V_BLD_UM1_BM1</f>
        <v>225643.1008951049</v>
      </c>
      <c r="H33" s="537">
        <f>'Prod &amp; Defects - Qty'!H$5/(V_BLD_UM1_BM1+V_BLD_UM1_BM2+V_BLD_UM1_BM3)*V_BLD_UM1_BM1</f>
        <v>224607.67241608395</v>
      </c>
      <c r="I33" s="537">
        <f>'Prod &amp; Defects - Qty'!I$5/(V_BLD_UM1_BM1+V_BLD_UM1_BM2+V_BLD_UM1_BM3)*V_BLD_UM1_BM1</f>
        <v>226982.54630944057</v>
      </c>
      <c r="J33" s="537">
        <f>'Prod &amp; Defects - Qty'!J$5/(V_BLD_UM1_BM1+V_BLD_UM1_BM2+V_BLD_UM1_BM3)*V_BLD_UM1_BM1</f>
        <v>410024.64186013985</v>
      </c>
      <c r="K33" s="537">
        <f>'Prod &amp; Defects - Qty'!K$5/(V_BLD_UM1_BM1+V_BLD_UM1_BM2+V_BLD_UM1_BM3)*V_BLD_UM1_BM1</f>
        <v>475143.83521853137</v>
      </c>
      <c r="L33" s="537">
        <f>'Prod &amp; Defects - Qty'!L$5/(V_BLD_UM1_BM1+V_BLD_UM1_BM2+V_BLD_UM1_BM3)*V_BLD_UM1_BM1</f>
        <v>478526.50846503489</v>
      </c>
      <c r="M33" s="537">
        <f>'Prod &amp; Defects - Qty'!M$5/(V_BLD_UM1_BM1+V_BLD_UM1_BM2+V_BLD_UM1_BM3)*V_BLD_UM1_BM1</f>
        <v>479074.32924825174</v>
      </c>
      <c r="N33" s="537">
        <f>'Prod &amp; Defects - Qty'!N$5/(V_BLD_UM1_BM1+V_BLD_UM1_BM2+V_BLD_UM1_BM3)*V_BLD_UM1_BM1</f>
        <v>384103.77682867134</v>
      </c>
      <c r="O33" s="537">
        <f>'Prod &amp; Defects - Qty'!O$5/(V_BLD_UM1_BM1+V_BLD_UM1_BM2+V_BLD_UM1_BM3)*V_BLD_UM1_BM1</f>
        <v>355966.56863286713</v>
      </c>
      <c r="P33" s="537">
        <f>'Prod &amp; Defects - Qty'!P$5/(V_BLD_UM1_BM1+V_BLD_UM1_BM2+V_BLD_UM1_BM3)*V_BLD_UM1_BM1</f>
        <v>360168.49563636363</v>
      </c>
      <c r="Q33" s="537">
        <f>'Prod &amp; Defects - Qty'!Q$5/(V_BLD_UM1_BM1+V_BLD_UM1_BM2+V_BLD_UM1_BM3)*V_BLD_UM1_BM1</f>
        <v>443412.63733916084</v>
      </c>
    </row>
    <row r="34" spans="3:17">
      <c r="C34" s="536"/>
      <c r="D34" s="184" t="s">
        <v>135</v>
      </c>
      <c r="E34" s="184"/>
      <c r="F34" s="537">
        <f>'Prod &amp; Defects - Qty'!F$5/(V_BLD_UM1_BM1+V_BLD_UM1_BM2+V_BLD_UM1_BM3)*V_BLD_UM1_BM2</f>
        <v>403417.62307692313</v>
      </c>
      <c r="G34" s="537">
        <f>'Prod &amp; Defects - Qty'!G$5/(V_BLD_UM1_BM1+V_BLD_UM1_BM2+V_BLD_UM1_BM3)*V_BLD_UM1_BM2</f>
        <v>220139.61062937064</v>
      </c>
      <c r="H34" s="537">
        <f>'Prod &amp; Defects - Qty'!H$5/(V_BLD_UM1_BM1+V_BLD_UM1_BM2+V_BLD_UM1_BM3)*V_BLD_UM1_BM2</f>
        <v>219129.43650349652</v>
      </c>
      <c r="I34" s="537">
        <f>'Prod &amp; Defects - Qty'!I$5/(V_BLD_UM1_BM1+V_BLD_UM1_BM2+V_BLD_UM1_BM3)*V_BLD_UM1_BM2</f>
        <v>221446.38664335667</v>
      </c>
      <c r="J34" s="537">
        <f>'Prod &amp; Defects - Qty'!J$5/(V_BLD_UM1_BM1+V_BLD_UM1_BM2+V_BLD_UM1_BM3)*V_BLD_UM1_BM2</f>
        <v>400024.04083916085</v>
      </c>
      <c r="K34" s="537">
        <f>'Prod &amp; Defects - Qty'!K$5/(V_BLD_UM1_BM1+V_BLD_UM1_BM2+V_BLD_UM1_BM3)*V_BLD_UM1_BM2</f>
        <v>463554.96118881111</v>
      </c>
      <c r="L34" s="537">
        <f>'Prod &amp; Defects - Qty'!L$5/(V_BLD_UM1_BM1+V_BLD_UM1_BM2+V_BLD_UM1_BM3)*V_BLD_UM1_BM2</f>
        <v>466855.13020979014</v>
      </c>
      <c r="M34" s="537">
        <f>'Prod &amp; Defects - Qty'!M$5/(V_BLD_UM1_BM1+V_BLD_UM1_BM2+V_BLD_UM1_BM3)*V_BLD_UM1_BM2</f>
        <v>467389.58951048955</v>
      </c>
      <c r="N34" s="537">
        <f>'Prod &amp; Defects - Qty'!N$5/(V_BLD_UM1_BM1+V_BLD_UM1_BM2+V_BLD_UM1_BM3)*V_BLD_UM1_BM2</f>
        <v>374735.39202797203</v>
      </c>
      <c r="O34" s="537">
        <f>'Prod &amp; Defects - Qty'!O$5/(V_BLD_UM1_BM1+V_BLD_UM1_BM2+V_BLD_UM1_BM3)*V_BLD_UM1_BM2</f>
        <v>347284.45720279717</v>
      </c>
      <c r="P34" s="537">
        <f>'Prod &amp; Defects - Qty'!P$5/(V_BLD_UM1_BM1+V_BLD_UM1_BM2+V_BLD_UM1_BM3)*V_BLD_UM1_BM2</f>
        <v>351383.89818181819</v>
      </c>
      <c r="Q34" s="537">
        <f>'Prod &amp; Defects - Qty'!Q$5/(V_BLD_UM1_BM1+V_BLD_UM1_BM2+V_BLD_UM1_BM3)*V_BLD_UM1_BM2</f>
        <v>432597.69496503496</v>
      </c>
    </row>
    <row r="35" spans="3:17">
      <c r="C35" s="536"/>
      <c r="D35" s="184" t="s">
        <v>136</v>
      </c>
      <c r="E35" s="184"/>
      <c r="F35" s="537">
        <f>'Prod &amp; Defects - Qty'!F$5/(V_BLD_UM1_BM1+V_BLD_UM1_BM2+V_BLD_UM1_BM3)*V_BLD_UM1_BM3</f>
        <v>625297.31576923083</v>
      </c>
      <c r="G35" s="537">
        <f>'Prod &amp; Defects - Qty'!G$5/(V_BLD_UM1_BM1+V_BLD_UM1_BM2+V_BLD_UM1_BM3)*V_BLD_UM1_BM3</f>
        <v>341216.39647552453</v>
      </c>
      <c r="H35" s="537">
        <f>'Prod &amp; Defects - Qty'!H$5/(V_BLD_UM1_BM1+V_BLD_UM1_BM2+V_BLD_UM1_BM3)*V_BLD_UM1_BM3</f>
        <v>339650.6265804196</v>
      </c>
      <c r="I35" s="537">
        <f>'Prod &amp; Defects - Qty'!I$5/(V_BLD_UM1_BM1+V_BLD_UM1_BM2+V_BLD_UM1_BM3)*V_BLD_UM1_BM3</f>
        <v>343241.89929720282</v>
      </c>
      <c r="J35" s="537">
        <f>'Prod &amp; Defects - Qty'!J$5/(V_BLD_UM1_BM1+V_BLD_UM1_BM2+V_BLD_UM1_BM3)*V_BLD_UM1_BM3</f>
        <v>620037.2633006993</v>
      </c>
      <c r="K35" s="537">
        <f>'Prod &amp; Defects - Qty'!K$5/(V_BLD_UM1_BM1+V_BLD_UM1_BM2+V_BLD_UM1_BM3)*V_BLD_UM1_BM3</f>
        <v>718510.18984265719</v>
      </c>
      <c r="L35" s="537">
        <f>'Prod &amp; Defects - Qty'!L$5/(V_BLD_UM1_BM1+V_BLD_UM1_BM2+V_BLD_UM1_BM3)*V_BLD_UM1_BM3</f>
        <v>723625.45182517474</v>
      </c>
      <c r="M35" s="537">
        <f>'Prod &amp; Defects - Qty'!M$5/(V_BLD_UM1_BM1+V_BLD_UM1_BM2+V_BLD_UM1_BM3)*V_BLD_UM1_BM3</f>
        <v>724453.86374125874</v>
      </c>
      <c r="N35" s="537">
        <f>'Prod &amp; Defects - Qty'!N$5/(V_BLD_UM1_BM1+V_BLD_UM1_BM2+V_BLD_UM1_BM3)*V_BLD_UM1_BM3</f>
        <v>580839.85764335666</v>
      </c>
      <c r="O35" s="537">
        <f>'Prod &amp; Defects - Qty'!O$5/(V_BLD_UM1_BM1+V_BLD_UM1_BM2+V_BLD_UM1_BM3)*V_BLD_UM1_BM3</f>
        <v>538290.90866433561</v>
      </c>
      <c r="P35" s="537">
        <f>'Prod &amp; Defects - Qty'!P$5/(V_BLD_UM1_BM1+V_BLD_UM1_BM2+V_BLD_UM1_BM3)*V_BLD_UM1_BM3</f>
        <v>544645.04218181816</v>
      </c>
      <c r="Q35" s="537">
        <f>'Prod &amp; Defects - Qty'!Q$5/(V_BLD_UM1_BM1+V_BLD_UM1_BM2+V_BLD_UM1_BM3)*V_BLD_UM1_BM3</f>
        <v>670526.42719580419</v>
      </c>
    </row>
    <row r="36" spans="3:17">
      <c r="C36" s="536"/>
      <c r="D36" s="184" t="s">
        <v>204</v>
      </c>
      <c r="E36" s="184"/>
      <c r="F36" s="537">
        <f>'Prod &amp; Defects - Qty'!F5*(1+'BLIND-PVC-PRE - Qty'!$E9/10000)</f>
        <v>1473904.0017425062</v>
      </c>
      <c r="G36" s="537">
        <f>'Prod &amp; Defects - Qty'!G5*(1+'BLIND-PVC-PRE - Qty'!$E9/10000)</f>
        <v>804289.73472682934</v>
      </c>
      <c r="H36" s="537">
        <f>'Prod &amp; Defects - Qty'!H5*(1+'BLIND-PVC-PRE - Qty'!$E9/10000)</f>
        <v>800599.0191967875</v>
      </c>
      <c r="I36" s="537">
        <f>'Prod &amp; Defects - Qty'!I5*(1+'BLIND-PVC-PRE - Qty'!$E9/10000)</f>
        <v>809064.09828017338</v>
      </c>
      <c r="J36" s="537">
        <f>'Prod &amp; Defects - Qty'!J5*(1+'BLIND-PVC-PRE - Qty'!$E9/10000)</f>
        <v>1461505.400009814</v>
      </c>
      <c r="K36" s="537">
        <f>'Prod &amp; Defects - Qty'!K5*(1+'BLIND-PVC-PRE - Qty'!$E9/10000)</f>
        <v>1693618.407427636</v>
      </c>
      <c r="L36" s="537">
        <f>'Prod &amp; Defects - Qty'!L5*(1+'BLIND-PVC-PRE - Qty'!$E9/10000)</f>
        <v>1705675.7198706281</v>
      </c>
      <c r="M36" s="537">
        <f>'Prod &amp; Defects - Qty'!M5*(1+'BLIND-PVC-PRE - Qty'!$E9/10000)</f>
        <v>1707628.3903961768</v>
      </c>
      <c r="N36" s="537">
        <f>'Prod &amp; Defects - Qty'!N5*(1+'BLIND-PVC-PRE - Qty'!$E9/10000)</f>
        <v>1369112.2110430421</v>
      </c>
      <c r="O36" s="537">
        <f>'Prod &amp; Defects - Qty'!O5*(1+'BLIND-PVC-PRE - Qty'!$E9/10000)</f>
        <v>1268819.0151687434</v>
      </c>
      <c r="P36" s="537">
        <f>'Prod &amp; Defects - Qty'!P5*(1+'BLIND-PVC-PRE - Qty'!$E9/10000)</f>
        <v>1283796.5028099664</v>
      </c>
      <c r="Q36" s="537">
        <f>'Prod &amp; Defects - Qty'!Q5*(1+'BLIND-PVC-PRE - Qty'!$E9/10000)</f>
        <v>1580514.6758102109</v>
      </c>
    </row>
    <row r="37" spans="3:17">
      <c r="C37" s="1063" t="s">
        <v>137</v>
      </c>
      <c r="D37" s="536" t="s">
        <v>134</v>
      </c>
      <c r="E37" s="184"/>
      <c r="F37" s="675">
        <f>'Prod &amp; Defects - Qty'!F$11/(V_BLD_UM3_BM1+V_BLD_UM3_BM2+V_BLD_UM3_BM3+V_BLD_UM3_BM4+V_BLD_UM3_BM5)*V_BLD_UM3_BM1</f>
        <v>2158915.5934615382</v>
      </c>
      <c r="G37" s="675">
        <f>'Prod &amp; Defects - Qty'!G$11/(V_BLD_UM3_BM1+V_BLD_UM3_BM2+V_BLD_UM3_BM3+V_BLD_UM3_BM4+V_BLD_UM3_BM5)*V_BLD_UM3_BM1</f>
        <v>2259448.2376923072</v>
      </c>
      <c r="H37" s="675">
        <f>'Prod &amp; Defects - Qty'!H$11/(V_BLD_UM3_BM1+V_BLD_UM3_BM2+V_BLD_UM3_BM3+V_BLD_UM3_BM4+V_BLD_UM3_BM5)*V_BLD_UM3_BM1</f>
        <v>2174458.0544615388</v>
      </c>
      <c r="I37" s="675">
        <f>'Prod &amp; Defects - Qty'!I$11/(V_BLD_UM3_BM1+V_BLD_UM3_BM2+V_BLD_UM3_BM3+V_BLD_UM3_BM4+V_BLD_UM3_BM5)*V_BLD_UM3_BM1</f>
        <v>2188516.0373846157</v>
      </c>
      <c r="J37" s="675">
        <f>'Prod &amp; Defects - Qty'!J$11/(V_BLD_UM3_BM1+V_BLD_UM3_BM2+V_BLD_UM3_BM3+V_BLD_UM3_BM4+V_BLD_UM3_BM5)*V_BLD_UM3_BM1</f>
        <v>2215251.7149999994</v>
      </c>
      <c r="K37" s="675">
        <f>'Prod &amp; Defects - Qty'!K$11/(V_BLD_UM3_BM1+V_BLD_UM3_BM2+V_BLD_UM3_BM3+V_BLD_UM3_BM4+V_BLD_UM3_BM5)*V_BLD_UM3_BM1</f>
        <v>2518700.3084615385</v>
      </c>
      <c r="L37" s="675">
        <f>'Prod &amp; Defects - Qty'!L$11/(V_BLD_UM3_BM1+V_BLD_UM3_BM2+V_BLD_UM3_BM3+V_BLD_UM3_BM4+V_BLD_UM3_BM5)*V_BLD_UM3_BM1</f>
        <v>2487719.9653846156</v>
      </c>
      <c r="M37" s="675">
        <f>'Prod &amp; Defects - Qty'!M$11/(V_BLD_UM3_BM1+V_BLD_UM3_BM2+V_BLD_UM3_BM3+V_BLD_UM3_BM4+V_BLD_UM3_BM5)*V_BLD_UM3_BM1</f>
        <v>2489024.8476923076</v>
      </c>
      <c r="N37" s="675">
        <f>'Prod &amp; Defects - Qty'!N$11/(V_BLD_UM3_BM1+V_BLD_UM3_BM2+V_BLD_UM3_BM3+V_BLD_UM3_BM4+V_BLD_UM3_BM5)*V_BLD_UM3_BM1</f>
        <v>2368235.2666153847</v>
      </c>
      <c r="O37" s="675">
        <f>'Prod &amp; Defects - Qty'!O$11/(V_BLD_UM3_BM1+V_BLD_UM3_BM2+V_BLD_UM3_BM3+V_BLD_UM3_BM4+V_BLD_UM3_BM5)*V_BLD_UM3_BM1</f>
        <v>1836635.6330769234</v>
      </c>
      <c r="P37" s="675">
        <f>'Prod &amp; Defects - Qty'!P$11/(V_BLD_UM3_BM1+V_BLD_UM3_BM2+V_BLD_UM3_BM3+V_BLD_UM3_BM4+V_BLD_UM3_BM5)*V_BLD_UM3_BM1</f>
        <v>1762837.2741538459</v>
      </c>
      <c r="Q37" s="675">
        <f>'Prod &amp; Defects - Qty'!Q$11/(V_BLD_UM3_BM1+V_BLD_UM3_BM2+V_BLD_UM3_BM3+V_BLD_UM3_BM4+V_BLD_UM3_BM5)*V_BLD_UM3_BM1</f>
        <v>2235080.2579999999</v>
      </c>
    </row>
    <row r="38" spans="3:17">
      <c r="C38" s="1064"/>
      <c r="D38" s="536" t="s">
        <v>135</v>
      </c>
      <c r="E38" s="184"/>
      <c r="F38" s="675">
        <f>'Prod &amp; Defects - Qty'!F$11/(V_BLD_UM3_BM1+V_BLD_UM3_BM2+V_BLD_UM3_BM3+V_BLD_UM3_BM4+V_BLD_UM3_BM5)*V_BLD_UM3_BM2</f>
        <v>2590698.7121538459</v>
      </c>
      <c r="G38" s="675">
        <f>'Prod &amp; Defects - Qty'!G$11/(V_BLD_UM3_BM1+V_BLD_UM3_BM2+V_BLD_UM3_BM3+V_BLD_UM3_BM4+V_BLD_UM3_BM5)*V_BLD_UM3_BM2</f>
        <v>2711337.8852307689</v>
      </c>
      <c r="H38" s="675">
        <f>'Prod &amp; Defects - Qty'!H$11/(V_BLD_UM3_BM1+V_BLD_UM3_BM2+V_BLD_UM3_BM3+V_BLD_UM3_BM4+V_BLD_UM3_BM5)*V_BLD_UM3_BM2</f>
        <v>2609349.6653538463</v>
      </c>
      <c r="I38" s="675">
        <f>'Prod &amp; Defects - Qty'!I$11/(V_BLD_UM3_BM1+V_BLD_UM3_BM2+V_BLD_UM3_BM3+V_BLD_UM3_BM4+V_BLD_UM3_BM5)*V_BLD_UM3_BM2</f>
        <v>2626219.2448615385</v>
      </c>
      <c r="J38" s="675">
        <f>'Prod &amp; Defects - Qty'!J$11/(V_BLD_UM3_BM1+V_BLD_UM3_BM2+V_BLD_UM3_BM3+V_BLD_UM3_BM4+V_BLD_UM3_BM5)*V_BLD_UM3_BM2</f>
        <v>2658302.0579999993</v>
      </c>
      <c r="K38" s="675">
        <f>'Prod &amp; Defects - Qty'!K$11/(V_BLD_UM3_BM1+V_BLD_UM3_BM2+V_BLD_UM3_BM3+V_BLD_UM3_BM4+V_BLD_UM3_BM5)*V_BLD_UM3_BM2</f>
        <v>3022440.3701538462</v>
      </c>
      <c r="L38" s="675">
        <f>'Prod &amp; Defects - Qty'!L$11/(V_BLD_UM3_BM1+V_BLD_UM3_BM2+V_BLD_UM3_BM3+V_BLD_UM3_BM4+V_BLD_UM3_BM5)*V_BLD_UM3_BM2</f>
        <v>2985263.9584615384</v>
      </c>
      <c r="M38" s="675">
        <f>'Prod &amp; Defects - Qty'!M$11/(V_BLD_UM3_BM1+V_BLD_UM3_BM2+V_BLD_UM3_BM3+V_BLD_UM3_BM4+V_BLD_UM3_BM5)*V_BLD_UM3_BM2</f>
        <v>2986829.817230769</v>
      </c>
      <c r="N38" s="675">
        <f>'Prod &amp; Defects - Qty'!N$11/(V_BLD_UM3_BM1+V_BLD_UM3_BM2+V_BLD_UM3_BM3+V_BLD_UM3_BM4+V_BLD_UM3_BM5)*V_BLD_UM3_BM2</f>
        <v>2841882.3199384618</v>
      </c>
      <c r="O38" s="675">
        <f>'Prod &amp; Defects - Qty'!O$11/(V_BLD_UM3_BM1+V_BLD_UM3_BM2+V_BLD_UM3_BM3+V_BLD_UM3_BM4+V_BLD_UM3_BM5)*V_BLD_UM3_BM2</f>
        <v>2203962.759692308</v>
      </c>
      <c r="P38" s="675">
        <f>'Prod &amp; Defects - Qty'!P$11/(V_BLD_UM3_BM1+V_BLD_UM3_BM2+V_BLD_UM3_BM3+V_BLD_UM3_BM4+V_BLD_UM3_BM5)*V_BLD_UM3_BM2</f>
        <v>2115404.7289846148</v>
      </c>
      <c r="Q38" s="675">
        <f>'Prod &amp; Defects - Qty'!Q$11/(V_BLD_UM3_BM1+V_BLD_UM3_BM2+V_BLD_UM3_BM3+V_BLD_UM3_BM4+V_BLD_UM3_BM5)*V_BLD_UM3_BM2</f>
        <v>2682096.3095999998</v>
      </c>
    </row>
    <row r="39" spans="3:17">
      <c r="C39" s="1064"/>
      <c r="D39" s="536" t="s">
        <v>136</v>
      </c>
      <c r="E39" s="184"/>
      <c r="F39" s="675">
        <f>'Prod &amp; Defects - Qty'!F$11/(V_BLD_UM3_BM1+V_BLD_UM3_BM2+V_BLD_UM3_BM3+V_BLD_UM3_BM4+V_BLD_UM3_BM5)*V_BLD_UM3_BM3</f>
        <v>2288450.5290692304</v>
      </c>
      <c r="G39" s="675">
        <f>'Prod &amp; Defects - Qty'!G$11/(V_BLD_UM3_BM1+V_BLD_UM3_BM2+V_BLD_UM3_BM3+V_BLD_UM3_BM4+V_BLD_UM3_BM5)*V_BLD_UM3_BM3</f>
        <v>2395015.1319538457</v>
      </c>
      <c r="H39" s="675">
        <f>'Prod &amp; Defects - Qty'!H$11/(V_BLD_UM3_BM1+V_BLD_UM3_BM2+V_BLD_UM3_BM3+V_BLD_UM3_BM4+V_BLD_UM3_BM5)*V_BLD_UM3_BM3</f>
        <v>2304925.5377292312</v>
      </c>
      <c r="I39" s="675">
        <f>'Prod &amp; Defects - Qty'!I$11/(V_BLD_UM3_BM1+V_BLD_UM3_BM2+V_BLD_UM3_BM3+V_BLD_UM3_BM4+V_BLD_UM3_BM5)*V_BLD_UM3_BM3</f>
        <v>2319826.9996276926</v>
      </c>
      <c r="J39" s="675">
        <f>'Prod &amp; Defects - Qty'!J$11/(V_BLD_UM3_BM1+V_BLD_UM3_BM2+V_BLD_UM3_BM3+V_BLD_UM3_BM4+V_BLD_UM3_BM5)*V_BLD_UM3_BM3</f>
        <v>2348166.8178999992</v>
      </c>
      <c r="K39" s="675">
        <f>'Prod &amp; Defects - Qty'!K$11/(V_BLD_UM3_BM1+V_BLD_UM3_BM2+V_BLD_UM3_BM3+V_BLD_UM3_BM4+V_BLD_UM3_BM5)*V_BLD_UM3_BM3</f>
        <v>2669822.326969231</v>
      </c>
      <c r="L39" s="675">
        <f>'Prod &amp; Defects - Qty'!L$11/(V_BLD_UM3_BM1+V_BLD_UM3_BM2+V_BLD_UM3_BM3+V_BLD_UM3_BM4+V_BLD_UM3_BM5)*V_BLD_UM3_BM3</f>
        <v>2636983.1633076924</v>
      </c>
      <c r="M39" s="675">
        <f>'Prod &amp; Defects - Qty'!M$11/(V_BLD_UM3_BM1+V_BLD_UM3_BM2+V_BLD_UM3_BM3+V_BLD_UM3_BM4+V_BLD_UM3_BM5)*V_BLD_UM3_BM3</f>
        <v>2638366.3385538459</v>
      </c>
      <c r="N39" s="675">
        <f>'Prod &amp; Defects - Qty'!N$11/(V_BLD_UM3_BM1+V_BLD_UM3_BM2+V_BLD_UM3_BM3+V_BLD_UM3_BM4+V_BLD_UM3_BM5)*V_BLD_UM3_BM3</f>
        <v>2510329.382612308</v>
      </c>
      <c r="O39" s="675">
        <f>'Prod &amp; Defects - Qty'!O$11/(V_BLD_UM3_BM1+V_BLD_UM3_BM2+V_BLD_UM3_BM3+V_BLD_UM3_BM4+V_BLD_UM3_BM5)*V_BLD_UM3_BM3</f>
        <v>1946833.7710615387</v>
      </c>
      <c r="P39" s="675">
        <f>'Prod &amp; Defects - Qty'!P$11/(V_BLD_UM3_BM1+V_BLD_UM3_BM2+V_BLD_UM3_BM3+V_BLD_UM3_BM4+V_BLD_UM3_BM5)*V_BLD_UM3_BM3</f>
        <v>1868607.5106030765</v>
      </c>
      <c r="Q39" s="675">
        <f>'Prod &amp; Defects - Qty'!Q$11/(V_BLD_UM3_BM1+V_BLD_UM3_BM2+V_BLD_UM3_BM3+V_BLD_UM3_BM4+V_BLD_UM3_BM5)*V_BLD_UM3_BM3</f>
        <v>2369185.0734799998</v>
      </c>
    </row>
    <row r="40" spans="3:17">
      <c r="C40" s="1064"/>
      <c r="D40" s="536" t="s">
        <v>138</v>
      </c>
      <c r="E40" s="184"/>
      <c r="F40" s="675">
        <f>'Prod &amp; Defects - Qty'!F$11/(V_BLD_UM3_BM1+V_BLD_UM3_BM2+V_BLD_UM3_BM3+V_BLD_UM3_BM4+V_BLD_UM3_BM5)*V_BLD_UM3_BM4</f>
        <v>2677055.3358923076</v>
      </c>
      <c r="G40" s="675">
        <f>'Prod &amp; Defects - Qty'!G$11/(V_BLD_UM3_BM1+V_BLD_UM3_BM2+V_BLD_UM3_BM3+V_BLD_UM3_BM4+V_BLD_UM3_BM5)*V_BLD_UM3_BM4</f>
        <v>2801715.8147384613</v>
      </c>
      <c r="H40" s="675">
        <f>'Prod &amp; Defects - Qty'!H$11/(V_BLD_UM3_BM1+V_BLD_UM3_BM2+V_BLD_UM3_BM3+V_BLD_UM3_BM4+V_BLD_UM3_BM5)*V_BLD_UM3_BM4</f>
        <v>2696327.9875323079</v>
      </c>
      <c r="I40" s="675">
        <f>'Prod &amp; Defects - Qty'!I$11/(V_BLD_UM3_BM1+V_BLD_UM3_BM2+V_BLD_UM3_BM3+V_BLD_UM3_BM4+V_BLD_UM3_BM5)*V_BLD_UM3_BM4</f>
        <v>2713759.8863569233</v>
      </c>
      <c r="J40" s="675">
        <f>'Prod &amp; Defects - Qty'!J$11/(V_BLD_UM3_BM1+V_BLD_UM3_BM2+V_BLD_UM3_BM3+V_BLD_UM3_BM4+V_BLD_UM3_BM5)*V_BLD_UM3_BM4</f>
        <v>2746912.1265999991</v>
      </c>
      <c r="K40" s="675">
        <f>'Prod &amp; Defects - Qty'!K$11/(V_BLD_UM3_BM1+V_BLD_UM3_BM2+V_BLD_UM3_BM3+V_BLD_UM3_BM4+V_BLD_UM3_BM5)*V_BLD_UM3_BM4</f>
        <v>3123188.3824923076</v>
      </c>
      <c r="L40" s="675">
        <f>'Prod &amp; Defects - Qty'!L$11/(V_BLD_UM3_BM1+V_BLD_UM3_BM2+V_BLD_UM3_BM3+V_BLD_UM3_BM4+V_BLD_UM3_BM5)*V_BLD_UM3_BM4</f>
        <v>3084772.7570769233</v>
      </c>
      <c r="M40" s="675">
        <f>'Prod &amp; Defects - Qty'!M$11/(V_BLD_UM3_BM1+V_BLD_UM3_BM2+V_BLD_UM3_BM3+V_BLD_UM3_BM4+V_BLD_UM3_BM5)*V_BLD_UM3_BM4</f>
        <v>3086390.8111384613</v>
      </c>
      <c r="N40" s="675">
        <f>'Prod &amp; Defects - Qty'!N$11/(V_BLD_UM3_BM1+V_BLD_UM3_BM2+V_BLD_UM3_BM3+V_BLD_UM3_BM4+V_BLD_UM3_BM5)*V_BLD_UM3_BM4</f>
        <v>2936611.730603077</v>
      </c>
      <c r="O40" s="675">
        <f>'Prod &amp; Defects - Qty'!O$11/(V_BLD_UM3_BM1+V_BLD_UM3_BM2+V_BLD_UM3_BM3+V_BLD_UM3_BM4+V_BLD_UM3_BM5)*V_BLD_UM3_BM4</f>
        <v>2277428.185015385</v>
      </c>
      <c r="P40" s="675">
        <f>'Prod &amp; Defects - Qty'!P$11/(V_BLD_UM3_BM1+V_BLD_UM3_BM2+V_BLD_UM3_BM3+V_BLD_UM3_BM4+V_BLD_UM3_BM5)*V_BLD_UM3_BM4</f>
        <v>2185918.2199507686</v>
      </c>
      <c r="Q40" s="675">
        <f>'Prod &amp; Defects - Qty'!Q$11/(V_BLD_UM3_BM1+V_BLD_UM3_BM2+V_BLD_UM3_BM3+V_BLD_UM3_BM4+V_BLD_UM3_BM5)*V_BLD_UM3_BM4</f>
        <v>2771499.5199199999</v>
      </c>
    </row>
    <row r="41" spans="3:17">
      <c r="C41" s="1064"/>
      <c r="D41" s="536" t="s">
        <v>139</v>
      </c>
      <c r="E41" s="184"/>
      <c r="F41" s="675">
        <f>'Prod &amp; Defects - Qty'!F$11/(V_BLD_UM3_BM1+V_BLD_UM3_BM2+V_BLD_UM3_BM3+V_BLD_UM3_BM4+V_BLD_UM3_BM5)*V_BLD_UM3_BM5</f>
        <v>4317831.1869230764</v>
      </c>
      <c r="G41" s="675">
        <f>'Prod &amp; Defects - Qty'!G$11/(V_BLD_UM3_BM1+V_BLD_UM3_BM2+V_BLD_UM3_BM3+V_BLD_UM3_BM4+V_BLD_UM3_BM5)*V_BLD_UM3_BM5</f>
        <v>4518896.4753846144</v>
      </c>
      <c r="H41" s="675">
        <f>'Prod &amp; Defects - Qty'!H$11/(V_BLD_UM3_BM1+V_BLD_UM3_BM2+V_BLD_UM3_BM3+V_BLD_UM3_BM4+V_BLD_UM3_BM5)*V_BLD_UM3_BM5</f>
        <v>4348916.1089230776</v>
      </c>
      <c r="I41" s="675">
        <f>'Prod &amp; Defects - Qty'!I$11/(V_BLD_UM3_BM1+V_BLD_UM3_BM2+V_BLD_UM3_BM3+V_BLD_UM3_BM4+V_BLD_UM3_BM5)*V_BLD_UM3_BM5</f>
        <v>4377032.0747692315</v>
      </c>
      <c r="J41" s="675">
        <f>'Prod &amp; Defects - Qty'!J$11/(V_BLD_UM3_BM1+V_BLD_UM3_BM2+V_BLD_UM3_BM3+V_BLD_UM3_BM4+V_BLD_UM3_BM5)*V_BLD_UM3_BM5</f>
        <v>4430503.4299999988</v>
      </c>
      <c r="K41" s="675">
        <f>'Prod &amp; Defects - Qty'!K$11/(V_BLD_UM3_BM1+V_BLD_UM3_BM2+V_BLD_UM3_BM3+V_BLD_UM3_BM4+V_BLD_UM3_BM5)*V_BLD_UM3_BM5</f>
        <v>5037400.616923077</v>
      </c>
      <c r="L41" s="675">
        <f>'Prod &amp; Defects - Qty'!L$11/(V_BLD_UM3_BM1+V_BLD_UM3_BM2+V_BLD_UM3_BM3+V_BLD_UM3_BM4+V_BLD_UM3_BM5)*V_BLD_UM3_BM5</f>
        <v>4975439.9307692312</v>
      </c>
      <c r="M41" s="675">
        <f>'Prod &amp; Defects - Qty'!M$11/(V_BLD_UM3_BM1+V_BLD_UM3_BM2+V_BLD_UM3_BM3+V_BLD_UM3_BM4+V_BLD_UM3_BM5)*V_BLD_UM3_BM5</f>
        <v>4978049.6953846151</v>
      </c>
      <c r="N41" s="675">
        <f>'Prod &amp; Defects - Qty'!N$11/(V_BLD_UM3_BM1+V_BLD_UM3_BM2+V_BLD_UM3_BM3+V_BLD_UM3_BM4+V_BLD_UM3_BM5)*V_BLD_UM3_BM5</f>
        <v>4736470.5332307694</v>
      </c>
      <c r="O41" s="675">
        <f>'Prod &amp; Defects - Qty'!O$11/(V_BLD_UM3_BM1+V_BLD_UM3_BM2+V_BLD_UM3_BM3+V_BLD_UM3_BM4+V_BLD_UM3_BM5)*V_BLD_UM3_BM5</f>
        <v>3673271.2661538469</v>
      </c>
      <c r="P41" s="675">
        <f>'Prod &amp; Defects - Qty'!P$11/(V_BLD_UM3_BM1+V_BLD_UM3_BM2+V_BLD_UM3_BM3+V_BLD_UM3_BM4+V_BLD_UM3_BM5)*V_BLD_UM3_BM5</f>
        <v>3525674.5483076917</v>
      </c>
      <c r="Q41" s="675">
        <f>'Prod &amp; Defects - Qty'!Q$11/(V_BLD_UM3_BM1+V_BLD_UM3_BM2+V_BLD_UM3_BM3+V_BLD_UM3_BM4+V_BLD_UM3_BM5)*V_BLD_UM3_BM5</f>
        <v>4470160.5159999998</v>
      </c>
    </row>
    <row r="42" spans="3:17">
      <c r="C42" s="1064"/>
      <c r="D42" s="676" t="s">
        <v>83</v>
      </c>
      <c r="E42" s="184"/>
      <c r="F42" s="677">
        <f>SUM(F37:F41)</f>
        <v>14032951.357499998</v>
      </c>
      <c r="G42" s="677">
        <f t="shared" ref="G42:Q42" si="24">SUM(G37:G41)</f>
        <v>14686413.544999998</v>
      </c>
      <c r="H42" s="677">
        <f t="shared" si="24"/>
        <v>14133977.354000002</v>
      </c>
      <c r="I42" s="677">
        <f t="shared" si="24"/>
        <v>14225354.243000001</v>
      </c>
      <c r="J42" s="677">
        <f t="shared" si="24"/>
        <v>14399136.147499997</v>
      </c>
      <c r="K42" s="677">
        <f t="shared" si="24"/>
        <v>16371552.005000001</v>
      </c>
      <c r="L42" s="677">
        <f t="shared" si="24"/>
        <v>16170179.775</v>
      </c>
      <c r="M42" s="677">
        <f t="shared" si="24"/>
        <v>16178661.509999998</v>
      </c>
      <c r="N42" s="677">
        <f t="shared" si="24"/>
        <v>15393529.232999999</v>
      </c>
      <c r="O42" s="677">
        <f t="shared" si="24"/>
        <v>11938131.615000002</v>
      </c>
      <c r="P42" s="677">
        <f t="shared" si="24"/>
        <v>11458442.281999998</v>
      </c>
      <c r="Q42" s="677">
        <f t="shared" si="24"/>
        <v>14528021.676999997</v>
      </c>
    </row>
    <row r="43" spans="3:17">
      <c r="C43" s="1063" t="s">
        <v>140</v>
      </c>
      <c r="D43" s="536" t="s">
        <v>134</v>
      </c>
      <c r="E43" s="184"/>
      <c r="F43" s="675">
        <f t="shared" ref="F43:Q43" si="25">F$42/(V_BLD_UM3_OP1+V_BLD_UM3_OP2+V_BLD_UM3_OP3+V_BLD_UM3_OP4)*V_BLD_UM3_OP1</f>
        <v>3508237.8393749995</v>
      </c>
      <c r="G43" s="675">
        <f t="shared" si="25"/>
        <v>3671603.3862499995</v>
      </c>
      <c r="H43" s="675">
        <f t="shared" si="25"/>
        <v>3533494.3385000005</v>
      </c>
      <c r="I43" s="675">
        <f t="shared" si="25"/>
        <v>3556338.5607500002</v>
      </c>
      <c r="J43" s="675">
        <f t="shared" si="25"/>
        <v>3599784.0368749998</v>
      </c>
      <c r="K43" s="675">
        <f t="shared" si="25"/>
        <v>4092888.0012500002</v>
      </c>
      <c r="L43" s="675">
        <f t="shared" si="25"/>
        <v>4042544.9437500006</v>
      </c>
      <c r="M43" s="675">
        <f t="shared" si="25"/>
        <v>4044665.377499999</v>
      </c>
      <c r="N43" s="675">
        <f t="shared" si="25"/>
        <v>3848382.3082499998</v>
      </c>
      <c r="O43" s="675">
        <f t="shared" si="25"/>
        <v>2984532.903750001</v>
      </c>
      <c r="P43" s="675">
        <f t="shared" si="25"/>
        <v>2864610.5704999994</v>
      </c>
      <c r="Q43" s="675">
        <f t="shared" si="25"/>
        <v>3632005.4192499989</v>
      </c>
    </row>
    <row r="44" spans="3:17">
      <c r="C44" s="1064"/>
      <c r="D44" s="536" t="s">
        <v>135</v>
      </c>
      <c r="E44" s="184"/>
      <c r="F44" s="675">
        <f t="shared" ref="F44:Q44" si="26">F$42/(V_BLD_UM3_OP1+V_BLD_UM3_OP2+V_BLD_UM3_OP3+V_BLD_UM3_OP4)*V_BLD_UM3_OP2</f>
        <v>3508237.8393749995</v>
      </c>
      <c r="G44" s="675">
        <f t="shared" si="26"/>
        <v>3671603.3862499995</v>
      </c>
      <c r="H44" s="675">
        <f t="shared" si="26"/>
        <v>3533494.3385000005</v>
      </c>
      <c r="I44" s="675">
        <f t="shared" si="26"/>
        <v>3556338.5607500002</v>
      </c>
      <c r="J44" s="675">
        <f t="shared" si="26"/>
        <v>3599784.0368749998</v>
      </c>
      <c r="K44" s="675">
        <f t="shared" si="26"/>
        <v>4092888.0012500002</v>
      </c>
      <c r="L44" s="675">
        <f t="shared" si="26"/>
        <v>4042544.9437500006</v>
      </c>
      <c r="M44" s="675">
        <f t="shared" si="26"/>
        <v>4044665.377499999</v>
      </c>
      <c r="N44" s="675">
        <f t="shared" si="26"/>
        <v>3848382.3082499998</v>
      </c>
      <c r="O44" s="675">
        <f t="shared" si="26"/>
        <v>2984532.903750001</v>
      </c>
      <c r="P44" s="675">
        <f t="shared" si="26"/>
        <v>2864610.5704999994</v>
      </c>
      <c r="Q44" s="675">
        <f t="shared" si="26"/>
        <v>3632005.4192499989</v>
      </c>
    </row>
    <row r="45" spans="3:17">
      <c r="C45" s="1064"/>
      <c r="D45" s="536" t="s">
        <v>136</v>
      </c>
      <c r="E45" s="184"/>
      <c r="F45" s="675">
        <f t="shared" ref="F45:Q45" si="27">F$42/(V_BLD_UM3_OP1+V_BLD_UM3_OP2+V_BLD_UM3_OP3+V_BLD_UM3_OP4)*V_BLD_UM3_OP3</f>
        <v>3508237.8393749995</v>
      </c>
      <c r="G45" s="675">
        <f t="shared" si="27"/>
        <v>3671603.3862499995</v>
      </c>
      <c r="H45" s="675">
        <f t="shared" si="27"/>
        <v>3533494.3385000005</v>
      </c>
      <c r="I45" s="675">
        <f t="shared" si="27"/>
        <v>3556338.5607500002</v>
      </c>
      <c r="J45" s="675">
        <f t="shared" si="27"/>
        <v>3599784.0368749998</v>
      </c>
      <c r="K45" s="675">
        <f t="shared" si="27"/>
        <v>4092888.0012500002</v>
      </c>
      <c r="L45" s="675">
        <f t="shared" si="27"/>
        <v>4042544.9437500006</v>
      </c>
      <c r="M45" s="675">
        <f t="shared" si="27"/>
        <v>4044665.377499999</v>
      </c>
      <c r="N45" s="675">
        <f t="shared" si="27"/>
        <v>3848382.3082499998</v>
      </c>
      <c r="O45" s="675">
        <f t="shared" si="27"/>
        <v>2984532.903750001</v>
      </c>
      <c r="P45" s="675">
        <f t="shared" si="27"/>
        <v>2864610.5704999994</v>
      </c>
      <c r="Q45" s="675">
        <f t="shared" si="27"/>
        <v>3632005.4192499989</v>
      </c>
    </row>
    <row r="46" spans="3:17">
      <c r="C46" s="1064"/>
      <c r="D46" s="536" t="s">
        <v>138</v>
      </c>
      <c r="E46" s="184"/>
      <c r="F46" s="675">
        <f t="shared" ref="F46:Q46" si="28">F$42/(V_BLD_UM3_OP1+V_BLD_UM3_OP2+V_BLD_UM3_OP3+V_BLD_UM3_OP4)*V_BLD_UM3_OP4</f>
        <v>3508237.8393749995</v>
      </c>
      <c r="G46" s="675">
        <f t="shared" si="28"/>
        <v>3671603.3862499995</v>
      </c>
      <c r="H46" s="675">
        <f t="shared" si="28"/>
        <v>3533494.3385000005</v>
      </c>
      <c r="I46" s="675">
        <f t="shared" si="28"/>
        <v>3556338.5607500002</v>
      </c>
      <c r="J46" s="675">
        <f t="shared" si="28"/>
        <v>3599784.0368749998</v>
      </c>
      <c r="K46" s="675">
        <f t="shared" si="28"/>
        <v>4092888.0012500002</v>
      </c>
      <c r="L46" s="675">
        <f t="shared" si="28"/>
        <v>4042544.9437500006</v>
      </c>
      <c r="M46" s="675">
        <f t="shared" si="28"/>
        <v>4044665.377499999</v>
      </c>
      <c r="N46" s="675">
        <f t="shared" si="28"/>
        <v>3848382.3082499998</v>
      </c>
      <c r="O46" s="675">
        <f t="shared" si="28"/>
        <v>2984532.903750001</v>
      </c>
      <c r="P46" s="675">
        <f t="shared" si="28"/>
        <v>2864610.5704999994</v>
      </c>
      <c r="Q46" s="675">
        <f t="shared" si="28"/>
        <v>3632005.4192499989</v>
      </c>
    </row>
    <row r="47" spans="3:17">
      <c r="C47" s="1064"/>
      <c r="D47" s="678" t="s">
        <v>83</v>
      </c>
      <c r="E47" s="184"/>
      <c r="F47" s="679">
        <f>SUM(F43:F46)</f>
        <v>14032951.357499998</v>
      </c>
      <c r="G47" s="679">
        <f t="shared" ref="G47:Q47" si="29">SUM(G43:G46)</f>
        <v>14686413.544999998</v>
      </c>
      <c r="H47" s="679">
        <f t="shared" si="29"/>
        <v>14133977.354000002</v>
      </c>
      <c r="I47" s="679">
        <f t="shared" si="29"/>
        <v>14225354.243000001</v>
      </c>
      <c r="J47" s="679">
        <f t="shared" si="29"/>
        <v>14399136.147499999</v>
      </c>
      <c r="K47" s="679">
        <f t="shared" si="29"/>
        <v>16371552.005000001</v>
      </c>
      <c r="L47" s="679">
        <f t="shared" si="29"/>
        <v>16170179.775000002</v>
      </c>
      <c r="M47" s="679">
        <f t="shared" si="29"/>
        <v>16178661.509999996</v>
      </c>
      <c r="N47" s="679">
        <f t="shared" si="29"/>
        <v>15393529.232999999</v>
      </c>
      <c r="O47" s="679">
        <f t="shared" si="29"/>
        <v>11938131.615000004</v>
      </c>
      <c r="P47" s="679">
        <f t="shared" si="29"/>
        <v>11458442.281999998</v>
      </c>
      <c r="Q47" s="679">
        <f t="shared" si="29"/>
        <v>14528021.676999995</v>
      </c>
    </row>
    <row r="48" spans="3:17">
      <c r="C48" s="184"/>
      <c r="D48" s="184"/>
      <c r="E48" s="184"/>
      <c r="F48" s="680"/>
      <c r="G48" s="680"/>
      <c r="H48" s="680"/>
      <c r="I48" s="680"/>
      <c r="J48" s="680"/>
      <c r="K48" s="680"/>
      <c r="L48" s="680"/>
      <c r="M48" s="680"/>
      <c r="N48" s="680"/>
      <c r="O48" s="680"/>
      <c r="P48" s="680"/>
      <c r="Q48" s="680"/>
    </row>
    <row r="49" spans="3:17">
      <c r="C49" s="184" t="s">
        <v>89</v>
      </c>
      <c r="D49" s="536" t="s">
        <v>98</v>
      </c>
      <c r="E49" s="184"/>
      <c r="F49" s="453">
        <f>'Prod &amp; Defects - Qty'!F5/1000*'BLIND-PVC-PRE - Qty'!$Y23</f>
        <v>1139.3522219750002</v>
      </c>
      <c r="G49" s="453">
        <f>'Prod &amp; Defects - Qty'!G5/1000*'BLIND-PVC-PRE - Qty'!$Y23</f>
        <v>621.72929532000001</v>
      </c>
      <c r="H49" s="453">
        <f>'Prod &amp; Defects - Qty'!H5/1000*'BLIND-PVC-PRE - Qty'!$Y23</f>
        <v>618.87631104500008</v>
      </c>
      <c r="I49" s="453">
        <f>'Prod &amp; Defects - Qty'!I5/1000*'BLIND-PVC-PRE - Qty'!$Y23</f>
        <v>625.41995747750013</v>
      </c>
      <c r="J49" s="453">
        <f>'Prod &amp; Defects - Qty'!J5/1000*'BLIND-PVC-PRE - Qty'!$Y23</f>
        <v>1129.76789734</v>
      </c>
      <c r="K49" s="453">
        <f>'Prod &amp; Defects - Qty'!K5/1000*'BLIND-PVC-PRE - Qty'!$Y23</f>
        <v>1309.1950991374999</v>
      </c>
      <c r="L49" s="453">
        <f>'Prod &amp; Defects - Qty'!L5/1000*'BLIND-PVC-PRE - Qty'!$Y23</f>
        <v>1318.5156014950001</v>
      </c>
      <c r="M49" s="453">
        <f>'Prod &amp; Defects - Qty'!M5/1000*'BLIND-PVC-PRE - Qty'!$Y23</f>
        <v>1320.0250481749999</v>
      </c>
      <c r="N49" s="453">
        <f>'Prod &amp; Defects - Qty'!N5/1000*'BLIND-PVC-PRE - Qty'!$Y23</f>
        <v>1058.3464309349999</v>
      </c>
      <c r="O49" s="453">
        <f>'Prod &amp; Defects - Qty'!O5/1000*'BLIND-PVC-PRE - Qty'!$Y23</f>
        <v>980.81812825500003</v>
      </c>
      <c r="P49" s="453">
        <f>'Prod &amp; Defects - Qty'!P5/1000*'BLIND-PVC-PRE - Qty'!$Y23</f>
        <v>992.39597444000003</v>
      </c>
      <c r="Q49" s="453">
        <f>'Prod &amp; Defects - Qty'!Q5/1000*'BLIND-PVC-PRE - Qty'!$Y23</f>
        <v>1221.764040005</v>
      </c>
    </row>
    <row r="50" spans="3:17">
      <c r="C50" s="184"/>
      <c r="D50" s="536" t="s">
        <v>96</v>
      </c>
      <c r="E50" s="184"/>
      <c r="F50" s="453">
        <f>'Prod &amp; Defects - Qty'!F11/1000*'BLIND-PVC-PRE - Qty'!$Y$24</f>
        <v>3592.43554752</v>
      </c>
      <c r="G50" s="453">
        <f>'Prod &amp; Defects - Qty'!G11/1000*'BLIND-PVC-PRE - Qty'!$Y$24</f>
        <v>3759.7218675199993</v>
      </c>
      <c r="H50" s="453">
        <f>'Prod &amp; Defects - Qty'!H11/1000*'BLIND-PVC-PRE - Qty'!$Y$24</f>
        <v>3618.2982026240006</v>
      </c>
      <c r="I50" s="453">
        <f>'Prod &amp; Defects - Qty'!I11/1000*'BLIND-PVC-PRE - Qty'!$Y$24</f>
        <v>3641.6906862080004</v>
      </c>
      <c r="J50" s="453">
        <f>'Prod &amp; Defects - Qty'!J11/1000*'BLIND-PVC-PRE - Qty'!$Y$24</f>
        <v>3686.1788537599996</v>
      </c>
      <c r="K50" s="453">
        <f>'Prod &amp; Defects - Qty'!K11/1000*'BLIND-PVC-PRE - Qty'!$Y$24</f>
        <v>4191.1173132800004</v>
      </c>
      <c r="L50" s="453">
        <f>'Prod &amp; Defects - Qty'!L11/1000*'BLIND-PVC-PRE - Qty'!$Y$24</f>
        <v>4139.5660224000003</v>
      </c>
      <c r="M50" s="453">
        <f>'Prod &amp; Defects - Qty'!M11/1000*'BLIND-PVC-PRE - Qty'!$Y$24</f>
        <v>4141.7373465600003</v>
      </c>
      <c r="N50" s="453">
        <f>'Prod &amp; Defects - Qty'!N11/1000*'BLIND-PVC-PRE - Qty'!$Y$24</f>
        <v>3940.7434836480002</v>
      </c>
      <c r="O50" s="453">
        <f>'Prod &amp; Defects - Qty'!O11/1000*'BLIND-PVC-PRE - Qty'!$Y$24</f>
        <v>3056.1616934400008</v>
      </c>
      <c r="P50" s="453">
        <f>'Prod &amp; Defects - Qty'!P11/1000*'BLIND-PVC-PRE - Qty'!$Y$24</f>
        <v>2933.3612241919996</v>
      </c>
      <c r="Q50" s="453">
        <f>'Prod &amp; Defects - Qty'!Q11/1000*'BLIND-PVC-PRE - Qty'!$Y$24</f>
        <v>3719.173549312</v>
      </c>
    </row>
    <row r="51" spans="3:17">
      <c r="C51" s="184" t="s">
        <v>177</v>
      </c>
      <c r="D51" s="536" t="s">
        <v>98</v>
      </c>
      <c r="E51" s="184"/>
      <c r="F51" s="537">
        <f>'Prod &amp; Defects - Qty'!F5</f>
        <v>1442218.0025000002</v>
      </c>
      <c r="G51" s="537">
        <f>'Prod &amp; Defects - Qty'!G5</f>
        <v>786999.10800000001</v>
      </c>
      <c r="H51" s="537">
        <f>'Prod &amp; Defects - Qty'!H5</f>
        <v>783387.73550000007</v>
      </c>
      <c r="I51" s="537">
        <f>'Prod &amp; Defects - Qty'!I5</f>
        <v>791670.83225000009</v>
      </c>
      <c r="J51" s="537">
        <f>'Prod &amp; Defects - Qty'!J5</f>
        <v>1430085.946</v>
      </c>
      <c r="K51" s="537">
        <f>'Prod &amp; Defects - Qty'!K5</f>
        <v>1657208.9862499998</v>
      </c>
      <c r="L51" s="537">
        <f>'Prod &amp; Defects - Qty'!L5</f>
        <v>1669007.0904999999</v>
      </c>
      <c r="M51" s="537">
        <f>'Prod &amp; Defects - Qty'!M5</f>
        <v>1670917.7825</v>
      </c>
      <c r="N51" s="537">
        <f>'Prod &amp; Defects - Qty'!N5</f>
        <v>1339679.0264999999</v>
      </c>
      <c r="O51" s="537">
        <f>'Prod &amp; Defects - Qty'!O5</f>
        <v>1241541.9345</v>
      </c>
      <c r="P51" s="537">
        <f>'Prod &amp; Defects - Qty'!P5</f>
        <v>1256197.436</v>
      </c>
      <c r="Q51" s="537">
        <f>'Prod &amp; Defects - Qty'!Q5</f>
        <v>1546536.7594999999</v>
      </c>
    </row>
    <row r="52" spans="3:17">
      <c r="C52" s="184"/>
      <c r="D52" s="536" t="s">
        <v>96</v>
      </c>
      <c r="E52" s="184"/>
      <c r="F52" s="537">
        <f>'Prod &amp; Defects - Qty'!F11</f>
        <v>14032951.3575</v>
      </c>
      <c r="G52" s="537">
        <f>'Prod &amp; Defects - Qty'!G11</f>
        <v>14686413.544999998</v>
      </c>
      <c r="H52" s="537">
        <f>'Prod &amp; Defects - Qty'!H11</f>
        <v>14133977.354000002</v>
      </c>
      <c r="I52" s="537">
        <f>'Prod &amp; Defects - Qty'!I11</f>
        <v>14225354.243000001</v>
      </c>
      <c r="J52" s="537">
        <f>'Prod &amp; Defects - Qty'!J11</f>
        <v>14399136.147499997</v>
      </c>
      <c r="K52" s="537">
        <f>'Prod &amp; Defects - Qty'!K11</f>
        <v>16371552.004999999</v>
      </c>
      <c r="L52" s="537">
        <f>'Prod &amp; Defects - Qty'!L11</f>
        <v>16170179.775</v>
      </c>
      <c r="M52" s="537">
        <f>'Prod &amp; Defects - Qty'!M11</f>
        <v>16178661.51</v>
      </c>
      <c r="N52" s="537">
        <f>'Prod &amp; Defects - Qty'!N11</f>
        <v>15393529.233000001</v>
      </c>
      <c r="O52" s="537">
        <f>'Prod &amp; Defects - Qty'!O11</f>
        <v>11938131.615000002</v>
      </c>
      <c r="P52" s="537">
        <f>'Prod &amp; Defects - Qty'!P11</f>
        <v>11458442.281999998</v>
      </c>
      <c r="Q52" s="537">
        <f>'Prod &amp; Defects - Qty'!Q11</f>
        <v>14528021.676999999</v>
      </c>
    </row>
    <row r="53" spans="3:17">
      <c r="C53" s="184"/>
      <c r="D53" s="536" t="s">
        <v>119</v>
      </c>
      <c r="E53" s="184"/>
      <c r="F53" s="537">
        <f>'Prod &amp; Defects - Qty'!F8</f>
        <v>9857057.3350800052</v>
      </c>
      <c r="G53" s="537">
        <f>'Prod &amp; Defects - Qty'!G8</f>
        <v>11254534.534999996</v>
      </c>
      <c r="H53" s="537">
        <f>'Prod &amp; Defects - Qty'!H8</f>
        <v>10193804.064900002</v>
      </c>
      <c r="I53" s="537">
        <f>'Prod &amp; Defects - Qty'!I8</f>
        <v>10245058.379550003</v>
      </c>
      <c r="J53" s="537">
        <f>'Prod &amp; Defects - Qty'!J8</f>
        <v>11060264.3445</v>
      </c>
      <c r="K53" s="537">
        <f>'Prod &amp; Defects - Qty'!K8</f>
        <v>11655146.96675</v>
      </c>
      <c r="L53" s="537">
        <f>'Prod &amp; Defects - Qty'!L8</f>
        <v>11372132.843299998</v>
      </c>
      <c r="M53" s="537">
        <f>'Prod &amp; Defects - Qty'!M8</f>
        <v>11349385.0363</v>
      </c>
      <c r="N53" s="537">
        <f>'Prod &amp; Defects - Qty'!N8</f>
        <v>11335966.321739998</v>
      </c>
      <c r="O53" s="537">
        <f>'Prod &amp; Defects - Qty'!O8</f>
        <v>8389607.9674200006</v>
      </c>
      <c r="P53" s="537">
        <f>'Prod &amp; Defects - Qty'!P8</f>
        <v>8762677.6029599998</v>
      </c>
      <c r="Q53" s="537">
        <f>'Prod &amp; Defects - Qty'!Q8</f>
        <v>10839438.13666</v>
      </c>
    </row>
  </sheetData>
  <mergeCells count="12">
    <mergeCell ref="A1:F1"/>
    <mergeCell ref="C5:D5"/>
    <mergeCell ref="B4:D4"/>
    <mergeCell ref="F4:Q4"/>
    <mergeCell ref="A6:A22"/>
    <mergeCell ref="C37:C42"/>
    <mergeCell ref="C43:C47"/>
    <mergeCell ref="A27:A30"/>
    <mergeCell ref="A23:A26"/>
    <mergeCell ref="C6:C10"/>
    <mergeCell ref="C11:C16"/>
    <mergeCell ref="C17:C21"/>
  </mergeCells>
  <phoneticPr fontId="25" type="noConversion"/>
  <printOptions horizontalCentered="1" gridLinesSet="0"/>
  <pageMargins left="0.78740157480314965" right="0.19685039370078741" top="0.59055118110236227" bottom="0.59055118110236227" header="0.51181102362204722" footer="0.51181102362204722"/>
  <pageSetup paperSize="9" scale="37" orientation="portrait" horizontalDpi="4294967292" r:id="rId1"/>
  <headerFooter alignWithMargins="0">
    <oddFooter>&amp;L&amp;A&amp;R&amp;F</oddFooter>
  </headerFooter>
  <ignoredErrors>
    <ignoredError sqref="U6:U10 U23:U24 U27:U29" evalError="1"/>
    <ignoredError sqref="V10 V16" formula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B750-CF24-4D65-B772-E65577CAA487}">
  <sheetPr>
    <tabColor indexed="56"/>
    <pageSetUpPr fitToPage="1"/>
  </sheetPr>
  <dimension ref="A1:AE166"/>
  <sheetViews>
    <sheetView showGridLines="0" topLeftCell="A13" zoomScaleNormal="100" workbookViewId="0">
      <selection activeCell="I22" sqref="I22"/>
    </sheetView>
  </sheetViews>
  <sheetFormatPr defaultColWidth="11.42578125" defaultRowHeight="12.75"/>
  <cols>
    <col min="1" max="1" width="4.7109375" style="1" customWidth="1"/>
    <col min="2" max="2" width="10.85546875" style="1" bestFit="1" customWidth="1"/>
    <col min="3" max="3" width="11.7109375" style="1" bestFit="1" customWidth="1"/>
    <col min="4" max="4" width="9.42578125" style="1" customWidth="1"/>
    <col min="5" max="5" width="11" style="1" customWidth="1"/>
    <col min="6" max="6" width="12.85546875" style="1" bestFit="1" customWidth="1"/>
    <col min="7" max="9" width="11.5703125" style="1" bestFit="1" customWidth="1"/>
    <col min="10" max="11" width="12.5703125" style="1" bestFit="1" customWidth="1"/>
    <col min="12" max="12" width="11.5703125" style="1" bestFit="1" customWidth="1"/>
    <col min="13" max="13" width="12.5703125" style="1" bestFit="1" customWidth="1"/>
    <col min="14" max="17" width="11.42578125" style="1"/>
    <col min="18" max="19" width="11.7109375" style="1" bestFit="1" customWidth="1"/>
    <col min="20" max="20" width="11.42578125" style="1"/>
    <col min="21" max="21" width="11.7109375" style="1" bestFit="1" customWidth="1"/>
    <col min="22" max="22" width="12.28515625" style="1" bestFit="1" customWidth="1"/>
    <col min="23" max="16384" width="11.42578125" style="1"/>
  </cols>
  <sheetData>
    <row r="1" spans="1:31" ht="18" customHeight="1">
      <c r="A1" s="997" t="s">
        <v>103</v>
      </c>
      <c r="B1" s="997"/>
      <c r="C1" s="997"/>
      <c r="D1" s="997"/>
      <c r="E1" s="997"/>
      <c r="F1" s="997"/>
    </row>
    <row r="2" spans="1:31" ht="18" customHeight="1">
      <c r="A2" s="17"/>
      <c r="B2" s="17"/>
      <c r="C2" s="17"/>
      <c r="D2" s="17"/>
      <c r="E2" s="17"/>
      <c r="F2" s="17"/>
      <c r="T2" s="648"/>
      <c r="U2" s="648"/>
      <c r="V2" s="648"/>
      <c r="W2" s="648"/>
      <c r="X2" s="648"/>
      <c r="Y2" s="648"/>
      <c r="Z2" s="648"/>
      <c r="AA2" s="648"/>
      <c r="AB2" s="648"/>
      <c r="AC2" s="648"/>
      <c r="AD2" s="648"/>
      <c r="AE2" s="648"/>
    </row>
    <row r="3" spans="1:31" ht="9.9499999999999993" customHeight="1" thickBot="1">
      <c r="A3" s="17"/>
      <c r="B3" s="17"/>
      <c r="C3" s="17"/>
      <c r="D3" s="17"/>
      <c r="E3" s="17"/>
      <c r="F3" s="17"/>
    </row>
    <row r="4" spans="1:31" ht="38.25">
      <c r="A4" s="22"/>
      <c r="B4" s="1076" t="s">
        <v>57</v>
      </c>
      <c r="C4" s="1077"/>
      <c r="D4" s="1078"/>
      <c r="E4" s="475" t="s">
        <v>202</v>
      </c>
      <c r="F4" s="649">
        <v>1</v>
      </c>
      <c r="G4" s="649">
        <v>2</v>
      </c>
      <c r="H4" s="649">
        <v>3</v>
      </c>
      <c r="I4" s="649">
        <v>4</v>
      </c>
      <c r="J4" s="649">
        <v>5</v>
      </c>
      <c r="K4" s="649">
        <v>6</v>
      </c>
      <c r="L4" s="649">
        <v>7</v>
      </c>
      <c r="M4" s="649">
        <v>8</v>
      </c>
      <c r="N4" s="649">
        <v>9</v>
      </c>
      <c r="O4" s="649">
        <v>10</v>
      </c>
      <c r="P4" s="649">
        <v>11</v>
      </c>
      <c r="Q4" s="649">
        <v>12</v>
      </c>
      <c r="R4" s="1092" t="s">
        <v>1</v>
      </c>
      <c r="S4" s="1009"/>
      <c r="T4" s="1093"/>
    </row>
    <row r="5" spans="1:31" ht="13.5" thickBot="1">
      <c r="A5" s="21"/>
      <c r="B5" s="20" t="s">
        <v>102</v>
      </c>
      <c r="C5" s="1074" t="s">
        <v>50</v>
      </c>
      <c r="D5" s="1075"/>
      <c r="E5" s="23">
        <v>2021</v>
      </c>
      <c r="F5" s="26">
        <v>44287</v>
      </c>
      <c r="G5" s="26">
        <v>44317</v>
      </c>
      <c r="H5" s="26">
        <v>44348</v>
      </c>
      <c r="I5" s="26">
        <v>44378</v>
      </c>
      <c r="J5" s="26">
        <v>44409</v>
      </c>
      <c r="K5" s="26">
        <v>44440</v>
      </c>
      <c r="L5" s="26">
        <v>44470</v>
      </c>
      <c r="M5" s="26">
        <v>44501</v>
      </c>
      <c r="N5" s="26">
        <v>44531</v>
      </c>
      <c r="O5" s="26">
        <v>44562</v>
      </c>
      <c r="P5" s="26">
        <v>44593</v>
      </c>
      <c r="Q5" s="26">
        <v>44621</v>
      </c>
      <c r="R5" s="26" t="s">
        <v>55</v>
      </c>
      <c r="S5" s="26" t="s">
        <v>54</v>
      </c>
      <c r="T5" s="26" t="s">
        <v>1</v>
      </c>
    </row>
    <row r="6" spans="1:31" ht="18" customHeight="1" thickTop="1">
      <c r="A6" s="1081" t="s">
        <v>101</v>
      </c>
      <c r="B6" s="115">
        <v>5010</v>
      </c>
      <c r="C6" s="1069" t="s">
        <v>98</v>
      </c>
      <c r="D6" s="66" t="s">
        <v>134</v>
      </c>
      <c r="E6" s="650">
        <f>'[7]Falhas BLIND-PVC'!N6</f>
        <v>177.47130000000001</v>
      </c>
      <c r="F6" s="651">
        <f>$E6/1000*'BLIND-PVC-PRE - Qty'!F6</f>
        <v>7.5657268380800184</v>
      </c>
      <c r="G6" s="651">
        <f>$E6/1000*'BLIND-PVC-PRE - Qty'!G6</f>
        <v>4.1285161207385741</v>
      </c>
      <c r="H6" s="651">
        <f>$E6/1000*'BLIND-PVC-PRE - Qty'!H6</f>
        <v>4.1095712332124217</v>
      </c>
      <c r="I6" s="651">
        <f>$E6/1000*'BLIND-PVC-PRE - Qty'!I6</f>
        <v>4.1530235041418226</v>
      </c>
      <c r="J6" s="651">
        <f>$E6/1000*'BLIND-PVC-PRE - Qty'!J6</f>
        <v>7.5020833214243909</v>
      </c>
      <c r="K6" s="651">
        <f>$E6/1000*'BLIND-PVC-PRE - Qty'!K6</f>
        <v>8.6935473568109227</v>
      </c>
      <c r="L6" s="651">
        <f>$E6/1000*'BLIND-PVC-PRE - Qty'!L6</f>
        <v>8.7554389944190802</v>
      </c>
      <c r="M6" s="651">
        <f>$E6/1000*'BLIND-PVC-PRE - Qty'!M6</f>
        <v>8.7654622875125288</v>
      </c>
      <c r="N6" s="651">
        <f>$E6/1000*'BLIND-PVC-PRE - Qty'!N6</f>
        <v>7.0278179495987549</v>
      </c>
      <c r="O6" s="651">
        <f>$E6/1000*'BLIND-PVC-PRE - Qty'!O6</f>
        <v>6.5130008904104182</v>
      </c>
      <c r="P6" s="651">
        <f>$E6/1000*'BLIND-PVC-PRE - Qty'!P6</f>
        <v>6.5898821391757698</v>
      </c>
      <c r="Q6" s="651">
        <f>$E6/1000*'BLIND-PVC-PRE - Qty'!Q6</f>
        <v>8.1129722740556716</v>
      </c>
      <c r="R6" s="651">
        <f>SUM(F6:K6)</f>
        <v>36.152468374408144</v>
      </c>
      <c r="S6" s="651">
        <f>SUM(L6:Q6)</f>
        <v>45.764574535172223</v>
      </c>
      <c r="T6" s="651">
        <f>R6+S6</f>
        <v>81.917042909580374</v>
      </c>
    </row>
    <row r="7" spans="1:31" ht="18" customHeight="1">
      <c r="A7" s="1082"/>
      <c r="B7" s="116">
        <v>5020</v>
      </c>
      <c r="C7" s="1070"/>
      <c r="D7" s="28" t="s">
        <v>135</v>
      </c>
      <c r="E7" s="652">
        <f>'[7]Falhas BLIND-PVC'!N7</f>
        <v>177.47130000000001</v>
      </c>
      <c r="F7" s="124">
        <f>$E7/1000*'BLIND-PVC-PRE - Qty'!F7</f>
        <v>39.383868625922894</v>
      </c>
      <c r="G7" s="124">
        <f>$E7/1000*'BLIND-PVC-PRE - Qty'!G7</f>
        <v>21.491251270239566</v>
      </c>
      <c r="H7" s="124">
        <f>$E7/1000*'BLIND-PVC-PRE - Qty'!H7</f>
        <v>21.392632462366745</v>
      </c>
      <c r="I7" s="124">
        <f>$E7/1000*'BLIND-PVC-PRE - Qty'!I7</f>
        <v>21.618826001521249</v>
      </c>
      <c r="J7" s="124">
        <f>$E7/1000*'BLIND-PVC-PRE - Qty'!J7</f>
        <v>39.052568282611382</v>
      </c>
      <c r="K7" s="124">
        <f>$E7/1000*'BLIND-PVC-PRE - Qty'!K7</f>
        <v>45.254809527430531</v>
      </c>
      <c r="L7" s="124">
        <f>$E7/1000*'BLIND-PVC-PRE - Qty'!L7</f>
        <v>45.576990353776829</v>
      </c>
      <c r="M7" s="124">
        <f>$E7/1000*'BLIND-PVC-PRE - Qty'!M7</f>
        <v>45.629167238673674</v>
      </c>
      <c r="N7" s="124">
        <f>$E7/1000*'BLIND-PVC-PRE - Qty'!N7</f>
        <v>36.583749952587524</v>
      </c>
      <c r="O7" s="124">
        <f>$E7/1000*'BLIND-PVC-PRE - Qty'!O7</f>
        <v>33.903837254258761</v>
      </c>
      <c r="P7" s="124">
        <f>$E7/1000*'BLIND-PVC-PRE - Qty'!P7</f>
        <v>34.304047447670918</v>
      </c>
      <c r="Q7" s="124">
        <f>$E7/1000*'BLIND-PVC-PRE - Qty'!Q7</f>
        <v>42.232589286589828</v>
      </c>
      <c r="R7" s="124">
        <f t="shared" ref="R7:R9" si="0">SUM(F7:K7)</f>
        <v>188.19395617009238</v>
      </c>
      <c r="S7" s="124">
        <f t="shared" ref="S7:S9" si="1">SUM(L7:Q7)</f>
        <v>238.23038153355753</v>
      </c>
      <c r="T7" s="124">
        <f t="shared" ref="T7:T9" si="2">R7+S7</f>
        <v>426.42433770364994</v>
      </c>
    </row>
    <row r="8" spans="1:31" ht="18" customHeight="1">
      <c r="A8" s="1082"/>
      <c r="B8" s="116">
        <v>5030</v>
      </c>
      <c r="C8" s="1070"/>
      <c r="D8" s="28" t="s">
        <v>136</v>
      </c>
      <c r="E8" s="652">
        <f>'[7]Falhas BLIND-PVC'!N8</f>
        <v>177.47130000000001</v>
      </c>
      <c r="F8" s="124">
        <f>$E8/1000*'BLIND-PVC-PRE - Qty'!F8</f>
        <v>52.267589218623982</v>
      </c>
      <c r="G8" s="124">
        <f>$E8/1000*'BLIND-PVC-PRE - Qty'!G8</f>
        <v>28.521725578978469</v>
      </c>
      <c r="H8" s="124">
        <f>$E8/1000*'BLIND-PVC-PRE - Qty'!H8</f>
        <v>28.390845411057786</v>
      </c>
      <c r="I8" s="124">
        <f>$E8/1000*'BLIND-PVC-PRE - Qty'!I8</f>
        <v>28.691034077151713</v>
      </c>
      <c r="J8" s="124">
        <f>$E8/1000*'BLIND-PVC-PRE - Qty'!J8</f>
        <v>51.827909957638504</v>
      </c>
      <c r="K8" s="124">
        <f>$E8/1000*'BLIND-PVC-PRE - Qty'!K8</f>
        <v>60.059102294229788</v>
      </c>
      <c r="L8" s="124">
        <f>$E8/1000*'BLIND-PVC-PRE - Qty'!L8</f>
        <v>60.486678753148318</v>
      </c>
      <c r="M8" s="124">
        <f>$E8/1000*'BLIND-PVC-PRE - Qty'!M8</f>
        <v>60.555924362623593</v>
      </c>
      <c r="N8" s="124">
        <f>$E8/1000*'BLIND-PVC-PRE - Qty'!N8</f>
        <v>48.551462345172084</v>
      </c>
      <c r="O8" s="124">
        <f>$E8/1000*'BLIND-PVC-PRE - Qty'!O8</f>
        <v>44.99486465822406</v>
      </c>
      <c r="P8" s="124">
        <f>$E8/1000*'BLIND-PVC-PRE - Qty'!P8</f>
        <v>45.52599638093664</v>
      </c>
      <c r="Q8" s="124">
        <f>$E8/1000*'BLIND-PVC-PRE - Qty'!Q8</f>
        <v>56.048217340878644</v>
      </c>
      <c r="R8" s="124">
        <f t="shared" si="0"/>
        <v>249.75820653768022</v>
      </c>
      <c r="S8" s="124">
        <f t="shared" si="1"/>
        <v>316.16314384098331</v>
      </c>
      <c r="T8" s="124">
        <f t="shared" si="2"/>
        <v>565.92135037866353</v>
      </c>
      <c r="U8" s="275"/>
    </row>
    <row r="9" spans="1:31" ht="18" customHeight="1">
      <c r="A9" s="1082"/>
      <c r="B9" s="116">
        <v>5035</v>
      </c>
      <c r="C9" s="1070"/>
      <c r="D9" s="28" t="s">
        <v>204</v>
      </c>
      <c r="E9" s="652">
        <f>'[7]Falhas BLIND-PVC'!N9</f>
        <v>177.47130000000001</v>
      </c>
      <c r="F9" s="124">
        <f>$E9/1000*'BLIND-PVC-PRE - Qty'!F9</f>
        <v>56.23355477366573</v>
      </c>
      <c r="G9" s="124">
        <f>$E9/1000*'BLIND-PVC-PRE - Qty'!G9</f>
        <v>30.685900030251542</v>
      </c>
      <c r="H9" s="124">
        <f>$E9/1000*'BLIND-PVC-PRE - Qty'!H9</f>
        <v>30.545088923376696</v>
      </c>
      <c r="I9" s="124">
        <f>$E9/1000*'BLIND-PVC-PRE - Qty'!I9</f>
        <v>30.868055336206986</v>
      </c>
      <c r="J9" s="124">
        <f>$E9/1000*'BLIND-PVC-PRE - Qty'!J9</f>
        <v>55.760513484119102</v>
      </c>
      <c r="K9" s="124">
        <f>$E9/1000*'BLIND-PVC-PRE - Qty'!K9</f>
        <v>64.616273086426418</v>
      </c>
      <c r="L9" s="124">
        <f>$E9/1000*'BLIND-PVC-PRE - Qty'!L9</f>
        <v>65.07629323623577</v>
      </c>
      <c r="M9" s="124">
        <f>$E9/1000*'BLIND-PVC-PRE - Qty'!M9</f>
        <v>65.15079307124779</v>
      </c>
      <c r="N9" s="124">
        <f>$E9/1000*'BLIND-PVC-PRE - Qty'!N9</f>
        <v>52.235455239936186</v>
      </c>
      <c r="O9" s="124">
        <f>$E9/1000*'BLIND-PVC-PRE - Qty'!O9</f>
        <v>48.408989664867711</v>
      </c>
      <c r="P9" s="124">
        <f>$E9/1000*'BLIND-PVC-PRE - Qty'!P9</f>
        <v>48.980422655516278</v>
      </c>
      <c r="Q9" s="124">
        <f>$E9/1000*'BLIND-PVC-PRE - Qty'!Q9</f>
        <v>60.301049788643688</v>
      </c>
      <c r="R9" s="124">
        <f t="shared" si="0"/>
        <v>268.7093856340465</v>
      </c>
      <c r="S9" s="124">
        <f t="shared" si="1"/>
        <v>340.15300365644742</v>
      </c>
      <c r="T9" s="124">
        <f t="shared" si="2"/>
        <v>608.86238929049387</v>
      </c>
      <c r="U9" s="275"/>
    </row>
    <row r="10" spans="1:31" ht="18" customHeight="1">
      <c r="A10" s="1082"/>
      <c r="B10" s="116"/>
      <c r="C10" s="1071"/>
      <c r="D10" s="67" t="s">
        <v>83</v>
      </c>
      <c r="E10" s="653">
        <f>'[7]Falhas BLIND-PVC'!N10</f>
        <v>177.47130000000001</v>
      </c>
      <c r="F10" s="654">
        <f>SUBTOTAL(109,F6:F9)</f>
        <v>155.45073945629264</v>
      </c>
      <c r="G10" s="654">
        <f t="shared" ref="G10:Q10" si="3">SUBTOTAL(109,G6:G9)</f>
        <v>84.827393000208147</v>
      </c>
      <c r="H10" s="654">
        <f t="shared" si="3"/>
        <v>84.438138030013647</v>
      </c>
      <c r="I10" s="654">
        <f t="shared" si="3"/>
        <v>85.330938919021776</v>
      </c>
      <c r="J10" s="654">
        <f t="shared" si="3"/>
        <v>154.14307504579338</v>
      </c>
      <c r="K10" s="654">
        <f t="shared" si="3"/>
        <v>178.62373226489765</v>
      </c>
      <c r="L10" s="654">
        <f t="shared" si="3"/>
        <v>179.89540133757998</v>
      </c>
      <c r="M10" s="654">
        <f t="shared" si="3"/>
        <v>180.10134696005758</v>
      </c>
      <c r="N10" s="654">
        <f t="shared" si="3"/>
        <v>144.39848548729455</v>
      </c>
      <c r="O10" s="654">
        <f t="shared" si="3"/>
        <v>133.82069246776095</v>
      </c>
      <c r="P10" s="654">
        <f t="shared" si="3"/>
        <v>135.40034862329961</v>
      </c>
      <c r="Q10" s="654">
        <f t="shared" si="3"/>
        <v>166.69482869016784</v>
      </c>
      <c r="R10" s="654">
        <f t="shared" ref="R10" si="4">SUBTOTAL(109,R6:R9)</f>
        <v>742.81401671622723</v>
      </c>
      <c r="S10" s="654">
        <f t="shared" ref="S10" si="5">SUBTOTAL(109,S6:S9)</f>
        <v>940.31110356616045</v>
      </c>
      <c r="T10" s="654">
        <f t="shared" ref="T10" si="6">SUBTOTAL(109,T6:T9)</f>
        <v>1683.1251202823878</v>
      </c>
      <c r="U10" s="275"/>
      <c r="V10" s="655"/>
      <c r="W10" s="655"/>
      <c r="X10" s="655"/>
      <c r="Y10" s="655"/>
      <c r="Z10" s="655"/>
      <c r="AA10" s="655"/>
      <c r="AB10" s="655"/>
      <c r="AC10" s="655"/>
      <c r="AD10" s="655"/>
      <c r="AE10" s="655"/>
    </row>
    <row r="11" spans="1:31" ht="18" customHeight="1">
      <c r="A11" s="1082"/>
      <c r="B11" s="116">
        <v>5040</v>
      </c>
      <c r="C11" s="1072" t="s">
        <v>137</v>
      </c>
      <c r="D11" s="37" t="s">
        <v>134</v>
      </c>
      <c r="E11" s="656">
        <f>'[7]Falhas BLIND-PVC'!N11</f>
        <v>60.921500000000002</v>
      </c>
      <c r="F11" s="125">
        <f>$E11/1000*'BLIND-PVC-PRE - Qty'!F11</f>
        <v>57.218185007735592</v>
      </c>
      <c r="G11" s="125">
        <f>$E11/1000*'BLIND-PVC-PRE - Qty'!G11</f>
        <v>59.882622401367065</v>
      </c>
      <c r="H11" s="125">
        <f>$E11/1000*'BLIND-PVC-PRE - Qty'!H11</f>
        <v>57.63011005550814</v>
      </c>
      <c r="I11" s="125">
        <f>$E11/1000*'BLIND-PVC-PRE - Qty'!I11</f>
        <v>58.002691674800865</v>
      </c>
      <c r="J11" s="125">
        <f>$E11/1000*'BLIND-PVC-PRE - Qty'!J11</f>
        <v>58.711272849876551</v>
      </c>
      <c r="K11" s="125">
        <f>$E11/1000*'BLIND-PVC-PRE - Qty'!K11</f>
        <v>66.753633474629169</v>
      </c>
      <c r="L11" s="125">
        <f>$E11/1000*'BLIND-PVC-PRE - Qty'!L11</f>
        <v>65.932555055840083</v>
      </c>
      <c r="M11" s="125">
        <f>$E11/1000*'BLIND-PVC-PRE - Qty'!M11</f>
        <v>65.967138620626471</v>
      </c>
      <c r="N11" s="125">
        <f>$E11/1000*'BLIND-PVC-PRE - Qty'!N11</f>
        <v>62.765827454039929</v>
      </c>
      <c r="O11" s="125">
        <f>$E11/1000*'BLIND-PVC-PRE - Qty'!O11</f>
        <v>48.676732783563168</v>
      </c>
      <c r="P11" s="125">
        <f>$E11/1000*'BLIND-PVC-PRE - Qty'!P11</f>
        <v>46.720839664389608</v>
      </c>
      <c r="Q11" s="125">
        <f>$E11/1000*'BLIND-PVC-PRE - Qty'!Q11</f>
        <v>59.236792812418834</v>
      </c>
      <c r="R11" s="125">
        <f t="shared" ref="R11:R15" si="7">SUM(F11:K11)</f>
        <v>358.19851546391737</v>
      </c>
      <c r="S11" s="125">
        <f t="shared" ref="S11:S15" si="8">SUM(L11:Q11)</f>
        <v>349.2998863908781</v>
      </c>
      <c r="T11" s="125">
        <f t="shared" ref="T11:T15" si="9">R11+S11</f>
        <v>707.49840185479547</v>
      </c>
      <c r="U11" s="655"/>
      <c r="V11" s="655"/>
      <c r="W11" s="655"/>
      <c r="X11" s="655"/>
      <c r="Y11" s="655"/>
      <c r="Z11" s="655"/>
      <c r="AA11" s="655"/>
      <c r="AB11" s="655"/>
      <c r="AC11" s="655"/>
      <c r="AD11" s="655"/>
      <c r="AE11" s="655"/>
    </row>
    <row r="12" spans="1:31" ht="18" customHeight="1">
      <c r="A12" s="1082"/>
      <c r="B12" s="116">
        <v>5050</v>
      </c>
      <c r="C12" s="1073"/>
      <c r="D12" s="37" t="s">
        <v>135</v>
      </c>
      <c r="E12" s="656">
        <f>'[7]Falhas BLIND-PVC'!N12</f>
        <v>60.921500000000002</v>
      </c>
      <c r="F12" s="125">
        <f>$E12/1000*'BLIND-PVC-PRE - Qty'!F12</f>
        <v>106.71218568571373</v>
      </c>
      <c r="G12" s="125">
        <f>$E12/1000*'BLIND-PVC-PRE - Qty'!G12</f>
        <v>111.68137402782423</v>
      </c>
      <c r="H12" s="125">
        <f>$E12/1000*'BLIND-PVC-PRE - Qty'!H12</f>
        <v>107.48042784824575</v>
      </c>
      <c r="I12" s="125">
        <f>$E12/1000*'BLIND-PVC-PRE - Qty'!I12</f>
        <v>108.17529433056555</v>
      </c>
      <c r="J12" s="125">
        <f>$E12/1000*'BLIND-PVC-PRE - Qty'!J12</f>
        <v>109.49680157372357</v>
      </c>
      <c r="K12" s="125">
        <f>$E12/1000*'BLIND-PVC-PRE - Qty'!K12</f>
        <v>124.49584217985338</v>
      </c>
      <c r="L12" s="125">
        <f>$E12/1000*'BLIND-PVC-PRE - Qty'!L12</f>
        <v>122.96452704504949</v>
      </c>
      <c r="M12" s="125">
        <f>$E12/1000*'BLIND-PVC-PRE - Qty'!M12</f>
        <v>123.02902555695897</v>
      </c>
      <c r="N12" s="125">
        <f>$E12/1000*'BLIND-PVC-PRE - Qty'!N12</f>
        <v>117.05856508883427</v>
      </c>
      <c r="O12" s="125">
        <f>$E12/1000*'BLIND-PVC-PRE - Qty'!O12</f>
        <v>90.78233688592546</v>
      </c>
      <c r="P12" s="125">
        <f>$E12/1000*'BLIND-PVC-PRE - Qty'!P12</f>
        <v>87.134586967146291</v>
      </c>
      <c r="Q12" s="125">
        <f>$E12/1000*'BLIND-PVC-PRE - Qty'!Q12</f>
        <v>110.4768987896136</v>
      </c>
      <c r="R12" s="125">
        <f t="shared" si="7"/>
        <v>668.04192564592631</v>
      </c>
      <c r="S12" s="125">
        <f t="shared" si="8"/>
        <v>651.44594033352814</v>
      </c>
      <c r="T12" s="125">
        <f t="shared" si="9"/>
        <v>1319.4878659794545</v>
      </c>
      <c r="U12" s="655"/>
      <c r="V12" s="655"/>
      <c r="W12" s="655"/>
      <c r="X12" s="655"/>
      <c r="Y12" s="655"/>
      <c r="Z12" s="655"/>
      <c r="AA12" s="655"/>
      <c r="AB12" s="655"/>
      <c r="AC12" s="655"/>
      <c r="AD12" s="655"/>
      <c r="AE12" s="655"/>
    </row>
    <row r="13" spans="1:31" ht="18" customHeight="1">
      <c r="A13" s="1082"/>
      <c r="B13" s="116">
        <v>5060</v>
      </c>
      <c r="C13" s="1073"/>
      <c r="D13" s="37" t="s">
        <v>136</v>
      </c>
      <c r="E13" s="656">
        <f>'[7]Falhas BLIND-PVC'!N13</f>
        <v>60.921500000000002</v>
      </c>
      <c r="F13" s="125">
        <f>$E13/1000*'BLIND-PVC-PRE - Qty'!F13</f>
        <v>59.962972492055016</v>
      </c>
      <c r="G13" s="125">
        <f>$E13/1000*'BLIND-PVC-PRE - Qty'!G13</f>
        <v>62.755224397974906</v>
      </c>
      <c r="H13" s="125">
        <f>$E13/1000*'BLIND-PVC-PRE - Qty'!H13</f>
        <v>60.394657808620622</v>
      </c>
      <c r="I13" s="125">
        <f>$E13/1000*'BLIND-PVC-PRE - Qty'!I13</f>
        <v>60.785112371023715</v>
      </c>
      <c r="J13" s="125">
        <f>$E13/1000*'BLIND-PVC-PRE - Qty'!J13</f>
        <v>61.527684570818359</v>
      </c>
      <c r="K13" s="125">
        <f>$E13/1000*'BLIND-PVC-PRE - Qty'!K13</f>
        <v>69.955841612990014</v>
      </c>
      <c r="L13" s="125">
        <f>$E13/1000*'BLIND-PVC-PRE - Qty'!L13</f>
        <v>69.095375615457698</v>
      </c>
      <c r="M13" s="125">
        <f>$E13/1000*'BLIND-PVC-PRE - Qty'!M13</f>
        <v>69.131618172674138</v>
      </c>
      <c r="N13" s="125">
        <f>$E13/1000*'BLIND-PVC-PRE - Qty'!N13</f>
        <v>65.776738366637204</v>
      </c>
      <c r="O13" s="125">
        <f>$E13/1000*'BLIND-PVC-PRE - Qty'!O13</f>
        <v>51.011782154734618</v>
      </c>
      <c r="P13" s="125">
        <f>$E13/1000*'BLIND-PVC-PRE - Qty'!P13</f>
        <v>48.962063777848876</v>
      </c>
      <c r="Q13" s="125">
        <f>$E13/1000*'BLIND-PVC-PRE - Qty'!Q13</f>
        <v>62.078414012056122</v>
      </c>
      <c r="R13" s="125">
        <f t="shared" si="7"/>
        <v>375.38149325348263</v>
      </c>
      <c r="S13" s="125">
        <f t="shared" si="8"/>
        <v>366.05599209940863</v>
      </c>
      <c r="T13" s="125">
        <f t="shared" si="9"/>
        <v>741.43748535289126</v>
      </c>
    </row>
    <row r="14" spans="1:31" ht="18" customHeight="1">
      <c r="A14" s="1082"/>
      <c r="B14" s="116">
        <v>5070</v>
      </c>
      <c r="C14" s="1073"/>
      <c r="D14" s="37" t="s">
        <v>138</v>
      </c>
      <c r="E14" s="656">
        <f>'[7]Falhas BLIND-PVC'!N14</f>
        <v>60.921500000000002</v>
      </c>
      <c r="F14" s="125">
        <f>$E14/1000*'BLIND-PVC-PRE - Qty'!F14</f>
        <v>88.914769848548602</v>
      </c>
      <c r="G14" s="125">
        <f>$E14/1000*'BLIND-PVC-PRE - Qty'!G14</f>
        <v>93.055198937632454</v>
      </c>
      <c r="H14" s="125">
        <f>$E14/1000*'BLIND-PVC-PRE - Qty'!H14</f>
        <v>89.554884889118242</v>
      </c>
      <c r="I14" s="125">
        <f>$E14/1000*'BLIND-PVC-PRE - Qty'!I14</f>
        <v>90.13386181620416</v>
      </c>
      <c r="J14" s="125">
        <f>$E14/1000*'BLIND-PVC-PRE - Qty'!J14</f>
        <v>91.234968607556439</v>
      </c>
      <c r="K14" s="125">
        <f>$E14/1000*'BLIND-PVC-PRE - Qty'!K14</f>
        <v>103.73247519383197</v>
      </c>
      <c r="L14" s="125">
        <f>$E14/1000*'BLIND-PVC-PRE - Qty'!L14</f>
        <v>102.45655218745959</v>
      </c>
      <c r="M14" s="125">
        <f>$E14/1000*'BLIND-PVC-PRE - Qty'!M14</f>
        <v>102.51029366323533</v>
      </c>
      <c r="N14" s="125">
        <f>$E14/1000*'BLIND-PVC-PRE - Qty'!N14</f>
        <v>97.53558421461949</v>
      </c>
      <c r="O14" s="125">
        <f>$E14/1000*'BLIND-PVC-PRE - Qty'!O14</f>
        <v>75.641694888516412</v>
      </c>
      <c r="P14" s="125">
        <f>$E14/1000*'BLIND-PVC-PRE - Qty'!P14</f>
        <v>72.602315248701444</v>
      </c>
      <c r="Q14" s="125">
        <f>$E14/1000*'BLIND-PVC-PRE - Qty'!Q14</f>
        <v>92.05160560004316</v>
      </c>
      <c r="R14" s="125">
        <f t="shared" si="7"/>
        <v>556.62615929289188</v>
      </c>
      <c r="S14" s="125">
        <f t="shared" si="8"/>
        <v>542.79804580257542</v>
      </c>
      <c r="T14" s="125">
        <f t="shared" si="9"/>
        <v>1099.4242050954672</v>
      </c>
    </row>
    <row r="15" spans="1:31" ht="18" customHeight="1">
      <c r="A15" s="1082"/>
      <c r="B15" s="116">
        <v>5080</v>
      </c>
      <c r="C15" s="1073"/>
      <c r="D15" s="37" t="s">
        <v>139</v>
      </c>
      <c r="E15" s="656">
        <f>'[7]Falhas BLIND-PVC'!N15</f>
        <v>60.921500000000002</v>
      </c>
      <c r="F15" s="125">
        <f>$E15/1000*'BLIND-PVC-PRE - Qty'!F15</f>
        <v>249.15250543315088</v>
      </c>
      <c r="G15" s="125">
        <f>$E15/1000*'BLIND-PVC-PRE - Qty'!G15</f>
        <v>260.75460801825221</v>
      </c>
      <c r="H15" s="125">
        <f>$E15/1000*'BLIND-PVC-PRE - Qty'!H15</f>
        <v>250.94620367243144</v>
      </c>
      <c r="I15" s="125">
        <f>$E15/1000*'BLIND-PVC-PRE - Qty'!I15</f>
        <v>252.56858375863257</v>
      </c>
      <c r="J15" s="125">
        <f>$E15/1000*'BLIND-PVC-PRE - Qty'!J15</f>
        <v>255.65404994475858</v>
      </c>
      <c r="K15" s="125">
        <f>$E15/1000*'BLIND-PVC-PRE - Qty'!K15</f>
        <v>290.67393565038054</v>
      </c>
      <c r="L15" s="125">
        <f>$E15/1000*'BLIND-PVC-PRE - Qty'!L15</f>
        <v>287.09860824055914</v>
      </c>
      <c r="M15" s="125">
        <f>$E15/1000*'BLIND-PVC-PRE - Qty'!M15</f>
        <v>287.24919990669071</v>
      </c>
      <c r="N15" s="125">
        <f>$E15/1000*'BLIND-PVC-PRE - Qty'!N15</f>
        <v>273.309318770679</v>
      </c>
      <c r="O15" s="125">
        <f>$E15/1000*'BLIND-PVC-PRE - Qty'!O15</f>
        <v>211.95936095640093</v>
      </c>
      <c r="P15" s="125">
        <f>$E15/1000*'BLIND-PVC-PRE - Qty'!P15</f>
        <v>203.44256387631759</v>
      </c>
      <c r="Q15" s="125">
        <f>$E15/1000*'BLIND-PVC-PRE - Qty'!Q15</f>
        <v>257.94238913805606</v>
      </c>
      <c r="R15" s="125">
        <f t="shared" si="7"/>
        <v>1559.7498864776064</v>
      </c>
      <c r="S15" s="125">
        <f t="shared" si="8"/>
        <v>1521.0014408887034</v>
      </c>
      <c r="T15" s="125">
        <f t="shared" si="9"/>
        <v>3080.7513273663099</v>
      </c>
      <c r="U15" s="275"/>
    </row>
    <row r="16" spans="1:31" ht="18" customHeight="1">
      <c r="A16" s="1082"/>
      <c r="B16" s="116"/>
      <c r="C16" s="1073"/>
      <c r="D16" s="68" t="s">
        <v>83</v>
      </c>
      <c r="E16" s="657">
        <f>'[7]Falhas BLIND-PVC'!N16</f>
        <v>60.921500000000002</v>
      </c>
      <c r="F16" s="654">
        <f>SUBTOTAL(109,F11:F15)</f>
        <v>561.96061846720386</v>
      </c>
      <c r="G16" s="654">
        <f t="shared" ref="G16:Q16" si="10">SUBTOTAL(109,G11:G15)</f>
        <v>588.12902778305079</v>
      </c>
      <c r="H16" s="654">
        <f t="shared" si="10"/>
        <v>566.00628427392417</v>
      </c>
      <c r="I16" s="654">
        <f t="shared" si="10"/>
        <v>569.66554395122682</v>
      </c>
      <c r="J16" s="654">
        <f t="shared" si="10"/>
        <v>576.62477754673353</v>
      </c>
      <c r="K16" s="654">
        <f t="shared" si="10"/>
        <v>655.61172811168512</v>
      </c>
      <c r="L16" s="654">
        <f t="shared" si="10"/>
        <v>647.54761814436597</v>
      </c>
      <c r="M16" s="654">
        <f t="shared" si="10"/>
        <v>647.88727592018563</v>
      </c>
      <c r="N16" s="654">
        <f t="shared" si="10"/>
        <v>616.44603389480994</v>
      </c>
      <c r="O16" s="654">
        <f t="shared" si="10"/>
        <v>478.07190766914061</v>
      </c>
      <c r="P16" s="654">
        <f t="shared" si="10"/>
        <v>458.8623695344038</v>
      </c>
      <c r="Q16" s="654">
        <f t="shared" si="10"/>
        <v>581.78610035218776</v>
      </c>
      <c r="R16" s="654">
        <f t="shared" ref="R16" si="11">SUBTOTAL(109,R11:R15)</f>
        <v>3517.997980133825</v>
      </c>
      <c r="S16" s="654">
        <f t="shared" ref="S16" si="12">SUBTOTAL(109,S11:S15)</f>
        <v>3430.6013055150934</v>
      </c>
      <c r="T16" s="654">
        <f t="shared" ref="T16" si="13">SUBTOTAL(109,T11:T15)</f>
        <v>6948.5992856489183</v>
      </c>
      <c r="U16" s="275"/>
    </row>
    <row r="17" spans="1:21" ht="18" customHeight="1">
      <c r="A17" s="1082"/>
      <c r="B17" s="116">
        <v>5090</v>
      </c>
      <c r="C17" s="1072" t="s">
        <v>140</v>
      </c>
      <c r="D17" s="37" t="s">
        <v>134</v>
      </c>
      <c r="E17" s="656">
        <f>'[7]Falhas BLIND-PVC'!N17</f>
        <v>60.921500000000002</v>
      </c>
      <c r="F17" s="125">
        <f>$E17/1000*'BLIND-PVC-PRE - Qty'!F17</f>
        <v>85.509952462682122</v>
      </c>
      <c r="G17" s="125">
        <f>$E17/1000*'BLIND-PVC-PRE - Qty'!G17</f>
        <v>89.491831909547102</v>
      </c>
      <c r="H17" s="125">
        <f>$E17/1000*'BLIND-PVC-PRE - Qty'!H17</f>
        <v>86.125555548457342</v>
      </c>
      <c r="I17" s="125">
        <f>$E17/1000*'BLIND-PVC-PRE - Qty'!I17</f>
        <v>86.682361685350386</v>
      </c>
      <c r="J17" s="125">
        <f>$E17/1000*'BLIND-PVC-PRE - Qty'!J17</f>
        <v>87.741303743517449</v>
      </c>
      <c r="K17" s="125">
        <f>$E17/1000*'BLIND-PVC-PRE - Qty'!K17</f>
        <v>99.760242733234932</v>
      </c>
      <c r="L17" s="125">
        <f>$E17/1000*'BLIND-PVC-PRE - Qty'!L17</f>
        <v>98.533178705438573</v>
      </c>
      <c r="M17" s="125">
        <f>$E17/1000*'BLIND-PVC-PRE - Qty'!M17</f>
        <v>98.584862256401848</v>
      </c>
      <c r="N17" s="125">
        <f>$E17/1000*'BLIND-PVC-PRE - Qty'!N17</f>
        <v>93.800649586320475</v>
      </c>
      <c r="O17" s="125">
        <f>$E17/1000*'BLIND-PVC-PRE - Qty'!O17</f>
        <v>72.745143974742319</v>
      </c>
      <c r="P17" s="125">
        <f>$E17/1000*'BLIND-PVC-PRE - Qty'!P17</f>
        <v>69.822151439763999</v>
      </c>
      <c r="Q17" s="125">
        <f>$E17/1000*'BLIND-PVC-PRE - Qty'!Q17</f>
        <v>88.526669217957149</v>
      </c>
      <c r="R17" s="125">
        <f t="shared" ref="R17:R20" si="14">SUM(F17:K17)</f>
        <v>535.31124808278935</v>
      </c>
      <c r="S17" s="125">
        <f t="shared" ref="S17:S20" si="15">SUM(L17:Q17)</f>
        <v>522.01265518062439</v>
      </c>
      <c r="T17" s="125">
        <f t="shared" ref="T17:T20" si="16">R17+S17</f>
        <v>1057.3239032634137</v>
      </c>
    </row>
    <row r="18" spans="1:21" ht="18" customHeight="1">
      <c r="A18" s="1082"/>
      <c r="B18" s="116">
        <v>5100</v>
      </c>
      <c r="C18" s="1073"/>
      <c r="D18" s="37" t="s">
        <v>135</v>
      </c>
      <c r="E18" s="656">
        <f>'[7]Falhas BLIND-PVC'!N18</f>
        <v>60.921500000000002</v>
      </c>
      <c r="F18" s="125">
        <f>$E18/1000*'BLIND-PVC-PRE - Qty'!F18</f>
        <v>79.983860297062776</v>
      </c>
      <c r="G18" s="125">
        <f>$E18/1000*'BLIND-PVC-PRE - Qty'!G18</f>
        <v>83.708410249733916</v>
      </c>
      <c r="H18" s="125">
        <f>$E18/1000*'BLIND-PVC-PRE - Qty'!H18</f>
        <v>80.55967995071741</v>
      </c>
      <c r="I18" s="125">
        <f>$E18/1000*'BLIND-PVC-PRE - Qty'!I18</f>
        <v>81.080502416210365</v>
      </c>
      <c r="J18" s="125">
        <f>$E18/1000*'BLIND-PVC-PRE - Qty'!J18</f>
        <v>82.071010201606242</v>
      </c>
      <c r="K18" s="125">
        <f>$E18/1000*'BLIND-PVC-PRE - Qty'!K18</f>
        <v>93.313223644445188</v>
      </c>
      <c r="L18" s="125">
        <f>$E18/1000*'BLIND-PVC-PRE - Qty'!L18</f>
        <v>92.165458794293428</v>
      </c>
      <c r="M18" s="125">
        <f>$E18/1000*'BLIND-PVC-PRE - Qty'!M18</f>
        <v>92.213802288832355</v>
      </c>
      <c r="N18" s="125">
        <f>$E18/1000*'BLIND-PVC-PRE - Qty'!N18</f>
        <v>87.738770005283541</v>
      </c>
      <c r="O18" s="125">
        <f>$E18/1000*'BLIND-PVC-PRE - Qty'!O18</f>
        <v>68.04397927252694</v>
      </c>
      <c r="P18" s="125">
        <f>$E18/1000*'BLIND-PVC-PRE - Qty'!P18</f>
        <v>65.309885522807079</v>
      </c>
      <c r="Q18" s="125">
        <f>$E18/1000*'BLIND-PVC-PRE - Qty'!Q18</f>
        <v>82.805621326751435</v>
      </c>
      <c r="R18" s="125">
        <f t="shared" si="14"/>
        <v>500.71668675977594</v>
      </c>
      <c r="S18" s="125">
        <f t="shared" si="15"/>
        <v>488.27751721049481</v>
      </c>
      <c r="T18" s="125">
        <f t="shared" si="16"/>
        <v>988.99420397027075</v>
      </c>
    </row>
    <row r="19" spans="1:21" ht="18" customHeight="1">
      <c r="A19" s="1082"/>
      <c r="B19" s="116">
        <v>5110</v>
      </c>
      <c r="C19" s="1073"/>
      <c r="D19" s="37" t="s">
        <v>136</v>
      </c>
      <c r="E19" s="656">
        <f>'[7]Falhas BLIND-PVC'!N19</f>
        <v>60.921500000000002</v>
      </c>
      <c r="F19" s="125">
        <f>$E19/1000*'BLIND-PVC-PRE - Qty'!F19</f>
        <v>110.36947167419186</v>
      </c>
      <c r="G19" s="125">
        <f>$E19/1000*'BLIND-PVC-PRE - Qty'!G19</f>
        <v>115.50896617937948</v>
      </c>
      <c r="H19" s="125">
        <f>$E19/1000*'BLIND-PVC-PRE - Qty'!H19</f>
        <v>111.16404336299806</v>
      </c>
      <c r="I19" s="125">
        <f>$E19/1000*'BLIND-PVC-PRE - Qty'!I19</f>
        <v>111.88272460867708</v>
      </c>
      <c r="J19" s="125">
        <f>$E19/1000*'BLIND-PVC-PRE - Qty'!J19</f>
        <v>113.24952311724232</v>
      </c>
      <c r="K19" s="125">
        <f>$E19/1000*'BLIND-PVC-PRE - Qty'!K19</f>
        <v>128.76261730307266</v>
      </c>
      <c r="L19" s="125">
        <f>$E19/1000*'BLIND-PVC-PRE - Qty'!L19</f>
        <v>127.1788202764354</v>
      </c>
      <c r="M19" s="125">
        <f>$E19/1000*'BLIND-PVC-PRE - Qty'!M19</f>
        <v>127.24552930912436</v>
      </c>
      <c r="N19" s="125">
        <f>$E19/1000*'BLIND-PVC-PRE - Qty'!N19</f>
        <v>121.07044664837446</v>
      </c>
      <c r="O19" s="125">
        <f>$E19/1000*'BLIND-PVC-PRE - Qty'!O19</f>
        <v>93.893668235393321</v>
      </c>
      <c r="P19" s="125">
        <f>$E19/1000*'BLIND-PVC-PRE - Qty'!P19</f>
        <v>90.120901060321458</v>
      </c>
      <c r="Q19" s="125">
        <f>$E19/1000*'BLIND-PVC-PRE - Qty'!Q19</f>
        <v>114.26321064704057</v>
      </c>
      <c r="R19" s="125">
        <f t="shared" si="14"/>
        <v>690.93734624556146</v>
      </c>
      <c r="S19" s="125">
        <f t="shared" si="15"/>
        <v>673.77257617668954</v>
      </c>
      <c r="T19" s="125">
        <f t="shared" si="16"/>
        <v>1364.7099224222511</v>
      </c>
    </row>
    <row r="20" spans="1:21" ht="18" customHeight="1">
      <c r="A20" s="1082"/>
      <c r="B20" s="116">
        <v>5120</v>
      </c>
      <c r="C20" s="1073"/>
      <c r="D20" s="37" t="s">
        <v>138</v>
      </c>
      <c r="E20" s="656">
        <f>'[7]Falhas BLIND-PVC'!N20</f>
        <v>60.921500000000002</v>
      </c>
      <c r="F20" s="125">
        <f>$E20/1000*'BLIND-PVC-PRE - Qty'!F20</f>
        <v>95.961050084146635</v>
      </c>
      <c r="G20" s="125">
        <f>$E20/1000*'BLIND-PVC-PRE - Qty'!G20</f>
        <v>100.42959815399151</v>
      </c>
      <c r="H20" s="125">
        <f>$E20/1000*'BLIND-PVC-PRE - Qty'!H20</f>
        <v>96.651892691874806</v>
      </c>
      <c r="I20" s="125">
        <f>$E20/1000*'BLIND-PVC-PRE - Qty'!I20</f>
        <v>97.2767521386494</v>
      </c>
      <c r="J20" s="125">
        <f>$E20/1000*'BLIND-PVC-PRE - Qty'!J20</f>
        <v>98.465118977285243</v>
      </c>
      <c r="K20" s="125">
        <f>$E20/1000*'BLIND-PVC-PRE - Qty'!K20</f>
        <v>111.95302270233903</v>
      </c>
      <c r="L20" s="125">
        <f>$E20/1000*'BLIND-PVC-PRE - Qty'!L20</f>
        <v>110.57598588689689</v>
      </c>
      <c r="M20" s="125">
        <f>$E20/1000*'BLIND-PVC-PRE - Qty'!M20</f>
        <v>110.63398624451231</v>
      </c>
      <c r="N20" s="125">
        <f>$E20/1000*'BLIND-PVC-PRE - Qty'!N20</f>
        <v>105.26504311655016</v>
      </c>
      <c r="O20" s="125">
        <f>$E20/1000*'BLIND-PVC-PRE - Qty'!O20</f>
        <v>81.6361160694738</v>
      </c>
      <c r="P20" s="125">
        <f>$E20/1000*'BLIND-PVC-PRE - Qty'!P20</f>
        <v>78.355872951960052</v>
      </c>
      <c r="Q20" s="125">
        <f>$E20/1000*'BLIND-PVC-PRE - Qty'!Q20</f>
        <v>99.346472474235881</v>
      </c>
      <c r="R20" s="125">
        <f t="shared" si="14"/>
        <v>600.73743474828655</v>
      </c>
      <c r="S20" s="125">
        <f t="shared" si="15"/>
        <v>585.81347674362905</v>
      </c>
      <c r="T20" s="125">
        <f t="shared" si="16"/>
        <v>1186.5509114919155</v>
      </c>
    </row>
    <row r="21" spans="1:21" ht="18" customHeight="1">
      <c r="A21" s="1082"/>
      <c r="B21" s="116"/>
      <c r="C21" s="1073"/>
      <c r="D21" s="69" t="s">
        <v>83</v>
      </c>
      <c r="E21" s="658">
        <f>'[7]Falhas BLIND-PVC'!N21</f>
        <v>60.921500000000002</v>
      </c>
      <c r="F21" s="654">
        <f>SUBTOTAL(109,F17:F20)</f>
        <v>371.82433451808339</v>
      </c>
      <c r="G21" s="654">
        <f t="shared" ref="G21:Q21" si="17">SUBTOTAL(109,G17:G20)</f>
        <v>389.13880649265195</v>
      </c>
      <c r="H21" s="654">
        <f t="shared" si="17"/>
        <v>374.50117155404763</v>
      </c>
      <c r="I21" s="654">
        <f t="shared" si="17"/>
        <v>376.92234084888719</v>
      </c>
      <c r="J21" s="654">
        <f t="shared" si="17"/>
        <v>381.52695603965128</v>
      </c>
      <c r="K21" s="654">
        <f t="shared" si="17"/>
        <v>433.78910638309179</v>
      </c>
      <c r="L21" s="654">
        <f t="shared" si="17"/>
        <v>428.45344366306426</v>
      </c>
      <c r="M21" s="654">
        <f t="shared" si="17"/>
        <v>428.67818009887088</v>
      </c>
      <c r="N21" s="654">
        <f t="shared" si="17"/>
        <v>407.87490935652863</v>
      </c>
      <c r="O21" s="654">
        <f t="shared" si="17"/>
        <v>316.31890755213641</v>
      </c>
      <c r="P21" s="654">
        <f t="shared" si="17"/>
        <v>303.60881097485259</v>
      </c>
      <c r="Q21" s="654">
        <f t="shared" si="17"/>
        <v>384.94197366598507</v>
      </c>
      <c r="R21" s="654">
        <f t="shared" ref="R21" si="18">SUBTOTAL(109,R17:R20)</f>
        <v>2327.7027158364131</v>
      </c>
      <c r="S21" s="654">
        <f t="shared" ref="S21" si="19">SUBTOTAL(109,S17:S20)</f>
        <v>2269.8762253114378</v>
      </c>
      <c r="T21" s="654">
        <f t="shared" ref="T21" si="20">SUBTOTAL(109,T17:T20)</f>
        <v>4597.5789411478509</v>
      </c>
      <c r="U21" s="275"/>
    </row>
    <row r="22" spans="1:21" ht="18" customHeight="1" thickBot="1">
      <c r="A22" s="1082"/>
      <c r="B22" s="1087"/>
      <c r="C22" s="71" t="s">
        <v>1</v>
      </c>
      <c r="D22" s="72"/>
      <c r="E22" s="659">
        <v>79438.606117200005</v>
      </c>
      <c r="F22" s="660">
        <f>SUBTOTAL(109,F6:F21)</f>
        <v>1089.2356924415797</v>
      </c>
      <c r="G22" s="660">
        <f t="shared" ref="G22:Q22" si="21">SUBTOTAL(109,G6:G21)</f>
        <v>1062.0952272759112</v>
      </c>
      <c r="H22" s="660">
        <f t="shared" si="21"/>
        <v>1024.9455938579854</v>
      </c>
      <c r="I22" s="660">
        <f t="shared" si="21"/>
        <v>1031.9188237191361</v>
      </c>
      <c r="J22" s="660">
        <f t="shared" si="21"/>
        <v>1112.294808632178</v>
      </c>
      <c r="K22" s="660">
        <f t="shared" si="21"/>
        <v>1268.0245667596744</v>
      </c>
      <c r="L22" s="660">
        <f t="shared" si="21"/>
        <v>1255.8964631450103</v>
      </c>
      <c r="M22" s="660">
        <f t="shared" si="21"/>
        <v>1256.666802979114</v>
      </c>
      <c r="N22" s="660">
        <f t="shared" si="21"/>
        <v>1168.719428738633</v>
      </c>
      <c r="O22" s="660">
        <f t="shared" si="21"/>
        <v>928.21150768903794</v>
      </c>
      <c r="P22" s="660">
        <f t="shared" si="21"/>
        <v>897.87152913255591</v>
      </c>
      <c r="Q22" s="660">
        <f t="shared" si="21"/>
        <v>1133.4229027083406</v>
      </c>
      <c r="R22" s="660">
        <f t="shared" ref="R22" si="22">SUBTOTAL(109,R6:R21)</f>
        <v>6588.5147126864658</v>
      </c>
      <c r="S22" s="660">
        <f t="shared" ref="S22" si="23">SUBTOTAL(109,S6:S21)</f>
        <v>6640.7886343926912</v>
      </c>
      <c r="T22" s="660">
        <f t="shared" ref="T22" si="24">SUBTOTAL(109,T6:T21)</f>
        <v>13229.303347079156</v>
      </c>
      <c r="U22" s="275"/>
    </row>
    <row r="23" spans="1:21" ht="18" customHeight="1" thickTop="1" thickBot="1">
      <c r="A23" s="1082"/>
      <c r="B23" s="1088"/>
      <c r="C23" s="661" t="s">
        <v>176</v>
      </c>
      <c r="D23" s="662"/>
      <c r="E23" s="663">
        <v>14.04</v>
      </c>
      <c r="F23" s="664">
        <f>F22</f>
        <v>1089.2356924415797</v>
      </c>
      <c r="G23" s="664">
        <f t="shared" ref="G23:Q23" si="25">G22</f>
        <v>1062.0952272759112</v>
      </c>
      <c r="H23" s="664">
        <f t="shared" si="25"/>
        <v>1024.9455938579854</v>
      </c>
      <c r="I23" s="664">
        <f t="shared" si="25"/>
        <v>1031.9188237191361</v>
      </c>
      <c r="J23" s="664">
        <f t="shared" si="25"/>
        <v>1112.294808632178</v>
      </c>
      <c r="K23" s="664">
        <f t="shared" si="25"/>
        <v>1268.0245667596744</v>
      </c>
      <c r="L23" s="664">
        <f t="shared" si="25"/>
        <v>1255.8964631450103</v>
      </c>
      <c r="M23" s="664">
        <f t="shared" si="25"/>
        <v>1256.666802979114</v>
      </c>
      <c r="N23" s="664">
        <f t="shared" si="25"/>
        <v>1168.719428738633</v>
      </c>
      <c r="O23" s="664">
        <f t="shared" si="25"/>
        <v>928.21150768903794</v>
      </c>
      <c r="P23" s="664">
        <f t="shared" si="25"/>
        <v>897.87152913255591</v>
      </c>
      <c r="Q23" s="664">
        <f t="shared" si="25"/>
        <v>1133.4229027083406</v>
      </c>
      <c r="R23" s="664">
        <v>6433.8419898092852</v>
      </c>
      <c r="S23" s="664">
        <v>0</v>
      </c>
      <c r="T23" s="664">
        <v>6433.8419898092852</v>
      </c>
      <c r="U23" s="531"/>
    </row>
    <row r="24" spans="1:21" ht="18" customHeight="1" thickTop="1">
      <c r="A24" s="1065" t="s">
        <v>89</v>
      </c>
      <c r="B24" s="665">
        <v>5130</v>
      </c>
      <c r="C24" s="73" t="s">
        <v>98</v>
      </c>
      <c r="D24" s="66"/>
      <c r="E24" s="908">
        <f>'[7]Falhas BLIND-PVC'!N23</f>
        <v>14.5</v>
      </c>
      <c r="F24" s="666">
        <f>$E24*'BLIND-PVC-PRE - Qty'!F23</f>
        <v>638.49929891102067</v>
      </c>
      <c r="G24" s="666">
        <f>$E24*'BLIND-PVC-PRE - Qty'!G23</f>
        <v>348.4205424079766</v>
      </c>
      <c r="H24" s="666">
        <f>$E24*'BLIND-PVC-PRE - Qty'!H23</f>
        <v>346.82171421046451</v>
      </c>
      <c r="I24" s="666">
        <f>$E24*'BLIND-PVC-PRE - Qty'!I23</f>
        <v>350.48880993283063</v>
      </c>
      <c r="J24" s="666">
        <f>$E24*'BLIND-PVC-PRE - Qty'!J23</f>
        <v>633.12819027406613</v>
      </c>
      <c r="K24" s="666">
        <f>$E24*'BLIND-PVC-PRE - Qty'!K23</f>
        <v>733.68018845657696</v>
      </c>
      <c r="L24" s="666">
        <f>$E24*'BLIND-PVC-PRE - Qty'!L23</f>
        <v>738.90344962725021</v>
      </c>
      <c r="M24" s="666">
        <f>$E24*'BLIND-PVC-PRE - Qty'!M23</f>
        <v>739.74935191131544</v>
      </c>
      <c r="N24" s="666">
        <f>$E24*'BLIND-PVC-PRE - Qty'!N23</f>
        <v>593.10320471890543</v>
      </c>
      <c r="O24" s="666">
        <f>$E24*'BLIND-PVC-PRE - Qty'!O23</f>
        <v>549.65591427422373</v>
      </c>
      <c r="P24" s="666">
        <f>$E24*'BLIND-PVC-PRE - Qty'!P23</f>
        <v>556.14420343489053</v>
      </c>
      <c r="Q24" s="666">
        <f>$E24*'BLIND-PVC-PRE - Qty'!Q23</f>
        <v>684.68333841982508</v>
      </c>
      <c r="R24" s="666">
        <v>4377.4665999999997</v>
      </c>
      <c r="S24" s="666">
        <v>0</v>
      </c>
      <c r="T24" s="666">
        <v>4377.4665999999997</v>
      </c>
    </row>
    <row r="25" spans="1:21" ht="18" customHeight="1">
      <c r="A25" s="1066"/>
      <c r="B25" s="667">
        <v>5140</v>
      </c>
      <c r="C25" s="43" t="s">
        <v>96</v>
      </c>
      <c r="D25" s="28"/>
      <c r="E25" s="669">
        <f>'[7]Falhas BLIND-PVC'!N24</f>
        <v>14.5</v>
      </c>
      <c r="F25" s="53">
        <f>$E25*'BLIND-PVC-PRE - Qty'!F24</f>
        <v>1694.0910140206981</v>
      </c>
      <c r="G25" s="53">
        <f>$E25*'BLIND-PVC-PRE - Qty'!G24</f>
        <v>1772.9785118565967</v>
      </c>
      <c r="H25" s="53">
        <f>$E25*'BLIND-PVC-PRE - Qty'!H24</f>
        <v>1706.2871107998455</v>
      </c>
      <c r="I25" s="53">
        <f>$E25*'BLIND-PVC-PRE - Qty'!I24</f>
        <v>1717.3183445439383</v>
      </c>
      <c r="J25" s="53">
        <f>$E25*'BLIND-PVC-PRE - Qty'!J24</f>
        <v>1738.2977062842256</v>
      </c>
      <c r="K25" s="53">
        <f>$E25*'BLIND-PVC-PRE - Qty'!K24</f>
        <v>1976.4124046806412</v>
      </c>
      <c r="L25" s="53">
        <f>$E25*'BLIND-PVC-PRE - Qty'!L24</f>
        <v>1952.1022737163535</v>
      </c>
      <c r="M25" s="53">
        <f>$E25*'BLIND-PVC-PRE - Qty'!M24</f>
        <v>1953.1262087875116</v>
      </c>
      <c r="N25" s="53">
        <f>$E25*'BLIND-PVC-PRE - Qty'!N24</f>
        <v>1858.3431869271501</v>
      </c>
      <c r="O25" s="53">
        <f>$E25*'BLIND-PVC-PRE - Qty'!O24</f>
        <v>1441.1994296808357</v>
      </c>
      <c r="P25" s="53">
        <f>$E25*'BLIND-PVC-PRE - Qty'!P24</f>
        <v>1383.2902010478604</v>
      </c>
      <c r="Q25" s="53">
        <f>$E25*'BLIND-PVC-PRE - Qty'!Q24</f>
        <v>1753.8570716522638</v>
      </c>
      <c r="R25" s="53">
        <v>9482.7402999999995</v>
      </c>
      <c r="S25" s="53">
        <v>0</v>
      </c>
      <c r="T25" s="53">
        <v>9482.7402999999995</v>
      </c>
    </row>
    <row r="26" spans="1:21" ht="18" customHeight="1">
      <c r="A26" s="1066"/>
      <c r="B26" s="667"/>
      <c r="C26" s="63"/>
      <c r="D26" s="60"/>
      <c r="E26" s="484"/>
      <c r="F26" s="668"/>
      <c r="G26" s="668"/>
      <c r="H26" s="668"/>
      <c r="I26" s="668"/>
      <c r="J26" s="668"/>
      <c r="K26" s="668"/>
      <c r="L26" s="668"/>
      <c r="M26" s="668"/>
      <c r="N26" s="668"/>
      <c r="O26" s="668"/>
      <c r="P26" s="668"/>
      <c r="Q26" s="668"/>
      <c r="R26" s="668">
        <v>0</v>
      </c>
      <c r="S26" s="668">
        <v>0</v>
      </c>
      <c r="T26" s="668">
        <v>0</v>
      </c>
    </row>
    <row r="27" spans="1:21" ht="18" customHeight="1" thickBot="1">
      <c r="A27" s="1066"/>
      <c r="B27" s="1087"/>
      <c r="C27" s="71" t="s">
        <v>1</v>
      </c>
      <c r="D27" s="72"/>
      <c r="E27" s="659">
        <v>1.4757206500000002</v>
      </c>
      <c r="F27" s="660">
        <f>SUBTOTAL(109,F24:F25)</f>
        <v>2332.5903129317189</v>
      </c>
      <c r="G27" s="660">
        <f t="shared" ref="G27:Q27" si="26">SUBTOTAL(109,G24:G25)</f>
        <v>2121.3990542645734</v>
      </c>
      <c r="H27" s="660">
        <f t="shared" si="26"/>
        <v>2053.1088250103103</v>
      </c>
      <c r="I27" s="660">
        <f t="shared" si="26"/>
        <v>2067.807154476769</v>
      </c>
      <c r="J27" s="660">
        <f t="shared" si="26"/>
        <v>2371.4258965582917</v>
      </c>
      <c r="K27" s="660">
        <f t="shared" si="26"/>
        <v>2710.092593137218</v>
      </c>
      <c r="L27" s="660">
        <f t="shared" si="26"/>
        <v>2691.0057233436037</v>
      </c>
      <c r="M27" s="660">
        <f t="shared" si="26"/>
        <v>2692.875560698827</v>
      </c>
      <c r="N27" s="660">
        <f t="shared" si="26"/>
        <v>2451.4463916460554</v>
      </c>
      <c r="O27" s="660">
        <f t="shared" si="26"/>
        <v>1990.8553439550594</v>
      </c>
      <c r="P27" s="660">
        <f t="shared" si="26"/>
        <v>1939.4344044827508</v>
      </c>
      <c r="Q27" s="660">
        <f t="shared" si="26"/>
        <v>2438.5404100720889</v>
      </c>
      <c r="R27" s="660">
        <v>59204.633299999987</v>
      </c>
      <c r="S27" s="660">
        <v>0</v>
      </c>
      <c r="T27" s="660">
        <v>59204.633299999987</v>
      </c>
    </row>
    <row r="28" spans="1:21" ht="18" customHeight="1" thickTop="1" thickBot="1">
      <c r="A28" s="1068"/>
      <c r="B28" s="1088"/>
      <c r="C28" s="661" t="s">
        <v>176</v>
      </c>
      <c r="D28" s="662"/>
      <c r="E28" s="663">
        <v>0.40350349000000002</v>
      </c>
      <c r="F28" s="664">
        <f>F27</f>
        <v>2332.5903129317189</v>
      </c>
      <c r="G28" s="664">
        <f t="shared" ref="G28:Q28" si="27">G27</f>
        <v>2121.3990542645734</v>
      </c>
      <c r="H28" s="664">
        <f t="shared" si="27"/>
        <v>2053.1088250103103</v>
      </c>
      <c r="I28" s="664">
        <f t="shared" si="27"/>
        <v>2067.807154476769</v>
      </c>
      <c r="J28" s="664">
        <f t="shared" si="27"/>
        <v>2371.4258965582917</v>
      </c>
      <c r="K28" s="664">
        <f t="shared" si="27"/>
        <v>2710.092593137218</v>
      </c>
      <c r="L28" s="664">
        <f t="shared" si="27"/>
        <v>2691.0057233436037</v>
      </c>
      <c r="M28" s="664">
        <f t="shared" si="27"/>
        <v>2692.875560698827</v>
      </c>
      <c r="N28" s="664">
        <f t="shared" si="27"/>
        <v>2451.4463916460554</v>
      </c>
      <c r="O28" s="664">
        <f t="shared" si="27"/>
        <v>1990.8553439550594</v>
      </c>
      <c r="P28" s="664">
        <f t="shared" si="27"/>
        <v>1939.4344044827508</v>
      </c>
      <c r="Q28" s="664">
        <f t="shared" si="27"/>
        <v>2438.5404100720889</v>
      </c>
      <c r="R28" s="664">
        <v>11301.998247605083</v>
      </c>
      <c r="S28" s="664">
        <v>0</v>
      </c>
      <c r="T28" s="664">
        <v>11301.998247605083</v>
      </c>
    </row>
    <row r="29" spans="1:21" ht="18" customHeight="1" thickTop="1">
      <c r="A29" s="1066" t="s">
        <v>100</v>
      </c>
      <c r="B29" s="65">
        <v>5170</v>
      </c>
      <c r="C29" s="73" t="s">
        <v>98</v>
      </c>
      <c r="D29" s="66"/>
      <c r="E29" s="650">
        <f>'[2]Falhas BLIND-PVC'!N27</f>
        <v>1.47657127</v>
      </c>
      <c r="F29" s="666">
        <f>$E29/1000*'BLIND-PVC-PRE - Qty'!F27</f>
        <v>174.84246672344887</v>
      </c>
      <c r="G29" s="666">
        <f>$E29/1000*'BLIND-PVC-PRE - Qty'!G27</f>
        <v>95.409199658686077</v>
      </c>
      <c r="H29" s="666">
        <f>$E29/1000*'BLIND-PVC-PRE - Qty'!H27</f>
        <v>94.971387015200364</v>
      </c>
      <c r="I29" s="666">
        <f>$E29/1000*'BLIND-PVC-PRE - Qty'!I27</f>
        <v>95.975560493390589</v>
      </c>
      <c r="J29" s="666">
        <f>$E29/1000*'BLIND-PVC-PRE - Qty'!J27</f>
        <v>173.37167750766366</v>
      </c>
      <c r="K29" s="666">
        <f>$E29/1000*'BLIND-PVC-PRE - Qty'!K27</f>
        <v>200.9061782129682</v>
      </c>
      <c r="L29" s="666">
        <f>$E29/1000*'BLIND-PVC-PRE - Qty'!L27</f>
        <v>202.33648184678404</v>
      </c>
      <c r="M29" s="666">
        <f>$E29/1000*'BLIND-PVC-PRE - Qty'!M27</f>
        <v>202.56811818875846</v>
      </c>
      <c r="N29" s="666">
        <f>$E29/1000*'BLIND-PVC-PRE - Qty'!N27</f>
        <v>162.41149757172622</v>
      </c>
      <c r="O29" s="666">
        <f>$E29/1000*'BLIND-PVC-PRE - Qty'!O27</f>
        <v>150.51417607622224</v>
      </c>
      <c r="P29" s="666">
        <f>$E29/1000*'BLIND-PVC-PRE - Qty'!P27</f>
        <v>152.29088669062827</v>
      </c>
      <c r="Q29" s="666">
        <f>$E29/1000*'BLIND-PVC-PRE - Qty'!Q27</f>
        <v>187.48920166073793</v>
      </c>
      <c r="R29" s="666">
        <v>1570.3763776808914</v>
      </c>
      <c r="S29" s="666">
        <v>0</v>
      </c>
      <c r="T29" s="666">
        <v>1570.3763776808914</v>
      </c>
    </row>
    <row r="30" spans="1:21" ht="18" customHeight="1">
      <c r="A30" s="1066"/>
      <c r="B30" s="65">
        <v>5180</v>
      </c>
      <c r="C30" s="43" t="s">
        <v>96</v>
      </c>
      <c r="D30" s="28"/>
      <c r="E30" s="652">
        <f>'[2]Falhas BLIND-PVC'!N28</f>
        <v>0.40350349000000002</v>
      </c>
      <c r="F30" s="53">
        <f>$E30/1000*'BLIND-PVC-PRE - Qty'!F28</f>
        <v>315.35037456280253</v>
      </c>
      <c r="G30" s="53">
        <f>$E30/1000*'BLIND-PVC-PRE - Qty'!G28</f>
        <v>330.03506492771413</v>
      </c>
      <c r="H30" s="53">
        <f>$E30/1000*'BLIND-PVC-PRE - Qty'!H28</f>
        <v>317.62064437456451</v>
      </c>
      <c r="I30" s="53">
        <f>$E30/1000*'BLIND-PVC-PRE - Qty'!I28</f>
        <v>319.67407814187618</v>
      </c>
      <c r="J30" s="53">
        <f>$E30/1000*'BLIND-PVC-PRE - Qty'!J28</f>
        <v>323.57932852578932</v>
      </c>
      <c r="K30" s="53">
        <f>$E30/1000*'BLIND-PVC-PRE - Qty'!K28</f>
        <v>367.90372355932612</v>
      </c>
      <c r="L30" s="53">
        <f>$E30/1000*'BLIND-PVC-PRE - Qty'!L28</f>
        <v>363.37845966157118</v>
      </c>
      <c r="M30" s="53">
        <f>$E30/1000*'BLIND-PVC-PRE - Qty'!M28</f>
        <v>363.56906235383826</v>
      </c>
      <c r="N30" s="53">
        <f>$E30/1000*'BLIND-PVC-PRE - Qty'!N28</f>
        <v>345.92546398841182</v>
      </c>
      <c r="O30" s="53">
        <f>$E30/1000*'BLIND-PVC-PRE - Qty'!O28</f>
        <v>268.27530292536932</v>
      </c>
      <c r="P30" s="53">
        <f>$E30/1000*'BLIND-PVC-PRE - Qty'!P28</f>
        <v>257.4956595715509</v>
      </c>
      <c r="Q30" s="53">
        <f>$E30/1000*'BLIND-PVC-PRE - Qty'!Q28</f>
        <v>326.47566151862253</v>
      </c>
      <c r="R30" s="53">
        <v>2164.4237943239436</v>
      </c>
      <c r="S30" s="53">
        <v>0</v>
      </c>
      <c r="T30" s="53">
        <v>2164.4237943239436</v>
      </c>
    </row>
    <row r="31" spans="1:21" ht="18" customHeight="1">
      <c r="A31" s="1066"/>
      <c r="B31" s="65">
        <v>5190</v>
      </c>
      <c r="C31" s="43" t="s">
        <v>119</v>
      </c>
      <c r="D31" s="28"/>
      <c r="E31" s="669">
        <f>'[2]Falhas BLIND-PVC'!N29</f>
        <v>0.52740282999999999</v>
      </c>
      <c r="F31" s="53">
        <f>$E31/1000*'BLIND-PVC-PRE - Qty'!F29</f>
        <v>324.93257075733891</v>
      </c>
      <c r="G31" s="53">
        <f>$E31/1000*'BLIND-PVC-PRE - Qty'!G29</f>
        <v>370.99965180481712</v>
      </c>
      <c r="H31" s="53">
        <f>$E31/1000*'BLIND-PVC-PRE - Qty'!H29</f>
        <v>336.03324481197052</v>
      </c>
      <c r="I31" s="53">
        <f>$E31/1000*'BLIND-PVC-PRE - Qty'!I29</f>
        <v>337.72281560936864</v>
      </c>
      <c r="J31" s="53">
        <f>$E31/1000*'BLIND-PVC-PRE - Qty'!J29</f>
        <v>364.59563991010805</v>
      </c>
      <c r="K31" s="53">
        <f>$E31/1000*'BLIND-PVC-PRE - Qty'!K29</f>
        <v>384.20562422648618</v>
      </c>
      <c r="L31" s="53">
        <f>$E31/1000*'BLIND-PVC-PRE - Qty'!L29</f>
        <v>374.87621651715205</v>
      </c>
      <c r="M31" s="53">
        <f>$E31/1000*'BLIND-PVC-PRE - Qty'!M29</f>
        <v>374.12634734663447</v>
      </c>
      <c r="N31" s="53">
        <f>$E31/1000*'BLIND-PVC-PRE - Qty'!N29</f>
        <v>373.68400666928818</v>
      </c>
      <c r="O31" s="53">
        <f>$E31/1000*'BLIND-PVC-PRE - Qty'!O29</f>
        <v>276.55889499580633</v>
      </c>
      <c r="P31" s="53">
        <f>$E31/1000*'BLIND-PVC-PRE - Qty'!P29</f>
        <v>288.85693401766531</v>
      </c>
      <c r="Q31" s="53">
        <f>$E31/1000*'BLIND-PVC-PRE - Qty'!Q29</f>
        <v>357.31622324802942</v>
      </c>
      <c r="R31" s="53">
        <v>2028.9184078430767</v>
      </c>
      <c r="S31" s="53">
        <v>0</v>
      </c>
      <c r="T31" s="53">
        <v>2028.9184078430767</v>
      </c>
    </row>
    <row r="32" spans="1:21" ht="18" customHeight="1" thickBot="1">
      <c r="A32" s="1067"/>
      <c r="B32" s="121"/>
      <c r="C32" s="122" t="s">
        <v>1</v>
      </c>
      <c r="D32" s="123"/>
      <c r="E32" s="123">
        <v>0</v>
      </c>
      <c r="F32" s="670">
        <f>SUBTOTAL(109,F29:F31)</f>
        <v>815.12541204359036</v>
      </c>
      <c r="G32" s="670">
        <f t="shared" ref="G32:R32" si="28">SUBTOTAL(109,G29:G31)</f>
        <v>796.44391639121727</v>
      </c>
      <c r="H32" s="670">
        <f t="shared" si="28"/>
        <v>748.62527620173546</v>
      </c>
      <c r="I32" s="670">
        <f t="shared" si="28"/>
        <v>753.37245424463549</v>
      </c>
      <c r="J32" s="670">
        <f t="shared" si="28"/>
        <v>861.54664594356109</v>
      </c>
      <c r="K32" s="670">
        <f t="shared" si="28"/>
        <v>953.0155259987805</v>
      </c>
      <c r="L32" s="670">
        <f t="shared" si="28"/>
        <v>940.59115802550718</v>
      </c>
      <c r="M32" s="670">
        <f t="shared" si="28"/>
        <v>940.26352788923123</v>
      </c>
      <c r="N32" s="670">
        <f t="shared" si="28"/>
        <v>882.02096822942622</v>
      </c>
      <c r="O32" s="670">
        <f t="shared" si="28"/>
        <v>695.34837399739786</v>
      </c>
      <c r="P32" s="670">
        <f t="shared" si="28"/>
        <v>698.64348027984443</v>
      </c>
      <c r="Q32" s="670">
        <f t="shared" si="28"/>
        <v>871.28108642738994</v>
      </c>
      <c r="R32" s="670">
        <f t="shared" si="28"/>
        <v>5763.7185798479113</v>
      </c>
      <c r="S32" s="670">
        <v>0</v>
      </c>
      <c r="T32" s="670">
        <v>5761.8554298479112</v>
      </c>
    </row>
    <row r="33" spans="2:20">
      <c r="C33" s="661" t="s">
        <v>176</v>
      </c>
      <c r="D33" s="662"/>
      <c r="E33" s="662"/>
      <c r="F33" s="664">
        <f>F32</f>
        <v>815.12541204359036</v>
      </c>
      <c r="G33" s="664">
        <f t="shared" ref="G33:Q33" si="29">G32</f>
        <v>796.44391639121727</v>
      </c>
      <c r="H33" s="664">
        <f t="shared" si="29"/>
        <v>748.62527620173546</v>
      </c>
      <c r="I33" s="664">
        <f t="shared" si="29"/>
        <v>753.37245424463549</v>
      </c>
      <c r="J33" s="664">
        <f t="shared" si="29"/>
        <v>861.54664594356109</v>
      </c>
      <c r="K33" s="664">
        <f t="shared" si="29"/>
        <v>953.0155259987805</v>
      </c>
      <c r="L33" s="664">
        <f t="shared" si="29"/>
        <v>940.59115802550718</v>
      </c>
      <c r="M33" s="664">
        <f t="shared" si="29"/>
        <v>940.26352788923123</v>
      </c>
      <c r="N33" s="664">
        <f t="shared" si="29"/>
        <v>882.02096822942622</v>
      </c>
      <c r="O33" s="664">
        <f t="shared" si="29"/>
        <v>695.34837399739786</v>
      </c>
      <c r="P33" s="664">
        <f t="shared" si="29"/>
        <v>698.64348027984443</v>
      </c>
      <c r="Q33" s="664">
        <f t="shared" si="29"/>
        <v>871.28108642738994</v>
      </c>
      <c r="R33" s="664">
        <v>4432.9510327550606</v>
      </c>
      <c r="S33" s="664">
        <v>0</v>
      </c>
      <c r="T33" s="664">
        <v>4432.9510327550606</v>
      </c>
    </row>
    <row r="35" spans="2:20">
      <c r="C35" s="536" t="s">
        <v>292</v>
      </c>
      <c r="D35" s="605"/>
      <c r="E35" s="681"/>
      <c r="F35" s="681"/>
      <c r="G35" s="681"/>
      <c r="H35" s="681"/>
      <c r="I35" s="681"/>
      <c r="J35" s="681"/>
      <c r="K35" s="681"/>
      <c r="L35" s="681"/>
      <c r="M35" s="681"/>
      <c r="N35" s="681"/>
      <c r="O35" s="681"/>
      <c r="P35" s="681"/>
      <c r="Q35" s="681"/>
    </row>
    <row r="36" spans="2:20">
      <c r="B36" s="1" t="s">
        <v>65</v>
      </c>
      <c r="C36" s="1089" t="s">
        <v>98</v>
      </c>
      <c r="D36" s="184" t="s">
        <v>134</v>
      </c>
      <c r="E36" s="184"/>
      <c r="F36" s="537">
        <f>'BLIND-PVC-PRE - Qty'!F33*'[34]Falhas BLIND-PVC'!$N6/1000</f>
        <v>49689.091847640819</v>
      </c>
      <c r="G36" s="537">
        <f>'BLIND-PVC-PRE - Qty'!G33*'[35]Falhas BLIND-PVC'!$N6/1000</f>
        <v>28099.673819118754</v>
      </c>
      <c r="H36" s="537">
        <f>'BLIND-PVC-PRE - Qty'!H33*'[8]Falhas BLIND-PVC'!$N6/1000</f>
        <v>27970.730357483557</v>
      </c>
      <c r="I36" s="537">
        <f>'BLIND-PVC-PRE - Qty'!I33*'[9]Falhas BLIND-PVC'!$N6/1000</f>
        <v>29365.435661945885</v>
      </c>
      <c r="J36" s="537">
        <f>'BLIND-PVC-PRE - Qty'!J33*'[10]Falhas BLIND-PVC'!$N6/1000</f>
        <v>53046.158993836056</v>
      </c>
      <c r="K36" s="537">
        <f>'BLIND-PVC-PRE - Qty'!K33*'[11]Falhas BLIND-PVC'!$N6/1000</f>
        <v>72256.500938804194</v>
      </c>
      <c r="L36" s="537">
        <f>'BLIND-PVC-PRE - Qty'!L33*'[12]Falhas BLIND-PVC'!$N6/1000</f>
        <v>72770.913869152413</v>
      </c>
      <c r="M36" s="537">
        <f>'BLIND-PVC-PRE - Qty'!M33*'[13]Falhas BLIND-PVC'!$N6/1000</f>
        <v>83843.229528632859</v>
      </c>
      <c r="N36" s="537">
        <f>'BLIND-PVC-PRE - Qty'!N33*'[2]Falhas BLIND-PVC'!$N6/1000</f>
        <v>67222.347676184902</v>
      </c>
      <c r="O36" s="537">
        <f>'BLIND-PVC-PRE - Qty'!O33*'[2]Falhas BLIND-PVC'!$N6/1000</f>
        <v>62298.029546349848</v>
      </c>
      <c r="P36" s="537">
        <f>'BLIND-PVC-PRE - Qty'!P33*'[2]Falhas BLIND-PVC'!$N6/1000</f>
        <v>63033.412572966066</v>
      </c>
      <c r="Q36" s="537">
        <f>'BLIND-PVC-PRE - Qty'!Q33*'[2]Falhas BLIND-PVC'!$N6/1000</f>
        <v>77602.044732100141</v>
      </c>
    </row>
    <row r="37" spans="2:20">
      <c r="C37" s="1090"/>
      <c r="D37" s="184" t="s">
        <v>135</v>
      </c>
      <c r="E37" s="184"/>
      <c r="F37" s="537">
        <f>'BLIND-PVC-PRE - Qty'!F34*'[34]Falhas BLIND-PVC'!$N7/1000</f>
        <v>48477.162778186168</v>
      </c>
      <c r="G37" s="537">
        <f>'BLIND-PVC-PRE - Qty'!G34*'[35]Falhas BLIND-PVC'!$N7/1000</f>
        <v>27414.315921091467</v>
      </c>
      <c r="H37" s="537">
        <f>'BLIND-PVC-PRE - Qty'!H34*'[8]Falhas BLIND-PVC'!$N7/1000</f>
        <v>27288.517421935176</v>
      </c>
      <c r="I37" s="537">
        <f>'BLIND-PVC-PRE - Qty'!I34*'[9]Falhas BLIND-PVC'!$N7/1000</f>
        <v>28649.205523849647</v>
      </c>
      <c r="J37" s="537">
        <f>'BLIND-PVC-PRE - Qty'!J34*'[10]Falhas BLIND-PVC'!$N7/1000</f>
        <v>51752.350237888837</v>
      </c>
      <c r="K37" s="537">
        <f>'BLIND-PVC-PRE - Qty'!K34*'[11]Falhas BLIND-PVC'!$N7/1000</f>
        <v>70494.147257369958</v>
      </c>
      <c r="L37" s="537">
        <f>'BLIND-PVC-PRE - Qty'!L34*'[12]Falhas BLIND-PVC'!$N7/1000</f>
        <v>70996.013530880387</v>
      </c>
      <c r="M37" s="537">
        <f>'BLIND-PVC-PRE - Qty'!M34*'[13]Falhas BLIND-PVC'!$N7/1000</f>
        <v>81798.272710861318</v>
      </c>
      <c r="N37" s="537">
        <f>'BLIND-PVC-PRE - Qty'!N34*'[2]Falhas BLIND-PVC'!$N7/1000</f>
        <v>65582.778220668202</v>
      </c>
      <c r="O37" s="537">
        <f>'BLIND-PVC-PRE - Qty'!O34*'[2]Falhas BLIND-PVC'!$N7/1000</f>
        <v>60778.565411073017</v>
      </c>
      <c r="P37" s="537">
        <f>'BLIND-PVC-PRE - Qty'!P34*'[2]Falhas BLIND-PVC'!$N7/1000</f>
        <v>61496.01226630836</v>
      </c>
      <c r="Q37" s="537">
        <f>'BLIND-PVC-PRE - Qty'!Q34*'[2]Falhas BLIND-PVC'!$N7/1000</f>
        <v>75709.311933756238</v>
      </c>
      <c r="R37" s="275"/>
    </row>
    <row r="38" spans="2:20">
      <c r="C38" s="1090"/>
      <c r="D38" s="184" t="s">
        <v>136</v>
      </c>
      <c r="E38" s="184"/>
      <c r="F38" s="537">
        <f>'BLIND-PVC-PRE - Qty'!F35*'[34]Falhas BLIND-PVC'!$N8/1000</f>
        <v>75139.60230618855</v>
      </c>
      <c r="G38" s="537">
        <f>'BLIND-PVC-PRE - Qty'!G35*'[35]Falhas BLIND-PVC'!$N8/1000</f>
        <v>42492.189677691778</v>
      </c>
      <c r="H38" s="537">
        <f>'BLIND-PVC-PRE - Qty'!H35*'[8]Falhas BLIND-PVC'!$N8/1000</f>
        <v>42297.202003999526</v>
      </c>
      <c r="I38" s="537">
        <f>'BLIND-PVC-PRE - Qty'!I35*'[9]Falhas BLIND-PVC'!$N8/1000</f>
        <v>44406.26856196695</v>
      </c>
      <c r="J38" s="537">
        <f>'BLIND-PVC-PRE - Qty'!J35*'[10]Falhas BLIND-PVC'!$N8/1000</f>
        <v>80216.142868727693</v>
      </c>
      <c r="K38" s="537">
        <f>'BLIND-PVC-PRE - Qty'!K35*'[11]Falhas BLIND-PVC'!$N8/1000</f>
        <v>109265.92824892342</v>
      </c>
      <c r="L38" s="537">
        <f>'BLIND-PVC-PRE - Qty'!L35*'[12]Falhas BLIND-PVC'!$N8/1000</f>
        <v>110043.82097286462</v>
      </c>
      <c r="M38" s="537">
        <f>'BLIND-PVC-PRE - Qty'!M35*'[13]Falhas BLIND-PVC'!$N8/1000</f>
        <v>126787.32270183504</v>
      </c>
      <c r="N38" s="537">
        <f>'BLIND-PVC-PRE - Qty'!N35*'[2]Falhas BLIND-PVC'!$N8/1000</f>
        <v>101653.30624203572</v>
      </c>
      <c r="O38" s="537">
        <f>'BLIND-PVC-PRE - Qty'!O35*'[2]Falhas BLIND-PVC'!$N8/1000</f>
        <v>94206.776387163161</v>
      </c>
      <c r="P38" s="537">
        <f>'BLIND-PVC-PRE - Qty'!P35*'[2]Falhas BLIND-PVC'!$N8/1000</f>
        <v>95318.819012777953</v>
      </c>
      <c r="Q38" s="537">
        <f>'BLIND-PVC-PRE - Qty'!Q35*'[2]Falhas BLIND-PVC'!$N8/1000</f>
        <v>117349.43349732216</v>
      </c>
      <c r="R38" s="275"/>
    </row>
    <row r="39" spans="2:20">
      <c r="C39" s="1091"/>
      <c r="D39" s="184" t="s">
        <v>204</v>
      </c>
      <c r="E39" s="184"/>
      <c r="F39" s="537">
        <f>'BLIND-PVC-PRE - Qty'!F36*'[34]Falhas BLIND-PVC'!$N9/1000</f>
        <v>177113.44305419034</v>
      </c>
      <c r="G39" s="537">
        <f>'BLIND-PVC-PRE - Qty'!G36*'[35]Falhas BLIND-PVC'!$N9/1000</f>
        <v>100159.40710013415</v>
      </c>
      <c r="H39" s="537">
        <f>'BLIND-PVC-PRE - Qty'!H36*'[8]Falhas BLIND-PVC'!$N9/1000</f>
        <v>99699.796759104749</v>
      </c>
      <c r="I39" s="537">
        <f>'BLIND-PVC-PRE - Qty'!I36*'[9]Falhas BLIND-PVC'!$N9/1000</f>
        <v>104671.13049321069</v>
      </c>
      <c r="J39" s="537">
        <f>'BLIND-PVC-PRE - Qty'!J36*'[10]Falhas BLIND-PVC'!$N9/1000</f>
        <v>189079.48426600965</v>
      </c>
      <c r="K39" s="537">
        <f>'BLIND-PVC-PRE - Qty'!K36*'[11]Falhas BLIND-PVC'!$N9/1000</f>
        <v>257553.46271090215</v>
      </c>
      <c r="L39" s="537">
        <f>'BLIND-PVC-PRE - Qty'!L36*'[12]Falhas BLIND-PVC'!$N9/1000</f>
        <v>259387.05318031405</v>
      </c>
      <c r="M39" s="537">
        <f>'BLIND-PVC-PRE - Qty'!M36*'[13]Falhas BLIND-PVC'!$N9/1000</f>
        <v>298853.58146878623</v>
      </c>
      <c r="N39" s="537">
        <f>'BLIND-PVC-PRE - Qty'!N36*'[2]Falhas BLIND-PVC'!$N9/1000</f>
        <v>239609.56025563274</v>
      </c>
      <c r="O39" s="537">
        <f>'BLIND-PVC-PRE - Qty'!O36*'[2]Falhas BLIND-PVC'!$N9/1000</f>
        <v>222057.15778179545</v>
      </c>
      <c r="P39" s="537">
        <f>'BLIND-PVC-PRE - Qty'!P36*'[2]Falhas BLIND-PVC'!$N9/1000</f>
        <v>224678.38137362475</v>
      </c>
      <c r="Q39" s="537">
        <f>'BLIND-PVC-PRE - Qty'!Q36*'[2]Falhas BLIND-PVC'!$N9/1000</f>
        <v>276607.29587675323</v>
      </c>
      <c r="R39" s="275"/>
    </row>
    <row r="40" spans="2:20">
      <c r="C40" s="1063" t="s">
        <v>137</v>
      </c>
      <c r="D40" s="536" t="s">
        <v>134</v>
      </c>
      <c r="E40" s="184"/>
      <c r="F40" s="675">
        <f>'BLIND-PVC-PRE - Qty'!F37*'[34]Falhas BLIND-PVC'!$N11/1000</f>
        <v>88282.808230947907</v>
      </c>
      <c r="G40" s="675">
        <f>'BLIND-PVC-PRE - Qty'!G37*'[35]Falhas BLIND-PVC'!$N11/1000</f>
        <v>97101.369628593297</v>
      </c>
      <c r="H40" s="675">
        <f>'BLIND-PVC-PRE - Qty'!H37*'[8]Falhas BLIND-PVC'!$N11/1000</f>
        <v>95381.732775733617</v>
      </c>
      <c r="I40" s="675">
        <f>'BLIND-PVC-PRE - Qty'!I37*'[9]Falhas BLIND-PVC'!$N11/1000</f>
        <v>110468.19205783708</v>
      </c>
      <c r="J40" s="675">
        <f>'BLIND-PVC-PRE - Qty'!J37*'[10]Falhas BLIND-PVC'!$N11/1000</f>
        <v>114032.96185685447</v>
      </c>
      <c r="K40" s="675">
        <f>'BLIND-PVC-PRE - Qty'!K37*'[11]Falhas BLIND-PVC'!$N11/1000</f>
        <v>136930.40161966576</v>
      </c>
      <c r="L40" s="675">
        <f>'BLIND-PVC-PRE - Qty'!L37*'[12]Falhas BLIND-PVC'!$N11/1000</f>
        <v>141189.30277542118</v>
      </c>
      <c r="M40" s="675">
        <f>'BLIND-PVC-PRE - Qty'!M37*'[13]Falhas BLIND-PVC'!$N11/1000</f>
        <v>150529.00461637246</v>
      </c>
      <c r="N40" s="675">
        <f>'BLIND-PVC-PRE - Qty'!N37*'[2]Falhas BLIND-PVC'!$N11/1000</f>
        <v>144145.007737812</v>
      </c>
      <c r="O40" s="675">
        <f>'BLIND-PVC-PRE - Qty'!O37*'[2]Falhas BLIND-PVC'!$N11/1000</f>
        <v>111788.66444286003</v>
      </c>
      <c r="P40" s="675">
        <f>'BLIND-PVC-PRE - Qty'!P37*'[2]Falhas BLIND-PVC'!$N11/1000</f>
        <v>107296.85352864797</v>
      </c>
      <c r="Q40" s="675">
        <f>'BLIND-PVC-PRE - Qty'!Q37*'[2]Falhas BLIND-PVC'!$N11/1000</f>
        <v>136040.39498342801</v>
      </c>
      <c r="R40" s="275"/>
    </row>
    <row r="41" spans="2:20">
      <c r="C41" s="1064"/>
      <c r="D41" s="536" t="s">
        <v>135</v>
      </c>
      <c r="E41" s="184"/>
      <c r="F41" s="675">
        <f>'BLIND-PVC-PRE - Qty'!F38*'[34]Falhas BLIND-PVC'!$N12/1000</f>
        <v>105939.36987713751</v>
      </c>
      <c r="G41" s="675">
        <f>'BLIND-PVC-PRE - Qty'!G38*'[35]Falhas BLIND-PVC'!$N12/1000</f>
        <v>116521.64355431196</v>
      </c>
      <c r="H41" s="675">
        <f>'BLIND-PVC-PRE - Qty'!H38*'[8]Falhas BLIND-PVC'!$N12/1000</f>
        <v>114458.07933088033</v>
      </c>
      <c r="I41" s="675">
        <f>'BLIND-PVC-PRE - Qty'!I38*'[9]Falhas BLIND-PVC'!$N12/1000</f>
        <v>132561.83046940449</v>
      </c>
      <c r="J41" s="675">
        <f>'BLIND-PVC-PRE - Qty'!J38*'[10]Falhas BLIND-PVC'!$N12/1000</f>
        <v>136839.55422822537</v>
      </c>
      <c r="K41" s="675">
        <f>'BLIND-PVC-PRE - Qty'!K38*'[11]Falhas BLIND-PVC'!$N12/1000</f>
        <v>164316.48194359892</v>
      </c>
      <c r="L41" s="675">
        <f>'BLIND-PVC-PRE - Qty'!L38*'[12]Falhas BLIND-PVC'!$N12/1000</f>
        <v>169427.16333050537</v>
      </c>
      <c r="M41" s="675">
        <f>'BLIND-PVC-PRE - Qty'!M38*'[13]Falhas BLIND-PVC'!$N12/1000</f>
        <v>180634.80553964691</v>
      </c>
      <c r="N41" s="675">
        <f>'BLIND-PVC-PRE - Qty'!N38*'[2]Falhas BLIND-PVC'!$N12/1000</f>
        <v>172974.0092853744</v>
      </c>
      <c r="O41" s="675">
        <f>'BLIND-PVC-PRE - Qty'!O38*'[2]Falhas BLIND-PVC'!$N12/1000</f>
        <v>134146.397331432</v>
      </c>
      <c r="P41" s="675">
        <f>'BLIND-PVC-PRE - Qty'!P38*'[2]Falhas BLIND-PVC'!$N12/1000</f>
        <v>128756.22423437756</v>
      </c>
      <c r="Q41" s="675">
        <f>'BLIND-PVC-PRE - Qty'!Q38*'[2]Falhas BLIND-PVC'!$N12/1000</f>
        <v>163248.4739801136</v>
      </c>
      <c r="R41" s="275"/>
    </row>
    <row r="42" spans="2:20">
      <c r="C42" s="1064"/>
      <c r="D42" s="536" t="s">
        <v>136</v>
      </c>
      <c r="E42" s="184"/>
      <c r="F42" s="675">
        <f>'BLIND-PVC-PRE - Qty'!F39*'[34]Falhas BLIND-PVC'!$N13/1000</f>
        <v>93579.776724804789</v>
      </c>
      <c r="G42" s="675">
        <f>'BLIND-PVC-PRE - Qty'!G39*'[35]Falhas BLIND-PVC'!$N13/1000</f>
        <v>102927.45180630889</v>
      </c>
      <c r="H42" s="675">
        <f>'BLIND-PVC-PRE - Qty'!H39*'[8]Falhas BLIND-PVC'!$N13/1000</f>
        <v>101104.63674227764</v>
      </c>
      <c r="I42" s="675">
        <f>'BLIND-PVC-PRE - Qty'!I39*'[9]Falhas BLIND-PVC'!$N13/1000</f>
        <v>117096.2835813073</v>
      </c>
      <c r="J42" s="675">
        <f>'BLIND-PVC-PRE - Qty'!J39*'[10]Falhas BLIND-PVC'!$N13/1000</f>
        <v>120874.93956826573</v>
      </c>
      <c r="K42" s="675">
        <f>'BLIND-PVC-PRE - Qty'!K39*'[11]Falhas BLIND-PVC'!$N13/1000</f>
        <v>145146.22571684571</v>
      </c>
      <c r="L42" s="675">
        <f>'BLIND-PVC-PRE - Qty'!L39*'[12]Falhas BLIND-PVC'!$N13/1000</f>
        <v>149660.66094194641</v>
      </c>
      <c r="M42" s="675">
        <f>'BLIND-PVC-PRE - Qty'!M39*'[13]Falhas BLIND-PVC'!$N13/1000</f>
        <v>159560.7448933548</v>
      </c>
      <c r="N42" s="675">
        <f>'BLIND-PVC-PRE - Qty'!N39*'[2]Falhas BLIND-PVC'!$N13/1000</f>
        <v>152793.70820208071</v>
      </c>
      <c r="O42" s="675">
        <f>'BLIND-PVC-PRE - Qty'!O39*'[2]Falhas BLIND-PVC'!$N13/1000</f>
        <v>118495.98430943162</v>
      </c>
      <c r="P42" s="675">
        <f>'BLIND-PVC-PRE - Qty'!P39*'[2]Falhas BLIND-PVC'!$N13/1000</f>
        <v>113734.66474036686</v>
      </c>
      <c r="Q42" s="675">
        <f>'BLIND-PVC-PRE - Qty'!Q39*'[2]Falhas BLIND-PVC'!$N13/1000</f>
        <v>144202.81868243366</v>
      </c>
      <c r="R42" s="275"/>
    </row>
    <row r="43" spans="2:20">
      <c r="C43" s="1064"/>
      <c r="D43" s="536" t="s">
        <v>138</v>
      </c>
      <c r="E43" s="184"/>
      <c r="F43" s="675">
        <f>'BLIND-PVC-PRE - Qty'!F40*'[34]Falhas BLIND-PVC'!$N14/1000</f>
        <v>109470.68220637542</v>
      </c>
      <c r="G43" s="675">
        <f>'BLIND-PVC-PRE - Qty'!G40*'[35]Falhas BLIND-PVC'!$N14/1000</f>
        <v>120405.69833945569</v>
      </c>
      <c r="H43" s="675">
        <f>'BLIND-PVC-PRE - Qty'!H40*'[8]Falhas BLIND-PVC'!$N14/1000</f>
        <v>118273.34864190967</v>
      </c>
      <c r="I43" s="675">
        <f>'BLIND-PVC-PRE - Qty'!I40*'[9]Falhas BLIND-PVC'!$N14/1000</f>
        <v>136980.55815171797</v>
      </c>
      <c r="J43" s="675">
        <f>'BLIND-PVC-PRE - Qty'!J40*'[10]Falhas BLIND-PVC'!$N14/1000</f>
        <v>141400.87270249953</v>
      </c>
      <c r="K43" s="675">
        <f>'BLIND-PVC-PRE - Qty'!K40*'[11]Falhas BLIND-PVC'!$N14/1000</f>
        <v>169793.69800838555</v>
      </c>
      <c r="L43" s="675">
        <f>'BLIND-PVC-PRE - Qty'!L40*'[12]Falhas BLIND-PVC'!$N14/1000</f>
        <v>175074.73544152224</v>
      </c>
      <c r="M43" s="675">
        <f>'BLIND-PVC-PRE - Qty'!M40*'[13]Falhas BLIND-PVC'!$N14/1000</f>
        <v>186655.96572430184</v>
      </c>
      <c r="N43" s="675">
        <f>'BLIND-PVC-PRE - Qty'!N40*'[2]Falhas BLIND-PVC'!$N14/1000</f>
        <v>178739.80959488687</v>
      </c>
      <c r="O43" s="675">
        <f>'BLIND-PVC-PRE - Qty'!O40*'[2]Falhas BLIND-PVC'!$N14/1000</f>
        <v>138617.94390914642</v>
      </c>
      <c r="P43" s="675">
        <f>'BLIND-PVC-PRE - Qty'!P40*'[2]Falhas BLIND-PVC'!$N14/1000</f>
        <v>133048.09837552349</v>
      </c>
      <c r="Q43" s="675">
        <f>'BLIND-PVC-PRE - Qty'!Q40*'[2]Falhas BLIND-PVC'!$N14/1000</f>
        <v>168690.0897794507</v>
      </c>
      <c r="R43" s="275"/>
    </row>
    <row r="44" spans="2:20">
      <c r="C44" s="1064"/>
      <c r="D44" s="536" t="s">
        <v>139</v>
      </c>
      <c r="E44" s="184"/>
      <c r="F44" s="675">
        <f>'BLIND-PVC-PRE - Qty'!F41*'[34]Falhas BLIND-PVC'!$N15/1000</f>
        <v>176565.61646189581</v>
      </c>
      <c r="G44" s="675">
        <f>'BLIND-PVC-PRE - Qty'!G41*'[35]Falhas BLIND-PVC'!$N15/1000</f>
        <v>194202.73925718659</v>
      </c>
      <c r="H44" s="675">
        <f>'BLIND-PVC-PRE - Qty'!H41*'[8]Falhas BLIND-PVC'!$N15/1000</f>
        <v>190763.46555146723</v>
      </c>
      <c r="I44" s="675">
        <f>'BLIND-PVC-PRE - Qty'!I41*'[9]Falhas BLIND-PVC'!$N15/1000</f>
        <v>220936.38411567415</v>
      </c>
      <c r="J44" s="675">
        <f>'BLIND-PVC-PRE - Qty'!J41*'[10]Falhas BLIND-PVC'!$N15/1000</f>
        <v>228065.92371370894</v>
      </c>
      <c r="K44" s="675">
        <f>'BLIND-PVC-PRE - Qty'!K41*'[11]Falhas BLIND-PVC'!$N15/1000</f>
        <v>273860.80323933152</v>
      </c>
      <c r="L44" s="675">
        <f>'BLIND-PVC-PRE - Qty'!L41*'[12]Falhas BLIND-PVC'!$N15/1000</f>
        <v>282378.60555084236</v>
      </c>
      <c r="M44" s="675">
        <f>'BLIND-PVC-PRE - Qty'!M41*'[13]Falhas BLIND-PVC'!$N15/1000</f>
        <v>301058.00923274492</v>
      </c>
      <c r="N44" s="675">
        <f>'BLIND-PVC-PRE - Qty'!N41*'[2]Falhas BLIND-PVC'!$N15/1000</f>
        <v>288290.01547562401</v>
      </c>
      <c r="O44" s="675">
        <f>'BLIND-PVC-PRE - Qty'!O41*'[2]Falhas BLIND-PVC'!$N15/1000</f>
        <v>223577.32888572005</v>
      </c>
      <c r="P44" s="675">
        <f>'BLIND-PVC-PRE - Qty'!P41*'[2]Falhas BLIND-PVC'!$N15/1000</f>
        <v>214593.70705729595</v>
      </c>
      <c r="Q44" s="675">
        <f>'BLIND-PVC-PRE - Qty'!Q41*'[2]Falhas BLIND-PVC'!$N15/1000</f>
        <v>272080.78996685601</v>
      </c>
      <c r="R44" s="275"/>
    </row>
    <row r="45" spans="2:20">
      <c r="C45" s="1064"/>
      <c r="D45" s="676" t="s">
        <v>83</v>
      </c>
      <c r="E45" s="184"/>
      <c r="F45" s="677">
        <f>SUBTOTAL(109,F40:F44)</f>
        <v>573838.25350116147</v>
      </c>
      <c r="G45" s="677">
        <f t="shared" ref="G45:M45" si="30">SUBTOTAL(109,G40:G44)</f>
        <v>631158.90258585638</v>
      </c>
      <c r="H45" s="677">
        <f t="shared" si="30"/>
        <v>619981.26304226846</v>
      </c>
      <c r="I45" s="677">
        <f t="shared" si="30"/>
        <v>718043.24837594107</v>
      </c>
      <c r="J45" s="677">
        <f t="shared" si="30"/>
        <v>741214.25206955406</v>
      </c>
      <c r="K45" s="677">
        <f t="shared" si="30"/>
        <v>890047.6105278274</v>
      </c>
      <c r="L45" s="677">
        <f t="shared" si="30"/>
        <v>917730.46804023755</v>
      </c>
      <c r="M45" s="677">
        <f t="shared" si="30"/>
        <v>978438.53000642103</v>
      </c>
      <c r="N45" s="677">
        <f t="shared" ref="N45:Q45" si="31">SUBTOTAL(109,N40:N44)</f>
        <v>936942.55029577797</v>
      </c>
      <c r="O45" s="677">
        <f t="shared" si="31"/>
        <v>726626.31887859013</v>
      </c>
      <c r="P45" s="677">
        <f t="shared" si="31"/>
        <v>697429.54793621181</v>
      </c>
      <c r="Q45" s="677">
        <f t="shared" si="31"/>
        <v>884262.56739228196</v>
      </c>
      <c r="R45" s="275"/>
    </row>
    <row r="46" spans="2:20">
      <c r="C46" s="1063" t="s">
        <v>140</v>
      </c>
      <c r="D46" s="536" t="s">
        <v>134</v>
      </c>
      <c r="E46" s="184"/>
      <c r="F46" s="675">
        <f>'BLIND-PVC-PRE - Qty'!F43*'[34]Falhas BLIND-PVC'!$N$17/1000</f>
        <v>143459.56337529037</v>
      </c>
      <c r="G46" s="675">
        <f>'BLIND-PVC-PRE - Qty'!G43*'[35]Falhas BLIND-PVC'!$N$17/1000</f>
        <v>157789.7256464641</v>
      </c>
      <c r="H46" s="675">
        <f>'BLIND-PVC-PRE - Qty'!H43*'[8]Falhas BLIND-PVC'!$N$17/1000</f>
        <v>154995.31576056711</v>
      </c>
      <c r="I46" s="675">
        <f>'BLIND-PVC-PRE - Qty'!I43*'[9]Falhas BLIND-PVC'!$N$17/1000</f>
        <v>179510.81209398524</v>
      </c>
      <c r="J46" s="675">
        <f>'BLIND-PVC-PRE - Qty'!J43*'[10]Falhas BLIND-PVC'!$N$17/1000</f>
        <v>185303.56301738854</v>
      </c>
      <c r="K46" s="675">
        <f>'BLIND-PVC-PRE - Qty'!K43*'[11]Falhas BLIND-PVC'!$N$17/1000</f>
        <v>222511.90263195688</v>
      </c>
      <c r="L46" s="675">
        <f>'BLIND-PVC-PRE - Qty'!L43*'[12]Falhas BLIND-PVC'!$N$17/1000</f>
        <v>229432.61701005942</v>
      </c>
      <c r="M46" s="675">
        <f>'BLIND-PVC-PRE - Qty'!M43*'[13]Falhas BLIND-PVC'!$N$17/1000</f>
        <v>244609.63250160517</v>
      </c>
      <c r="N46" s="675">
        <f>'BLIND-PVC-PRE - Qty'!N43*'[2]Falhas BLIND-PVC'!$N$17/1000</f>
        <v>234235.63757394449</v>
      </c>
      <c r="O46" s="675">
        <f>'BLIND-PVC-PRE - Qty'!O43*'[2]Falhas BLIND-PVC'!$N$17/1000</f>
        <v>181656.57971964756</v>
      </c>
      <c r="P46" s="675">
        <f>'BLIND-PVC-PRE - Qty'!P43*'[2]Falhas BLIND-PVC'!$N$17/1000</f>
        <v>174357.38698405295</v>
      </c>
      <c r="Q46" s="675">
        <f>'BLIND-PVC-PRE - Qty'!Q43*'[2]Falhas BLIND-PVC'!$N$17/1000</f>
        <v>221065.64184807043</v>
      </c>
      <c r="R46" s="275"/>
    </row>
    <row r="47" spans="2:20">
      <c r="C47" s="1064"/>
      <c r="D47" s="536" t="s">
        <v>135</v>
      </c>
      <c r="E47" s="184"/>
      <c r="F47" s="675">
        <f>'BLIND-PVC-PRE - Qty'!F44*'[34]Falhas BLIND-PVC'!$N$17/1000</f>
        <v>143459.56337529037</v>
      </c>
      <c r="G47" s="675">
        <f>'BLIND-PVC-PRE - Qty'!G44*'[35]Falhas BLIND-PVC'!$N$17/1000</f>
        <v>157789.7256464641</v>
      </c>
      <c r="H47" s="675">
        <f>'BLIND-PVC-PRE - Qty'!H44*'[8]Falhas BLIND-PVC'!$N$17/1000</f>
        <v>154995.31576056711</v>
      </c>
      <c r="I47" s="675">
        <f>'BLIND-PVC-PRE - Qty'!I44*'[9]Falhas BLIND-PVC'!$N$17/1000</f>
        <v>179510.81209398524</v>
      </c>
      <c r="J47" s="675">
        <f>'BLIND-PVC-PRE - Qty'!J44*'[10]Falhas BLIND-PVC'!$N$17/1000</f>
        <v>185303.56301738854</v>
      </c>
      <c r="K47" s="675">
        <f>'BLIND-PVC-PRE - Qty'!K44*'[11]Falhas BLIND-PVC'!$N$17/1000</f>
        <v>222511.90263195688</v>
      </c>
      <c r="L47" s="675">
        <f>'BLIND-PVC-PRE - Qty'!L44*'[12]Falhas BLIND-PVC'!$N$17/1000</f>
        <v>229432.61701005942</v>
      </c>
      <c r="M47" s="675">
        <f>'BLIND-PVC-PRE - Qty'!M44*'[13]Falhas BLIND-PVC'!$N$17/1000</f>
        <v>244609.63250160517</v>
      </c>
      <c r="N47" s="675">
        <f>'BLIND-PVC-PRE - Qty'!N44*'[2]Falhas BLIND-PVC'!$N$17/1000</f>
        <v>234235.63757394449</v>
      </c>
      <c r="O47" s="675">
        <f>'BLIND-PVC-PRE - Qty'!O44*'[2]Falhas BLIND-PVC'!$N$17/1000</f>
        <v>181656.57971964756</v>
      </c>
      <c r="P47" s="675">
        <f>'BLIND-PVC-PRE - Qty'!P44*'[2]Falhas BLIND-PVC'!$N$17/1000</f>
        <v>174357.38698405295</v>
      </c>
      <c r="Q47" s="675">
        <f>'BLIND-PVC-PRE - Qty'!Q44*'[2]Falhas BLIND-PVC'!$N$17/1000</f>
        <v>221065.64184807043</v>
      </c>
      <c r="R47" s="275"/>
    </row>
    <row r="48" spans="2:20">
      <c r="C48" s="1064"/>
      <c r="D48" s="536" t="s">
        <v>136</v>
      </c>
      <c r="E48" s="184"/>
      <c r="F48" s="675">
        <f>'BLIND-PVC-PRE - Qty'!F45*'[34]Falhas BLIND-PVC'!$N$17/1000</f>
        <v>143459.56337529037</v>
      </c>
      <c r="G48" s="675">
        <f>'BLIND-PVC-PRE - Qty'!G45*'[35]Falhas BLIND-PVC'!$N$17/1000</f>
        <v>157789.7256464641</v>
      </c>
      <c r="H48" s="675">
        <f>'BLIND-PVC-PRE - Qty'!H45*'[8]Falhas BLIND-PVC'!$N$17/1000</f>
        <v>154995.31576056711</v>
      </c>
      <c r="I48" s="675">
        <f>'BLIND-PVC-PRE - Qty'!I45*'[9]Falhas BLIND-PVC'!$N$17/1000</f>
        <v>179510.81209398524</v>
      </c>
      <c r="J48" s="675">
        <f>'BLIND-PVC-PRE - Qty'!J45*'[10]Falhas BLIND-PVC'!$N$17/1000</f>
        <v>185303.56301738854</v>
      </c>
      <c r="K48" s="675">
        <f>'BLIND-PVC-PRE - Qty'!K45*'[11]Falhas BLIND-PVC'!$N$17/1000</f>
        <v>222511.90263195688</v>
      </c>
      <c r="L48" s="675">
        <f>'BLIND-PVC-PRE - Qty'!L45*'[12]Falhas BLIND-PVC'!$N$17/1000</f>
        <v>229432.61701005942</v>
      </c>
      <c r="M48" s="675">
        <f>'BLIND-PVC-PRE - Qty'!M45*'[13]Falhas BLIND-PVC'!$N$17/1000</f>
        <v>244609.63250160517</v>
      </c>
      <c r="N48" s="675">
        <f>'BLIND-PVC-PRE - Qty'!N45*'[2]Falhas BLIND-PVC'!$N$17/1000</f>
        <v>234235.63757394449</v>
      </c>
      <c r="O48" s="675">
        <f>'BLIND-PVC-PRE - Qty'!O45*'[2]Falhas BLIND-PVC'!$N$17/1000</f>
        <v>181656.57971964756</v>
      </c>
      <c r="P48" s="675">
        <f>'BLIND-PVC-PRE - Qty'!P45*'[2]Falhas BLIND-PVC'!$N$17/1000</f>
        <v>174357.38698405295</v>
      </c>
      <c r="Q48" s="675">
        <f>'BLIND-PVC-PRE - Qty'!Q45*'[2]Falhas BLIND-PVC'!$N$17/1000</f>
        <v>221065.64184807043</v>
      </c>
      <c r="R48" s="671"/>
    </row>
    <row r="49" spans="3:26">
      <c r="C49" s="1064"/>
      <c r="D49" s="536" t="s">
        <v>138</v>
      </c>
      <c r="E49" s="184"/>
      <c r="F49" s="675">
        <f>'BLIND-PVC-PRE - Qty'!F46*'[34]Falhas BLIND-PVC'!$N$17/1000</f>
        <v>143459.56337529037</v>
      </c>
      <c r="G49" s="675">
        <f>'BLIND-PVC-PRE - Qty'!G46*'[35]Falhas BLIND-PVC'!$N$17/1000</f>
        <v>157789.7256464641</v>
      </c>
      <c r="H49" s="675">
        <f>'BLIND-PVC-PRE - Qty'!H46*'[8]Falhas BLIND-PVC'!$N$17/1000</f>
        <v>154995.31576056711</v>
      </c>
      <c r="I49" s="675">
        <f>'BLIND-PVC-PRE - Qty'!I46*'[9]Falhas BLIND-PVC'!$N$17/1000</f>
        <v>179510.81209398524</v>
      </c>
      <c r="J49" s="675">
        <f>'BLIND-PVC-PRE - Qty'!J46*'[10]Falhas BLIND-PVC'!$N$17/1000</f>
        <v>185303.56301738854</v>
      </c>
      <c r="K49" s="675">
        <f>'BLIND-PVC-PRE - Qty'!K46*'[11]Falhas BLIND-PVC'!$N$17/1000</f>
        <v>222511.90263195688</v>
      </c>
      <c r="L49" s="675">
        <f>'BLIND-PVC-PRE - Qty'!L46*'[12]Falhas BLIND-PVC'!$N$17/1000</f>
        <v>229432.61701005942</v>
      </c>
      <c r="M49" s="675">
        <f>'BLIND-PVC-PRE - Qty'!M46*'[13]Falhas BLIND-PVC'!$N$17/1000</f>
        <v>244609.63250160517</v>
      </c>
      <c r="N49" s="675">
        <f>'BLIND-PVC-PRE - Qty'!N46*'[2]Falhas BLIND-PVC'!$N$17/1000</f>
        <v>234235.63757394449</v>
      </c>
      <c r="O49" s="675">
        <f>'BLIND-PVC-PRE - Qty'!O46*'[2]Falhas BLIND-PVC'!$N$17/1000</f>
        <v>181656.57971964756</v>
      </c>
      <c r="P49" s="675">
        <f>'BLIND-PVC-PRE - Qty'!P46*'[2]Falhas BLIND-PVC'!$N$17/1000</f>
        <v>174357.38698405295</v>
      </c>
      <c r="Q49" s="675">
        <f>'BLIND-PVC-PRE - Qty'!Q46*'[2]Falhas BLIND-PVC'!$N$17/1000</f>
        <v>221065.64184807043</v>
      </c>
    </row>
    <row r="50" spans="3:26">
      <c r="C50" s="1064"/>
      <c r="D50" s="678" t="s">
        <v>83</v>
      </c>
      <c r="E50" s="184"/>
      <c r="F50" s="679">
        <f>SUBTOTAL(109,F46:F49)</f>
        <v>573838.25350116147</v>
      </c>
      <c r="G50" s="679">
        <f t="shared" ref="G50:M50" si="32">SUBTOTAL(109,G46:G49)</f>
        <v>631158.90258585638</v>
      </c>
      <c r="H50" s="679">
        <f t="shared" si="32"/>
        <v>619981.26304226846</v>
      </c>
      <c r="I50" s="679">
        <f t="shared" si="32"/>
        <v>718043.24837594095</v>
      </c>
      <c r="J50" s="679">
        <f t="shared" si="32"/>
        <v>741214.25206955418</v>
      </c>
      <c r="K50" s="679">
        <f t="shared" si="32"/>
        <v>890047.61052782752</v>
      </c>
      <c r="L50" s="679">
        <f t="shared" si="32"/>
        <v>917730.46804023767</v>
      </c>
      <c r="M50" s="679">
        <f t="shared" si="32"/>
        <v>978438.53000642068</v>
      </c>
      <c r="N50" s="679">
        <f t="shared" ref="N50:Q50" si="33">SUBTOTAL(109,N46:N49)</f>
        <v>936942.55029577797</v>
      </c>
      <c r="O50" s="679">
        <f t="shared" si="33"/>
        <v>726626.31887859025</v>
      </c>
      <c r="P50" s="679">
        <f t="shared" si="33"/>
        <v>697429.54793621181</v>
      </c>
      <c r="Q50" s="679">
        <f t="shared" si="33"/>
        <v>884262.56739228172</v>
      </c>
    </row>
    <row r="51" spans="3:26">
      <c r="C51" s="184"/>
      <c r="D51" s="184"/>
      <c r="E51" s="184"/>
      <c r="F51" s="680">
        <f t="shared" ref="F51" si="34">F45</f>
        <v>573838.25350116147</v>
      </c>
      <c r="G51" s="680">
        <f t="shared" ref="G51:M51" si="35">G45</f>
        <v>631158.90258585638</v>
      </c>
      <c r="H51" s="680">
        <f t="shared" si="35"/>
        <v>619981.26304226846</v>
      </c>
      <c r="I51" s="680">
        <f t="shared" si="35"/>
        <v>718043.24837594107</v>
      </c>
      <c r="J51" s="680">
        <f t="shared" si="35"/>
        <v>741214.25206955406</v>
      </c>
      <c r="K51" s="680">
        <f t="shared" si="35"/>
        <v>890047.6105278274</v>
      </c>
      <c r="L51" s="680">
        <f t="shared" si="35"/>
        <v>917730.46804023755</v>
      </c>
      <c r="M51" s="680">
        <f t="shared" si="35"/>
        <v>978438.53000642103</v>
      </c>
      <c r="N51" s="680">
        <f t="shared" ref="N51:Q51" si="36">N45</f>
        <v>936942.55029577797</v>
      </c>
      <c r="O51" s="680">
        <f t="shared" si="36"/>
        <v>726626.31887859013</v>
      </c>
      <c r="P51" s="680">
        <f t="shared" si="36"/>
        <v>697429.54793621181</v>
      </c>
      <c r="Q51" s="680">
        <f t="shared" si="36"/>
        <v>884262.56739228196</v>
      </c>
    </row>
    <row r="52" spans="3:26">
      <c r="C52" s="184" t="s">
        <v>89</v>
      </c>
      <c r="D52" s="536" t="s">
        <v>98</v>
      </c>
      <c r="E52" s="184"/>
      <c r="F52" s="453">
        <f>'BLIND-PVC-PRE - Qty'!F49*'[34]Falhas BLIND-PVC'!$N23</f>
        <v>15882.569974331504</v>
      </c>
      <c r="G52" s="453">
        <f>'BLIND-PVC-PRE - Qty'!G49*'[35]Falhas BLIND-PVC'!$N23</f>
        <v>8834.7732864972004</v>
      </c>
      <c r="H52" s="453">
        <f>'BLIND-PVC-PRE - Qty'!H49*'[8]Falhas BLIND-PVC'!$N23</f>
        <v>8794.2323799494516</v>
      </c>
      <c r="I52" s="453">
        <f>'BLIND-PVC-PRE - Qty'!I49*'[9]Falhas BLIND-PVC'!$N23</f>
        <v>8937.2511923534767</v>
      </c>
      <c r="J52" s="453">
        <f>'BLIND-PVC-PRE - Qty'!J49*'[10]Falhas BLIND-PVC'!$N23</f>
        <v>16144.383252988599</v>
      </c>
      <c r="K52" s="453">
        <f>'BLIND-PVC-PRE - Qty'!K49*'[11]Falhas BLIND-PVC'!$N23</f>
        <v>18852.409427579998</v>
      </c>
      <c r="L52" s="453">
        <f>'BLIND-PVC-PRE - Qty'!L49*'[12]Falhas BLIND-PVC'!$N23</f>
        <v>18841.58794536355</v>
      </c>
      <c r="M52" s="453">
        <f>'BLIND-PVC-PRE - Qty'!M49*'[13]Falhas BLIND-PVC'!$N23</f>
        <v>18533.151676376998</v>
      </c>
      <c r="N52" s="453">
        <f>'BLIND-PVC-PRE - Qty'!N49*'[2]Falhas BLIND-PVC'!$N23</f>
        <v>14859.183890327398</v>
      </c>
      <c r="O52" s="453">
        <f>'BLIND-PVC-PRE - Qty'!O49*'[2]Falhas BLIND-PVC'!$N23</f>
        <v>13770.686520700199</v>
      </c>
      <c r="P52" s="453">
        <f>'BLIND-PVC-PRE - Qty'!P49*'[2]Falhas BLIND-PVC'!$N23</f>
        <v>13933.2394811376</v>
      </c>
      <c r="Q52" s="453">
        <f>'BLIND-PVC-PRE - Qty'!Q49*'[2]Falhas BLIND-PVC'!$N23</f>
        <v>17153.567121670199</v>
      </c>
    </row>
    <row r="53" spans="3:26">
      <c r="C53" s="184"/>
      <c r="D53" s="536" t="s">
        <v>96</v>
      </c>
      <c r="E53" s="184"/>
      <c r="F53" s="453">
        <f>'BLIND-PVC-PRE - Qty'!F50*'[34]Falhas BLIND-PVC'!$N24</f>
        <v>50078.551532428799</v>
      </c>
      <c r="G53" s="453">
        <f>'BLIND-PVC-PRE - Qty'!G50*'[35]Falhas BLIND-PVC'!$N24</f>
        <v>53425.647737459192</v>
      </c>
      <c r="H53" s="453">
        <f>'BLIND-PVC-PRE - Qty'!H50*'[8]Falhas BLIND-PVC'!$N24</f>
        <v>51416.017459287053</v>
      </c>
      <c r="I53" s="453">
        <f>'BLIND-PVC-PRE - Qty'!I50*'[9]Falhas BLIND-PVC'!$N24</f>
        <v>52039.759905912324</v>
      </c>
      <c r="J53" s="453">
        <f>'BLIND-PVC-PRE - Qty'!J50*'[10]Falhas BLIND-PVC'!$N24</f>
        <v>52675.49582023039</v>
      </c>
      <c r="K53" s="453">
        <f>'BLIND-PVC-PRE - Qty'!K50*'[11]Falhas BLIND-PVC'!$N24</f>
        <v>60352.089311232005</v>
      </c>
      <c r="L53" s="453">
        <f>'BLIND-PVC-PRE - Qty'!L50*'[12]Falhas BLIND-PVC'!$N24</f>
        <v>59154.398460096003</v>
      </c>
      <c r="M53" s="453">
        <f>'BLIND-PVC-PRE - Qty'!M50*'[13]Falhas BLIND-PVC'!$N24</f>
        <v>58149.992345702398</v>
      </c>
      <c r="N53" s="453">
        <f>'BLIND-PVC-PRE - Qty'!N50*'[2]Falhas BLIND-PVC'!$N24</f>
        <v>55328.038510417922</v>
      </c>
      <c r="O53" s="453">
        <f>'BLIND-PVC-PRE - Qty'!O50*'[2]Falhas BLIND-PVC'!$N24</f>
        <v>42908.510175897609</v>
      </c>
      <c r="P53" s="453">
        <f>'BLIND-PVC-PRE - Qty'!P50*'[2]Falhas BLIND-PVC'!$N24</f>
        <v>41184.391587655671</v>
      </c>
      <c r="Q53" s="453">
        <f>'BLIND-PVC-PRE - Qty'!Q50*'[2]Falhas BLIND-PVC'!$N24</f>
        <v>52217.196632340478</v>
      </c>
    </row>
    <row r="54" spans="3:26">
      <c r="C54" s="184" t="s">
        <v>177</v>
      </c>
      <c r="D54" s="536" t="s">
        <v>98</v>
      </c>
      <c r="E54" s="184"/>
      <c r="F54" s="537">
        <f>'BLIND-PVC-PRE - Qty'!F51*'[34]Falhas BLIND-PVC'!$N27</f>
        <v>1958214.1104363492</v>
      </c>
      <c r="G54" s="537">
        <f>'BLIND-PVC-PRE - Qty'!G51*'[35]Falhas BLIND-PVC'!$N27</f>
        <v>1071825.8744318378</v>
      </c>
      <c r="H54" s="537">
        <f>'BLIND-PVC-PRE - Qty'!H51*'[8]Falhas BLIND-PVC'!$N27</f>
        <v>1066815.7574219008</v>
      </c>
      <c r="I54" s="537">
        <f>'BLIND-PVC-PRE - Qty'!I51*'[9]Falhas BLIND-PVC'!$N27</f>
        <v>1126117.0045260894</v>
      </c>
      <c r="J54" s="537">
        <f>'BLIND-PVC-PRE - Qty'!J51*'[10]Falhas BLIND-PVC'!$N27</f>
        <v>2033873.3378080274</v>
      </c>
      <c r="K54" s="537">
        <f>'BLIND-PVC-PRE - Qty'!K51*'[11]Falhas BLIND-PVC'!$N27</f>
        <v>2419331.7402083944</v>
      </c>
      <c r="L54" s="537">
        <f>'BLIND-PVC-PRE - Qty'!L51*'[12]Falhas BLIND-PVC'!$N27</f>
        <v>2462211.8230388393</v>
      </c>
      <c r="M54" s="537">
        <f>'BLIND-PVC-PRE - Qty'!M51*'[13]Falhas BLIND-PVC'!$N27</f>
        <v>2465807.8760874588</v>
      </c>
      <c r="N54" s="537">
        <f>'BLIND-PVC-PRE - Qty'!N51*'[2]Falhas BLIND-PVC'!$N27</f>
        <v>1978131.5615514684</v>
      </c>
      <c r="O54" s="537">
        <f>'BLIND-PVC-PRE - Qty'!O51*'[2]Falhas BLIND-PVC'!$N27</f>
        <v>1833225.1509829217</v>
      </c>
      <c r="P54" s="537">
        <f>'BLIND-PVC-PRE - Qty'!P51*'[2]Falhas BLIND-PVC'!$N27</f>
        <v>1854865.0434452638</v>
      </c>
      <c r="Q54" s="537">
        <f>'BLIND-PVC-PRE - Qty'!Q51*'[2]Falhas BLIND-PVC'!$N27</f>
        <v>2283571.7470765994</v>
      </c>
    </row>
    <row r="55" spans="3:26">
      <c r="C55" s="184"/>
      <c r="D55" s="536" t="s">
        <v>96</v>
      </c>
      <c r="E55" s="184"/>
      <c r="F55" s="537">
        <f>'BLIND-PVC-PRE - Qty'!F52*'[34]Falhas BLIND-PVC'!$N28</f>
        <v>5216076.2258149786</v>
      </c>
      <c r="G55" s="537">
        <f>'BLIND-PVC-PRE - Qty'!G52*'[35]Falhas BLIND-PVC'!$N28</f>
        <v>5469249.9238492241</v>
      </c>
      <c r="H55" s="537">
        <f>'BLIND-PVC-PRE - Qty'!H52*'[8]Falhas BLIND-PVC'!$N28</f>
        <v>5257867.9849824822</v>
      </c>
      <c r="I55" s="537">
        <f>'BLIND-PVC-PRE - Qty'!I52*'[9]Falhas BLIND-PVC'!$N28</f>
        <v>5530846.3226404283</v>
      </c>
      <c r="J55" s="537">
        <f>'BLIND-PVC-PRE - Qty'!J52*'[10]Falhas BLIND-PVC'!$N28</f>
        <v>5598417.8281265832</v>
      </c>
      <c r="K55" s="537">
        <f>'BLIND-PVC-PRE - Qty'!K52*'[11]Falhas BLIND-PVC'!$N28</f>
        <v>6537199.0250281906</v>
      </c>
      <c r="L55" s="537">
        <f>'BLIND-PVC-PRE - Qty'!L52*'[12]Falhas BLIND-PVC'!$N28</f>
        <v>6524705.3774331743</v>
      </c>
      <c r="M55" s="537">
        <f>'BLIND-PVC-PRE - Qty'!M52*'[13]Falhas BLIND-PVC'!$N28</f>
        <v>6528146.3828136697</v>
      </c>
      <c r="N55" s="537">
        <f>'BLIND-PVC-PRE - Qty'!N52*'[2]Falhas BLIND-PVC'!$N28</f>
        <v>6211342.7689325241</v>
      </c>
      <c r="O55" s="537">
        <f>'BLIND-PVC-PRE - Qty'!O52*'[2]Falhas BLIND-PVC'!$N28</f>
        <v>4817077.7707318375</v>
      </c>
      <c r="P55" s="537">
        <f>'BLIND-PVC-PRE - Qty'!P52*'[2]Falhas BLIND-PVC'!$N28</f>
        <v>4623521.4507505633</v>
      </c>
      <c r="Q55" s="537">
        <f>'BLIND-PVC-PRE - Qty'!Q52*'[2]Falhas BLIND-PVC'!$N28</f>
        <v>5862107.4494651528</v>
      </c>
    </row>
    <row r="56" spans="3:26">
      <c r="C56" s="187"/>
      <c r="D56" s="538" t="s">
        <v>119</v>
      </c>
      <c r="E56" s="187"/>
      <c r="F56" s="537">
        <f>'BLIND-PVC-PRE - Qty'!F53*'[34]Falhas BLIND-PVC'!$N29</f>
        <v>4717603.707572747</v>
      </c>
      <c r="G56" s="537">
        <f>'BLIND-PVC-PRE - Qty'!G53*'[35]Falhas BLIND-PVC'!$N29</f>
        <v>5655421.9487287905</v>
      </c>
      <c r="H56" s="537">
        <f>'BLIND-PVC-PRE - Qty'!H53*'[8]Falhas BLIND-PVC'!$N29</f>
        <v>4965418.5759134162</v>
      </c>
      <c r="I56" s="537">
        <f>'BLIND-PVC-PRE - Qty'!I53*'[9]Falhas BLIND-PVC'!$N29</f>
        <v>5203481.8504186049</v>
      </c>
      <c r="J56" s="537">
        <f>'BLIND-PVC-PRE - Qty'!J53*'[10]Falhas BLIND-PVC'!$N29</f>
        <v>5630801.5922872042</v>
      </c>
      <c r="K56" s="537">
        <f>'BLIND-PVC-PRE - Qty'!K53*'[11]Falhas BLIND-PVC'!$N29</f>
        <v>5989602.1709920615</v>
      </c>
      <c r="L56" s="537">
        <f>'BLIND-PVC-PRE - Qty'!L53*'[12]Falhas BLIND-PVC'!$N29</f>
        <v>5911256.2589997416</v>
      </c>
      <c r="M56" s="537">
        <f>'BLIND-PVC-PRE - Qty'!M53*'[13]Falhas BLIND-PVC'!$N29</f>
        <v>5910791.8456646921</v>
      </c>
      <c r="N56" s="537">
        <f>'BLIND-PVC-PRE - Qty'!N53*'[2]Falhas BLIND-PVC'!$N29</f>
        <v>5978620.7188703651</v>
      </c>
      <c r="O56" s="537">
        <f>'BLIND-PVC-PRE - Qty'!O53*'[2]Falhas BLIND-PVC'!$N29</f>
        <v>4424702.9846078558</v>
      </c>
      <c r="P56" s="537">
        <f>'BLIND-PVC-PRE - Qty'!P53*'[2]Falhas BLIND-PVC'!$N29</f>
        <v>4621460.9661787199</v>
      </c>
      <c r="Q56" s="537">
        <f>'BLIND-PVC-PRE - Qty'!Q53*'[2]Falhas BLIND-PVC'!$N29</f>
        <v>5716750.3488844112</v>
      </c>
    </row>
    <row r="58" spans="3:26">
      <c r="E58" s="1" t="s">
        <v>302</v>
      </c>
      <c r="F58" s="655">
        <f>F21+F16</f>
        <v>933.78495298528719</v>
      </c>
      <c r="G58" s="655">
        <f t="shared" ref="G58:M58" si="37">G21+G16</f>
        <v>977.26783427570274</v>
      </c>
      <c r="H58" s="655">
        <f t="shared" si="37"/>
        <v>940.50745582797185</v>
      </c>
      <c r="I58" s="655">
        <f t="shared" si="37"/>
        <v>946.58788480011401</v>
      </c>
      <c r="J58" s="655">
        <f t="shared" si="37"/>
        <v>958.15173358638481</v>
      </c>
      <c r="K58" s="655">
        <f t="shared" si="37"/>
        <v>1089.400834494777</v>
      </c>
      <c r="L58" s="655">
        <f t="shared" si="37"/>
        <v>1076.0010618074302</v>
      </c>
      <c r="M58" s="655">
        <f t="shared" si="37"/>
        <v>1076.5654560190565</v>
      </c>
      <c r="N58" s="655">
        <f t="shared" ref="N58:Q58" si="38">N21+N16</f>
        <v>1024.3209432513386</v>
      </c>
      <c r="O58" s="655">
        <f t="shared" si="38"/>
        <v>794.39081522127708</v>
      </c>
      <c r="P58" s="655">
        <f t="shared" si="38"/>
        <v>762.47118050925633</v>
      </c>
      <c r="Q58" s="655">
        <f t="shared" si="38"/>
        <v>966.72807401817283</v>
      </c>
      <c r="Z58" s="655"/>
    </row>
    <row r="59" spans="3:26">
      <c r="C59" s="527"/>
      <c r="D59" s="683" t="s">
        <v>309</v>
      </c>
      <c r="E59" s="682" t="s">
        <v>308</v>
      </c>
      <c r="F59" s="648"/>
      <c r="G59" s="648"/>
      <c r="H59" s="648"/>
      <c r="I59" s="648"/>
      <c r="J59" s="648"/>
      <c r="K59" s="648"/>
      <c r="L59" s="648"/>
      <c r="M59" s="648"/>
      <c r="N59" s="648"/>
      <c r="O59" s="648"/>
      <c r="P59" s="648"/>
      <c r="Q59" s="648"/>
      <c r="R59" s="672"/>
    </row>
    <row r="60" spans="3:26" ht="13.5" thickBot="1">
      <c r="E60" s="684" t="s">
        <v>294</v>
      </c>
      <c r="F60" s="685" cm="1">
        <f t="array" aca="1" ref="F60" ca="1">OFFSET(F5,,,,COUNTA(BLD_UM1Qloss))</f>
        <v>44287</v>
      </c>
      <c r="G60" s="685"/>
      <c r="H60" s="685"/>
      <c r="I60" s="685"/>
      <c r="J60" s="685"/>
      <c r="K60" s="685"/>
      <c r="L60" s="685"/>
      <c r="M60" s="685"/>
      <c r="N60" s="685"/>
      <c r="O60" s="685"/>
      <c r="P60" s="685"/>
      <c r="Q60" s="685"/>
      <c r="R60" s="672" t="s">
        <v>55</v>
      </c>
      <c r="S60" s="1" t="s">
        <v>54</v>
      </c>
      <c r="T60" s="1" t="s">
        <v>1</v>
      </c>
      <c r="U60" s="1" t="s">
        <v>298</v>
      </c>
      <c r="V60" s="1" t="s">
        <v>312</v>
      </c>
      <c r="W60" s="1" t="s">
        <v>299</v>
      </c>
    </row>
    <row r="61" spans="3:26" ht="13.5" thickBot="1">
      <c r="D61" s="1084" t="s">
        <v>65</v>
      </c>
      <c r="E61" s="243" t="s">
        <v>293</v>
      </c>
      <c r="F61" s="450" cm="1">
        <f t="array" aca="1" ref="F61:Q61" ca="1">OFFSET($F$10,0,0,,COUNTA(F10:Q10))</f>
        <v>155.45073945629264</v>
      </c>
      <c r="G61" s="450">
        <f ca="1"/>
        <v>84.827393000208147</v>
      </c>
      <c r="H61" s="450">
        <f ca="1"/>
        <v>84.438138030013647</v>
      </c>
      <c r="I61" s="450">
        <f ca="1"/>
        <v>85.330938919021776</v>
      </c>
      <c r="J61" s="450">
        <f ca="1"/>
        <v>154.14307504579338</v>
      </c>
      <c r="K61" s="450">
        <f ca="1"/>
        <v>178.62373226489765</v>
      </c>
      <c r="L61" s="450">
        <f ca="1"/>
        <v>179.89540133757998</v>
      </c>
      <c r="M61" s="450">
        <f ca="1"/>
        <v>180.10134696005758</v>
      </c>
      <c r="N61" s="450">
        <f ca="1"/>
        <v>144.39848548729455</v>
      </c>
      <c r="O61" s="450">
        <f ca="1"/>
        <v>133.82069246776095</v>
      </c>
      <c r="P61" s="450">
        <f ca="1"/>
        <v>135.40034862329961</v>
      </c>
      <c r="Q61" s="450">
        <f ca="1"/>
        <v>166.69482869016784</v>
      </c>
      <c r="R61" s="450">
        <f ca="1">SUM(F61:K61)</f>
        <v>742.81401671622723</v>
      </c>
      <c r="S61" s="450">
        <f ca="1">SUM(L61:Q61)</f>
        <v>940.31110356616045</v>
      </c>
      <c r="T61" s="450">
        <f ca="1">R61+S61</f>
        <v>1683.1251202823878</v>
      </c>
      <c r="U61" s="688">
        <f ca="1">COUNTA(F61:Q61)+0.3</f>
        <v>12.3</v>
      </c>
      <c r="V61" s="691" cm="1">
        <f t="array" aca="1" ref="V61" ca="1">INDEX(F61:Q61,1,COUNTA(F61:Q61))</f>
        <v>166.69482869016784</v>
      </c>
      <c r="W61" s="264">
        <f ca="1">SUM($V$61:V61)-V61/2</f>
        <v>83.347414345083919</v>
      </c>
    </row>
    <row r="62" spans="3:26">
      <c r="D62" s="1085"/>
      <c r="E62" s="184" t="s">
        <v>295</v>
      </c>
      <c r="F62" s="453" cm="1">
        <f t="array" aca="1" ref="F62:Q62" ca="1">OFFSET(F58,0,0,,COUNTA(F58:Q58))</f>
        <v>933.78495298528719</v>
      </c>
      <c r="G62" s="453">
        <f ca="1"/>
        <v>977.26783427570274</v>
      </c>
      <c r="H62" s="453">
        <f ca="1"/>
        <v>940.50745582797185</v>
      </c>
      <c r="I62" s="453">
        <f ca="1"/>
        <v>946.58788480011401</v>
      </c>
      <c r="J62" s="453">
        <f ca="1"/>
        <v>958.15173358638481</v>
      </c>
      <c r="K62" s="453">
        <f ca="1"/>
        <v>1089.400834494777</v>
      </c>
      <c r="L62" s="453">
        <f ca="1"/>
        <v>1076.0010618074302</v>
      </c>
      <c r="M62" s="453">
        <f ca="1"/>
        <v>1076.5654560190565</v>
      </c>
      <c r="N62" s="453">
        <f ca="1"/>
        <v>1024.3209432513386</v>
      </c>
      <c r="O62" s="453">
        <f ca="1"/>
        <v>794.39081522127708</v>
      </c>
      <c r="P62" s="453">
        <f ca="1"/>
        <v>762.47118050925633</v>
      </c>
      <c r="Q62" s="453">
        <f ca="1"/>
        <v>966.72807401817283</v>
      </c>
      <c r="R62" s="453">
        <f t="shared" ref="R62:R73" ca="1" si="39">SUM(F62:K62)</f>
        <v>5845.7006959702376</v>
      </c>
      <c r="S62" s="453">
        <f t="shared" ref="S62:S73" ca="1" si="40">SUM(L62:Q62)</f>
        <v>5700.4775308265316</v>
      </c>
      <c r="T62" s="453">
        <f t="shared" ref="T62:T73" ca="1" si="41">R62+S62</f>
        <v>11546.178226796768</v>
      </c>
      <c r="U62" s="689">
        <f ca="1">U61</f>
        <v>12.3</v>
      </c>
      <c r="V62" s="692" cm="1">
        <f t="array" aca="1" ref="V62" ca="1">INDEX(F62:Q62,1,COUNTA(F62:Q62))</f>
        <v>966.72807401817283</v>
      </c>
      <c r="W62" s="264">
        <f ca="1">SUM($V$61:V62)-V62/2</f>
        <v>650.05886569925428</v>
      </c>
    </row>
    <row r="63" spans="3:26">
      <c r="D63" s="1085"/>
      <c r="E63" s="184" t="s">
        <v>301</v>
      </c>
      <c r="F63" s="453" cm="1">
        <f t="array" aca="1" ref="F63:Q63" ca="1">OFFSET(F22,,,,COUNTA(F22:Q22))</f>
        <v>1089.2356924415797</v>
      </c>
      <c r="G63" s="453">
        <f ca="1"/>
        <v>1062.0952272759112</v>
      </c>
      <c r="H63" s="453">
        <f ca="1"/>
        <v>1024.9455938579854</v>
      </c>
      <c r="I63" s="453">
        <f ca="1"/>
        <v>1031.9188237191361</v>
      </c>
      <c r="J63" s="453">
        <f ca="1"/>
        <v>1112.294808632178</v>
      </c>
      <c r="K63" s="453">
        <f ca="1"/>
        <v>1268.0245667596744</v>
      </c>
      <c r="L63" s="453">
        <f ca="1"/>
        <v>1255.8964631450103</v>
      </c>
      <c r="M63" s="453">
        <f ca="1"/>
        <v>1256.666802979114</v>
      </c>
      <c r="N63" s="453">
        <f ca="1"/>
        <v>1168.719428738633</v>
      </c>
      <c r="O63" s="453">
        <f ca="1"/>
        <v>928.21150768903794</v>
      </c>
      <c r="P63" s="453">
        <f ca="1"/>
        <v>897.87152913255591</v>
      </c>
      <c r="Q63" s="453">
        <f ca="1"/>
        <v>1133.4229027083406</v>
      </c>
      <c r="R63" s="453">
        <f t="shared" ca="1" si="39"/>
        <v>6588.514712686464</v>
      </c>
      <c r="S63" s="453">
        <f t="shared" ca="1" si="40"/>
        <v>6640.7886343926912</v>
      </c>
      <c r="T63" s="453">
        <f t="shared" ca="1" si="41"/>
        <v>13229.303347079156</v>
      </c>
      <c r="U63" s="689">
        <f ca="1">U62</f>
        <v>12.3</v>
      </c>
      <c r="V63" s="692" cm="1">
        <f t="array" aca="1" ref="V63" ca="1">INDEX(F63:Q63,1,COUNTA(F63:Q63))</f>
        <v>1133.4229027083406</v>
      </c>
      <c r="W63" s="256"/>
    </row>
    <row r="64" spans="3:26" ht="13.5" thickBot="1">
      <c r="D64" s="1086"/>
      <c r="E64" s="251" t="s">
        <v>304</v>
      </c>
      <c r="F64" s="464" cm="1">
        <f t="array" aca="1" ref="F64:Q64" ca="1">OFFSET(F23,0,0,,COUNTA(F23:Q23))</f>
        <v>1089.2356924415797</v>
      </c>
      <c r="G64" s="464">
        <f ca="1"/>
        <v>1062.0952272759112</v>
      </c>
      <c r="H64" s="464">
        <f ca="1"/>
        <v>1024.9455938579854</v>
      </c>
      <c r="I64" s="464">
        <f ca="1"/>
        <v>1031.9188237191361</v>
      </c>
      <c r="J64" s="464">
        <f ca="1"/>
        <v>1112.294808632178</v>
      </c>
      <c r="K64" s="464">
        <f ca="1"/>
        <v>1268.0245667596744</v>
      </c>
      <c r="L64" s="464">
        <f ca="1"/>
        <v>1255.8964631450103</v>
      </c>
      <c r="M64" s="464">
        <f ca="1"/>
        <v>1256.666802979114</v>
      </c>
      <c r="N64" s="464">
        <f ca="1"/>
        <v>1168.719428738633</v>
      </c>
      <c r="O64" s="464">
        <f ca="1"/>
        <v>928.21150768903794</v>
      </c>
      <c r="P64" s="464">
        <f ca="1"/>
        <v>897.87152913255591</v>
      </c>
      <c r="Q64" s="464">
        <f ca="1"/>
        <v>1133.4229027083406</v>
      </c>
      <c r="R64" s="464">
        <f t="shared" ca="1" si="39"/>
        <v>6588.514712686464</v>
      </c>
      <c r="S64" s="464">
        <f t="shared" ca="1" si="40"/>
        <v>6640.7886343926912</v>
      </c>
      <c r="T64" s="464">
        <f t="shared" ca="1" si="41"/>
        <v>13229.303347079156</v>
      </c>
      <c r="U64" s="690">
        <f ca="1">U63</f>
        <v>12.3</v>
      </c>
      <c r="V64" s="693" cm="1">
        <f t="array" aca="1" ref="V64" ca="1">INDEX(F64:Q64,1,COUNTA(F64:Q64))</f>
        <v>1133.4229027083406</v>
      </c>
      <c r="W64" s="686"/>
    </row>
    <row r="65" spans="4:23" ht="13.5" thickBot="1">
      <c r="D65" s="1084" t="s">
        <v>89</v>
      </c>
      <c r="E65" s="243" t="s">
        <v>296</v>
      </c>
      <c r="F65" s="450" cm="1">
        <f t="array" aca="1" ref="F65:Q65" ca="1">OFFSET(F24,,,,COUNTA(F24:Q24))</f>
        <v>638.49929891102067</v>
      </c>
      <c r="G65" s="450">
        <f ca="1"/>
        <v>348.4205424079766</v>
      </c>
      <c r="H65" s="450">
        <f ca="1"/>
        <v>346.82171421046451</v>
      </c>
      <c r="I65" s="450">
        <f ca="1"/>
        <v>350.48880993283063</v>
      </c>
      <c r="J65" s="450">
        <f ca="1"/>
        <v>633.12819027406613</v>
      </c>
      <c r="K65" s="450">
        <f ca="1"/>
        <v>733.68018845657696</v>
      </c>
      <c r="L65" s="450">
        <f ca="1"/>
        <v>738.90344962725021</v>
      </c>
      <c r="M65" s="450">
        <f ca="1"/>
        <v>739.74935191131544</v>
      </c>
      <c r="N65" s="450">
        <f ca="1"/>
        <v>593.10320471890543</v>
      </c>
      <c r="O65" s="450">
        <f ca="1"/>
        <v>549.65591427422373</v>
      </c>
      <c r="P65" s="450">
        <f ca="1"/>
        <v>556.14420343489053</v>
      </c>
      <c r="Q65" s="450">
        <f ca="1"/>
        <v>684.68333841982508</v>
      </c>
      <c r="R65" s="450">
        <f t="shared" ca="1" si="39"/>
        <v>3051.0387441929356</v>
      </c>
      <c r="S65" s="450">
        <f t="shared" ca="1" si="40"/>
        <v>3862.2394623864102</v>
      </c>
      <c r="T65" s="450">
        <f t="shared" ca="1" si="41"/>
        <v>6913.2782065793454</v>
      </c>
      <c r="U65" s="688">
        <f t="shared" ref="U65:U69" ca="1" si="42">COUNTA(F65:Q65)+0.3</f>
        <v>12.3</v>
      </c>
      <c r="V65" s="691" cm="1">
        <f t="array" aca="1" ref="V65" ca="1">INDEX(F65:Q65,1,COUNTA(F65:Q65))</f>
        <v>684.68333841982508</v>
      </c>
      <c r="W65" s="264">
        <f ca="1">SUM($V$65:V65)-V65/2</f>
        <v>342.34166920991254</v>
      </c>
    </row>
    <row r="66" spans="4:23" ht="13.5" thickBot="1">
      <c r="D66" s="1085"/>
      <c r="E66" s="184" t="s">
        <v>297</v>
      </c>
      <c r="F66" s="453" cm="1">
        <f t="array" aca="1" ref="F66:Q66" ca="1">OFFSET(F25,,,,COUNTA(F25:Q25))</f>
        <v>1694.0910140206981</v>
      </c>
      <c r="G66" s="453">
        <f ca="1"/>
        <v>1772.9785118565967</v>
      </c>
      <c r="H66" s="453">
        <f ca="1"/>
        <v>1706.2871107998455</v>
      </c>
      <c r="I66" s="453">
        <f ca="1"/>
        <v>1717.3183445439383</v>
      </c>
      <c r="J66" s="453">
        <f ca="1"/>
        <v>1738.2977062842256</v>
      </c>
      <c r="K66" s="453">
        <f ca="1"/>
        <v>1976.4124046806412</v>
      </c>
      <c r="L66" s="453">
        <f ca="1"/>
        <v>1952.1022737163535</v>
      </c>
      <c r="M66" s="453">
        <f ca="1"/>
        <v>1953.1262087875116</v>
      </c>
      <c r="N66" s="453">
        <f ca="1"/>
        <v>1858.3431869271501</v>
      </c>
      <c r="O66" s="453">
        <f ca="1"/>
        <v>1441.1994296808357</v>
      </c>
      <c r="P66" s="453">
        <f ca="1"/>
        <v>1383.2902010478604</v>
      </c>
      <c r="Q66" s="453">
        <f ca="1"/>
        <v>1753.8570716522638</v>
      </c>
      <c r="R66" s="453">
        <f t="shared" ca="1" si="39"/>
        <v>10605.385092185945</v>
      </c>
      <c r="S66" s="453">
        <f t="shared" ca="1" si="40"/>
        <v>10341.918371811977</v>
      </c>
      <c r="T66" s="453">
        <f t="shared" ca="1" si="41"/>
        <v>20947.303463997923</v>
      </c>
      <c r="U66" s="689">
        <f ca="1">U65</f>
        <v>12.3</v>
      </c>
      <c r="V66" s="692" cm="1">
        <f t="array" aca="1" ref="V66" ca="1">INDEX(F66:Q66,1,COUNTA(F66:Q66))</f>
        <v>1753.8570716522638</v>
      </c>
      <c r="W66" s="264">
        <f ca="1">SUM($V$65:V66)-V66/2</f>
        <v>1561.6118742459571</v>
      </c>
    </row>
    <row r="67" spans="4:23">
      <c r="D67" s="1085"/>
      <c r="E67" s="184" t="s">
        <v>303</v>
      </c>
      <c r="F67" s="453" cm="1">
        <f t="array" aca="1" ref="F67:Q67" ca="1">OFFSET(F27,,,,COUNTA(F27:Q27))</f>
        <v>2332.5903129317189</v>
      </c>
      <c r="G67" s="453">
        <f ca="1"/>
        <v>2121.3990542645734</v>
      </c>
      <c r="H67" s="453">
        <f ca="1"/>
        <v>2053.1088250103103</v>
      </c>
      <c r="I67" s="453">
        <f ca="1"/>
        <v>2067.807154476769</v>
      </c>
      <c r="J67" s="453">
        <f ca="1"/>
        <v>2371.4258965582917</v>
      </c>
      <c r="K67" s="453">
        <f ca="1"/>
        <v>2710.092593137218</v>
      </c>
      <c r="L67" s="453">
        <f ca="1"/>
        <v>2691.0057233436037</v>
      </c>
      <c r="M67" s="453">
        <f ca="1"/>
        <v>2692.875560698827</v>
      </c>
      <c r="N67" s="453">
        <f ca="1"/>
        <v>2451.4463916460554</v>
      </c>
      <c r="O67" s="453">
        <f ca="1"/>
        <v>1990.8553439550594</v>
      </c>
      <c r="P67" s="453">
        <f ca="1"/>
        <v>1939.4344044827508</v>
      </c>
      <c r="Q67" s="453">
        <f ca="1"/>
        <v>2438.5404100720889</v>
      </c>
      <c r="R67" s="453">
        <f t="shared" ca="1" si="39"/>
        <v>13656.423836378883</v>
      </c>
      <c r="S67" s="453">
        <f t="shared" ca="1" si="40"/>
        <v>14204.157834198384</v>
      </c>
      <c r="T67" s="453">
        <f t="shared" ca="1" si="41"/>
        <v>27860.581670577267</v>
      </c>
      <c r="U67" s="689">
        <f ca="1">U66</f>
        <v>12.3</v>
      </c>
      <c r="V67" s="692" cm="1">
        <f t="array" aca="1" ref="V67" ca="1">INDEX(F67:Q67,1,COUNTA(F67:Q67))</f>
        <v>2438.5404100720889</v>
      </c>
      <c r="W67" s="264"/>
    </row>
    <row r="68" spans="4:23" ht="13.5" thickBot="1">
      <c r="D68" s="1086"/>
      <c r="E68" s="251" t="s">
        <v>305</v>
      </c>
      <c r="F68" s="464" cm="1">
        <f t="array" aca="1" ref="F68:Q68" ca="1">OFFSET(F28,,,,COUNTA(F28:Q28))</f>
        <v>2332.5903129317189</v>
      </c>
      <c r="G68" s="464">
        <f ca="1"/>
        <v>2121.3990542645734</v>
      </c>
      <c r="H68" s="464">
        <f ca="1"/>
        <v>2053.1088250103103</v>
      </c>
      <c r="I68" s="464">
        <f ca="1"/>
        <v>2067.807154476769</v>
      </c>
      <c r="J68" s="464">
        <f ca="1"/>
        <v>2371.4258965582917</v>
      </c>
      <c r="K68" s="464">
        <f ca="1"/>
        <v>2710.092593137218</v>
      </c>
      <c r="L68" s="464">
        <f ca="1"/>
        <v>2691.0057233436037</v>
      </c>
      <c r="M68" s="464">
        <f ca="1"/>
        <v>2692.875560698827</v>
      </c>
      <c r="N68" s="464">
        <f ca="1"/>
        <v>2451.4463916460554</v>
      </c>
      <c r="O68" s="464">
        <f ca="1"/>
        <v>1990.8553439550594</v>
      </c>
      <c r="P68" s="464">
        <f ca="1"/>
        <v>1939.4344044827508</v>
      </c>
      <c r="Q68" s="464">
        <f ca="1"/>
        <v>2438.5404100720889</v>
      </c>
      <c r="R68" s="464">
        <f t="shared" ca="1" si="39"/>
        <v>13656.423836378883</v>
      </c>
      <c r="S68" s="464">
        <f t="shared" ca="1" si="40"/>
        <v>14204.157834198384</v>
      </c>
      <c r="T68" s="464">
        <f t="shared" ca="1" si="41"/>
        <v>27860.581670577267</v>
      </c>
      <c r="U68" s="690">
        <f ca="1">U67</f>
        <v>12.3</v>
      </c>
      <c r="V68" s="693" cm="1">
        <f t="array" aca="1" ref="V68" ca="1">INDEX(F68:Q68,1,COUNTA(F68:Q68))</f>
        <v>2438.5404100720889</v>
      </c>
      <c r="W68" s="686"/>
    </row>
    <row r="69" spans="4:23" ht="13.5" thickBot="1">
      <c r="D69" s="1084" t="s">
        <v>199</v>
      </c>
      <c r="E69" s="243" t="s">
        <v>300</v>
      </c>
      <c r="F69" s="450" cm="1">
        <f t="array" aca="1" ref="F69:Q69" ca="1">OFFSET(F29,,,,COUNTA(F29:Q29))</f>
        <v>174.84246672344887</v>
      </c>
      <c r="G69" s="450">
        <f ca="1"/>
        <v>95.409199658686077</v>
      </c>
      <c r="H69" s="450">
        <f ca="1"/>
        <v>94.971387015200364</v>
      </c>
      <c r="I69" s="450">
        <f ca="1"/>
        <v>95.975560493390589</v>
      </c>
      <c r="J69" s="450">
        <f ca="1"/>
        <v>173.37167750766366</v>
      </c>
      <c r="K69" s="450">
        <f ca="1"/>
        <v>200.9061782129682</v>
      </c>
      <c r="L69" s="450">
        <f ca="1"/>
        <v>202.33648184678404</v>
      </c>
      <c r="M69" s="450">
        <f ca="1"/>
        <v>202.56811818875846</v>
      </c>
      <c r="N69" s="450">
        <f ca="1"/>
        <v>162.41149757172622</v>
      </c>
      <c r="O69" s="450">
        <f ca="1"/>
        <v>150.51417607622224</v>
      </c>
      <c r="P69" s="450">
        <f ca="1"/>
        <v>152.29088669062827</v>
      </c>
      <c r="Q69" s="450">
        <f ca="1"/>
        <v>187.48920166073793</v>
      </c>
      <c r="R69" s="450">
        <f t="shared" ca="1" si="39"/>
        <v>835.47646961135774</v>
      </c>
      <c r="S69" s="450">
        <f t="shared" ca="1" si="40"/>
        <v>1057.6103620348572</v>
      </c>
      <c r="T69" s="450">
        <f t="shared" ca="1" si="41"/>
        <v>1893.0868316462149</v>
      </c>
      <c r="U69" s="688">
        <f t="shared" ca="1" si="42"/>
        <v>12.3</v>
      </c>
      <c r="V69" s="691" cm="1">
        <f t="array" aca="1" ref="V69" ca="1">INDEX(F69:Q69,1,COUNTA(F69:Q69))</f>
        <v>187.48920166073793</v>
      </c>
      <c r="W69" s="264">
        <f ca="1">SUM($V$69:V69)-V69/2</f>
        <v>93.744600830368967</v>
      </c>
    </row>
    <row r="70" spans="4:23" ht="13.5" thickBot="1">
      <c r="D70" s="1085"/>
      <c r="E70" s="184" t="s">
        <v>306</v>
      </c>
      <c r="F70" s="453" cm="1">
        <f t="array" aca="1" ref="F70:Q70" ca="1">OFFSET(F30,,,,COUNTA(F30:Q30))</f>
        <v>315.35037456280253</v>
      </c>
      <c r="G70" s="453">
        <f ca="1"/>
        <v>330.03506492771413</v>
      </c>
      <c r="H70" s="453">
        <f ca="1"/>
        <v>317.62064437456451</v>
      </c>
      <c r="I70" s="453">
        <f ca="1"/>
        <v>319.67407814187618</v>
      </c>
      <c r="J70" s="453">
        <f ca="1"/>
        <v>323.57932852578932</v>
      </c>
      <c r="K70" s="453">
        <f ca="1"/>
        <v>367.90372355932612</v>
      </c>
      <c r="L70" s="453">
        <f ca="1"/>
        <v>363.37845966157118</v>
      </c>
      <c r="M70" s="453">
        <f ca="1"/>
        <v>363.56906235383826</v>
      </c>
      <c r="N70" s="453">
        <f ca="1"/>
        <v>345.92546398841182</v>
      </c>
      <c r="O70" s="453">
        <f ca="1"/>
        <v>268.27530292536932</v>
      </c>
      <c r="P70" s="453">
        <f ca="1"/>
        <v>257.4956595715509</v>
      </c>
      <c r="Q70" s="453">
        <f ca="1"/>
        <v>326.47566151862253</v>
      </c>
      <c r="R70" s="453">
        <f t="shared" ca="1" si="39"/>
        <v>1974.1632140920728</v>
      </c>
      <c r="S70" s="453">
        <f t="shared" ca="1" si="40"/>
        <v>1925.119610019364</v>
      </c>
      <c r="T70" s="453">
        <f t="shared" ca="1" si="41"/>
        <v>3899.2828241114366</v>
      </c>
      <c r="U70" s="689">
        <f ca="1">U69</f>
        <v>12.3</v>
      </c>
      <c r="V70" s="692" cm="1">
        <f t="array" aca="1" ref="V70" ca="1">INDEX(F70:Q70,1,COUNTA(F70:Q70))</f>
        <v>326.47566151862253</v>
      </c>
      <c r="W70" s="264">
        <f ca="1">SUM($V$69:V70)-V70/2</f>
        <v>350.72703242004923</v>
      </c>
    </row>
    <row r="71" spans="4:23">
      <c r="D71" s="1085"/>
      <c r="E71" s="184" t="s">
        <v>307</v>
      </c>
      <c r="F71" s="453" cm="1">
        <f t="array" aca="1" ref="F71:Q71" ca="1">OFFSET(F31,,,,COUNTA(F31:Q31))</f>
        <v>324.93257075733891</v>
      </c>
      <c r="G71" s="453">
        <f ca="1"/>
        <v>370.99965180481712</v>
      </c>
      <c r="H71" s="453">
        <f ca="1"/>
        <v>336.03324481197052</v>
      </c>
      <c r="I71" s="453">
        <f ca="1"/>
        <v>337.72281560936864</v>
      </c>
      <c r="J71" s="453">
        <f ca="1"/>
        <v>364.59563991010805</v>
      </c>
      <c r="K71" s="453">
        <f ca="1"/>
        <v>384.20562422648618</v>
      </c>
      <c r="L71" s="453">
        <f ca="1"/>
        <v>374.87621651715205</v>
      </c>
      <c r="M71" s="453">
        <f ca="1"/>
        <v>374.12634734663447</v>
      </c>
      <c r="N71" s="453">
        <f ca="1"/>
        <v>373.68400666928818</v>
      </c>
      <c r="O71" s="453">
        <f ca="1"/>
        <v>276.55889499580633</v>
      </c>
      <c r="P71" s="453">
        <f ca="1"/>
        <v>288.85693401766531</v>
      </c>
      <c r="Q71" s="453">
        <f ca="1"/>
        <v>357.31622324802942</v>
      </c>
      <c r="R71" s="453">
        <f t="shared" ca="1" si="39"/>
        <v>2118.4895471200894</v>
      </c>
      <c r="S71" s="453">
        <f t="shared" ca="1" si="40"/>
        <v>2045.4186227945759</v>
      </c>
      <c r="T71" s="453">
        <f t="shared" ca="1" si="41"/>
        <v>4163.9081699146655</v>
      </c>
      <c r="U71" s="689">
        <f ca="1">U70</f>
        <v>12.3</v>
      </c>
      <c r="V71" s="692" cm="1">
        <f t="array" aca="1" ref="V71" ca="1">INDEX(F71:Q71,1,COUNTA(F71:Q71))</f>
        <v>357.31622324802942</v>
      </c>
      <c r="W71" s="264">
        <f ca="1">SUM($V$69:V71)-V71/2</f>
        <v>692.6229748033752</v>
      </c>
    </row>
    <row r="72" spans="4:23" ht="13.5" thickBot="1">
      <c r="D72" s="1085"/>
      <c r="E72" s="184" t="s">
        <v>310</v>
      </c>
      <c r="F72" s="453" cm="1">
        <f t="array" aca="1" ref="F72:Q72" ca="1">OFFSET(F32,,,,COUNTA(F32:Q32))</f>
        <v>815.12541204359036</v>
      </c>
      <c r="G72" s="453">
        <f ca="1"/>
        <v>796.44391639121727</v>
      </c>
      <c r="H72" s="453">
        <f ca="1"/>
        <v>748.62527620173546</v>
      </c>
      <c r="I72" s="453">
        <f ca="1"/>
        <v>753.37245424463549</v>
      </c>
      <c r="J72" s="453">
        <f ca="1"/>
        <v>861.54664594356109</v>
      </c>
      <c r="K72" s="453">
        <f ca="1"/>
        <v>953.0155259987805</v>
      </c>
      <c r="L72" s="453">
        <f ca="1"/>
        <v>940.59115802550718</v>
      </c>
      <c r="M72" s="453">
        <f ca="1"/>
        <v>940.26352788923123</v>
      </c>
      <c r="N72" s="453">
        <f ca="1"/>
        <v>882.02096822942622</v>
      </c>
      <c r="O72" s="453">
        <f ca="1"/>
        <v>695.34837399739786</v>
      </c>
      <c r="P72" s="453">
        <f ca="1"/>
        <v>698.64348027984443</v>
      </c>
      <c r="Q72" s="453">
        <f ca="1"/>
        <v>871.28108642738994</v>
      </c>
      <c r="R72" s="453">
        <f t="shared" ca="1" si="39"/>
        <v>4928.1292308235197</v>
      </c>
      <c r="S72" s="453">
        <f t="shared" ca="1" si="40"/>
        <v>5028.1485948487962</v>
      </c>
      <c r="T72" s="453">
        <f t="shared" ca="1" si="41"/>
        <v>9956.2778256723159</v>
      </c>
      <c r="U72" s="689">
        <f ca="1">U71</f>
        <v>12.3</v>
      </c>
      <c r="V72" s="693" cm="1">
        <f t="array" aca="1" ref="V72" ca="1">INDEX(F72:Q72,1,COUNTA(F72:Q72))</f>
        <v>871.28108642738994</v>
      </c>
      <c r="W72" s="687"/>
    </row>
    <row r="73" spans="4:23" ht="13.5" thickBot="1">
      <c r="D73" s="1086"/>
      <c r="E73" s="251" t="s">
        <v>311</v>
      </c>
      <c r="F73" s="464" cm="1">
        <f t="array" aca="1" ref="F73:Q73" ca="1">OFFSET(F33,,,,COUNTA(F33:Q33))</f>
        <v>815.12541204359036</v>
      </c>
      <c r="G73" s="464">
        <f ca="1"/>
        <v>796.44391639121727</v>
      </c>
      <c r="H73" s="464">
        <f ca="1"/>
        <v>748.62527620173546</v>
      </c>
      <c r="I73" s="464">
        <f ca="1"/>
        <v>753.37245424463549</v>
      </c>
      <c r="J73" s="464">
        <f ca="1"/>
        <v>861.54664594356109</v>
      </c>
      <c r="K73" s="464">
        <f ca="1"/>
        <v>953.0155259987805</v>
      </c>
      <c r="L73" s="464">
        <f ca="1"/>
        <v>940.59115802550718</v>
      </c>
      <c r="M73" s="464">
        <f ca="1"/>
        <v>940.26352788923123</v>
      </c>
      <c r="N73" s="464">
        <f ca="1"/>
        <v>882.02096822942622</v>
      </c>
      <c r="O73" s="464">
        <f ca="1"/>
        <v>695.34837399739786</v>
      </c>
      <c r="P73" s="464">
        <f ca="1"/>
        <v>698.64348027984443</v>
      </c>
      <c r="Q73" s="464">
        <f ca="1"/>
        <v>871.28108642738994</v>
      </c>
      <c r="R73" s="464">
        <f t="shared" ca="1" si="39"/>
        <v>4928.1292308235197</v>
      </c>
      <c r="S73" s="464">
        <f t="shared" ca="1" si="40"/>
        <v>5028.1485948487962</v>
      </c>
      <c r="T73" s="464">
        <f t="shared" ca="1" si="41"/>
        <v>9956.2778256723159</v>
      </c>
      <c r="U73" s="690">
        <f ca="1">U72</f>
        <v>12.3</v>
      </c>
      <c r="V73" s="693" cm="1">
        <f t="array" aca="1" ref="V73" ca="1">INDEX(F73:Q73,1,COUNTA(F73:Q73))</f>
        <v>871.28108642738994</v>
      </c>
      <c r="W73" s="686"/>
    </row>
    <row r="93" spans="6:26">
      <c r="Z93" s="655"/>
    </row>
    <row r="94" spans="6:26">
      <c r="F94" s="648"/>
      <c r="Q94" s="648"/>
    </row>
    <row r="95" spans="6:26">
      <c r="F95" s="275"/>
      <c r="G95" s="275"/>
      <c r="H95" s="275"/>
      <c r="I95" s="275"/>
      <c r="J95" s="275"/>
      <c r="K95" s="275"/>
      <c r="L95" s="275"/>
      <c r="M95" s="275"/>
      <c r="N95" s="275"/>
      <c r="O95" s="275"/>
      <c r="P95" s="275"/>
      <c r="Q95" s="275"/>
      <c r="R95" s="655"/>
      <c r="S95" s="655"/>
      <c r="U95" s="673"/>
    </row>
    <row r="96" spans="6:26">
      <c r="F96" s="275"/>
      <c r="G96" s="275"/>
      <c r="H96" s="275"/>
      <c r="I96" s="275"/>
      <c r="J96" s="275"/>
      <c r="K96" s="275"/>
      <c r="L96" s="275"/>
      <c r="M96" s="275"/>
      <c r="N96" s="275"/>
      <c r="O96" s="275"/>
      <c r="P96" s="275"/>
      <c r="Q96" s="275"/>
      <c r="R96" s="655"/>
      <c r="S96" s="655"/>
      <c r="U96" s="673"/>
    </row>
    <row r="97" spans="6:21">
      <c r="F97" s="275"/>
      <c r="G97" s="275"/>
      <c r="H97" s="275"/>
      <c r="I97" s="275"/>
      <c r="J97" s="275"/>
      <c r="K97" s="275"/>
      <c r="L97" s="275"/>
      <c r="M97" s="275"/>
      <c r="N97" s="275"/>
      <c r="O97" s="275"/>
      <c r="P97" s="275"/>
      <c r="Q97" s="275"/>
      <c r="R97" s="655"/>
      <c r="S97" s="655"/>
      <c r="U97" s="673"/>
    </row>
    <row r="98" spans="6:21">
      <c r="F98" s="275"/>
      <c r="G98" s="275"/>
      <c r="H98" s="275"/>
      <c r="I98" s="275"/>
      <c r="J98" s="275"/>
      <c r="K98" s="275"/>
      <c r="L98" s="275"/>
      <c r="M98" s="275"/>
      <c r="N98" s="275"/>
      <c r="O98" s="275"/>
      <c r="P98" s="275"/>
      <c r="Q98" s="275"/>
      <c r="R98" s="655"/>
      <c r="S98" s="655"/>
      <c r="U98" s="673"/>
    </row>
    <row r="127" spans="5:20">
      <c r="E127" s="648"/>
    </row>
    <row r="128" spans="5:20">
      <c r="F128" s="275"/>
      <c r="G128" s="275"/>
      <c r="H128" s="275"/>
      <c r="I128" s="275"/>
      <c r="J128" s="275"/>
      <c r="K128" s="275"/>
      <c r="L128" s="275"/>
      <c r="M128" s="275"/>
      <c r="N128" s="275"/>
      <c r="O128" s="275"/>
      <c r="P128" s="275"/>
      <c r="Q128" s="275"/>
      <c r="R128" s="655"/>
      <c r="T128" s="673"/>
    </row>
    <row r="129" spans="6:20">
      <c r="F129" s="275"/>
      <c r="G129" s="275"/>
      <c r="H129" s="275"/>
      <c r="I129" s="275"/>
      <c r="J129" s="275"/>
      <c r="K129" s="275"/>
      <c r="L129" s="275"/>
      <c r="M129" s="275"/>
      <c r="N129" s="275"/>
      <c r="O129" s="275"/>
      <c r="P129" s="275"/>
      <c r="Q129" s="275"/>
      <c r="R129" s="655"/>
      <c r="T129" s="673"/>
    </row>
    <row r="130" spans="6:20">
      <c r="F130" s="275"/>
      <c r="G130" s="275"/>
      <c r="H130" s="275"/>
      <c r="I130" s="275"/>
      <c r="J130" s="275"/>
      <c r="K130" s="275"/>
      <c r="L130" s="275"/>
      <c r="M130" s="275"/>
      <c r="N130" s="275"/>
      <c r="O130" s="275"/>
      <c r="P130" s="275"/>
      <c r="Q130" s="275"/>
      <c r="R130" s="655"/>
      <c r="T130" s="673"/>
    </row>
    <row r="131" spans="6:20">
      <c r="F131" s="275"/>
      <c r="G131" s="275"/>
      <c r="H131" s="275"/>
      <c r="I131" s="275"/>
      <c r="J131" s="275"/>
      <c r="K131" s="275"/>
      <c r="L131" s="275"/>
      <c r="M131" s="275"/>
      <c r="N131" s="275"/>
      <c r="O131" s="275"/>
      <c r="P131" s="275"/>
      <c r="Q131" s="275"/>
      <c r="R131" s="655"/>
      <c r="T131" s="673"/>
    </row>
    <row r="132" spans="6:20">
      <c r="F132" s="275"/>
      <c r="G132" s="275"/>
      <c r="H132" s="275"/>
      <c r="I132" s="275"/>
      <c r="J132" s="275"/>
      <c r="K132" s="275"/>
      <c r="L132" s="275"/>
      <c r="M132" s="275"/>
      <c r="N132" s="275"/>
      <c r="O132" s="275"/>
      <c r="P132" s="275"/>
      <c r="Q132" s="275"/>
      <c r="R132" s="655"/>
      <c r="T132" s="673"/>
    </row>
    <row r="166" spans="4:4">
      <c r="D166" s="674"/>
    </row>
  </sheetData>
  <mergeCells count="18">
    <mergeCell ref="R4:T4"/>
    <mergeCell ref="C5:D5"/>
    <mergeCell ref="A1:F1"/>
    <mergeCell ref="B4:D4"/>
    <mergeCell ref="A6:A23"/>
    <mergeCell ref="C6:C10"/>
    <mergeCell ref="C11:C16"/>
    <mergeCell ref="C17:C21"/>
    <mergeCell ref="B22:B23"/>
    <mergeCell ref="D61:D64"/>
    <mergeCell ref="D65:D68"/>
    <mergeCell ref="D69:D73"/>
    <mergeCell ref="A24:A28"/>
    <mergeCell ref="B27:B28"/>
    <mergeCell ref="A29:A32"/>
    <mergeCell ref="C40:C45"/>
    <mergeCell ref="C46:C50"/>
    <mergeCell ref="C36:C39"/>
  </mergeCells>
  <printOptions horizontalCentered="1" gridLinesSet="0"/>
  <pageMargins left="0.78740157480314965" right="0.19685039370078741" top="0.59055118110236227" bottom="0.59055118110236227" header="0.51181102362204722" footer="0.51181102362204722"/>
  <pageSetup paperSize="9" scale="31" orientation="portrait" horizontalDpi="4294967292" r:id="rId1"/>
  <headerFooter alignWithMargins="0">
    <oddFooter>&amp;L&amp;A&amp;R&amp;F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1">
    <tabColor indexed="56"/>
    <pageSetUpPr fitToPage="1"/>
  </sheetPr>
  <dimension ref="A1:W73"/>
  <sheetViews>
    <sheetView showGridLines="0" zoomScale="98" zoomScaleNormal="98" workbookViewId="0">
      <pane xSplit="4" ySplit="5" topLeftCell="K39" activePane="bottomRight" state="frozen"/>
      <selection activeCell="E6" sqref="E6"/>
      <selection pane="topRight" activeCell="E6" sqref="E6"/>
      <selection pane="bottomLeft" activeCell="E6" sqref="E6"/>
      <selection pane="bottomRight" activeCell="S12" sqref="S12"/>
    </sheetView>
  </sheetViews>
  <sheetFormatPr defaultColWidth="11.42578125" defaultRowHeight="12.75"/>
  <cols>
    <col min="1" max="1" width="4.7109375" style="75" customWidth="1"/>
    <col min="2" max="2" width="10.85546875" style="75" bestFit="1" customWidth="1"/>
    <col min="3" max="3" width="11.7109375" style="75" bestFit="1" customWidth="1"/>
    <col min="4" max="4" width="10.5703125" style="75" bestFit="1" customWidth="1"/>
    <col min="5" max="5" width="10.140625" style="75" bestFit="1" customWidth="1"/>
    <col min="6" max="16384" width="11.42578125" style="75"/>
  </cols>
  <sheetData>
    <row r="1" spans="1:23" ht="18" customHeight="1">
      <c r="A1" s="1026" t="s">
        <v>103</v>
      </c>
      <c r="B1" s="1026"/>
      <c r="C1" s="1026"/>
      <c r="D1" s="1026"/>
      <c r="E1" s="1026"/>
    </row>
    <row r="2" spans="1:23" ht="18" customHeight="1"/>
    <row r="3" spans="1:23" ht="9.9499999999999993" customHeight="1" thickBot="1"/>
    <row r="4" spans="1:23" ht="25.5">
      <c r="A4" s="76"/>
      <c r="B4" s="1096" t="s">
        <v>57</v>
      </c>
      <c r="C4" s="1097"/>
      <c r="D4" s="1038"/>
      <c r="E4" s="476" t="s">
        <v>201</v>
      </c>
      <c r="F4" s="77" t="s">
        <v>82</v>
      </c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 t="s">
        <v>166</v>
      </c>
      <c r="S4" s="77"/>
      <c r="T4" s="77" t="s">
        <v>164</v>
      </c>
      <c r="U4" s="77"/>
      <c r="V4" s="77" t="s">
        <v>1</v>
      </c>
      <c r="W4" s="77"/>
    </row>
    <row r="5" spans="1:23" ht="13.5" thickBot="1">
      <c r="A5" s="126"/>
      <c r="B5" s="127" t="s">
        <v>102</v>
      </c>
      <c r="C5" s="1098" t="s">
        <v>50</v>
      </c>
      <c r="D5" s="1099"/>
      <c r="E5" s="127">
        <f>'Falhas UM-1 - Qty'!E5</f>
        <v>2022</v>
      </c>
      <c r="F5" s="153">
        <f>'Falhas UM-1 - Qty'!F5</f>
        <v>44652</v>
      </c>
      <c r="G5" s="153">
        <f>'Falhas UM-1 - Qty'!G5</f>
        <v>44682</v>
      </c>
      <c r="H5" s="153">
        <f>'Falhas UM-1 - Qty'!H5</f>
        <v>44713</v>
      </c>
      <c r="I5" s="153">
        <f>'Falhas UM-1 - Qty'!I5</f>
        <v>44743</v>
      </c>
      <c r="J5" s="153">
        <f>'Falhas UM-1 - Qty'!J5</f>
        <v>44774</v>
      </c>
      <c r="K5" s="153">
        <f>'Falhas UM-1 - Qty'!K5</f>
        <v>44805</v>
      </c>
      <c r="L5" s="153">
        <f>'Falhas UM-1 - Qty'!L5</f>
        <v>44835</v>
      </c>
      <c r="M5" s="153">
        <f>'Falhas UM-1 - Qty'!M5</f>
        <v>44866</v>
      </c>
      <c r="N5" s="153">
        <f>'Falhas UM-1 - Qty'!N5</f>
        <v>44896</v>
      </c>
      <c r="O5" s="153">
        <f>'Falhas UM-1 - Qty'!O5</f>
        <v>44927</v>
      </c>
      <c r="P5" s="153">
        <f>'Falhas UM-1 - Qty'!P5</f>
        <v>44958</v>
      </c>
      <c r="Q5" s="153">
        <f>'Falhas UM-1 - Qty'!Q5</f>
        <v>44986</v>
      </c>
      <c r="R5" s="127" t="s">
        <v>49</v>
      </c>
      <c r="S5" s="127" t="s">
        <v>48</v>
      </c>
      <c r="T5" s="127" t="s">
        <v>49</v>
      </c>
      <c r="U5" s="127" t="s">
        <v>48</v>
      </c>
      <c r="V5" s="127" t="s">
        <v>49</v>
      </c>
      <c r="W5" s="127" t="s">
        <v>48</v>
      </c>
    </row>
    <row r="6" spans="1:23" ht="18" customHeight="1" thickTop="1">
      <c r="A6" s="1100" t="s">
        <v>99</v>
      </c>
      <c r="B6" s="1101">
        <v>6010</v>
      </c>
      <c r="C6" s="128" t="s">
        <v>98</v>
      </c>
      <c r="D6" s="128" t="s">
        <v>89</v>
      </c>
      <c r="E6" s="129">
        <f>'[3]SM - Qty'!X6</f>
        <v>1982.167394857315</v>
      </c>
      <c r="F6" s="129">
        <f>$E6/1000000*F$9</f>
        <v>283.3860244591163</v>
      </c>
      <c r="G6" s="129">
        <f t="shared" ref="G6:Q6" si="0">$E6/1000000*G$9</f>
        <v>280.08080195370701</v>
      </c>
      <c r="H6" s="129">
        <f t="shared" si="0"/>
        <v>276.57814665601671</v>
      </c>
      <c r="I6" s="129">
        <f t="shared" si="0"/>
        <v>282.02956239483331</v>
      </c>
      <c r="J6" s="129">
        <f t="shared" si="0"/>
        <v>280.27823474598807</v>
      </c>
      <c r="K6" s="129">
        <f t="shared" si="0"/>
        <v>324.32466969015883</v>
      </c>
      <c r="L6" s="129">
        <f t="shared" si="0"/>
        <v>326.27343013128501</v>
      </c>
      <c r="M6" s="129">
        <f t="shared" si="0"/>
        <v>326.4050519928058</v>
      </c>
      <c r="N6" s="129">
        <f t="shared" si="0"/>
        <v>326.01018640824361</v>
      </c>
      <c r="O6" s="129">
        <f t="shared" si="0"/>
        <v>241.15672809455111</v>
      </c>
      <c r="P6" s="129">
        <f t="shared" si="0"/>
        <v>251.92793771066351</v>
      </c>
      <c r="Q6" s="129">
        <f t="shared" si="0"/>
        <v>304.2045234529773</v>
      </c>
      <c r="R6" s="129">
        <f>SUM(F6:K6)</f>
        <v>1726.6774398998202</v>
      </c>
      <c r="S6" s="129">
        <f>R6/$R$9*1000000</f>
        <v>1982.1673948573152</v>
      </c>
      <c r="T6" s="129">
        <f>SUM(M6:Q6)</f>
        <v>1449.7044276592414</v>
      </c>
      <c r="U6" s="129">
        <f>T6/$T$9*1000000</f>
        <v>1982.1673948573157</v>
      </c>
      <c r="V6" s="129">
        <f>T6+R6</f>
        <v>3176.3818675590619</v>
      </c>
      <c r="W6" s="129">
        <f>V6/$V$9*1000000</f>
        <v>1982.1673948573157</v>
      </c>
    </row>
    <row r="7" spans="1:23" ht="18" customHeight="1">
      <c r="A7" s="1032"/>
      <c r="B7" s="1094"/>
      <c r="C7" s="130"/>
      <c r="D7" s="130" t="s">
        <v>88</v>
      </c>
      <c r="E7" s="94">
        <f>'[3]SM - Qty'!X7</f>
        <v>1240.8793869240153</v>
      </c>
      <c r="F7" s="94">
        <f t="shared" ref="F7:Q8" si="1">$E7/1000000*F$9</f>
        <v>177.40574141518221</v>
      </c>
      <c r="G7" s="94">
        <f t="shared" si="1"/>
        <v>175.33660109595354</v>
      </c>
      <c r="H7" s="94">
        <f t="shared" si="1"/>
        <v>173.14386360583001</v>
      </c>
      <c r="I7" s="94">
        <f t="shared" si="1"/>
        <v>176.5565670119102</v>
      </c>
      <c r="J7" s="94">
        <f t="shared" si="1"/>
        <v>175.46019826684838</v>
      </c>
      <c r="K7" s="94">
        <f t="shared" si="1"/>
        <v>203.03421312125255</v>
      </c>
      <c r="L7" s="94">
        <f t="shared" si="1"/>
        <v>204.25417903720913</v>
      </c>
      <c r="M7" s="94">
        <f t="shared" si="1"/>
        <v>204.33657715113907</v>
      </c>
      <c r="N7" s="94">
        <f t="shared" si="1"/>
        <v>204.08938280934933</v>
      </c>
      <c r="O7" s="94">
        <f t="shared" si="1"/>
        <v>150.96929436280482</v>
      </c>
      <c r="P7" s="94">
        <f t="shared" si="1"/>
        <v>157.71230306103527</v>
      </c>
      <c r="Q7" s="94">
        <f t="shared" si="1"/>
        <v>190.4385691850286</v>
      </c>
      <c r="R7" s="94">
        <f t="shared" ref="R7:R42" si="2">SUM(F7:K7)</f>
        <v>1080.9371845169767</v>
      </c>
      <c r="S7" s="94">
        <f t="shared" ref="S7:S8" si="3">R7/$R$9*1000000</f>
        <v>1240.8793869240153</v>
      </c>
      <c r="T7" s="94">
        <f t="shared" ref="T7:T42" si="4">SUM(M7:Q7)</f>
        <v>907.54612656935706</v>
      </c>
      <c r="U7" s="94">
        <f>T7/$T$9*1000000</f>
        <v>1240.8793869240155</v>
      </c>
      <c r="V7" s="94">
        <f t="shared" ref="V7:V42" si="5">T7+R7</f>
        <v>1988.4833110863337</v>
      </c>
      <c r="W7" s="94">
        <f>V7/$V$9*1000000</f>
        <v>1240.8793869240153</v>
      </c>
    </row>
    <row r="8" spans="1:23" ht="18" customHeight="1">
      <c r="A8" s="1032"/>
      <c r="B8" s="1094"/>
      <c r="C8" s="130"/>
      <c r="D8" s="130" t="s">
        <v>87</v>
      </c>
      <c r="E8" s="94">
        <f>'[3]SM - Qty'!X8</f>
        <v>215.82612416535565</v>
      </c>
      <c r="F8" s="94">
        <f t="shared" si="1"/>
        <v>30.856176658098267</v>
      </c>
      <c r="G8" s="94">
        <f t="shared" si="1"/>
        <v>30.496291128401147</v>
      </c>
      <c r="H8" s="94">
        <f t="shared" si="1"/>
        <v>30.114908345519598</v>
      </c>
      <c r="I8" s="94">
        <f t="shared" si="1"/>
        <v>30.708479773026355</v>
      </c>
      <c r="J8" s="94">
        <f t="shared" si="1"/>
        <v>30.517788381585571</v>
      </c>
      <c r="K8" s="94">
        <f t="shared" si="1"/>
        <v>35.31373617185087</v>
      </c>
      <c r="L8" s="94">
        <f t="shared" si="1"/>
        <v>35.525924816476063</v>
      </c>
      <c r="M8" s="94">
        <f t="shared" si="1"/>
        <v>35.54025631859902</v>
      </c>
      <c r="N8" s="94">
        <f t="shared" si="1"/>
        <v>35.497261812230164</v>
      </c>
      <c r="O8" s="94">
        <f t="shared" si="1"/>
        <v>26.25808601033523</v>
      </c>
      <c r="P8" s="94">
        <f t="shared" si="1"/>
        <v>27.430897363225782</v>
      </c>
      <c r="Q8" s="94">
        <f t="shared" si="1"/>
        <v>33.122976102203147</v>
      </c>
      <c r="R8" s="94">
        <f t="shared" si="2"/>
        <v>188.0073804584818</v>
      </c>
      <c r="S8" s="94">
        <f t="shared" si="3"/>
        <v>215.82612416535568</v>
      </c>
      <c r="T8" s="94">
        <f t="shared" si="4"/>
        <v>157.84947760659335</v>
      </c>
      <c r="U8" s="94">
        <f>T8/$T$9*1000000</f>
        <v>215.82612416535571</v>
      </c>
      <c r="V8" s="94">
        <f t="shared" si="5"/>
        <v>345.85685806507513</v>
      </c>
      <c r="W8" s="94">
        <f>V8/$V$9*1000000</f>
        <v>215.82612416535565</v>
      </c>
    </row>
    <row r="9" spans="1:23" ht="18" customHeight="1">
      <c r="A9" s="1032"/>
      <c r="B9" s="1094"/>
      <c r="C9" s="131" t="s">
        <v>83</v>
      </c>
      <c r="D9" s="131"/>
      <c r="E9" s="132">
        <f>'[3]SM - Qty'!X9</f>
        <v>0</v>
      </c>
      <c r="F9" s="132">
        <f>'[36]PRODUCTION (Rev.2) BP22 (2)'!B$7+'[36]PRODUCTION (Rev.2) BP22 (2)'!B$71+'[36]PRODUCTION (Rev.2) BP22 (2)'!B$72</f>
        <v>142967.75599999999</v>
      </c>
      <c r="G9" s="132">
        <f>'[36]PRODUCTION (Rev.2) BP22 (2)'!C$7+'[36]PRODUCTION (Rev.2) BP22 (2)'!C$71+'[36]PRODUCTION (Rev.2) BP22 (2)'!C$72</f>
        <v>141300.277</v>
      </c>
      <c r="H9" s="132">
        <f>'[36]PRODUCTION (Rev.2) BP22 (2)'!D$7+'[36]PRODUCTION (Rev.2) BP22 (2)'!D$71+'[36]PRODUCTION (Rev.2) BP22 (2)'!D$72</f>
        <v>139533.19350000002</v>
      </c>
      <c r="I9" s="132">
        <f>'[36]PRODUCTION (Rev.2) BP22 (2)'!E$7+'[36]PRODUCTION (Rev.2) BP22 (2)'!E$71+'[36]PRODUCTION (Rev.2) BP22 (2)'!E$72</f>
        <v>142283.42325000002</v>
      </c>
      <c r="J9" s="132">
        <f>'[36]PRODUCTION (Rev.2) BP22 (2)'!F$7+'[36]PRODUCTION (Rev.2) BP22 (2)'!F$71+'[36]PRODUCTION (Rev.2) BP22 (2)'!F$72</f>
        <v>141399.88149999999</v>
      </c>
      <c r="K9" s="132">
        <f>'[36]PRODUCTION (Rev.2) BP22 (2)'!G$7+'[36]PRODUCTION (Rev.2) BP22 (2)'!G$71+'[36]PRODUCTION (Rev.2) BP22 (2)'!G$72</f>
        <v>163621.23125000001</v>
      </c>
      <c r="L9" s="132">
        <f>'[36]PRODUCTION (Rev.2) BP22 (2)'!H$7+'[36]PRODUCTION (Rev.2) BP22 (2)'!H$71+'[36]PRODUCTION (Rev.2) BP22 (2)'!H$72</f>
        <v>164604.37749999997</v>
      </c>
      <c r="M9" s="132">
        <f>'[36]PRODUCTION (Rev.2) BP22 (2)'!I$7+'[36]PRODUCTION (Rev.2) BP22 (2)'!I$71+'[36]PRODUCTION (Rev.2) BP22 (2)'!I$72</f>
        <v>164670.78049999999</v>
      </c>
      <c r="N9" s="132">
        <f>'[36]PRODUCTION (Rev.2) BP22 (2)'!J$7+'[36]PRODUCTION (Rev.2) BP22 (2)'!J$71+'[36]PRODUCTION (Rev.2) BP22 (2)'!J$72</f>
        <v>164471.57149999999</v>
      </c>
      <c r="O9" s="132">
        <f>'[36]PRODUCTION (Rev.2) BP22 (2)'!K$7+'[36]PRODUCTION (Rev.2) BP22 (2)'!K$71+'[36]PRODUCTION (Rev.2) BP22 (2)'!K$72</f>
        <v>121663.14950000001</v>
      </c>
      <c r="P9" s="132">
        <f>'[36]PRODUCTION (Rev.2) BP22 (2)'!L$7+'[36]PRODUCTION (Rev.2) BP22 (2)'!L$71+'[36]PRODUCTION (Rev.2) BP22 (2)'!L$72</f>
        <v>127097.20599999999</v>
      </c>
      <c r="Q9" s="132">
        <f>'[36]PRODUCTION (Rev.2) BP22 (2)'!M$7+'[36]PRODUCTION (Rev.2) BP22 (2)'!M$71+'[36]PRODUCTION (Rev.2) BP22 (2)'!M$72</f>
        <v>153470.6525</v>
      </c>
      <c r="R9" s="132">
        <f t="shared" si="2"/>
        <v>871105.76249999995</v>
      </c>
      <c r="S9" s="132"/>
      <c r="T9" s="132">
        <f t="shared" si="4"/>
        <v>731373.35999999987</v>
      </c>
      <c r="U9" s="132"/>
      <c r="V9" s="132">
        <f t="shared" si="5"/>
        <v>1602479.1224999998</v>
      </c>
      <c r="W9" s="132"/>
    </row>
    <row r="10" spans="1:23" ht="18" customHeight="1">
      <c r="A10" s="1032"/>
      <c r="B10" s="1094">
        <v>6020</v>
      </c>
      <c r="C10" s="130" t="s">
        <v>97</v>
      </c>
      <c r="D10" s="130" t="s">
        <v>89</v>
      </c>
      <c r="E10" s="94">
        <f>'[3]SM - Qty'!X10</f>
        <v>1154.1499790053558</v>
      </c>
      <c r="F10" s="94">
        <f>$E10/1000000*F$13</f>
        <v>36.216531312070714</v>
      </c>
      <c r="G10" s="94">
        <f t="shared" ref="G10:Q12" si="6">$E10/1000000*G$13</f>
        <v>35.797367353525544</v>
      </c>
      <c r="H10" s="94">
        <f t="shared" si="6"/>
        <v>35.349662420149549</v>
      </c>
      <c r="I10" s="94">
        <f t="shared" si="6"/>
        <v>36.049760795044364</v>
      </c>
      <c r="J10" s="94">
        <f t="shared" si="6"/>
        <v>35.825908328356363</v>
      </c>
      <c r="K10" s="94">
        <f t="shared" si="6"/>
        <v>41.460274628664031</v>
      </c>
      <c r="L10" s="94">
        <f t="shared" si="6"/>
        <v>41.712668070182858</v>
      </c>
      <c r="M10" s="94">
        <f t="shared" si="6"/>
        <v>41.731695386736732</v>
      </c>
      <c r="N10" s="94">
        <f t="shared" si="6"/>
        <v>41.674613437075088</v>
      </c>
      <c r="O10" s="94">
        <f t="shared" si="6"/>
        <v>30.815531136727977</v>
      </c>
      <c r="P10" s="94">
        <f t="shared" si="6"/>
        <v>32.196700569963717</v>
      </c>
      <c r="Q10" s="94">
        <f t="shared" si="6"/>
        <v>38.874219937495845</v>
      </c>
      <c r="R10" s="94">
        <f t="shared" si="2"/>
        <v>220.69950483781054</v>
      </c>
      <c r="S10" s="94">
        <f>R10/$R$13*1000000</f>
        <v>1154.1499790053558</v>
      </c>
      <c r="T10" s="94">
        <f t="shared" si="4"/>
        <v>185.29276046799936</v>
      </c>
      <c r="U10" s="94">
        <f>T10/$T$13*1000000</f>
        <v>1154.1499790053558</v>
      </c>
      <c r="V10" s="94">
        <f t="shared" si="5"/>
        <v>405.99226530580989</v>
      </c>
      <c r="W10" s="94">
        <f>V10/$V$13*1000000</f>
        <v>1154.1499790053558</v>
      </c>
    </row>
    <row r="11" spans="1:23" ht="18" customHeight="1">
      <c r="A11" s="1032"/>
      <c r="B11" s="1094"/>
      <c r="C11" s="130"/>
      <c r="D11" s="130" t="s">
        <v>88</v>
      </c>
      <c r="E11" s="94">
        <f>'[3]SM - Qty'!X11</f>
        <v>1181.8667784385407</v>
      </c>
      <c r="F11" s="94">
        <f>$E11/1000000*F$13</f>
        <v>37.086267787227428</v>
      </c>
      <c r="G11" s="94">
        <f t="shared" si="6"/>
        <v>36.657037647007478</v>
      </c>
      <c r="H11" s="94">
        <f t="shared" si="6"/>
        <v>36.198581123223512</v>
      </c>
      <c r="I11" s="94">
        <f t="shared" si="6"/>
        <v>36.915492292463462</v>
      </c>
      <c r="J11" s="94">
        <f t="shared" si="6"/>
        <v>36.686264030571479</v>
      </c>
      <c r="K11" s="94">
        <f t="shared" si="6"/>
        <v>42.45593908928965</v>
      </c>
      <c r="L11" s="94">
        <f t="shared" si="6"/>
        <v>42.714393734745641</v>
      </c>
      <c r="M11" s="94">
        <f t="shared" si="6"/>
        <v>42.733877990454978</v>
      </c>
      <c r="N11" s="94">
        <f t="shared" si="6"/>
        <v>42.675425223326961</v>
      </c>
      <c r="O11" s="94">
        <f t="shared" si="6"/>
        <v>31.5555631182559</v>
      </c>
      <c r="P11" s="94">
        <f t="shared" si="6"/>
        <v>32.969901201026452</v>
      </c>
      <c r="Q11" s="94">
        <f t="shared" si="6"/>
        <v>39.807780546367177</v>
      </c>
      <c r="R11" s="94">
        <f t="shared" si="2"/>
        <v>225.99958196978298</v>
      </c>
      <c r="S11" s="94">
        <f t="shared" ref="S11:S12" si="7">R11/$R$13*1000000</f>
        <v>1181.8667784385407</v>
      </c>
      <c r="T11" s="94">
        <f t="shared" si="4"/>
        <v>189.74254807943149</v>
      </c>
      <c r="U11" s="94">
        <f>T11/$T$13*1000000</f>
        <v>1181.8667784385407</v>
      </c>
      <c r="V11" s="94">
        <f t="shared" si="5"/>
        <v>415.74213004921444</v>
      </c>
      <c r="W11" s="94">
        <f>V11/$V$13*1000000</f>
        <v>1181.8667784385407</v>
      </c>
    </row>
    <row r="12" spans="1:23" ht="18" customHeight="1">
      <c r="A12" s="1032"/>
      <c r="B12" s="1094"/>
      <c r="C12" s="130"/>
      <c r="D12" s="130" t="s">
        <v>87</v>
      </c>
      <c r="E12" s="94">
        <f>'[3]SM - Qty'!X12</f>
        <v>0</v>
      </c>
      <c r="F12" s="94">
        <f>$E12/1000000*F$13</f>
        <v>0</v>
      </c>
      <c r="G12" s="94">
        <f t="shared" si="6"/>
        <v>0</v>
      </c>
      <c r="H12" s="94">
        <f t="shared" si="6"/>
        <v>0</v>
      </c>
      <c r="I12" s="94">
        <f t="shared" si="6"/>
        <v>0</v>
      </c>
      <c r="J12" s="94">
        <f t="shared" si="6"/>
        <v>0</v>
      </c>
      <c r="K12" s="94">
        <f t="shared" si="6"/>
        <v>0</v>
      </c>
      <c r="L12" s="94">
        <f t="shared" si="6"/>
        <v>0</v>
      </c>
      <c r="M12" s="94">
        <f t="shared" si="6"/>
        <v>0</v>
      </c>
      <c r="N12" s="94">
        <f t="shared" si="6"/>
        <v>0</v>
      </c>
      <c r="O12" s="94">
        <f t="shared" si="6"/>
        <v>0</v>
      </c>
      <c r="P12" s="94">
        <f t="shared" si="6"/>
        <v>0</v>
      </c>
      <c r="Q12" s="94">
        <f t="shared" si="6"/>
        <v>0</v>
      </c>
      <c r="R12" s="94">
        <f t="shared" si="2"/>
        <v>0</v>
      </c>
      <c r="S12" s="94">
        <f t="shared" si="7"/>
        <v>0</v>
      </c>
      <c r="T12" s="94">
        <f t="shared" si="4"/>
        <v>0</v>
      </c>
      <c r="U12" s="94">
        <f>T12/$T$13*1000000</f>
        <v>0</v>
      </c>
      <c r="V12" s="94">
        <f t="shared" si="5"/>
        <v>0</v>
      </c>
      <c r="W12" s="94">
        <f>V12/$V$13*1000000</f>
        <v>0</v>
      </c>
    </row>
    <row r="13" spans="1:23" ht="18" customHeight="1">
      <c r="A13" s="1032"/>
      <c r="B13" s="1094"/>
      <c r="C13" s="131" t="s">
        <v>83</v>
      </c>
      <c r="D13" s="131"/>
      <c r="E13" s="132">
        <f>'[3]SM - Qty'!X13</f>
        <v>0</v>
      </c>
      <c r="F13" s="132">
        <f>'[36]PRODUCTION (Rev.2) BP22 (2)'!B$73+'[36]PRODUCTION (Rev.2) BP22 (2)'!B$9</f>
        <v>31379.397800000002</v>
      </c>
      <c r="G13" s="132">
        <f>'[36]PRODUCTION (Rev.2) BP22 (2)'!C$73+'[36]PRODUCTION (Rev.2) BP22 (2)'!C$9</f>
        <v>31016.218000000001</v>
      </c>
      <c r="H13" s="132">
        <f>'[36]PRODUCTION (Rev.2) BP22 (2)'!D$73+'[36]PRODUCTION (Rev.2) BP22 (2)'!D$9</f>
        <v>30628.3092</v>
      </c>
      <c r="I13" s="132">
        <f>'[36]PRODUCTION (Rev.2) BP22 (2)'!E$73+'[36]PRODUCTION (Rev.2) BP22 (2)'!E$9</f>
        <v>31234.901400000002</v>
      </c>
      <c r="J13" s="132">
        <f>'[36]PRODUCTION (Rev.2) BP22 (2)'!F$73+'[36]PRODUCTION (Rev.2) BP22 (2)'!F$9</f>
        <v>31040.947</v>
      </c>
      <c r="K13" s="132">
        <f>'[36]PRODUCTION (Rev.2) BP22 (2)'!G$73+'[36]PRODUCTION (Rev.2) BP22 (2)'!G$9</f>
        <v>35922.778999999995</v>
      </c>
      <c r="L13" s="132">
        <f>'[36]PRODUCTION (Rev.2) BP22 (2)'!H$73+'[36]PRODUCTION (Rev.2) BP22 (2)'!H$9</f>
        <v>36141.462399999997</v>
      </c>
      <c r="M13" s="132">
        <f>'[36]PRODUCTION (Rev.2) BP22 (2)'!I$73+'[36]PRODUCTION (Rev.2) BP22 (2)'!I$9</f>
        <v>36157.948399999994</v>
      </c>
      <c r="N13" s="132">
        <f>'[36]PRODUCTION (Rev.2) BP22 (2)'!J$73+'[36]PRODUCTION (Rev.2) BP22 (2)'!J$9</f>
        <v>36108.490399999995</v>
      </c>
      <c r="O13" s="132">
        <f>'[36]PRODUCTION (Rev.2) BP22 (2)'!K$73+'[36]PRODUCTION (Rev.2) BP22 (2)'!K$9</f>
        <v>26699.763200000001</v>
      </c>
      <c r="P13" s="132">
        <f>'[36]PRODUCTION (Rev.2) BP22 (2)'!L$73+'[36]PRODUCTION (Rev.2) BP22 (2)'!L$9</f>
        <v>27896.461599999999</v>
      </c>
      <c r="Q13" s="132">
        <f>'[36]PRODUCTION (Rev.2) BP22 (2)'!M$73+'[36]PRODUCTION (Rev.2) BP22 (2)'!M$9</f>
        <v>33682.121599999999</v>
      </c>
      <c r="R13" s="132">
        <f t="shared" si="2"/>
        <v>191222.55239999999</v>
      </c>
      <c r="S13" s="132"/>
      <c r="T13" s="132">
        <f t="shared" si="4"/>
        <v>160544.78519999998</v>
      </c>
      <c r="U13" s="132"/>
      <c r="V13" s="132">
        <f t="shared" si="5"/>
        <v>351767.33759999997</v>
      </c>
      <c r="W13" s="132"/>
    </row>
    <row r="14" spans="1:23" ht="18" customHeight="1">
      <c r="A14" s="1032"/>
      <c r="B14" s="1094">
        <v>6030</v>
      </c>
      <c r="C14" s="130" t="s">
        <v>96</v>
      </c>
      <c r="D14" s="130" t="s">
        <v>89</v>
      </c>
      <c r="E14" s="83">
        <f>'[3]SM - Qty'!X14</f>
        <v>1852.201337971986</v>
      </c>
      <c r="F14" s="94">
        <f>$E14/1000000*F$17</f>
        <v>2877.1984766850783</v>
      </c>
      <c r="G14" s="94">
        <f t="shared" ref="G14:Q16" si="8">$E14/1000000*G$17</f>
        <v>2843.0028966494665</v>
      </c>
      <c r="H14" s="94">
        <f t="shared" si="8"/>
        <v>2807.4540834987224</v>
      </c>
      <c r="I14" s="94">
        <f t="shared" si="8"/>
        <v>2862.1305363399715</v>
      </c>
      <c r="J14" s="94">
        <f t="shared" si="8"/>
        <v>2844.3561297646002</v>
      </c>
      <c r="K14" s="94">
        <f t="shared" si="8"/>
        <v>3290.5206049690828</v>
      </c>
      <c r="L14" s="94">
        <f t="shared" si="8"/>
        <v>3309.6482446595883</v>
      </c>
      <c r="M14" s="94">
        <f t="shared" si="8"/>
        <v>3310.5504000696769</v>
      </c>
      <c r="N14" s="94">
        <f t="shared" si="8"/>
        <v>3307.843933839411</v>
      </c>
      <c r="O14" s="94">
        <f t="shared" si="8"/>
        <v>2449.2594857610115</v>
      </c>
      <c r="P14" s="94">
        <f t="shared" si="8"/>
        <v>2557.7102360334225</v>
      </c>
      <c r="Q14" s="94">
        <f t="shared" si="8"/>
        <v>3089.1381224744114</v>
      </c>
      <c r="R14" s="83">
        <f t="shared" si="2"/>
        <v>17524.662727906922</v>
      </c>
      <c r="S14" s="94">
        <f>R14/$R$17*1000000</f>
        <v>1852.2013379719858</v>
      </c>
      <c r="T14" s="83">
        <f t="shared" si="4"/>
        <v>14714.502178177932</v>
      </c>
      <c r="U14" s="94">
        <f>T14/$T$17*1000000</f>
        <v>1852.2013379719858</v>
      </c>
      <c r="V14" s="83">
        <f t="shared" si="5"/>
        <v>32239.164906084854</v>
      </c>
      <c r="W14" s="83">
        <f>V14/$V$17*1000000</f>
        <v>1852.2013379719856</v>
      </c>
    </row>
    <row r="15" spans="1:23" ht="18" customHeight="1">
      <c r="A15" s="1032"/>
      <c r="B15" s="1094"/>
      <c r="C15" s="130"/>
      <c r="D15" s="130" t="s">
        <v>88</v>
      </c>
      <c r="E15" s="83">
        <f>'[3]SM - Qty'!X15</f>
        <v>1852.201337971986</v>
      </c>
      <c r="F15" s="94">
        <f>$E15/1000000*F$17</f>
        <v>2877.1984766850783</v>
      </c>
      <c r="G15" s="94">
        <f t="shared" si="8"/>
        <v>2843.0028966494665</v>
      </c>
      <c r="H15" s="94">
        <f t="shared" si="8"/>
        <v>2807.4540834987224</v>
      </c>
      <c r="I15" s="94">
        <f t="shared" si="8"/>
        <v>2862.1305363399715</v>
      </c>
      <c r="J15" s="94">
        <f t="shared" si="8"/>
        <v>2844.3561297646002</v>
      </c>
      <c r="K15" s="94">
        <f t="shared" si="8"/>
        <v>3290.5206049690828</v>
      </c>
      <c r="L15" s="94">
        <f t="shared" si="8"/>
        <v>3309.6482446595883</v>
      </c>
      <c r="M15" s="94">
        <f t="shared" si="8"/>
        <v>3310.5504000696769</v>
      </c>
      <c r="N15" s="94">
        <f t="shared" si="8"/>
        <v>3307.843933839411</v>
      </c>
      <c r="O15" s="94">
        <f t="shared" si="8"/>
        <v>2449.2594857610115</v>
      </c>
      <c r="P15" s="94">
        <f t="shared" si="8"/>
        <v>2557.7102360334225</v>
      </c>
      <c r="Q15" s="94">
        <f t="shared" si="8"/>
        <v>3089.1381224744114</v>
      </c>
      <c r="R15" s="83">
        <f t="shared" si="2"/>
        <v>17524.662727906922</v>
      </c>
      <c r="S15" s="83">
        <f t="shared" ref="S15:S16" si="9">R15/$R$17*1000000</f>
        <v>1852.2013379719858</v>
      </c>
      <c r="T15" s="83">
        <f t="shared" si="4"/>
        <v>14714.502178177932</v>
      </c>
      <c r="U15" s="83">
        <f>T15/$T$17*1000000</f>
        <v>1852.2013379719858</v>
      </c>
      <c r="V15" s="83">
        <f t="shared" si="5"/>
        <v>32239.164906084854</v>
      </c>
      <c r="W15" s="83">
        <f>V15/$V$17*1000000</f>
        <v>1852.2013379719856</v>
      </c>
    </row>
    <row r="16" spans="1:23" ht="18" customHeight="1">
      <c r="A16" s="1032"/>
      <c r="B16" s="1094"/>
      <c r="C16" s="130"/>
      <c r="D16" s="130" t="s">
        <v>87</v>
      </c>
      <c r="E16" s="83">
        <f>'[3]SM - Qty'!X16</f>
        <v>126.73305983531921</v>
      </c>
      <c r="F16" s="94">
        <f>$E16/1000000*F$17</f>
        <v>196.86637690428788</v>
      </c>
      <c r="G16" s="94">
        <f t="shared" si="8"/>
        <v>194.52661480504347</v>
      </c>
      <c r="H16" s="94">
        <f t="shared" si="8"/>
        <v>192.09426051841893</v>
      </c>
      <c r="I16" s="94">
        <f t="shared" si="8"/>
        <v>195.83538413573589</v>
      </c>
      <c r="J16" s="94">
        <f t="shared" si="8"/>
        <v>194.61920699242367</v>
      </c>
      <c r="K16" s="94">
        <f t="shared" si="8"/>
        <v>225.14709182507067</v>
      </c>
      <c r="L16" s="94">
        <f t="shared" si="8"/>
        <v>226.4558611557631</v>
      </c>
      <c r="M16" s="94">
        <f t="shared" si="8"/>
        <v>226.51758928068324</v>
      </c>
      <c r="N16" s="94">
        <f t="shared" si="8"/>
        <v>226.33240490592291</v>
      </c>
      <c r="O16" s="94">
        <f t="shared" si="8"/>
        <v>167.58553327741313</v>
      </c>
      <c r="P16" s="94">
        <f t="shared" si="8"/>
        <v>175.006052387127</v>
      </c>
      <c r="Q16" s="94">
        <f t="shared" si="8"/>
        <v>211.36791043665494</v>
      </c>
      <c r="R16" s="83">
        <f t="shared" si="2"/>
        <v>1199.0889351809806</v>
      </c>
      <c r="S16" s="83">
        <f t="shared" si="9"/>
        <v>126.7330598353192</v>
      </c>
      <c r="T16" s="83">
        <f t="shared" si="4"/>
        <v>1006.8094902878013</v>
      </c>
      <c r="U16" s="83">
        <f>T16/$T$17*1000000</f>
        <v>126.7330598353192</v>
      </c>
      <c r="V16" s="83">
        <f t="shared" si="5"/>
        <v>2205.8984254687821</v>
      </c>
      <c r="W16" s="83">
        <f>V16/$V$17*1000000</f>
        <v>126.7330598353192</v>
      </c>
    </row>
    <row r="17" spans="1:23" ht="18" customHeight="1" thickBot="1">
      <c r="A17" s="1032"/>
      <c r="B17" s="1095"/>
      <c r="C17" s="133" t="s">
        <v>83</v>
      </c>
      <c r="D17" s="133"/>
      <c r="E17" s="134">
        <f>'[3]SM - Qty'!X17</f>
        <v>0</v>
      </c>
      <c r="F17" s="134">
        <f>'[36]PRODUCTION (Rev.2) BP22 (2)'!B$13+'[36]PRODUCTION (Rev.2) BP22 (2)'!B$14+'[36]PRODUCTION (Rev.2) BP22 (2)'!B$15+'[36]PRODUCTION (Rev.2) BP22 (2)'!B$77+'[36]PRODUCTION (Rev.2) BP22 (2)'!B$76</f>
        <v>1553394.0170000002</v>
      </c>
      <c r="G17" s="134">
        <f>'[36]PRODUCTION (Rev.2) BP22 (2)'!C$13+'[36]PRODUCTION (Rev.2) BP22 (2)'!C$14+'[36]PRODUCTION (Rev.2) BP22 (2)'!C$15+'[36]PRODUCTION (Rev.2) BP22 (2)'!C$77+'[36]PRODUCTION (Rev.2) BP22 (2)'!C$76</f>
        <v>1534931.888</v>
      </c>
      <c r="H17" s="134">
        <f>'[36]PRODUCTION (Rev.2) BP22 (2)'!D$13+'[36]PRODUCTION (Rev.2) BP22 (2)'!D$14+'[36]PRODUCTION (Rev.2) BP22 (2)'!D$15+'[36]PRODUCTION (Rev.2) BP22 (2)'!D$77+'[36]PRODUCTION (Rev.2) BP22 (2)'!D$76</f>
        <v>1515739.1510000001</v>
      </c>
      <c r="I17" s="134">
        <f>'[36]PRODUCTION (Rev.2) BP22 (2)'!E$13+'[36]PRODUCTION (Rev.2) BP22 (2)'!E$14+'[36]PRODUCTION (Rev.2) BP22 (2)'!E$15+'[36]PRODUCTION (Rev.2) BP22 (2)'!E$77+'[36]PRODUCTION (Rev.2) BP22 (2)'!E$76</f>
        <v>1545258.8644999999</v>
      </c>
      <c r="J17" s="134">
        <f>'[36]PRODUCTION (Rev.2) BP22 (2)'!F$13+'[36]PRODUCTION (Rev.2) BP22 (2)'!F$14+'[36]PRODUCTION (Rev.2) BP22 (2)'!F$15+'[36]PRODUCTION (Rev.2) BP22 (2)'!F$77+'[36]PRODUCTION (Rev.2) BP22 (2)'!F$76</f>
        <v>1535662.4960000003</v>
      </c>
      <c r="K17" s="134">
        <f>'[36]PRODUCTION (Rev.2) BP22 (2)'!G$13+'[36]PRODUCTION (Rev.2) BP22 (2)'!G$14+'[36]PRODUCTION (Rev.2) BP22 (2)'!G$15+'[36]PRODUCTION (Rev.2) BP22 (2)'!G$77+'[36]PRODUCTION (Rev.2) BP22 (2)'!G$76</f>
        <v>1776545.8525</v>
      </c>
      <c r="L17" s="134">
        <f>'[36]PRODUCTION (Rev.2) BP22 (2)'!H$13+'[36]PRODUCTION (Rev.2) BP22 (2)'!H$14+'[36]PRODUCTION (Rev.2) BP22 (2)'!H$15+'[36]PRODUCTION (Rev.2) BP22 (2)'!H$77+'[36]PRODUCTION (Rev.2) BP22 (2)'!H$76</f>
        <v>1786872.8290000001</v>
      </c>
      <c r="M17" s="134">
        <f>'[36]PRODUCTION (Rev.2) BP22 (2)'!I$13+'[36]PRODUCTION (Rev.2) BP22 (2)'!I$14+'[36]PRODUCTION (Rev.2) BP22 (2)'!I$15+'[36]PRODUCTION (Rev.2) BP22 (2)'!I$77+'[36]PRODUCTION (Rev.2) BP22 (2)'!I$76</f>
        <v>1787359.9010000003</v>
      </c>
      <c r="N17" s="134">
        <f>'[36]PRODUCTION (Rev.2) BP22 (2)'!J$13+'[36]PRODUCTION (Rev.2) BP22 (2)'!J$14+'[36]PRODUCTION (Rev.2) BP22 (2)'!J$15+'[36]PRODUCTION (Rev.2) BP22 (2)'!J$77+'[36]PRODUCTION (Rev.2) BP22 (2)'!J$76</f>
        <v>1785898.6850000003</v>
      </c>
      <c r="O17" s="134">
        <f>'[36]PRODUCTION (Rev.2) BP22 (2)'!K$13+'[36]PRODUCTION (Rev.2) BP22 (2)'!K$14+'[36]PRODUCTION (Rev.2) BP22 (2)'!K$15+'[36]PRODUCTION (Rev.2) BP22 (2)'!K$77+'[36]PRODUCTION (Rev.2) BP22 (2)'!K$76</f>
        <v>1322350.5649999999</v>
      </c>
      <c r="P17" s="134">
        <f>'[36]PRODUCTION (Rev.2) BP22 (2)'!L$13+'[36]PRODUCTION (Rev.2) BP22 (2)'!L$14+'[36]PRODUCTION (Rev.2) BP22 (2)'!L$15+'[36]PRODUCTION (Rev.2) BP22 (2)'!L$77+'[36]PRODUCTION (Rev.2) BP22 (2)'!L$76</f>
        <v>1380902.92</v>
      </c>
      <c r="Q17" s="134">
        <f>'[36]PRODUCTION (Rev.2) BP22 (2)'!M$13+'[36]PRODUCTION (Rev.2) BP22 (2)'!M$14+'[36]PRODUCTION (Rev.2) BP22 (2)'!M$15+'[36]PRODUCTION (Rev.2) BP22 (2)'!M$77+'[36]PRODUCTION (Rev.2) BP22 (2)'!M$76</f>
        <v>1667819.8309999998</v>
      </c>
      <c r="R17" s="134">
        <f t="shared" si="2"/>
        <v>9461532.2690000013</v>
      </c>
      <c r="S17" s="134"/>
      <c r="T17" s="134">
        <f t="shared" si="4"/>
        <v>7944331.9020000007</v>
      </c>
      <c r="U17" s="134"/>
      <c r="V17" s="134">
        <f t="shared" si="5"/>
        <v>17405864.171000004</v>
      </c>
      <c r="W17" s="134"/>
    </row>
    <row r="18" spans="1:23" ht="18" customHeight="1" thickTop="1">
      <c r="A18" s="1032"/>
      <c r="B18" s="1101">
        <v>6040</v>
      </c>
      <c r="C18" s="135" t="s">
        <v>95</v>
      </c>
      <c r="D18" s="135" t="s">
        <v>89</v>
      </c>
      <c r="E18" s="129">
        <f>'[3]SM - Qty'!X18</f>
        <v>2098.6976256383327</v>
      </c>
      <c r="F18" s="94">
        <f>$E18/1000000*F$21</f>
        <v>17.331464732046481</v>
      </c>
      <c r="G18" s="94">
        <f t="shared" ref="G18:Q20" si="10">$E18/1000000*G$21</f>
        <v>17.441856227155057</v>
      </c>
      <c r="H18" s="94">
        <f t="shared" si="10"/>
        <v>17.221073236937904</v>
      </c>
      <c r="I18" s="94">
        <f t="shared" si="10"/>
        <v>17.883422207589362</v>
      </c>
      <c r="J18" s="94">
        <f t="shared" si="10"/>
        <v>17.773030712480786</v>
      </c>
      <c r="K18" s="94">
        <f t="shared" si="10"/>
        <v>20.974384070629498</v>
      </c>
      <c r="L18" s="94">
        <f t="shared" si="10"/>
        <v>21.415950051063806</v>
      </c>
      <c r="M18" s="94">
        <f t="shared" si="10"/>
        <v>21.636733041280959</v>
      </c>
      <c r="N18" s="94">
        <f t="shared" si="10"/>
        <v>20.974384070629498</v>
      </c>
      <c r="O18" s="94">
        <f t="shared" si="10"/>
        <v>14.35089436411492</v>
      </c>
      <c r="P18" s="94">
        <f t="shared" si="10"/>
        <v>15.454809315200682</v>
      </c>
      <c r="Q18" s="94">
        <f t="shared" si="10"/>
        <v>18.324988188023667</v>
      </c>
      <c r="R18" s="129">
        <f t="shared" si="2"/>
        <v>108.6252311868391</v>
      </c>
      <c r="S18" s="129">
        <f>R18/$R$21*1000000</f>
        <v>2098.6976256383327</v>
      </c>
      <c r="T18" s="129">
        <f t="shared" si="4"/>
        <v>90.741808979249726</v>
      </c>
      <c r="U18" s="129">
        <f>T18/$T$21*1000000</f>
        <v>2098.6976256383327</v>
      </c>
      <c r="V18" s="129">
        <f t="shared" si="5"/>
        <v>199.36704016608883</v>
      </c>
      <c r="W18" s="129">
        <f>V18/$V$21*1000000</f>
        <v>2098.6976256383327</v>
      </c>
    </row>
    <row r="19" spans="1:23" ht="18" customHeight="1">
      <c r="A19" s="1032"/>
      <c r="B19" s="1094"/>
      <c r="C19" s="136"/>
      <c r="D19" s="136" t="s">
        <v>88</v>
      </c>
      <c r="E19" s="94">
        <f>'[3]SM - Qty'!X19</f>
        <v>1948.1009632434987</v>
      </c>
      <c r="F19" s="94">
        <f>$E19/1000000*F$21</f>
        <v>16.087807374657462</v>
      </c>
      <c r="G19" s="94">
        <f t="shared" si="10"/>
        <v>16.190277485324067</v>
      </c>
      <c r="H19" s="94">
        <f t="shared" si="10"/>
        <v>15.985337263990852</v>
      </c>
      <c r="I19" s="94">
        <f t="shared" si="10"/>
        <v>16.600157927990502</v>
      </c>
      <c r="J19" s="94">
        <f t="shared" si="10"/>
        <v>16.497687817323893</v>
      </c>
      <c r="K19" s="94">
        <f t="shared" si="10"/>
        <v>19.469321026655525</v>
      </c>
      <c r="L19" s="94">
        <f t="shared" si="10"/>
        <v>19.879201469321959</v>
      </c>
      <c r="M19" s="94">
        <f t="shared" si="10"/>
        <v>20.084141690655173</v>
      </c>
      <c r="N19" s="94">
        <f t="shared" si="10"/>
        <v>19.469321026655525</v>
      </c>
      <c r="O19" s="94">
        <f t="shared" si="10"/>
        <v>13.321114386659042</v>
      </c>
      <c r="P19" s="94">
        <f t="shared" si="10"/>
        <v>14.345815493325123</v>
      </c>
      <c r="Q19" s="94">
        <f t="shared" si="10"/>
        <v>17.010038370656932</v>
      </c>
      <c r="R19" s="94">
        <f t="shared" si="2"/>
        <v>100.8305888959423</v>
      </c>
      <c r="S19" s="94">
        <f t="shared" ref="S19:S20" si="11">R19/$R$21*1000000</f>
        <v>1948.1009632434987</v>
      </c>
      <c r="T19" s="94">
        <f t="shared" si="4"/>
        <v>84.23043096795179</v>
      </c>
      <c r="U19" s="94">
        <f>T19/$T$21*1000000</f>
        <v>1948.1009632434987</v>
      </c>
      <c r="V19" s="94">
        <f t="shared" si="5"/>
        <v>185.0610198638941</v>
      </c>
      <c r="W19" s="94">
        <f>V19/$V$21*1000000</f>
        <v>1948.1009632434987</v>
      </c>
    </row>
    <row r="20" spans="1:23" ht="18" customHeight="1">
      <c r="A20" s="1032"/>
      <c r="B20" s="1094"/>
      <c r="C20" s="136"/>
      <c r="D20" s="136" t="s">
        <v>87</v>
      </c>
      <c r="E20" s="94">
        <f>'[3]SM - Qty'!X20</f>
        <v>276.78603919189709</v>
      </c>
      <c r="F20" s="94">
        <f>$E20/1000000*F$21</f>
        <v>2.2857544688545244</v>
      </c>
      <c r="G20" s="94">
        <f t="shared" si="10"/>
        <v>2.300313414516018</v>
      </c>
      <c r="H20" s="94">
        <f t="shared" si="10"/>
        <v>2.2711955231930308</v>
      </c>
      <c r="I20" s="94">
        <f t="shared" si="10"/>
        <v>2.3585491971619934</v>
      </c>
      <c r="J20" s="94">
        <f t="shared" si="10"/>
        <v>2.3439902515004998</v>
      </c>
      <c r="K20" s="94">
        <f t="shared" si="10"/>
        <v>2.7661996756838194</v>
      </c>
      <c r="L20" s="94">
        <f t="shared" si="10"/>
        <v>2.8244354583297948</v>
      </c>
      <c r="M20" s="94">
        <f t="shared" si="10"/>
        <v>2.8535533496527821</v>
      </c>
      <c r="N20" s="94">
        <f t="shared" si="10"/>
        <v>2.7661996756838194</v>
      </c>
      <c r="O20" s="94">
        <f t="shared" si="10"/>
        <v>1.8926629359941922</v>
      </c>
      <c r="P20" s="94">
        <f t="shared" si="10"/>
        <v>2.03825239260913</v>
      </c>
      <c r="Q20" s="94">
        <f t="shared" si="10"/>
        <v>2.4167849798079684</v>
      </c>
      <c r="R20" s="94">
        <f t="shared" si="2"/>
        <v>14.326002530909886</v>
      </c>
      <c r="S20" s="94">
        <f t="shared" si="11"/>
        <v>276.78603919189709</v>
      </c>
      <c r="T20" s="94">
        <f t="shared" si="4"/>
        <v>11.967453333747891</v>
      </c>
      <c r="U20" s="94">
        <f>T20/$T$21*1000000</f>
        <v>276.78603919189709</v>
      </c>
      <c r="V20" s="94">
        <f t="shared" si="5"/>
        <v>26.293455864657776</v>
      </c>
      <c r="W20" s="94">
        <f>V20/$V$21*1000000</f>
        <v>276.78603919189703</v>
      </c>
    </row>
    <row r="21" spans="1:23" ht="18" customHeight="1">
      <c r="A21" s="1032"/>
      <c r="B21" s="1094"/>
      <c r="C21" s="137" t="s">
        <v>92</v>
      </c>
      <c r="D21" s="137"/>
      <c r="E21" s="132">
        <f>'[3]SM - Qty'!X21</f>
        <v>0</v>
      </c>
      <c r="F21" s="132">
        <f>'[36]PRODUCTION (Rev.2) BP22 (2)'!B$83+'[36]PRODUCTION (Rev.2) BP22 (2)'!B$84</f>
        <v>8258.2000000000007</v>
      </c>
      <c r="G21" s="132">
        <f>'[36]PRODUCTION (Rev.2) BP22 (2)'!C$83+'[36]PRODUCTION (Rev.2) BP22 (2)'!C$84</f>
        <v>8310.7999999999993</v>
      </c>
      <c r="H21" s="132">
        <f>'[36]PRODUCTION (Rev.2) BP22 (2)'!D$83+'[36]PRODUCTION (Rev.2) BP22 (2)'!D$84</f>
        <v>8205.6</v>
      </c>
      <c r="I21" s="132">
        <f>'[36]PRODUCTION (Rev.2) BP22 (2)'!E$83+'[36]PRODUCTION (Rev.2) BP22 (2)'!E$84</f>
        <v>8521.2000000000007</v>
      </c>
      <c r="J21" s="132">
        <f>'[36]PRODUCTION (Rev.2) BP22 (2)'!F$83+'[36]PRODUCTION (Rev.2) BP22 (2)'!F$84</f>
        <v>8468.6</v>
      </c>
      <c r="K21" s="132">
        <f>'[36]PRODUCTION (Rev.2) BP22 (2)'!G$83+'[36]PRODUCTION (Rev.2) BP22 (2)'!G$84</f>
        <v>9994</v>
      </c>
      <c r="L21" s="132">
        <f>'[36]PRODUCTION (Rev.2) BP22 (2)'!H$83+'[36]PRODUCTION (Rev.2) BP22 (2)'!H$84</f>
        <v>10204.400000000001</v>
      </c>
      <c r="M21" s="132">
        <f>'[36]PRODUCTION (Rev.2) BP22 (2)'!I$83+'[36]PRODUCTION (Rev.2) BP22 (2)'!I$84</f>
        <v>10309.6</v>
      </c>
      <c r="N21" s="132">
        <f>'[36]PRODUCTION (Rev.2) BP22 (2)'!J$83+'[36]PRODUCTION (Rev.2) BP22 (2)'!J$84</f>
        <v>9994</v>
      </c>
      <c r="O21" s="132">
        <f>'[36]PRODUCTION (Rev.2) BP22 (2)'!K$83+'[36]PRODUCTION (Rev.2) BP22 (2)'!K$84</f>
        <v>6838</v>
      </c>
      <c r="P21" s="132">
        <f>'[36]PRODUCTION (Rev.2) BP22 (2)'!L$83+'[36]PRODUCTION (Rev.2) BP22 (2)'!L$84</f>
        <v>7364</v>
      </c>
      <c r="Q21" s="132">
        <f>'[36]PRODUCTION (Rev.2) BP22 (2)'!M$83+'[36]PRODUCTION (Rev.2) BP22 (2)'!M$84</f>
        <v>8731.6</v>
      </c>
      <c r="R21" s="132">
        <f t="shared" si="2"/>
        <v>51758.400000000001</v>
      </c>
      <c r="S21" s="132"/>
      <c r="T21" s="132">
        <f t="shared" si="4"/>
        <v>43237.2</v>
      </c>
      <c r="U21" s="132"/>
      <c r="V21" s="132">
        <f t="shared" si="5"/>
        <v>94995.6</v>
      </c>
      <c r="W21" s="132"/>
    </row>
    <row r="22" spans="1:23" ht="18" customHeight="1">
      <c r="A22" s="1032"/>
      <c r="B22" s="1094">
        <v>6050</v>
      </c>
      <c r="C22" s="138" t="s">
        <v>94</v>
      </c>
      <c r="D22" s="138" t="s">
        <v>89</v>
      </c>
      <c r="E22" s="94">
        <f>'[3]SM - Qty'!X22</f>
        <v>1015.3514278884961</v>
      </c>
      <c r="F22" s="94">
        <f>$E22/1000000*F$25</f>
        <v>1.6589019775884966</v>
      </c>
      <c r="G22" s="94">
        <f t="shared" ref="G22:Q24" si="12">$E22/1000000*G$25</f>
        <v>1.6694682322228185</v>
      </c>
      <c r="H22" s="94">
        <f t="shared" si="12"/>
        <v>1.6483357229541751</v>
      </c>
      <c r="I22" s="94">
        <f t="shared" si="12"/>
        <v>1.7117332507601051</v>
      </c>
      <c r="J22" s="94">
        <f t="shared" si="12"/>
        <v>1.7011669961257834</v>
      </c>
      <c r="K22" s="94">
        <f t="shared" si="12"/>
        <v>2.0075883805211108</v>
      </c>
      <c r="L22" s="94">
        <f t="shared" si="12"/>
        <v>2.0498533990583976</v>
      </c>
      <c r="M22" s="94">
        <f t="shared" si="12"/>
        <v>2.0709859083270405</v>
      </c>
      <c r="N22" s="94">
        <f t="shared" si="12"/>
        <v>2.0075883805211108</v>
      </c>
      <c r="O22" s="94">
        <f t="shared" si="12"/>
        <v>1.3736131024618126</v>
      </c>
      <c r="P22" s="94">
        <f t="shared" si="12"/>
        <v>1.4792756488050294</v>
      </c>
      <c r="Q22" s="94">
        <f t="shared" si="12"/>
        <v>1.7539982692973917</v>
      </c>
      <c r="R22" s="94">
        <f t="shared" si="2"/>
        <v>10.39719456017249</v>
      </c>
      <c r="S22" s="94">
        <f>R22/$R$25*1000000</f>
        <v>1015.3514278884963</v>
      </c>
      <c r="T22" s="94">
        <f t="shared" si="4"/>
        <v>8.6854613094123856</v>
      </c>
      <c r="U22" s="94">
        <f>T22/$T$25*1000000</f>
        <v>1015.3514278884963</v>
      </c>
      <c r="V22" s="94">
        <f t="shared" si="5"/>
        <v>19.082655869584876</v>
      </c>
      <c r="W22" s="94">
        <f>V22/$V$25*1000000</f>
        <v>1015.3514278884963</v>
      </c>
    </row>
    <row r="23" spans="1:23" ht="18" customHeight="1">
      <c r="A23" s="1032"/>
      <c r="B23" s="1094"/>
      <c r="C23" s="138"/>
      <c r="D23" s="138" t="s">
        <v>88</v>
      </c>
      <c r="E23" s="94">
        <f>'[3]SM - Qty'!X23</f>
        <v>862.52955842424694</v>
      </c>
      <c r="F23" s="94">
        <f>$E23/1000000*F$25</f>
        <v>1.4092184744094822</v>
      </c>
      <c r="G23" s="94">
        <f t="shared" si="12"/>
        <v>1.4181943882592243</v>
      </c>
      <c r="H23" s="94">
        <f t="shared" si="12"/>
        <v>1.4002425605597404</v>
      </c>
      <c r="I23" s="94">
        <f t="shared" si="12"/>
        <v>1.4540980436581921</v>
      </c>
      <c r="J23" s="94">
        <f t="shared" si="12"/>
        <v>1.44512212980845</v>
      </c>
      <c r="K23" s="94">
        <f t="shared" si="12"/>
        <v>1.7054236314509661</v>
      </c>
      <c r="L23" s="94">
        <f t="shared" si="12"/>
        <v>1.7413272868499339</v>
      </c>
      <c r="M23" s="94">
        <f t="shared" si="12"/>
        <v>1.7592791145494175</v>
      </c>
      <c r="N23" s="94">
        <f t="shared" si="12"/>
        <v>1.7054236314509661</v>
      </c>
      <c r="O23" s="94">
        <f t="shared" si="12"/>
        <v>1.1668688004664505</v>
      </c>
      <c r="P23" s="94">
        <f t="shared" si="12"/>
        <v>1.2566279389638699</v>
      </c>
      <c r="Q23" s="94">
        <f t="shared" si="12"/>
        <v>1.4900016990571598</v>
      </c>
      <c r="R23" s="94">
        <f t="shared" si="2"/>
        <v>8.8322992281460539</v>
      </c>
      <c r="S23" s="94">
        <f t="shared" ref="S23:S24" si="13">R23/$R$25*1000000</f>
        <v>862.52955842424694</v>
      </c>
      <c r="T23" s="94">
        <f t="shared" si="4"/>
        <v>7.3782011844878639</v>
      </c>
      <c r="U23" s="94">
        <f>T23/$T$25*1000000</f>
        <v>862.52955842424706</v>
      </c>
      <c r="V23" s="94">
        <f t="shared" si="5"/>
        <v>16.21050041263392</v>
      </c>
      <c r="W23" s="94">
        <f>V23/$V$25*1000000</f>
        <v>862.52955842424706</v>
      </c>
    </row>
    <row r="24" spans="1:23" ht="18" customHeight="1">
      <c r="A24" s="1032"/>
      <c r="B24" s="1094"/>
      <c r="C24" s="138"/>
      <c r="D24" s="138" t="s">
        <v>87</v>
      </c>
      <c r="E24" s="94">
        <f>'[3]SM - Qty'!X24</f>
        <v>0</v>
      </c>
      <c r="F24" s="94">
        <f>$E24/1000000*F$25</f>
        <v>0</v>
      </c>
      <c r="G24" s="94">
        <f t="shared" si="12"/>
        <v>0</v>
      </c>
      <c r="H24" s="94">
        <f t="shared" si="12"/>
        <v>0</v>
      </c>
      <c r="I24" s="94">
        <f t="shared" si="12"/>
        <v>0</v>
      </c>
      <c r="J24" s="94">
        <f t="shared" si="12"/>
        <v>0</v>
      </c>
      <c r="K24" s="94">
        <f t="shared" si="12"/>
        <v>0</v>
      </c>
      <c r="L24" s="94">
        <f t="shared" si="12"/>
        <v>0</v>
      </c>
      <c r="M24" s="94">
        <f t="shared" si="12"/>
        <v>0</v>
      </c>
      <c r="N24" s="94">
        <f t="shared" si="12"/>
        <v>0</v>
      </c>
      <c r="O24" s="94">
        <f t="shared" si="12"/>
        <v>0</v>
      </c>
      <c r="P24" s="94">
        <f t="shared" si="12"/>
        <v>0</v>
      </c>
      <c r="Q24" s="94">
        <f t="shared" si="12"/>
        <v>0</v>
      </c>
      <c r="R24" s="94">
        <f t="shared" si="2"/>
        <v>0</v>
      </c>
      <c r="S24" s="94">
        <f t="shared" si="13"/>
        <v>0</v>
      </c>
      <c r="T24" s="94">
        <f t="shared" si="4"/>
        <v>0</v>
      </c>
      <c r="U24" s="94">
        <f>T24/$T$25*1000000</f>
        <v>0</v>
      </c>
      <c r="V24" s="94">
        <f t="shared" si="5"/>
        <v>0</v>
      </c>
      <c r="W24" s="94">
        <f>V24/$V$25*1000000</f>
        <v>0</v>
      </c>
    </row>
    <row r="25" spans="1:23" ht="18" customHeight="1">
      <c r="A25" s="1032"/>
      <c r="B25" s="1094"/>
      <c r="C25" s="137" t="s">
        <v>92</v>
      </c>
      <c r="D25" s="137"/>
      <c r="E25" s="132">
        <f>'[3]SM - Qty'!X25</f>
        <v>0</v>
      </c>
      <c r="F25" s="132">
        <f>'[36]PRODUCTION (Rev.2) BP22 (2)'!B$85+'[36]PRODUCTION (Rev.2) BP22 (2)'!B$103</f>
        <v>1633.8204999999998</v>
      </c>
      <c r="G25" s="132">
        <f>'[36]PRODUCTION (Rev.2) BP22 (2)'!C$85+'[36]PRODUCTION (Rev.2) BP22 (2)'!C$103</f>
        <v>1644.2270000000001</v>
      </c>
      <c r="H25" s="132">
        <f>'[36]PRODUCTION (Rev.2) BP22 (2)'!D$85+'[36]PRODUCTION (Rev.2) BP22 (2)'!D$103</f>
        <v>1623.414</v>
      </c>
      <c r="I25" s="132">
        <f>'[36]PRODUCTION (Rev.2) BP22 (2)'!E$85+'[36]PRODUCTION (Rev.2) BP22 (2)'!E$103</f>
        <v>1685.8530000000001</v>
      </c>
      <c r="J25" s="132">
        <f>'[36]PRODUCTION (Rev.2) BP22 (2)'!F$85+'[36]PRODUCTION (Rev.2) BP22 (2)'!F$103</f>
        <v>1675.4465</v>
      </c>
      <c r="K25" s="132">
        <f>'[36]PRODUCTION (Rev.2) BP22 (2)'!G$85+'[36]PRODUCTION (Rev.2) BP22 (2)'!G$103</f>
        <v>1977.2350000000001</v>
      </c>
      <c r="L25" s="132">
        <f>'[36]PRODUCTION (Rev.2) BP22 (2)'!H$85+'[36]PRODUCTION (Rev.2) BP22 (2)'!H$103</f>
        <v>2018.8610000000003</v>
      </c>
      <c r="M25" s="132">
        <f>'[36]PRODUCTION (Rev.2) BP22 (2)'!I$85+'[36]PRODUCTION (Rev.2) BP22 (2)'!I$103</f>
        <v>2039.674</v>
      </c>
      <c r="N25" s="132">
        <f>'[36]PRODUCTION (Rev.2) BP22 (2)'!J$85+'[36]PRODUCTION (Rev.2) BP22 (2)'!J$103</f>
        <v>1977.2350000000001</v>
      </c>
      <c r="O25" s="132">
        <f>'[36]PRODUCTION (Rev.2) BP22 (2)'!K$85+'[36]PRODUCTION (Rev.2) BP22 (2)'!K$103</f>
        <v>1352.845</v>
      </c>
      <c r="P25" s="132">
        <f>'[36]PRODUCTION (Rev.2) BP22 (2)'!L$85+'[36]PRODUCTION (Rev.2) BP22 (2)'!L$103</f>
        <v>1456.9100000000003</v>
      </c>
      <c r="Q25" s="132">
        <f>'[36]PRODUCTION (Rev.2) BP22 (2)'!M$85+'[36]PRODUCTION (Rev.2) BP22 (2)'!M$103</f>
        <v>1727.4790000000003</v>
      </c>
      <c r="R25" s="132">
        <f t="shared" si="2"/>
        <v>10239.995999999999</v>
      </c>
      <c r="S25" s="132"/>
      <c r="T25" s="132">
        <f t="shared" si="4"/>
        <v>8554.143</v>
      </c>
      <c r="U25" s="132"/>
      <c r="V25" s="132">
        <f t="shared" si="5"/>
        <v>18794.138999999999</v>
      </c>
      <c r="W25" s="132"/>
    </row>
    <row r="26" spans="1:23" ht="18" customHeight="1">
      <c r="A26" s="1032"/>
      <c r="B26" s="1094">
        <v>6060</v>
      </c>
      <c r="C26" s="138" t="s">
        <v>93</v>
      </c>
      <c r="D26" s="138" t="s">
        <v>89</v>
      </c>
      <c r="E26" s="94">
        <f>'[3]SM - Qty'!X26</f>
        <v>1201.9037341044134</v>
      </c>
      <c r="F26" s="94">
        <f>$E26/1000000*F$29</f>
        <v>3445.7070849090796</v>
      </c>
      <c r="G26" s="94">
        <f t="shared" ref="G26:Q28" si="14">$E26/1000000*G$29</f>
        <v>3828.4892343462107</v>
      </c>
      <c r="H26" s="94">
        <f t="shared" si="14"/>
        <v>3718.2198027155587</v>
      </c>
      <c r="I26" s="94">
        <f t="shared" si="14"/>
        <v>3787.2649499520385</v>
      </c>
      <c r="J26" s="94">
        <f t="shared" si="14"/>
        <v>3775.7574254126248</v>
      </c>
      <c r="K26" s="94">
        <f t="shared" si="14"/>
        <v>4169.9639881065295</v>
      </c>
      <c r="L26" s="94">
        <f t="shared" si="14"/>
        <v>4257.752703645614</v>
      </c>
      <c r="M26" s="94">
        <f t="shared" si="14"/>
        <v>4301.6470614151567</v>
      </c>
      <c r="N26" s="94">
        <f t="shared" si="14"/>
        <v>3989.2852636451739</v>
      </c>
      <c r="O26" s="94">
        <f t="shared" si="14"/>
        <v>2577.691550817719</v>
      </c>
      <c r="P26" s="94">
        <f t="shared" si="14"/>
        <v>2933.1475430327359</v>
      </c>
      <c r="Q26" s="94">
        <f t="shared" si="14"/>
        <v>3713.1046746992524</v>
      </c>
      <c r="R26" s="94">
        <f t="shared" si="2"/>
        <v>22725.402485442042</v>
      </c>
      <c r="S26" s="94">
        <f>R26/$R$29*1000000</f>
        <v>1201.9037341044134</v>
      </c>
      <c r="T26" s="94">
        <f t="shared" si="4"/>
        <v>17514.876093610037</v>
      </c>
      <c r="U26" s="94">
        <f>T26/$T$29*1000000</f>
        <v>1201.9037341044132</v>
      </c>
      <c r="V26" s="94">
        <f t="shared" si="5"/>
        <v>40240.278579052079</v>
      </c>
      <c r="W26" s="94">
        <f>V26/$V$29*1000000</f>
        <v>1201.9037341044132</v>
      </c>
    </row>
    <row r="27" spans="1:23" ht="18" customHeight="1">
      <c r="A27" s="1032"/>
      <c r="B27" s="1094"/>
      <c r="C27" s="138"/>
      <c r="D27" s="138" t="s">
        <v>88</v>
      </c>
      <c r="E27" s="94">
        <f>'[3]SM - Qty'!X27</f>
        <v>1093.4778499005322</v>
      </c>
      <c r="F27" s="94">
        <f>$E27/1000000*F$29</f>
        <v>3134.8636897288225</v>
      </c>
      <c r="G27" s="94">
        <f t="shared" si="14"/>
        <v>3483.1143772588907</v>
      </c>
      <c r="H27" s="94">
        <f t="shared" si="14"/>
        <v>3382.7925481574225</v>
      </c>
      <c r="I27" s="94">
        <f t="shared" si="14"/>
        <v>3445.6090092465206</v>
      </c>
      <c r="J27" s="94">
        <f t="shared" si="14"/>
        <v>3435.1395990650044</v>
      </c>
      <c r="K27" s="94">
        <f t="shared" si="14"/>
        <v>3793.7840831113135</v>
      </c>
      <c r="L27" s="94">
        <f t="shared" si="14"/>
        <v>3873.6532217031304</v>
      </c>
      <c r="M27" s="94">
        <f t="shared" si="14"/>
        <v>3913.5877909990395</v>
      </c>
      <c r="N27" s="94">
        <f t="shared" si="14"/>
        <v>3629.4047093389295</v>
      </c>
      <c r="O27" s="94">
        <f t="shared" si="14"/>
        <v>2345.153388507621</v>
      </c>
      <c r="P27" s="94">
        <f t="shared" si="14"/>
        <v>2668.5430603028922</v>
      </c>
      <c r="Q27" s="94">
        <f t="shared" si="14"/>
        <v>3378.1388649825349</v>
      </c>
      <c r="R27" s="94">
        <f t="shared" si="2"/>
        <v>20675.303306567974</v>
      </c>
      <c r="S27" s="94">
        <f t="shared" ref="S27:S28" si="15">R27/$R$29*1000000</f>
        <v>1093.477849900532</v>
      </c>
      <c r="T27" s="94">
        <f t="shared" si="4"/>
        <v>15934.827814131017</v>
      </c>
      <c r="U27" s="94">
        <f>T27/$T$29*1000000</f>
        <v>1093.4778499005322</v>
      </c>
      <c r="V27" s="94">
        <f t="shared" si="5"/>
        <v>36610.131120698992</v>
      </c>
      <c r="W27" s="94">
        <f>V27/$V$29*1000000</f>
        <v>1093.4778499005322</v>
      </c>
    </row>
    <row r="28" spans="1:23" ht="18" customHeight="1">
      <c r="A28" s="1032"/>
      <c r="B28" s="1094"/>
      <c r="C28" s="138"/>
      <c r="D28" s="138" t="s">
        <v>87</v>
      </c>
      <c r="E28" s="94">
        <f>'[3]SM - Qty'!X28</f>
        <v>21.987091606033932</v>
      </c>
      <c r="F28" s="94">
        <f>$E28/1000000*F$29</f>
        <v>63.034230757181795</v>
      </c>
      <c r="G28" s="94">
        <f t="shared" si="14"/>
        <v>70.036676914901804</v>
      </c>
      <c r="H28" s="94">
        <f t="shared" si="14"/>
        <v>68.019457044614072</v>
      </c>
      <c r="I28" s="94">
        <f t="shared" si="14"/>
        <v>69.282538216727886</v>
      </c>
      <c r="J28" s="94">
        <f t="shared" si="14"/>
        <v>69.072024688042248</v>
      </c>
      <c r="K28" s="94">
        <f t="shared" si="14"/>
        <v>76.283463973659494</v>
      </c>
      <c r="L28" s="94">
        <f t="shared" si="14"/>
        <v>77.889431636262856</v>
      </c>
      <c r="M28" s="94">
        <f t="shared" si="14"/>
        <v>78.692415467564544</v>
      </c>
      <c r="N28" s="94">
        <f t="shared" si="14"/>
        <v>72.978207859322424</v>
      </c>
      <c r="O28" s="94">
        <f t="shared" si="14"/>
        <v>47.155141174563674</v>
      </c>
      <c r="P28" s="94">
        <f t="shared" si="14"/>
        <v>53.657694782626855</v>
      </c>
      <c r="Q28" s="94">
        <f t="shared" si="14"/>
        <v>67.925883170867081</v>
      </c>
      <c r="R28" s="94">
        <f t="shared" si="2"/>
        <v>415.72839159512722</v>
      </c>
      <c r="S28" s="94">
        <f t="shared" si="15"/>
        <v>21.987091606033925</v>
      </c>
      <c r="T28" s="94">
        <f t="shared" si="4"/>
        <v>320.40934245494464</v>
      </c>
      <c r="U28" s="94">
        <f>T28/$T$29*1000000</f>
        <v>21.987091606033935</v>
      </c>
      <c r="V28" s="94">
        <f t="shared" si="5"/>
        <v>736.13773405007191</v>
      </c>
      <c r="W28" s="94">
        <f>V28/$V$29*1000000</f>
        <v>21.987091606033932</v>
      </c>
    </row>
    <row r="29" spans="1:23" ht="18" customHeight="1">
      <c r="A29" s="1032"/>
      <c r="B29" s="1094"/>
      <c r="C29" s="137" t="s">
        <v>92</v>
      </c>
      <c r="D29" s="137"/>
      <c r="E29" s="132">
        <f>'[3]SM - Qty'!X29</f>
        <v>0</v>
      </c>
      <c r="F29" s="132">
        <f>SUM('[36]PRODUCTION (Rev.2) BP22 (2)'!B$25:B$34,'[36]PRODUCTION (Rev.2) BP22 (2)'!B$86:B$87,'[36]PRODUCTION (Rev.2) BP22 (2)'!B$92:B$93,'[36]PRODUCTION (Rev.2) BP22 (2)'!B$97:B$100)</f>
        <v>2866874.4319000007</v>
      </c>
      <c r="G29" s="132">
        <f>SUM('[36]PRODUCTION (Rev.2) BP22 (2)'!C$25:C$34,'[36]PRODUCTION (Rev.2) BP22 (2)'!C$86:C$87,'[36]PRODUCTION (Rev.2) BP22 (2)'!C$92:C$93,'[36]PRODUCTION (Rev.2) BP22 (2)'!C$97:C$100)</f>
        <v>3185354.3056000001</v>
      </c>
      <c r="H29" s="132">
        <f>SUM('[36]PRODUCTION (Rev.2) BP22 (2)'!D$25:D$34,'[36]PRODUCTION (Rev.2) BP22 (2)'!D$86:D$87,'[36]PRODUCTION (Rev.2) BP22 (2)'!D$92:D$93,'[36]PRODUCTION (Rev.2) BP22 (2)'!D$97:D$100)</f>
        <v>3093608.6620000005</v>
      </c>
      <c r="I29" s="132">
        <f>SUM('[36]PRODUCTION (Rev.2) BP22 (2)'!E$25:E$34,'[36]PRODUCTION (Rev.2) BP22 (2)'!E$86:E$87,'[36]PRODUCTION (Rev.2) BP22 (2)'!E$92:E$93,'[36]PRODUCTION (Rev.2) BP22 (2)'!E$97:E$100)</f>
        <v>3151055.1489999997</v>
      </c>
      <c r="J29" s="132">
        <f>SUM('[36]PRODUCTION (Rev.2) BP22 (2)'!F$25:F$34,'[36]PRODUCTION (Rev.2) BP22 (2)'!F$86:F$87,'[36]PRODUCTION (Rev.2) BP22 (2)'!F$92:F$93,'[36]PRODUCTION (Rev.2) BP22 (2)'!F$97:F$100)</f>
        <v>3141480.7344999998</v>
      </c>
      <c r="K29" s="132">
        <f>SUM('[36]PRODUCTION (Rev.2) BP22 (2)'!G$25:G$34,'[36]PRODUCTION (Rev.2) BP22 (2)'!G$86:G$87,'[36]PRODUCTION (Rev.2) BP22 (2)'!G$92:G$93,'[36]PRODUCTION (Rev.2) BP22 (2)'!G$97:G$100)</f>
        <v>3469465.8730000006</v>
      </c>
      <c r="L29" s="132">
        <f>SUM('[36]PRODUCTION (Rev.2) BP22 (2)'!H$25:H$34,'[36]PRODUCTION (Rev.2) BP22 (2)'!H$86:H$87,'[36]PRODUCTION (Rev.2) BP22 (2)'!H$92:H$93,'[36]PRODUCTION (Rev.2) BP22 (2)'!H$97:H$100)</f>
        <v>3542507.2598000006</v>
      </c>
      <c r="M29" s="132">
        <f>SUM('[36]PRODUCTION (Rev.2) BP22 (2)'!I$25:I$34,'[36]PRODUCTION (Rev.2) BP22 (2)'!I$86:I$87,'[36]PRODUCTION (Rev.2) BP22 (2)'!I$92:I$93,'[36]PRODUCTION (Rev.2) BP22 (2)'!I$97:I$100)</f>
        <v>3579027.9532000008</v>
      </c>
      <c r="N29" s="132">
        <f>SUM('[36]PRODUCTION (Rev.2) BP22 (2)'!J$25:J$34,'[36]PRODUCTION (Rev.2) BP22 (2)'!J$86:J$87,'[36]PRODUCTION (Rev.2) BP22 (2)'!J$92:J$93,'[36]PRODUCTION (Rev.2) BP22 (2)'!J$97:J$100)</f>
        <v>3319138.7550000004</v>
      </c>
      <c r="O29" s="132">
        <f>SUM('[36]PRODUCTION (Rev.2) BP22 (2)'!K$25:K$34,'[36]PRODUCTION (Rev.2) BP22 (2)'!K$86:K$87,'[36]PRODUCTION (Rev.2) BP22 (2)'!K$92:K$93,'[36]PRODUCTION (Rev.2) BP22 (2)'!K$97:K$100)</f>
        <v>2144673.8849999998</v>
      </c>
      <c r="P29" s="132">
        <f>SUM('[36]PRODUCTION (Rev.2) BP22 (2)'!L$25:L$34,'[36]PRODUCTION (Rev.2) BP22 (2)'!L$86:L$87,'[36]PRODUCTION (Rev.2) BP22 (2)'!L$92:L$93,'[36]PRODUCTION (Rev.2) BP22 (2)'!L$97:L$100)</f>
        <v>2440418.0299999998</v>
      </c>
      <c r="Q29" s="132">
        <f>SUM('[36]PRODUCTION (Rev.2) BP22 (2)'!M$25:M$34,'[36]PRODUCTION (Rev.2) BP22 (2)'!M$86:M$87,'[36]PRODUCTION (Rev.2) BP22 (2)'!M$92:M$93,'[36]PRODUCTION (Rev.2) BP22 (2)'!M$97:M$100)</f>
        <v>3089352.807000001</v>
      </c>
      <c r="R29" s="132">
        <f t="shared" si="2"/>
        <v>18907839.156000003</v>
      </c>
      <c r="S29" s="132"/>
      <c r="T29" s="132">
        <f t="shared" si="4"/>
        <v>14572611.430200003</v>
      </c>
      <c r="U29" s="132"/>
      <c r="V29" s="132">
        <f t="shared" si="5"/>
        <v>33480450.586200006</v>
      </c>
      <c r="W29" s="132"/>
    </row>
    <row r="30" spans="1:23" ht="18" customHeight="1">
      <c r="A30" s="1032"/>
      <c r="B30" s="139"/>
      <c r="C30" s="139" t="s">
        <v>83</v>
      </c>
      <c r="D30" s="137" t="s">
        <v>91</v>
      </c>
      <c r="E30" s="132">
        <f>'[3]SM - Qty'!X30</f>
        <v>0</v>
      </c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>
        <f t="shared" si="2"/>
        <v>0</v>
      </c>
      <c r="S30" s="132"/>
      <c r="T30" s="132">
        <f t="shared" si="4"/>
        <v>0</v>
      </c>
      <c r="U30" s="132"/>
      <c r="V30" s="132">
        <f t="shared" si="5"/>
        <v>0</v>
      </c>
      <c r="W30" s="132"/>
    </row>
    <row r="31" spans="1:23" ht="18" customHeight="1">
      <c r="A31" s="1032"/>
      <c r="B31" s="1094">
        <v>6070</v>
      </c>
      <c r="C31" s="138" t="s">
        <v>90</v>
      </c>
      <c r="D31" s="138" t="s">
        <v>89</v>
      </c>
      <c r="E31" s="94">
        <f>'[3]SM - Qty'!X31</f>
        <v>1273.6757349597747</v>
      </c>
      <c r="F31" s="94">
        <f>$E31/1000000*F$34</f>
        <v>1082.2954260818744</v>
      </c>
      <c r="G31" s="94">
        <f t="shared" ref="G31:Q33" si="16">$E31/1000000*G$34</f>
        <v>1010.0606492575617</v>
      </c>
      <c r="H31" s="94">
        <f t="shared" si="16"/>
        <v>1043.2342192668698</v>
      </c>
      <c r="I31" s="94">
        <f t="shared" si="16"/>
        <v>1074.5408572274127</v>
      </c>
      <c r="J31" s="94">
        <f t="shared" si="16"/>
        <v>1112.8403385117813</v>
      </c>
      <c r="K31" s="94">
        <f t="shared" si="16"/>
        <v>1320.4097669484604</v>
      </c>
      <c r="L31" s="94">
        <f t="shared" si="16"/>
        <v>1345.5264447053551</v>
      </c>
      <c r="M31" s="94">
        <f t="shared" si="16"/>
        <v>1351.1458822423403</v>
      </c>
      <c r="N31" s="94">
        <f t="shared" si="16"/>
        <v>1272.9183535549673</v>
      </c>
      <c r="O31" s="94">
        <f t="shared" si="16"/>
        <v>896.16818720155209</v>
      </c>
      <c r="P31" s="94">
        <f t="shared" si="16"/>
        <v>981.07943362216849</v>
      </c>
      <c r="Q31" s="94">
        <f t="shared" si="16"/>
        <v>1144.3378390419816</v>
      </c>
      <c r="R31" s="94">
        <f t="shared" si="2"/>
        <v>6643.3812572939605</v>
      </c>
      <c r="S31" s="94">
        <f>R31/$R$34*1000000</f>
        <v>1273.6757349597747</v>
      </c>
      <c r="T31" s="94">
        <f t="shared" si="4"/>
        <v>5645.649695663009</v>
      </c>
      <c r="U31" s="94">
        <f>T31/$T$34*1000000</f>
        <v>1273.6757349597744</v>
      </c>
      <c r="V31" s="94">
        <f t="shared" si="5"/>
        <v>12289.030952956969</v>
      </c>
      <c r="W31" s="94">
        <f>V31/$V$34*1000000</f>
        <v>1273.6757349597747</v>
      </c>
    </row>
    <row r="32" spans="1:23" ht="18" customHeight="1">
      <c r="A32" s="1032"/>
      <c r="B32" s="1094"/>
      <c r="C32" s="138"/>
      <c r="D32" s="138" t="s">
        <v>88</v>
      </c>
      <c r="E32" s="94">
        <f>'[3]SM - Qty'!X32</f>
        <v>1241.8948495354789</v>
      </c>
      <c r="F32" s="94">
        <f>$E32/1000000*F$34</f>
        <v>1055.2898814307207</v>
      </c>
      <c r="G32" s="94">
        <f t="shared" si="16"/>
        <v>984.85751404461212</v>
      </c>
      <c r="H32" s="94">
        <f t="shared" si="16"/>
        <v>1017.2033337885717</v>
      </c>
      <c r="I32" s="94">
        <f t="shared" si="16"/>
        <v>1047.7288053605791</v>
      </c>
      <c r="J32" s="94">
        <f t="shared" si="16"/>
        <v>1085.0726341243735</v>
      </c>
      <c r="K32" s="94">
        <f t="shared" si="16"/>
        <v>1287.4627692435577</v>
      </c>
      <c r="L32" s="94">
        <f t="shared" si="16"/>
        <v>1311.9527331233476</v>
      </c>
      <c r="M32" s="94">
        <f t="shared" si="16"/>
        <v>1317.4319538880336</v>
      </c>
      <c r="N32" s="94">
        <f t="shared" si="16"/>
        <v>1241.1563663878874</v>
      </c>
      <c r="O32" s="94">
        <f t="shared" si="16"/>
        <v>873.80690819104257</v>
      </c>
      <c r="P32" s="94">
        <f t="shared" si="16"/>
        <v>956.59944062531383</v>
      </c>
      <c r="Q32" s="94">
        <f t="shared" si="16"/>
        <v>1115.7842058439464</v>
      </c>
      <c r="R32" s="94">
        <f t="shared" si="2"/>
        <v>6477.6149379924154</v>
      </c>
      <c r="S32" s="94">
        <f t="shared" ref="S32:S33" si="17">R32/$R$34*1000000</f>
        <v>1241.8948495354791</v>
      </c>
      <c r="T32" s="94">
        <f t="shared" si="4"/>
        <v>5504.7788749362235</v>
      </c>
      <c r="U32" s="94">
        <f>T32/$T$34*1000000</f>
        <v>1241.8948495354789</v>
      </c>
      <c r="V32" s="94">
        <f t="shared" si="5"/>
        <v>11982.39381292864</v>
      </c>
      <c r="W32" s="94">
        <f>V32/$V$34*1000000</f>
        <v>1241.8948495354791</v>
      </c>
    </row>
    <row r="33" spans="1:23" ht="18" customHeight="1">
      <c r="A33" s="1032"/>
      <c r="B33" s="1094"/>
      <c r="C33" s="138"/>
      <c r="D33" s="138" t="s">
        <v>87</v>
      </c>
      <c r="E33" s="94">
        <f>'[3]SM - Qty'!X33</f>
        <v>23.268148257073818</v>
      </c>
      <c r="F33" s="94">
        <f>$E33/1000000*F$34</f>
        <v>19.771916619594911</v>
      </c>
      <c r="G33" s="94">
        <f t="shared" si="16"/>
        <v>18.452295423766895</v>
      </c>
      <c r="H33" s="94">
        <f t="shared" si="16"/>
        <v>19.058326868039774</v>
      </c>
      <c r="I33" s="94">
        <f t="shared" si="16"/>
        <v>19.630252259646184</v>
      </c>
      <c r="J33" s="94">
        <f t="shared" si="16"/>
        <v>20.329926426495138</v>
      </c>
      <c r="K33" s="94">
        <f t="shared" si="16"/>
        <v>24.121909033946835</v>
      </c>
      <c r="L33" s="94">
        <f t="shared" si="16"/>
        <v>24.580753122541356</v>
      </c>
      <c r="M33" s="94">
        <f t="shared" si="16"/>
        <v>24.683411830831869</v>
      </c>
      <c r="N33" s="94">
        <f t="shared" si="16"/>
        <v>23.254312033040893</v>
      </c>
      <c r="O33" s="94">
        <f t="shared" si="16"/>
        <v>16.371650704123176</v>
      </c>
      <c r="P33" s="94">
        <f t="shared" si="16"/>
        <v>17.922852015554479</v>
      </c>
      <c r="Q33" s="94">
        <f t="shared" si="16"/>
        <v>20.905338591418818</v>
      </c>
      <c r="R33" s="94">
        <f t="shared" si="2"/>
        <v>121.36462663148973</v>
      </c>
      <c r="S33" s="94">
        <f t="shared" si="17"/>
        <v>23.268148257073815</v>
      </c>
      <c r="T33" s="94">
        <f t="shared" si="4"/>
        <v>103.13756517496924</v>
      </c>
      <c r="U33" s="94">
        <f>T33/$T$34*1000000</f>
        <v>23.268148257073818</v>
      </c>
      <c r="V33" s="94">
        <f t="shared" si="5"/>
        <v>224.50219180645897</v>
      </c>
      <c r="W33" s="94">
        <f>V33/$V$34*1000000</f>
        <v>23.268148257073818</v>
      </c>
    </row>
    <row r="34" spans="1:23" ht="18" customHeight="1" thickBot="1">
      <c r="A34" s="1032"/>
      <c r="B34" s="1095"/>
      <c r="C34" s="140" t="s">
        <v>83</v>
      </c>
      <c r="D34" s="140"/>
      <c r="E34" s="141">
        <f>'[3]SM - Qty'!X34</f>
        <v>0</v>
      </c>
      <c r="F34" s="141">
        <f>SUM('[36]PRODUCTION (Rev.2) BP22 (2)'!B$22:B$24,'[36]PRODUCTION (Rev.2) BP22 (2)'!B$44:B$48,'[36]PRODUCTION (Rev.2) BP22 (2)'!B$54:B$57,'[36]PRODUCTION (Rev.2) BP22 (2)'!B$63:B$68,'[36]PRODUCTION (Rev.2) BP22 (2)'!B$81:B$82,'[36]PRODUCTION (Rev.2) BP22 (2)'!B$101:B$103)</f>
        <v>849741.73282500007</v>
      </c>
      <c r="G34" s="141">
        <f>SUM('[36]PRODUCTION (Rev.2) BP22 (2)'!C$22:C$24,'[36]PRODUCTION (Rev.2) BP22 (2)'!C$44:C$48,'[36]PRODUCTION (Rev.2) BP22 (2)'!C$54:C$57,'[36]PRODUCTION (Rev.2) BP22 (2)'!C$63:C$68,'[36]PRODUCTION (Rev.2) BP22 (2)'!C$81:C$82,'[36]PRODUCTION (Rev.2) BP22 (2)'!C$101:C$103)</f>
        <v>793028.10089999996</v>
      </c>
      <c r="H34" s="141">
        <f>SUM('[36]PRODUCTION (Rev.2) BP22 (2)'!D$22:D$24,'[36]PRODUCTION (Rev.2) BP22 (2)'!D$44:D$48,'[36]PRODUCTION (Rev.2) BP22 (2)'!D$54:D$57,'[36]PRODUCTION (Rev.2) BP22 (2)'!D$63:D$68,'[36]PRODUCTION (Rev.2) BP22 (2)'!D$81:D$82,'[36]PRODUCTION (Rev.2) BP22 (2)'!D$101:D$103)</f>
        <v>819073.63910000003</v>
      </c>
      <c r="I34" s="141">
        <f>SUM('[36]PRODUCTION (Rev.2) BP22 (2)'!E$22:E$24,'[36]PRODUCTION (Rev.2) BP22 (2)'!E$44:E$48,'[36]PRODUCTION (Rev.2) BP22 (2)'!E$54:E$57,'[36]PRODUCTION (Rev.2) BP22 (2)'!E$63:E$68,'[36]PRODUCTION (Rev.2) BP22 (2)'!E$81:E$82,'[36]PRODUCTION (Rev.2) BP22 (2)'!E$101:E$103)</f>
        <v>843653.39445000025</v>
      </c>
      <c r="J34" s="141">
        <f>SUM('[36]PRODUCTION (Rev.2) BP22 (2)'!F$22:F$24,'[36]PRODUCTION (Rev.2) BP22 (2)'!F$44:F$48,'[36]PRODUCTION (Rev.2) BP22 (2)'!F$54:F$57,'[36]PRODUCTION (Rev.2) BP22 (2)'!F$63:F$68,'[36]PRODUCTION (Rev.2) BP22 (2)'!F$81:F$82,'[36]PRODUCTION (Rev.2) BP22 (2)'!F$101:F$103)</f>
        <v>873723.43522500026</v>
      </c>
      <c r="K34" s="141">
        <f>SUM('[36]PRODUCTION (Rev.2) BP22 (2)'!G$22:G$24,'[36]PRODUCTION (Rev.2) BP22 (2)'!G$44:G$48,'[36]PRODUCTION (Rev.2) BP22 (2)'!G$54:G$57,'[36]PRODUCTION (Rev.2) BP22 (2)'!G$63:G$68,'[36]PRODUCTION (Rev.2) BP22 (2)'!G$81:G$82,'[36]PRODUCTION (Rev.2) BP22 (2)'!G$101:G$103)</f>
        <v>1036692.2527499998</v>
      </c>
      <c r="L34" s="141">
        <f>SUM('[36]PRODUCTION (Rev.2) BP22 (2)'!H$22:H$24,'[36]PRODUCTION (Rev.2) BP22 (2)'!H$44:H$48,'[36]PRODUCTION (Rev.2) BP22 (2)'!H$54:H$57,'[36]PRODUCTION (Rev.2) BP22 (2)'!H$63:H$68,'[36]PRODUCTION (Rev.2) BP22 (2)'!H$81:H$82,'[36]PRODUCTION (Rev.2) BP22 (2)'!H$101:H$103)</f>
        <v>1056412.08965</v>
      </c>
      <c r="M34" s="141">
        <f>SUM('[36]PRODUCTION (Rev.2) BP22 (2)'!I$22:I$24,'[36]PRODUCTION (Rev.2) BP22 (2)'!I$44:I$48,'[36]PRODUCTION (Rev.2) BP22 (2)'!I$54:I$57,'[36]PRODUCTION (Rev.2) BP22 (2)'!I$63:I$68,'[36]PRODUCTION (Rev.2) BP22 (2)'!I$81:I$82,'[36]PRODUCTION (Rev.2) BP22 (2)'!I$101:I$103)</f>
        <v>1060824.0741000003</v>
      </c>
      <c r="N34" s="141">
        <f>SUM('[36]PRODUCTION (Rev.2) BP22 (2)'!J$22:J$24,'[36]PRODUCTION (Rev.2) BP22 (2)'!J$44:J$48,'[36]PRODUCTION (Rev.2) BP22 (2)'!J$54:J$57,'[36]PRODUCTION (Rev.2) BP22 (2)'!J$63:J$68,'[36]PRODUCTION (Rev.2) BP22 (2)'!J$81:J$82,'[36]PRODUCTION (Rev.2) BP22 (2)'!J$101:J$103)</f>
        <v>999405.35774999973</v>
      </c>
      <c r="O34" s="141">
        <f>SUM('[36]PRODUCTION (Rev.2) BP22 (2)'!K$22:K$24,'[36]PRODUCTION (Rev.2) BP22 (2)'!K$44:K$48,'[36]PRODUCTION (Rev.2) BP22 (2)'!K$54:K$57,'[36]PRODUCTION (Rev.2) BP22 (2)'!K$63:K$68,'[36]PRODUCTION (Rev.2) BP22 (2)'!K$81:K$82,'[36]PRODUCTION (Rev.2) BP22 (2)'!K$101:K$103)</f>
        <v>703607.80425000004</v>
      </c>
      <c r="P34" s="141">
        <f>SUM('[36]PRODUCTION (Rev.2) BP22 (2)'!L$22:L$24,'[36]PRODUCTION (Rev.2) BP22 (2)'!L$44:L$48,'[36]PRODUCTION (Rev.2) BP22 (2)'!L$54:L$57,'[36]PRODUCTION (Rev.2) BP22 (2)'!L$63:L$68,'[36]PRODUCTION (Rev.2) BP22 (2)'!L$81:L$82,'[36]PRODUCTION (Rev.2) BP22 (2)'!L$101:L$103)</f>
        <v>770274.10250000015</v>
      </c>
      <c r="Q34" s="141">
        <f>SUM('[36]PRODUCTION (Rev.2) BP22 (2)'!M$22:M$24,'[36]PRODUCTION (Rev.2) BP22 (2)'!M$44:M$48,'[36]PRODUCTION (Rev.2) BP22 (2)'!M$54:M$57,'[36]PRODUCTION (Rev.2) BP22 (2)'!M$63:M$68,'[36]PRODUCTION (Rev.2) BP22 (2)'!M$81:M$82,'[36]PRODUCTION (Rev.2) BP22 (2)'!M$101:M$103)</f>
        <v>898453.04234999989</v>
      </c>
      <c r="R34" s="141">
        <f t="shared" si="2"/>
        <v>5215912.5552500002</v>
      </c>
      <c r="S34" s="141"/>
      <c r="T34" s="141">
        <f t="shared" si="4"/>
        <v>4432564.3809500001</v>
      </c>
      <c r="U34" s="141"/>
      <c r="V34" s="141">
        <f t="shared" si="5"/>
        <v>9648476.9362000003</v>
      </c>
      <c r="W34" s="141"/>
    </row>
    <row r="35" spans="1:23" ht="18" customHeight="1" thickTop="1" thickBot="1">
      <c r="A35" s="1032"/>
      <c r="B35" s="909"/>
      <c r="C35" s="912" t="s">
        <v>117</v>
      </c>
      <c r="D35" s="913"/>
      <c r="E35" s="914">
        <f>'[3]SM - Qty'!$X$35</f>
        <v>419.12229004420124</v>
      </c>
      <c r="F35" s="914">
        <f>$E35/1000000*F36</f>
        <v>3.9598003367712065</v>
      </c>
      <c r="G35" s="914">
        <f t="shared" ref="G35:Q35" si="18">$E35/1000000*G36</f>
        <v>3.9109139128604511</v>
      </c>
      <c r="H35" s="914">
        <f t="shared" si="18"/>
        <v>3.8620274889496948</v>
      </c>
      <c r="I35" s="914">
        <f t="shared" si="18"/>
        <v>3.9353571248158286</v>
      </c>
      <c r="J35" s="914">
        <f t="shared" si="18"/>
        <v>3.9109139128604511</v>
      </c>
      <c r="K35" s="914">
        <f t="shared" si="18"/>
        <v>4.5219942117448966</v>
      </c>
      <c r="L35" s="914">
        <f t="shared" si="18"/>
        <v>4.546437423700274</v>
      </c>
      <c r="M35" s="914">
        <f t="shared" si="18"/>
        <v>4.546437423700274</v>
      </c>
      <c r="N35" s="914">
        <f t="shared" si="18"/>
        <v>4.546437423700274</v>
      </c>
      <c r="O35" s="914">
        <f t="shared" si="18"/>
        <v>3.3731632498421389</v>
      </c>
      <c r="P35" s="914">
        <f t="shared" si="18"/>
        <v>3.5198225215744054</v>
      </c>
      <c r="Q35" s="914">
        <f t="shared" si="18"/>
        <v>4.2531188802357391</v>
      </c>
      <c r="R35" s="914">
        <f t="shared" si="2"/>
        <v>24.101006988002528</v>
      </c>
      <c r="S35" s="914">
        <f>R35/$R$36*1000000</f>
        <v>419.12229004420135</v>
      </c>
      <c r="T35" s="914">
        <f t="shared" si="4"/>
        <v>20.238979499052832</v>
      </c>
      <c r="U35" s="914">
        <f>T35/$T$36*1000000</f>
        <v>419.12229004420124</v>
      </c>
      <c r="V35" s="914">
        <f t="shared" si="5"/>
        <v>44.339986487055356</v>
      </c>
      <c r="W35" s="914">
        <f>V35/$V$36*1000000</f>
        <v>419.12229004420129</v>
      </c>
    </row>
    <row r="36" spans="1:23" ht="18" customHeight="1" thickTop="1">
      <c r="A36" s="1032"/>
      <c r="B36" s="142">
        <v>6075</v>
      </c>
      <c r="C36" s="910" t="s">
        <v>190</v>
      </c>
      <c r="D36" s="910"/>
      <c r="E36" s="911">
        <f>'[3]SM - Qty'!X35</f>
        <v>419.12229004420124</v>
      </c>
      <c r="F36" s="911">
        <f>SUM('[36]PRODUCTION (Rev.2) BP22 (2)'!B$10)</f>
        <v>9447.84</v>
      </c>
      <c r="G36" s="911">
        <f>SUM('[36]PRODUCTION (Rev.2) BP22 (2)'!C$10)</f>
        <v>9331.2000000000007</v>
      </c>
      <c r="H36" s="911">
        <f>SUM('[36]PRODUCTION (Rev.2) BP22 (2)'!D$10)</f>
        <v>9214.56</v>
      </c>
      <c r="I36" s="911">
        <f>SUM('[36]PRODUCTION (Rev.2) BP22 (2)'!E$10)</f>
        <v>9389.52</v>
      </c>
      <c r="J36" s="911">
        <f>SUM('[36]PRODUCTION (Rev.2) BP22 (2)'!F$10)</f>
        <v>9331.2000000000007</v>
      </c>
      <c r="K36" s="911">
        <f>SUM('[36]PRODUCTION (Rev.2) BP22 (2)'!G$10)</f>
        <v>10789.2</v>
      </c>
      <c r="L36" s="911">
        <f>SUM('[36]PRODUCTION (Rev.2) BP22 (2)'!H$10)</f>
        <v>10847.52</v>
      </c>
      <c r="M36" s="911">
        <f>SUM('[36]PRODUCTION (Rev.2) BP22 (2)'!I$10)</f>
        <v>10847.52</v>
      </c>
      <c r="N36" s="911">
        <f>SUM('[36]PRODUCTION (Rev.2) BP22 (2)'!J$10)</f>
        <v>10847.52</v>
      </c>
      <c r="O36" s="911">
        <f>SUM('[36]PRODUCTION (Rev.2) BP22 (2)'!K$10)</f>
        <v>8048.1600000000008</v>
      </c>
      <c r="P36" s="911">
        <f>SUM('[36]PRODUCTION (Rev.2) BP22 (2)'!L$10)</f>
        <v>8398.08</v>
      </c>
      <c r="Q36" s="911">
        <f>SUM('[36]PRODUCTION (Rev.2) BP22 (2)'!M$10)</f>
        <v>10147.679999999998</v>
      </c>
      <c r="R36" s="911">
        <f t="shared" si="2"/>
        <v>57503.51999999999</v>
      </c>
      <c r="S36" s="911"/>
      <c r="T36" s="911">
        <f t="shared" si="4"/>
        <v>48288.959999999999</v>
      </c>
      <c r="U36" s="911"/>
      <c r="V36" s="911">
        <f t="shared" si="5"/>
        <v>105792.47999999998</v>
      </c>
      <c r="W36" s="911"/>
    </row>
    <row r="37" spans="1:23" ht="18" customHeight="1">
      <c r="A37" s="1032"/>
      <c r="B37" s="1094"/>
      <c r="C37" s="130" t="s">
        <v>118</v>
      </c>
      <c r="D37" s="130"/>
      <c r="E37" s="83">
        <f>'[3]SM - Qty'!$X$37</f>
        <v>262.96310044413394</v>
      </c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>
        <f t="shared" si="2"/>
        <v>0</v>
      </c>
      <c r="S37" s="83"/>
      <c r="T37" s="83">
        <f t="shared" si="4"/>
        <v>0</v>
      </c>
      <c r="U37" s="83"/>
      <c r="V37" s="83">
        <f t="shared" si="5"/>
        <v>0</v>
      </c>
      <c r="W37" s="83"/>
    </row>
    <row r="38" spans="1:23" ht="18" customHeight="1">
      <c r="A38" s="1032"/>
      <c r="B38" s="1094"/>
      <c r="C38" s="130" t="s">
        <v>86</v>
      </c>
      <c r="D38" s="130"/>
      <c r="E38" s="144">
        <f>'[3]SM - Qty'!X38</f>
        <v>0</v>
      </c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>
        <f t="shared" si="2"/>
        <v>0</v>
      </c>
      <c r="S38" s="144"/>
      <c r="T38" s="144">
        <f t="shared" si="4"/>
        <v>0</v>
      </c>
      <c r="U38" s="144"/>
      <c r="V38" s="144">
        <f t="shared" si="5"/>
        <v>0</v>
      </c>
      <c r="W38" s="144"/>
    </row>
    <row r="39" spans="1:23" ht="18" customHeight="1">
      <c r="A39" s="1032"/>
      <c r="B39" s="1094"/>
      <c r="C39" s="130" t="s">
        <v>85</v>
      </c>
      <c r="D39" s="130"/>
      <c r="E39" s="144">
        <f>'[3]SM - Qty'!X39</f>
        <v>0</v>
      </c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>
        <f t="shared" si="2"/>
        <v>0</v>
      </c>
      <c r="S39" s="144"/>
      <c r="T39" s="144">
        <f t="shared" si="4"/>
        <v>0</v>
      </c>
      <c r="U39" s="144"/>
      <c r="V39" s="144">
        <f t="shared" si="5"/>
        <v>0</v>
      </c>
      <c r="W39" s="144"/>
    </row>
    <row r="40" spans="1:23" ht="18" customHeight="1">
      <c r="A40" s="1032"/>
      <c r="B40" s="1094"/>
      <c r="C40" s="130" t="s">
        <v>84</v>
      </c>
      <c r="D40" s="130"/>
      <c r="E40" s="144">
        <f>'[3]SM - Qty'!X40</f>
        <v>0</v>
      </c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>
        <f t="shared" si="2"/>
        <v>0</v>
      </c>
      <c r="S40" s="144"/>
      <c r="T40" s="144">
        <f t="shared" si="4"/>
        <v>0</v>
      </c>
      <c r="U40" s="144"/>
      <c r="V40" s="144">
        <f t="shared" si="5"/>
        <v>0</v>
      </c>
      <c r="W40" s="144"/>
    </row>
    <row r="41" spans="1:23" ht="18" customHeight="1">
      <c r="A41" s="1032"/>
      <c r="B41" s="1094"/>
      <c r="C41" s="131" t="s">
        <v>83</v>
      </c>
      <c r="D41" s="131"/>
      <c r="E41" s="145">
        <f>'[3]SM - Qty'!W41</f>
        <v>0</v>
      </c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>
        <f t="shared" si="2"/>
        <v>0</v>
      </c>
      <c r="S41" s="145"/>
      <c r="T41" s="145">
        <f t="shared" si="4"/>
        <v>0</v>
      </c>
      <c r="U41" s="145"/>
      <c r="V41" s="145">
        <f t="shared" si="5"/>
        <v>0</v>
      </c>
      <c r="W41" s="145"/>
    </row>
    <row r="42" spans="1:23" ht="18" customHeight="1" thickBot="1">
      <c r="A42" s="1033"/>
      <c r="B42" s="84">
        <v>6080</v>
      </c>
      <c r="C42" s="146" t="s">
        <v>1</v>
      </c>
      <c r="D42" s="147" t="s">
        <v>165</v>
      </c>
      <c r="E42" s="148">
        <f>'[3]SM - Qty'!W42</f>
        <v>0</v>
      </c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>
        <f t="shared" si="2"/>
        <v>0</v>
      </c>
      <c r="S42" s="148"/>
      <c r="T42" s="148">
        <f t="shared" si="4"/>
        <v>0</v>
      </c>
      <c r="U42" s="148"/>
      <c r="V42" s="148">
        <f t="shared" si="5"/>
        <v>0</v>
      </c>
      <c r="W42" s="148"/>
    </row>
    <row r="43" spans="1:23" ht="20.100000000000001" customHeight="1" thickTop="1" thickBot="1">
      <c r="A43" s="149"/>
      <c r="B43" s="150"/>
      <c r="C43" s="151" t="s">
        <v>59</v>
      </c>
      <c r="D43" s="151"/>
      <c r="E43" s="152">
        <f>'[3]SM - Qty'!W43</f>
        <v>0</v>
      </c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</row>
    <row r="44" spans="1:23" ht="13.5" customHeight="1">
      <c r="E44" s="232">
        <f>'[3]SM - Qty'!W44</f>
        <v>0</v>
      </c>
    </row>
    <row r="45" spans="1:23">
      <c r="C45" s="75" t="s">
        <v>167</v>
      </c>
      <c r="E45" s="232">
        <f>'[3]SM - Qty'!W45</f>
        <v>0</v>
      </c>
      <c r="G45" s="180" t="e">
        <f t="shared" ref="G45:N45" si="19">(G43-F43)/F43*100</f>
        <v>#DIV/0!</v>
      </c>
      <c r="H45" s="180" t="e">
        <f t="shared" si="19"/>
        <v>#DIV/0!</v>
      </c>
      <c r="I45" s="180" t="e">
        <f t="shared" si="19"/>
        <v>#DIV/0!</v>
      </c>
      <c r="J45" s="180" t="e">
        <f t="shared" si="19"/>
        <v>#DIV/0!</v>
      </c>
      <c r="K45" s="180" t="e">
        <f t="shared" si="19"/>
        <v>#DIV/0!</v>
      </c>
      <c r="L45" s="180" t="e">
        <f t="shared" si="19"/>
        <v>#DIV/0!</v>
      </c>
      <c r="M45" s="180" t="e">
        <f t="shared" si="19"/>
        <v>#DIV/0!</v>
      </c>
      <c r="N45" s="180" t="e">
        <f t="shared" si="19"/>
        <v>#DIV/0!</v>
      </c>
    </row>
    <row r="46" spans="1:23">
      <c r="B46" s="539" t="s">
        <v>193</v>
      </c>
      <c r="C46" s="539" t="s">
        <v>190</v>
      </c>
      <c r="D46" s="539"/>
      <c r="E46" s="540">
        <f>'[3]SM - Qty'!W46</f>
        <v>0</v>
      </c>
      <c r="F46" s="596">
        <v>1308973</v>
      </c>
      <c r="G46" s="596"/>
      <c r="H46" s="596"/>
      <c r="I46" s="596"/>
      <c r="J46" s="596"/>
      <c r="K46" s="596"/>
      <c r="L46" s="596"/>
      <c r="M46" s="596"/>
      <c r="N46" s="596"/>
      <c r="O46" s="596"/>
      <c r="P46" s="596"/>
      <c r="Q46" s="596"/>
      <c r="R46" s="539">
        <f>SUM(F46:K46)</f>
        <v>1308973</v>
      </c>
      <c r="S46" s="539"/>
      <c r="T46" s="539">
        <f>SUM(L46:Q46)</f>
        <v>0</v>
      </c>
      <c r="U46" s="539"/>
      <c r="V46" s="539">
        <f>SUM(F46:Q46)</f>
        <v>1308973</v>
      </c>
      <c r="W46" s="539"/>
    </row>
    <row r="47" spans="1:23">
      <c r="B47" s="541"/>
      <c r="C47" s="541" t="s">
        <v>194</v>
      </c>
      <c r="D47" s="541"/>
      <c r="E47" s="597">
        <f>'[3]SM - Qty'!W47</f>
        <v>0</v>
      </c>
      <c r="F47" s="597">
        <v>0</v>
      </c>
      <c r="G47" s="597"/>
      <c r="H47" s="597"/>
      <c r="I47" s="597"/>
      <c r="J47" s="597"/>
      <c r="K47" s="597"/>
      <c r="L47" s="597"/>
      <c r="M47" s="597"/>
      <c r="N47" s="597"/>
      <c r="O47" s="597"/>
      <c r="P47" s="597"/>
      <c r="Q47" s="597"/>
      <c r="R47" s="541">
        <f t="shared" ref="R47:R50" si="20">SUM(F47:K47)</f>
        <v>0</v>
      </c>
      <c r="S47" s="541"/>
      <c r="T47" s="541">
        <f t="shared" ref="T47:T50" si="21">SUM(L47:Q47)</f>
        <v>0</v>
      </c>
      <c r="U47" s="541"/>
      <c r="V47" s="541">
        <f t="shared" ref="V47:V50" si="22">SUM(F47:Q47)</f>
        <v>0</v>
      </c>
      <c r="W47" s="541">
        <f>MROUND(V47/$V$46*1000000,1)</f>
        <v>0</v>
      </c>
    </row>
    <row r="48" spans="1:23">
      <c r="B48" s="541"/>
      <c r="C48" s="541" t="s">
        <v>88</v>
      </c>
      <c r="D48" s="541"/>
      <c r="E48" s="597">
        <f>'[3]SM - Qty'!W48</f>
        <v>0</v>
      </c>
      <c r="F48" s="542">
        <v>0</v>
      </c>
      <c r="G48" s="542"/>
      <c r="H48" s="542"/>
      <c r="I48" s="542"/>
      <c r="J48" s="542"/>
      <c r="K48" s="542"/>
      <c r="L48" s="542"/>
      <c r="M48" s="542"/>
      <c r="N48" s="542"/>
      <c r="O48" s="542"/>
      <c r="P48" s="542"/>
      <c r="Q48" s="542"/>
      <c r="R48" s="541">
        <f t="shared" si="20"/>
        <v>0</v>
      </c>
      <c r="S48" s="541"/>
      <c r="T48" s="541">
        <f t="shared" si="21"/>
        <v>0</v>
      </c>
      <c r="U48" s="541"/>
      <c r="V48" s="541">
        <f t="shared" si="22"/>
        <v>0</v>
      </c>
      <c r="W48" s="541">
        <f t="shared" ref="W48:W51" si="23">MROUND(V48/$V$46*1000000,1)</f>
        <v>0</v>
      </c>
    </row>
    <row r="49" spans="2:23">
      <c r="B49" s="541"/>
      <c r="C49" s="541" t="s">
        <v>195</v>
      </c>
      <c r="D49" s="541"/>
      <c r="E49" s="597">
        <f>'[3]SM - Qty'!W49</f>
        <v>1976</v>
      </c>
      <c r="F49" s="597">
        <v>2639</v>
      </c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41">
        <f t="shared" si="20"/>
        <v>2639</v>
      </c>
      <c r="S49" s="541"/>
      <c r="T49" s="541">
        <f t="shared" si="21"/>
        <v>0</v>
      </c>
      <c r="U49" s="541"/>
      <c r="V49" s="541">
        <f t="shared" si="22"/>
        <v>2639</v>
      </c>
      <c r="W49" s="541">
        <f t="shared" si="23"/>
        <v>2016</v>
      </c>
    </row>
    <row r="50" spans="2:23">
      <c r="B50" s="541"/>
      <c r="C50" s="541" t="s">
        <v>196</v>
      </c>
      <c r="D50" s="541"/>
      <c r="E50" s="597">
        <f>'[3]SM - Qty'!W50</f>
        <v>106</v>
      </c>
      <c r="F50" s="597">
        <v>55</v>
      </c>
      <c r="G50" s="597"/>
      <c r="H50" s="597"/>
      <c r="I50" s="597"/>
      <c r="J50" s="597"/>
      <c r="K50" s="597"/>
      <c r="L50" s="597"/>
      <c r="M50" s="597"/>
      <c r="N50" s="597"/>
      <c r="O50" s="597"/>
      <c r="P50" s="597"/>
      <c r="Q50" s="597"/>
      <c r="R50" s="541">
        <f t="shared" si="20"/>
        <v>55</v>
      </c>
      <c r="S50" s="541"/>
      <c r="T50" s="541">
        <f t="shared" si="21"/>
        <v>0</v>
      </c>
      <c r="U50" s="541"/>
      <c r="V50" s="541">
        <f t="shared" si="22"/>
        <v>55</v>
      </c>
      <c r="W50" s="541">
        <f t="shared" si="23"/>
        <v>42</v>
      </c>
    </row>
    <row r="51" spans="2:23">
      <c r="B51" s="541"/>
      <c r="C51" s="541" t="s">
        <v>1</v>
      </c>
      <c r="D51" s="541"/>
      <c r="E51" s="597">
        <f>'[3]SM - Qty'!W51</f>
        <v>2082</v>
      </c>
      <c r="F51" s="542">
        <v>2694</v>
      </c>
      <c r="G51" s="542"/>
      <c r="H51" s="542"/>
      <c r="I51" s="542"/>
      <c r="J51" s="542"/>
      <c r="K51" s="542"/>
      <c r="L51" s="542"/>
      <c r="M51" s="542"/>
      <c r="N51" s="542"/>
      <c r="O51" s="542"/>
      <c r="P51" s="542"/>
      <c r="Q51" s="542"/>
      <c r="R51" s="542">
        <f>SUM(R47:R50)</f>
        <v>2694</v>
      </c>
      <c r="S51" s="542">
        <f t="shared" ref="S51:U51" si="24">S46*$E$52/1000000</f>
        <v>0</v>
      </c>
      <c r="T51" s="542">
        <f>SUM(T47:T50)</f>
        <v>0</v>
      </c>
      <c r="U51" s="542">
        <f t="shared" si="24"/>
        <v>0</v>
      </c>
      <c r="V51" s="542">
        <f>SUM(V47:V50)</f>
        <v>2694</v>
      </c>
      <c r="W51" s="541">
        <f t="shared" si="23"/>
        <v>2058</v>
      </c>
    </row>
    <row r="52" spans="2:23">
      <c r="B52" s="541"/>
      <c r="C52" s="541" t="s">
        <v>198</v>
      </c>
      <c r="D52" s="541"/>
      <c r="E52" s="597">
        <f>'[3]SM - Qty'!W52</f>
        <v>2081.6362152748425</v>
      </c>
      <c r="F52" s="542">
        <f>F51/F46*1000000</f>
        <v>2058.102038773909</v>
      </c>
      <c r="G52" s="542"/>
      <c r="H52" s="542"/>
      <c r="I52" s="542"/>
      <c r="J52" s="542"/>
      <c r="K52" s="542"/>
      <c r="L52" s="542"/>
      <c r="M52" s="542"/>
      <c r="N52" s="542"/>
      <c r="O52" s="542" t="e">
        <f t="shared" ref="O52:P52" si="25">O51/O46*1000000</f>
        <v>#DIV/0!</v>
      </c>
      <c r="P52" s="542" t="e">
        <f t="shared" si="25"/>
        <v>#DIV/0!</v>
      </c>
      <c r="Q52" s="542" t="e">
        <f t="shared" ref="Q52" si="26">Q51/Q46*1000000</f>
        <v>#DIV/0!</v>
      </c>
      <c r="R52" s="542">
        <f t="shared" ref="R52:V52" si="27">R51/R46*1000000</f>
        <v>2058.102038773909</v>
      </c>
      <c r="S52" s="542" t="e">
        <f t="shared" si="27"/>
        <v>#DIV/0!</v>
      </c>
      <c r="T52" s="542" t="e">
        <f t="shared" si="27"/>
        <v>#DIV/0!</v>
      </c>
      <c r="U52" s="542" t="e">
        <f t="shared" si="27"/>
        <v>#DIV/0!</v>
      </c>
      <c r="V52" s="542">
        <f t="shared" si="27"/>
        <v>2058.102038773909</v>
      </c>
      <c r="W52" s="542">
        <f>V51/V46*1000000</f>
        <v>2058.102038773909</v>
      </c>
    </row>
    <row r="53" spans="2:23">
      <c r="B53" s="541" t="s">
        <v>197</v>
      </c>
      <c r="C53" s="541" t="s">
        <v>190</v>
      </c>
      <c r="D53" s="541"/>
      <c r="E53" s="543">
        <f>'[3]SM - Qty'!W53</f>
        <v>0</v>
      </c>
      <c r="F53" s="542">
        <v>937088</v>
      </c>
      <c r="G53" s="542"/>
      <c r="H53" s="542"/>
      <c r="I53" s="542"/>
      <c r="J53" s="542"/>
      <c r="K53" s="542"/>
      <c r="L53" s="542"/>
      <c r="M53" s="542"/>
      <c r="N53" s="542"/>
      <c r="O53" s="542"/>
      <c r="P53" s="542"/>
      <c r="Q53" s="542"/>
      <c r="R53" s="542">
        <f t="shared" ref="R53:R57" si="28">SUM(F53:K53)</f>
        <v>937088</v>
      </c>
      <c r="S53" s="542"/>
      <c r="T53" s="542">
        <f t="shared" ref="T53:T57" si="29">SUM(L53:Q53)</f>
        <v>0</v>
      </c>
      <c r="U53" s="542"/>
      <c r="V53" s="539">
        <f>SUM(F53:Q53)</f>
        <v>937088</v>
      </c>
      <c r="W53" s="542"/>
    </row>
    <row r="54" spans="2:23">
      <c r="B54" s="541"/>
      <c r="C54" s="541" t="s">
        <v>194</v>
      </c>
      <c r="D54" s="541"/>
      <c r="E54" s="597">
        <f>'[3]SM - Qty'!W54</f>
        <v>202</v>
      </c>
      <c r="F54" s="542">
        <v>56</v>
      </c>
      <c r="G54" s="542"/>
      <c r="H54" s="542"/>
      <c r="I54" s="542"/>
      <c r="J54" s="542"/>
      <c r="K54" s="542"/>
      <c r="L54" s="542"/>
      <c r="M54" s="542"/>
      <c r="N54" s="542"/>
      <c r="O54" s="542"/>
      <c r="P54" s="542"/>
      <c r="Q54" s="542"/>
      <c r="R54" s="541">
        <f t="shared" si="28"/>
        <v>56</v>
      </c>
      <c r="S54" s="541"/>
      <c r="T54" s="541">
        <f t="shared" si="29"/>
        <v>0</v>
      </c>
      <c r="U54" s="541"/>
      <c r="V54" s="541">
        <f t="shared" ref="V54:V57" si="30">SUM(F54:Q54)</f>
        <v>56</v>
      </c>
      <c r="W54" s="541">
        <f>MROUND(V54/$V$53*1000000,1)</f>
        <v>60</v>
      </c>
    </row>
    <row r="55" spans="2:23">
      <c r="B55" s="541"/>
      <c r="C55" s="541" t="s">
        <v>88</v>
      </c>
      <c r="D55" s="541"/>
      <c r="E55" s="597">
        <f>'[3]SM - Qty'!W55</f>
        <v>16</v>
      </c>
      <c r="F55" s="542">
        <v>10</v>
      </c>
      <c r="G55" s="542"/>
      <c r="H55" s="542"/>
      <c r="I55" s="542"/>
      <c r="J55" s="542"/>
      <c r="K55" s="542"/>
      <c r="L55" s="542"/>
      <c r="M55" s="542"/>
      <c r="N55" s="542"/>
      <c r="O55" s="542"/>
      <c r="P55" s="542"/>
      <c r="Q55" s="542"/>
      <c r="R55" s="541">
        <f t="shared" si="28"/>
        <v>10</v>
      </c>
      <c r="S55" s="541"/>
      <c r="T55" s="541">
        <f t="shared" si="29"/>
        <v>0</v>
      </c>
      <c r="U55" s="541"/>
      <c r="V55" s="541">
        <f t="shared" si="30"/>
        <v>10</v>
      </c>
      <c r="W55" s="541">
        <f t="shared" ref="W55:W58" si="31">MROUND(V55/$V$53*1000000,1)</f>
        <v>11</v>
      </c>
    </row>
    <row r="56" spans="2:23">
      <c r="B56" s="541"/>
      <c r="C56" s="541" t="s">
        <v>195</v>
      </c>
      <c r="D56" s="541"/>
      <c r="E56" s="597">
        <f>'[3]SM - Qty'!W56</f>
        <v>930</v>
      </c>
      <c r="F56" s="597">
        <v>588</v>
      </c>
      <c r="G56" s="597"/>
      <c r="H56" s="597"/>
      <c r="I56" s="597"/>
      <c r="J56" s="597"/>
      <c r="K56" s="597"/>
      <c r="L56" s="597"/>
      <c r="M56" s="597"/>
      <c r="N56" s="597"/>
      <c r="O56" s="597"/>
      <c r="P56" s="597"/>
      <c r="Q56" s="597"/>
      <c r="R56" s="541">
        <f t="shared" si="28"/>
        <v>588</v>
      </c>
      <c r="S56" s="541"/>
      <c r="T56" s="541">
        <f t="shared" si="29"/>
        <v>0</v>
      </c>
      <c r="U56" s="541"/>
      <c r="V56" s="541">
        <f t="shared" si="30"/>
        <v>588</v>
      </c>
      <c r="W56" s="541">
        <f t="shared" si="31"/>
        <v>627</v>
      </c>
    </row>
    <row r="57" spans="2:23">
      <c r="B57" s="541"/>
      <c r="C57" s="541" t="s">
        <v>196</v>
      </c>
      <c r="D57" s="541"/>
      <c r="E57" s="597">
        <f>'[3]SM - Qty'!W57</f>
        <v>36</v>
      </c>
      <c r="F57" s="597">
        <v>4</v>
      </c>
      <c r="G57" s="597"/>
      <c r="H57" s="597"/>
      <c r="I57" s="597"/>
      <c r="J57" s="597"/>
      <c r="K57" s="597"/>
      <c r="L57" s="597"/>
      <c r="M57" s="597"/>
      <c r="N57" s="597"/>
      <c r="O57" s="597"/>
      <c r="P57" s="597"/>
      <c r="Q57" s="597"/>
      <c r="R57" s="541">
        <f t="shared" si="28"/>
        <v>4</v>
      </c>
      <c r="S57" s="541"/>
      <c r="T57" s="541">
        <f t="shared" si="29"/>
        <v>0</v>
      </c>
      <c r="U57" s="541"/>
      <c r="V57" s="541">
        <f t="shared" si="30"/>
        <v>4</v>
      </c>
      <c r="W57" s="541">
        <f t="shared" si="31"/>
        <v>4</v>
      </c>
    </row>
    <row r="58" spans="2:23">
      <c r="B58" s="541"/>
      <c r="C58" s="541" t="s">
        <v>1</v>
      </c>
      <c r="D58" s="541"/>
      <c r="E58" s="597">
        <f>'[3]SM - Qty'!W58</f>
        <v>1185</v>
      </c>
      <c r="F58" s="542">
        <v>658</v>
      </c>
      <c r="G58" s="542"/>
      <c r="H58" s="542"/>
      <c r="I58" s="542"/>
      <c r="J58" s="542"/>
      <c r="K58" s="542"/>
      <c r="L58" s="542"/>
      <c r="M58" s="542"/>
      <c r="N58" s="542"/>
      <c r="O58" s="542"/>
      <c r="P58" s="542"/>
      <c r="Q58" s="542"/>
      <c r="R58" s="542">
        <f>SUM(R54:R57)</f>
        <v>658</v>
      </c>
      <c r="S58" s="542">
        <f t="shared" ref="S58:U58" si="32">S53*$E$59/1000000</f>
        <v>0</v>
      </c>
      <c r="T58" s="542">
        <f>SUM(T54:T57)</f>
        <v>0</v>
      </c>
      <c r="U58" s="542">
        <f t="shared" si="32"/>
        <v>0</v>
      </c>
      <c r="V58" s="542">
        <f>SUM(V54:V57)</f>
        <v>658</v>
      </c>
      <c r="W58" s="541">
        <f t="shared" si="31"/>
        <v>702</v>
      </c>
    </row>
    <row r="59" spans="2:23">
      <c r="B59" s="541"/>
      <c r="C59" s="541" t="s">
        <v>198</v>
      </c>
      <c r="D59" s="541"/>
      <c r="E59" s="597">
        <f>'[3]SM - Qty'!W59</f>
        <v>1184.6619636031514</v>
      </c>
      <c r="F59" s="542">
        <f>F58/F53*1000000</f>
        <v>702.17524928288492</v>
      </c>
      <c r="G59" s="542"/>
      <c r="H59" s="542"/>
      <c r="I59" s="542"/>
      <c r="J59" s="542"/>
      <c r="K59" s="542"/>
      <c r="L59" s="542"/>
      <c r="M59" s="542"/>
      <c r="N59" s="542"/>
      <c r="O59" s="542" t="e">
        <f t="shared" ref="O59:P59" si="33">O58/O53*1000000</f>
        <v>#DIV/0!</v>
      </c>
      <c r="P59" s="542" t="e">
        <f t="shared" si="33"/>
        <v>#DIV/0!</v>
      </c>
      <c r="Q59" s="542" t="e">
        <f t="shared" ref="Q59" si="34">Q58/Q53*1000000</f>
        <v>#DIV/0!</v>
      </c>
      <c r="R59" s="542">
        <f t="shared" ref="R59:V59" si="35">R58/R53*1000000</f>
        <v>702.17524928288492</v>
      </c>
      <c r="S59" s="542" t="e">
        <f t="shared" si="35"/>
        <v>#DIV/0!</v>
      </c>
      <c r="T59" s="542" t="e">
        <f t="shared" si="35"/>
        <v>#DIV/0!</v>
      </c>
      <c r="U59" s="542" t="e">
        <f t="shared" si="35"/>
        <v>#DIV/0!</v>
      </c>
      <c r="V59" s="542">
        <f t="shared" si="35"/>
        <v>702.17524928288492</v>
      </c>
      <c r="W59" s="542">
        <f>V58/V53*1000000</f>
        <v>702.17524928288492</v>
      </c>
    </row>
    <row r="60" spans="2:23">
      <c r="B60" s="541" t="s">
        <v>215</v>
      </c>
      <c r="C60" s="541" t="s">
        <v>190</v>
      </c>
      <c r="D60" s="541"/>
      <c r="E60" s="543">
        <f>'[3]SM - Qty'!W60</f>
        <v>0</v>
      </c>
      <c r="F60" s="542">
        <v>867084</v>
      </c>
      <c r="G60" s="542"/>
      <c r="H60" s="542"/>
      <c r="I60" s="542"/>
      <c r="J60" s="542"/>
      <c r="K60" s="542"/>
      <c r="L60" s="542"/>
      <c r="M60" s="542"/>
      <c r="N60" s="542"/>
      <c r="O60" s="542"/>
      <c r="P60" s="542"/>
      <c r="Q60" s="542"/>
      <c r="R60" s="542">
        <f>SUM(F60:K60)</f>
        <v>867084</v>
      </c>
      <c r="S60" s="542"/>
      <c r="T60" s="542">
        <f t="shared" ref="T60:T64" si="36">SUM(L60:Q60)</f>
        <v>0</v>
      </c>
      <c r="U60" s="542"/>
      <c r="V60" s="539">
        <f>SUM(F60:Q60)</f>
        <v>867084</v>
      </c>
      <c r="W60" s="542"/>
    </row>
    <row r="61" spans="2:23">
      <c r="B61" s="541"/>
      <c r="C61" s="541" t="s">
        <v>194</v>
      </c>
      <c r="D61" s="541"/>
      <c r="E61" s="597">
        <f>'[3]SM - Qty'!W61</f>
        <v>3</v>
      </c>
      <c r="F61" s="597">
        <v>27</v>
      </c>
      <c r="G61" s="597"/>
      <c r="H61" s="597"/>
      <c r="I61" s="597"/>
      <c r="J61" s="597"/>
      <c r="K61" s="597"/>
      <c r="L61" s="597"/>
      <c r="M61" s="597"/>
      <c r="N61" s="597"/>
      <c r="O61" s="597"/>
      <c r="P61" s="597"/>
      <c r="Q61" s="597"/>
      <c r="R61" s="541">
        <f t="shared" ref="R61:R64" si="37">SUM(F61:K61)</f>
        <v>27</v>
      </c>
      <c r="S61" s="541"/>
      <c r="T61" s="541">
        <f t="shared" si="36"/>
        <v>0</v>
      </c>
      <c r="U61" s="541"/>
      <c r="V61" s="541">
        <f t="shared" ref="V61:V64" si="38">SUM(F61:Q61)</f>
        <v>27</v>
      </c>
      <c r="W61" s="541">
        <f>MROUND(V61/$V$60*1000000,1)</f>
        <v>31</v>
      </c>
    </row>
    <row r="62" spans="2:23">
      <c r="B62" s="541"/>
      <c r="C62" s="541" t="s">
        <v>88</v>
      </c>
      <c r="D62" s="541"/>
      <c r="E62" s="597">
        <f>'[3]SM - Qty'!W62</f>
        <v>2</v>
      </c>
      <c r="F62" s="597">
        <v>15</v>
      </c>
      <c r="G62" s="597"/>
      <c r="H62" s="597"/>
      <c r="I62" s="597"/>
      <c r="J62" s="597"/>
      <c r="K62" s="597"/>
      <c r="L62" s="597"/>
      <c r="M62" s="597"/>
      <c r="N62" s="597"/>
      <c r="O62" s="597"/>
      <c r="P62" s="597"/>
      <c r="Q62" s="597"/>
      <c r="R62" s="541">
        <f t="shared" si="37"/>
        <v>15</v>
      </c>
      <c r="S62" s="541"/>
      <c r="T62" s="541">
        <f t="shared" si="36"/>
        <v>0</v>
      </c>
      <c r="U62" s="541"/>
      <c r="V62" s="541">
        <f t="shared" si="38"/>
        <v>15</v>
      </c>
      <c r="W62" s="541">
        <f t="shared" ref="W62:W65" si="39">MROUND(V62/$V$60*1000000,1)</f>
        <v>17</v>
      </c>
    </row>
    <row r="63" spans="2:23">
      <c r="B63" s="541"/>
      <c r="C63" s="541" t="s">
        <v>195</v>
      </c>
      <c r="D63" s="541"/>
      <c r="E63" s="597">
        <f>'[3]SM - Qty'!W63</f>
        <v>936</v>
      </c>
      <c r="F63" s="597">
        <v>839</v>
      </c>
      <c r="G63" s="597"/>
      <c r="H63" s="597"/>
      <c r="I63" s="597"/>
      <c r="J63" s="597"/>
      <c r="K63" s="597"/>
      <c r="L63" s="597"/>
      <c r="M63" s="597"/>
      <c r="N63" s="597"/>
      <c r="O63" s="597"/>
      <c r="P63" s="597"/>
      <c r="Q63" s="597"/>
      <c r="R63" s="541">
        <f t="shared" si="37"/>
        <v>839</v>
      </c>
      <c r="S63" s="541"/>
      <c r="T63" s="541">
        <f t="shared" si="36"/>
        <v>0</v>
      </c>
      <c r="U63" s="541"/>
      <c r="V63" s="541">
        <f t="shared" si="38"/>
        <v>839</v>
      </c>
      <c r="W63" s="541">
        <f t="shared" si="39"/>
        <v>968</v>
      </c>
    </row>
    <row r="64" spans="2:23">
      <c r="B64" s="541"/>
      <c r="C64" s="541" t="s">
        <v>196</v>
      </c>
      <c r="D64" s="541"/>
      <c r="E64" s="597">
        <f>'[3]SM - Qty'!W64</f>
        <v>14</v>
      </c>
      <c r="F64" s="597">
        <v>32</v>
      </c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41">
        <f t="shared" si="37"/>
        <v>32</v>
      </c>
      <c r="S64" s="541"/>
      <c r="T64" s="541">
        <f t="shared" si="36"/>
        <v>0</v>
      </c>
      <c r="U64" s="541"/>
      <c r="V64" s="541">
        <f t="shared" si="38"/>
        <v>32</v>
      </c>
      <c r="W64" s="541">
        <f t="shared" si="39"/>
        <v>37</v>
      </c>
    </row>
    <row r="65" spans="2:23">
      <c r="B65" s="541"/>
      <c r="C65" s="541" t="s">
        <v>1</v>
      </c>
      <c r="D65" s="541"/>
      <c r="E65" s="597">
        <f>'[3]SM - Qty'!W65</f>
        <v>955</v>
      </c>
      <c r="F65" s="542">
        <v>913</v>
      </c>
      <c r="G65" s="542"/>
      <c r="H65" s="542"/>
      <c r="I65" s="542"/>
      <c r="J65" s="542"/>
      <c r="K65" s="542"/>
      <c r="L65" s="542"/>
      <c r="M65" s="542"/>
      <c r="N65" s="542"/>
      <c r="O65" s="542"/>
      <c r="P65" s="542"/>
      <c r="Q65" s="542"/>
      <c r="R65" s="542">
        <f>SUM(R61:R64)</f>
        <v>913</v>
      </c>
      <c r="S65" s="542">
        <f t="shared" ref="S65:U65" si="40">S60*$E$59/1000000</f>
        <v>0</v>
      </c>
      <c r="T65" s="542">
        <f>SUM(T61:T64)</f>
        <v>0</v>
      </c>
      <c r="U65" s="542">
        <f t="shared" si="40"/>
        <v>0</v>
      </c>
      <c r="V65" s="542">
        <f>SUM(V61:V64)</f>
        <v>913</v>
      </c>
      <c r="W65" s="541">
        <f t="shared" si="39"/>
        <v>1053</v>
      </c>
    </row>
    <row r="66" spans="2:23">
      <c r="B66" s="544"/>
      <c r="C66" s="544" t="s">
        <v>198</v>
      </c>
      <c r="D66" s="544"/>
      <c r="E66" s="698">
        <f>'[3]SM - Qty'!W66</f>
        <v>955.25641690865291</v>
      </c>
      <c r="F66" s="542">
        <f>F65/F60*1000000</f>
        <v>1052.9545003713597</v>
      </c>
      <c r="G66" s="542"/>
      <c r="H66" s="542"/>
      <c r="I66" s="542"/>
      <c r="J66" s="542"/>
      <c r="K66" s="542"/>
      <c r="L66" s="542"/>
      <c r="M66" s="542"/>
      <c r="N66" s="542"/>
      <c r="O66" s="542" t="e">
        <f t="shared" ref="O66:P66" si="41">O65/O60*1000000</f>
        <v>#DIV/0!</v>
      </c>
      <c r="P66" s="542" t="e">
        <f t="shared" si="41"/>
        <v>#DIV/0!</v>
      </c>
      <c r="Q66" s="542" t="e">
        <f t="shared" ref="Q66" si="42">Q65/Q60*1000000</f>
        <v>#DIV/0!</v>
      </c>
      <c r="R66" s="542">
        <f t="shared" ref="R66" si="43">R65/R60*1000000</f>
        <v>1052.9545003713597</v>
      </c>
      <c r="S66" s="545" t="e">
        <f t="shared" ref="S66:V66" si="44">S65/S60*1000000</f>
        <v>#DIV/0!</v>
      </c>
      <c r="T66" s="542" t="e">
        <f t="shared" si="44"/>
        <v>#DIV/0!</v>
      </c>
      <c r="U66" s="545" t="e">
        <f t="shared" si="44"/>
        <v>#DIV/0!</v>
      </c>
      <c r="V66" s="542">
        <f t="shared" si="44"/>
        <v>1052.9545003713597</v>
      </c>
      <c r="W66" s="545">
        <f>V65/V60*1000000</f>
        <v>1052.9545003713597</v>
      </c>
    </row>
    <row r="67" spans="2:23">
      <c r="E67" s="232">
        <f>'[3]SM - Qty'!W67</f>
        <v>0</v>
      </c>
    </row>
    <row r="68" spans="2:23">
      <c r="B68" s="198" t="s">
        <v>194</v>
      </c>
      <c r="C68" s="198" t="s">
        <v>190</v>
      </c>
      <c r="D68" s="198"/>
      <c r="E68" s="594">
        <f>'[3]SM - Qty'!W68</f>
        <v>0</v>
      </c>
      <c r="F68" s="594">
        <v>4222520</v>
      </c>
      <c r="G68" s="594"/>
      <c r="H68" s="594"/>
      <c r="I68" s="594"/>
      <c r="J68" s="594"/>
      <c r="K68" s="594"/>
      <c r="L68" s="594"/>
      <c r="M68" s="594"/>
      <c r="N68" s="594"/>
      <c r="O68" s="594"/>
      <c r="P68" s="594"/>
      <c r="Q68" s="594"/>
      <c r="R68" s="198">
        <f>SUM(F68:K68)</f>
        <v>4222520</v>
      </c>
      <c r="S68" s="198"/>
      <c r="T68" s="198">
        <f>SUM(L68:Q68)</f>
        <v>0</v>
      </c>
      <c r="U68" s="198"/>
      <c r="V68" s="198">
        <f>R68+T68</f>
        <v>4222520</v>
      </c>
      <c r="W68" s="198"/>
    </row>
    <row r="69" spans="2:23">
      <c r="B69" s="198"/>
      <c r="C69" s="198" t="s">
        <v>82</v>
      </c>
      <c r="D69" s="198"/>
      <c r="E69" s="594">
        <f>'[3]SM - Qty'!W69</f>
        <v>0</v>
      </c>
      <c r="F69" s="594">
        <v>922</v>
      </c>
      <c r="G69" s="594"/>
      <c r="H69" s="594"/>
      <c r="I69" s="594"/>
      <c r="J69" s="594"/>
      <c r="K69" s="594"/>
      <c r="L69" s="594"/>
      <c r="M69" s="594"/>
      <c r="N69" s="594"/>
      <c r="O69" s="594"/>
      <c r="P69" s="594"/>
      <c r="Q69" s="594"/>
      <c r="R69" s="198">
        <f>SUM(F69:K69)</f>
        <v>922</v>
      </c>
      <c r="S69" s="198"/>
      <c r="T69" s="198">
        <f>SUM(L69:Q69)</f>
        <v>0</v>
      </c>
      <c r="U69" s="198"/>
      <c r="V69" s="198">
        <f>R69+T69</f>
        <v>922</v>
      </c>
      <c r="W69" s="198"/>
    </row>
    <row r="70" spans="2:23">
      <c r="B70" s="198"/>
      <c r="C70" s="198" t="s">
        <v>198</v>
      </c>
      <c r="D70" s="198"/>
      <c r="E70" s="594">
        <f>'[3]SM - Qty'!W70</f>
        <v>0</v>
      </c>
      <c r="F70" s="595">
        <f t="shared" ref="F70" si="45">F69/F68*1000000</f>
        <v>218.35302141848942</v>
      </c>
      <c r="G70" s="595"/>
      <c r="H70" s="595"/>
      <c r="I70" s="595"/>
      <c r="J70" s="595"/>
      <c r="K70" s="595"/>
      <c r="L70" s="595"/>
      <c r="M70" s="595"/>
      <c r="N70" s="595"/>
      <c r="O70" s="595"/>
      <c r="P70" s="595"/>
      <c r="Q70" s="595"/>
      <c r="R70" s="595">
        <f t="shared" ref="R70:V70" si="46">R69/R68*1000000</f>
        <v>218.35302141848942</v>
      </c>
      <c r="S70" s="198"/>
      <c r="T70" s="595" t="e">
        <f t="shared" si="46"/>
        <v>#DIV/0!</v>
      </c>
      <c r="U70" s="198"/>
      <c r="V70" s="595">
        <f t="shared" si="46"/>
        <v>218.35302141848942</v>
      </c>
      <c r="W70" s="198"/>
    </row>
    <row r="71" spans="2:23">
      <c r="B71" s="198" t="s">
        <v>247</v>
      </c>
      <c r="C71" s="198" t="s">
        <v>190</v>
      </c>
      <c r="D71" s="198"/>
      <c r="E71" s="594">
        <f>'[3]SM - Qty'!W71</f>
        <v>0</v>
      </c>
      <c r="F71" s="198">
        <v>60192</v>
      </c>
      <c r="G71" s="198"/>
      <c r="H71" s="198"/>
      <c r="I71" s="198"/>
      <c r="J71" s="198"/>
      <c r="K71" s="198"/>
      <c r="L71" s="198"/>
      <c r="M71" s="198"/>
      <c r="N71" s="198"/>
      <c r="O71" s="198"/>
      <c r="P71" s="198"/>
      <c r="Q71" s="198"/>
      <c r="R71" s="198">
        <f>SUM(F71:K71)</f>
        <v>60192</v>
      </c>
      <c r="S71" s="198"/>
      <c r="T71" s="198">
        <f>SUM(L71:Q71)</f>
        <v>0</v>
      </c>
      <c r="U71" s="198"/>
      <c r="V71" s="198">
        <f>R71+T71</f>
        <v>60192</v>
      </c>
      <c r="W71" s="198"/>
    </row>
    <row r="72" spans="2:23">
      <c r="B72" s="198"/>
      <c r="C72" s="198" t="s">
        <v>82</v>
      </c>
      <c r="D72" s="198"/>
      <c r="E72" s="594">
        <f>'[3]SM - Qty'!W72</f>
        <v>0</v>
      </c>
      <c r="F72" s="198">
        <v>4</v>
      </c>
      <c r="G72" s="198"/>
      <c r="H72" s="198"/>
      <c r="I72" s="198"/>
      <c r="J72" s="198"/>
      <c r="K72" s="198"/>
      <c r="L72" s="198"/>
      <c r="M72" s="198"/>
      <c r="N72" s="198"/>
      <c r="O72" s="198"/>
      <c r="P72" s="198"/>
      <c r="Q72" s="198"/>
      <c r="R72" s="198">
        <f>SUM(F72:K72)</f>
        <v>4</v>
      </c>
      <c r="S72" s="198"/>
      <c r="T72" s="198">
        <f>SUM(L72:Q72)</f>
        <v>0</v>
      </c>
      <c r="U72" s="198"/>
      <c r="V72" s="198">
        <f>R72+T72</f>
        <v>4</v>
      </c>
      <c r="W72" s="198"/>
    </row>
    <row r="73" spans="2:23">
      <c r="B73" s="198"/>
      <c r="C73" s="198" t="s">
        <v>198</v>
      </c>
      <c r="D73" s="198"/>
      <c r="E73" s="594">
        <f>'[3]SM - Qty'!W73</f>
        <v>0</v>
      </c>
      <c r="F73" s="595">
        <f t="shared" ref="F73" si="47">F72/F71*1000000</f>
        <v>66.454013822434874</v>
      </c>
      <c r="G73" s="595"/>
      <c r="H73" s="595"/>
      <c r="I73" s="595"/>
      <c r="J73" s="595"/>
      <c r="K73" s="595"/>
      <c r="L73" s="595"/>
      <c r="M73" s="595"/>
      <c r="N73" s="595"/>
      <c r="O73" s="595"/>
      <c r="P73" s="595"/>
      <c r="Q73" s="595"/>
      <c r="R73" s="595">
        <f t="shared" ref="R73:V73" si="48">R72/R71*1000000</f>
        <v>66.454013822434874</v>
      </c>
      <c r="S73" s="198"/>
      <c r="T73" s="595" t="e">
        <f t="shared" si="48"/>
        <v>#DIV/0!</v>
      </c>
      <c r="U73" s="198"/>
      <c r="V73" s="595">
        <f t="shared" si="48"/>
        <v>66.454013822434874</v>
      </c>
      <c r="W73" s="198"/>
    </row>
  </sheetData>
  <mergeCells count="12">
    <mergeCell ref="B22:B25"/>
    <mergeCell ref="B26:B29"/>
    <mergeCell ref="B31:B34"/>
    <mergeCell ref="B37:B41"/>
    <mergeCell ref="A1:E1"/>
    <mergeCell ref="B4:D4"/>
    <mergeCell ref="C5:D5"/>
    <mergeCell ref="A6:A42"/>
    <mergeCell ref="B6:B9"/>
    <mergeCell ref="B10:B13"/>
    <mergeCell ref="B14:B17"/>
    <mergeCell ref="B18:B21"/>
  </mergeCells>
  <conditionalFormatting sqref="F52:J52 O52:W52 O59:W59 O66:W66">
    <cfRule type="expression" dxfId="5" priority="8">
      <formula>F$52&gt;$E$52</formula>
    </cfRule>
  </conditionalFormatting>
  <conditionalFormatting sqref="F59:J59">
    <cfRule type="expression" dxfId="4" priority="5">
      <formula>F$52&gt;$E$52</formula>
    </cfRule>
  </conditionalFormatting>
  <conditionalFormatting sqref="F66:J66">
    <cfRule type="expression" dxfId="3" priority="4">
      <formula>F$52&gt;$E$52</formula>
    </cfRule>
  </conditionalFormatting>
  <conditionalFormatting sqref="K52:N52">
    <cfRule type="expression" dxfId="2" priority="3">
      <formula>K$52&gt;$E$52</formula>
    </cfRule>
  </conditionalFormatting>
  <conditionalFormatting sqref="K59:N59">
    <cfRule type="expression" dxfId="1" priority="2">
      <formula>K$52&gt;$E$52</formula>
    </cfRule>
  </conditionalFormatting>
  <conditionalFormatting sqref="K66:N66">
    <cfRule type="expression" dxfId="0" priority="1">
      <formula>K$52&gt;$E$52</formula>
    </cfRule>
  </conditionalFormatting>
  <printOptions gridLinesSet="0"/>
  <pageMargins left="0.78740157480314965" right="0.19685039370078741" top="0.59055118110236227" bottom="0.59055118110236227" header="0.51181102362204722" footer="0.31496062992125984"/>
  <pageSetup paperSize="9" scale="37" orientation="portrait" r:id="rId1"/>
  <headerFooter alignWithMargins="0">
    <oddFooter>&amp;L&amp;A&amp;R&amp;F</oddFooter>
  </headerFooter>
  <ignoredErrors>
    <ignoredError sqref="K45 O52:Q52 S52:U52 O59:Q59 S59:U59 O66:Q66 S66:U66 T73" evalError="1"/>
    <ignoredError sqref="S51:U51 S58:U58 S65:U65 R70 V70" formula="1"/>
    <ignoredError sqref="T70" evalError="1" 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>
    <tabColor indexed="56"/>
    <pageSetUpPr fitToPage="1"/>
  </sheetPr>
  <dimension ref="A1:T47"/>
  <sheetViews>
    <sheetView showGridLines="0" zoomScale="98" zoomScaleNormal="98" workbookViewId="0">
      <selection activeCell="E6" sqref="E6"/>
    </sheetView>
  </sheetViews>
  <sheetFormatPr defaultColWidth="11.42578125" defaultRowHeight="12.75"/>
  <cols>
    <col min="1" max="1" width="4.7109375" style="75" customWidth="1"/>
    <col min="2" max="2" width="10.85546875" style="75" bestFit="1" customWidth="1"/>
    <col min="3" max="3" width="11.7109375" style="75" bestFit="1" customWidth="1"/>
    <col min="4" max="4" width="10.5703125" style="75" bestFit="1" customWidth="1"/>
    <col min="5" max="5" width="10.140625" style="75" bestFit="1" customWidth="1"/>
    <col min="6" max="6" width="6.5703125" style="75" bestFit="1" customWidth="1"/>
    <col min="7" max="7" width="6.85546875" style="75" bestFit="1" customWidth="1"/>
    <col min="8" max="9" width="6.5703125" style="75" bestFit="1" customWidth="1"/>
    <col min="10" max="10" width="6.7109375" style="75" bestFit="1" customWidth="1"/>
    <col min="11" max="12" width="6.5703125" style="75" bestFit="1" customWidth="1"/>
    <col min="13" max="13" width="6.7109375" style="75" bestFit="1" customWidth="1"/>
    <col min="14" max="16" width="6.5703125" style="75" bestFit="1" customWidth="1"/>
    <col min="17" max="17" width="7" style="75" bestFit="1" customWidth="1"/>
    <col min="18" max="16384" width="11.42578125" style="75"/>
  </cols>
  <sheetData>
    <row r="1" spans="1:20" ht="18" customHeight="1">
      <c r="A1" s="1026" t="s">
        <v>103</v>
      </c>
      <c r="B1" s="1026"/>
      <c r="C1" s="1026"/>
      <c r="D1" s="1026"/>
      <c r="E1" s="1026"/>
    </row>
    <row r="2" spans="1:20" ht="18" customHeight="1"/>
    <row r="3" spans="1:20" ht="9.9499999999999993" customHeight="1" thickBot="1"/>
    <row r="4" spans="1:20" ht="38.25">
      <c r="A4" s="76"/>
      <c r="B4" s="1096" t="s">
        <v>57</v>
      </c>
      <c r="C4" s="1097"/>
      <c r="D4" s="1038"/>
      <c r="E4" s="476" t="s">
        <v>202</v>
      </c>
      <c r="F4" s="77" t="s">
        <v>82</v>
      </c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 t="s">
        <v>166</v>
      </c>
      <c r="S4" s="77" t="s">
        <v>164</v>
      </c>
      <c r="T4" s="77" t="s">
        <v>1</v>
      </c>
    </row>
    <row r="5" spans="1:20" ht="13.5" thickBot="1">
      <c r="A5" s="126"/>
      <c r="B5" s="127" t="s">
        <v>102</v>
      </c>
      <c r="C5" s="1098" t="s">
        <v>50</v>
      </c>
      <c r="D5" s="1099"/>
      <c r="E5" s="127">
        <f>'Falhas UM-1 - Qty'!E5</f>
        <v>2022</v>
      </c>
      <c r="F5" s="153">
        <f>'Falhas UM-1 - Cost'!F5</f>
        <v>44652</v>
      </c>
      <c r="G5" s="153">
        <f>'Falhas UM-1 - Cost'!G5</f>
        <v>44682</v>
      </c>
      <c r="H5" s="153">
        <f>'Falhas UM-1 - Cost'!H5</f>
        <v>44713</v>
      </c>
      <c r="I5" s="153">
        <f>'Falhas UM-1 - Cost'!I5</f>
        <v>44743</v>
      </c>
      <c r="J5" s="153">
        <f>'Falhas UM-1 - Cost'!$J5</f>
        <v>44774</v>
      </c>
      <c r="K5" s="153">
        <f>'Falhas UM-1 - Cost'!K5</f>
        <v>44805</v>
      </c>
      <c r="L5" s="153">
        <f>'Falhas UM-1 - Cost'!L5</f>
        <v>44835</v>
      </c>
      <c r="M5" s="153">
        <f>'Falhas UM-1 - Cost'!M5</f>
        <v>44866</v>
      </c>
      <c r="N5" s="153">
        <f>'Falhas UM-1 - Cost'!N5</f>
        <v>44896</v>
      </c>
      <c r="O5" s="153">
        <f>'Falhas UM-1 - Cost'!O5</f>
        <v>44927</v>
      </c>
      <c r="P5" s="153">
        <f>'Falhas UM-1 - Cost'!P5</f>
        <v>44958</v>
      </c>
      <c r="Q5" s="153">
        <f>'Falhas UM-1 - Cost'!Q5</f>
        <v>44986</v>
      </c>
      <c r="R5" s="153" t="str">
        <f>'Falhas UM-1 - Cost'!R5</f>
        <v>1st Half</v>
      </c>
      <c r="S5" s="153" t="str">
        <f>'Falhas UM-1 - Cost'!S5</f>
        <v>2nd Half</v>
      </c>
      <c r="T5" s="153" t="str">
        <f>'Falhas UM-1 - Cost'!T5</f>
        <v>Total</v>
      </c>
    </row>
    <row r="6" spans="1:20" ht="18" customHeight="1" thickTop="1">
      <c r="A6" s="1100" t="s">
        <v>99</v>
      </c>
      <c r="B6" s="1101">
        <v>6010</v>
      </c>
      <c r="C6" s="128" t="s">
        <v>98</v>
      </c>
      <c r="D6" s="128" t="s">
        <v>89</v>
      </c>
      <c r="E6" s="154">
        <f>'[7]Falhas SM'!I6</f>
        <v>20</v>
      </c>
      <c r="F6" s="154">
        <f>$E6/1000*'SM - Qty'!F6</f>
        <v>5.6677204891823258</v>
      </c>
      <c r="G6" s="154">
        <f>$E6/1000*'SM - Qty'!G6</f>
        <v>5.6016160390741403</v>
      </c>
      <c r="H6" s="154">
        <f>$E6/1000*'SM - Qty'!H6</f>
        <v>5.531562933120334</v>
      </c>
      <c r="I6" s="154">
        <f>$E6/1000*'SM - Qty'!I6</f>
        <v>5.6405912478966664</v>
      </c>
      <c r="J6" s="154">
        <f>$E6/1000*'SM - Qty'!J6</f>
        <v>5.6055646949197619</v>
      </c>
      <c r="K6" s="154">
        <f>$E6/1000*'SM - Qty'!K6</f>
        <v>6.486493393803177</v>
      </c>
      <c r="L6" s="154">
        <f>$E6/1000*'SM - Qty'!L6</f>
        <v>6.5254686026257005</v>
      </c>
      <c r="M6" s="154">
        <f>$E6/1000*'SM - Qty'!M6</f>
        <v>6.5281010398561161</v>
      </c>
      <c r="N6" s="154">
        <f>$E6/1000*'SM - Qty'!N6</f>
        <v>6.5202037281648728</v>
      </c>
      <c r="O6" s="154">
        <f>$E6/1000*'SM - Qty'!O6</f>
        <v>4.8231345618910222</v>
      </c>
      <c r="P6" s="154">
        <f>$E6/1000*'SM - Qty'!P6</f>
        <v>5.0385587542132706</v>
      </c>
      <c r="Q6" s="154">
        <f>$E6/1000*'SM - Qty'!Q6</f>
        <v>6.0840904690595465</v>
      </c>
      <c r="R6" s="154">
        <f>SUM(F6:K6)</f>
        <v>34.53354879799641</v>
      </c>
      <c r="S6" s="154">
        <f t="shared" ref="S6:S43" si="0">SUM(L6:Q6)</f>
        <v>35.519557155810531</v>
      </c>
      <c r="T6" s="154">
        <f t="shared" ref="T6:T43" si="1">R6+S6</f>
        <v>70.053105953806948</v>
      </c>
    </row>
    <row r="7" spans="1:20" ht="18" customHeight="1">
      <c r="A7" s="1032"/>
      <c r="B7" s="1094"/>
      <c r="C7" s="130"/>
      <c r="D7" s="130" t="s">
        <v>88</v>
      </c>
      <c r="E7" s="155">
        <f>'[7]Falhas SM'!I7</f>
        <v>26.07</v>
      </c>
      <c r="F7" s="155">
        <f>$E7/1000*'SM - Qty'!F7</f>
        <v>4.6249676786937997</v>
      </c>
      <c r="G7" s="155">
        <f>$E7/1000*'SM - Qty'!G7</f>
        <v>4.5710251905715085</v>
      </c>
      <c r="H7" s="155">
        <f>$E7/1000*'SM - Qty'!H7</f>
        <v>4.513860524203988</v>
      </c>
      <c r="I7" s="155">
        <f>$E7/1000*'SM - Qty'!I7</f>
        <v>4.6028297020004993</v>
      </c>
      <c r="J7" s="155">
        <f>$E7/1000*'SM - Qty'!J7</f>
        <v>4.5742473688167369</v>
      </c>
      <c r="K7" s="155">
        <f>$E7/1000*'SM - Qty'!K7</f>
        <v>5.2931019360710536</v>
      </c>
      <c r="L7" s="155">
        <f>$E7/1000*'SM - Qty'!L7</f>
        <v>5.3249064475000418</v>
      </c>
      <c r="M7" s="155">
        <f>$E7/1000*'SM - Qty'!M7</f>
        <v>5.3270545663301956</v>
      </c>
      <c r="N7" s="155">
        <f>$E7/1000*'SM - Qty'!N7</f>
        <v>5.320610209839737</v>
      </c>
      <c r="O7" s="155">
        <f>$E7/1000*'SM - Qty'!O7</f>
        <v>3.9357695040383214</v>
      </c>
      <c r="P7" s="155">
        <f>$E7/1000*'SM - Qty'!P7</f>
        <v>4.111559740801189</v>
      </c>
      <c r="Q7" s="155">
        <f>$E7/1000*'SM - Qty'!Q7</f>
        <v>4.9647334986536951</v>
      </c>
      <c r="R7" s="155">
        <f t="shared" ref="R7:R42" si="2">SUM(F7:K7)</f>
        <v>28.180032400357582</v>
      </c>
      <c r="S7" s="155">
        <f t="shared" si="0"/>
        <v>28.984633967163177</v>
      </c>
      <c r="T7" s="155">
        <f t="shared" si="1"/>
        <v>57.164666367520759</v>
      </c>
    </row>
    <row r="8" spans="1:20" ht="18" customHeight="1">
      <c r="A8" s="1032"/>
      <c r="B8" s="1094"/>
      <c r="C8" s="130"/>
      <c r="D8" s="130" t="s">
        <v>87</v>
      </c>
      <c r="E8" s="155">
        <f>'[7]Falhas SM'!I8</f>
        <v>860.77808000000005</v>
      </c>
      <c r="F8" s="155">
        <f>$E8/1000*'SM - Qty'!F8</f>
        <v>26.560320499898644</v>
      </c>
      <c r="G8" s="155">
        <f>$E8/1000*'SM - Qty'!G8</f>
        <v>26.250538924626174</v>
      </c>
      <c r="H8" s="155">
        <f>$E8/1000*'SM - Qty'!H8</f>
        <v>25.922252985032337</v>
      </c>
      <c r="I8" s="155">
        <f>$E8/1000*'SM - Qty'!I8</f>
        <v>26.43318625874446</v>
      </c>
      <c r="J8" s="155">
        <f>$E8/1000*'SM - Qty'!J8</f>
        <v>26.269043288947536</v>
      </c>
      <c r="K8" s="155">
        <f>$E8/1000*'SM - Qty'!K8</f>
        <v>30.397290019632344</v>
      </c>
      <c r="L8" s="155">
        <f>$E8/1000*'SM - Qty'!L8</f>
        <v>30.579937353750619</v>
      </c>
      <c r="M8" s="155">
        <f>$E8/1000*'SM - Qty'!M8</f>
        <v>30.592273596631532</v>
      </c>
      <c r="N8" s="155">
        <f>$E8/1000*'SM - Qty'!N8</f>
        <v>30.5552648679888</v>
      </c>
      <c r="O8" s="155">
        <f>$E8/1000*'SM - Qty'!O8</f>
        <v>22.60238486045122</v>
      </c>
      <c r="P8" s="155">
        <f>$E8/1000*'SM - Qty'!P8</f>
        <v>23.611915164994549</v>
      </c>
      <c r="Q8" s="155">
        <f>$E8/1000*'SM - Qty'!Q8</f>
        <v>28.511531773140309</v>
      </c>
      <c r="R8" s="155">
        <f t="shared" si="2"/>
        <v>161.83263197688149</v>
      </c>
      <c r="S8" s="155">
        <f t="shared" si="0"/>
        <v>166.45330761695703</v>
      </c>
      <c r="T8" s="155">
        <f t="shared" si="1"/>
        <v>328.28593959383852</v>
      </c>
    </row>
    <row r="9" spans="1:20" ht="18" customHeight="1">
      <c r="A9" s="1032"/>
      <c r="B9" s="1094"/>
      <c r="C9" s="131" t="s">
        <v>83</v>
      </c>
      <c r="D9" s="131"/>
      <c r="E9" s="156"/>
      <c r="F9" s="156">
        <f>SUBTOTAL(109,F6:F8)</f>
        <v>36.853008667774773</v>
      </c>
      <c r="G9" s="156">
        <f t="shared" ref="G9:Q9" si="3">SUBTOTAL(109,G6:G8)</f>
        <v>36.423180154271819</v>
      </c>
      <c r="H9" s="156">
        <f t="shared" si="3"/>
        <v>35.967676442356662</v>
      </c>
      <c r="I9" s="156">
        <f t="shared" si="3"/>
        <v>36.676607208641627</v>
      </c>
      <c r="J9" s="156">
        <f t="shared" si="3"/>
        <v>36.448855352684035</v>
      </c>
      <c r="K9" s="156">
        <f t="shared" si="3"/>
        <v>42.176885349506577</v>
      </c>
      <c r="L9" s="156">
        <f t="shared" si="3"/>
        <v>42.430312403876357</v>
      </c>
      <c r="M9" s="156">
        <f t="shared" si="3"/>
        <v>42.447429202817844</v>
      </c>
      <c r="N9" s="156">
        <f t="shared" si="3"/>
        <v>42.396078805993412</v>
      </c>
      <c r="O9" s="156">
        <f t="shared" si="3"/>
        <v>31.361288926380563</v>
      </c>
      <c r="P9" s="156">
        <f t="shared" si="3"/>
        <v>32.76203366000901</v>
      </c>
      <c r="Q9" s="156">
        <f t="shared" si="3"/>
        <v>39.560355740853552</v>
      </c>
      <c r="R9" s="156">
        <f t="shared" si="2"/>
        <v>224.54621317523549</v>
      </c>
      <c r="S9" s="156">
        <f t="shared" si="0"/>
        <v>230.95749873993071</v>
      </c>
      <c r="T9" s="156">
        <f t="shared" si="1"/>
        <v>455.50371191516621</v>
      </c>
    </row>
    <row r="10" spans="1:20" ht="18" customHeight="1">
      <c r="A10" s="1032"/>
      <c r="B10" s="1094">
        <v>6020</v>
      </c>
      <c r="C10" s="130" t="s">
        <v>97</v>
      </c>
      <c r="D10" s="130" t="s">
        <v>89</v>
      </c>
      <c r="E10" s="155">
        <f>'[7]Falhas SM'!I10</f>
        <v>10</v>
      </c>
      <c r="F10" s="155">
        <f>$E10/1000*'SM - Qty'!F10</f>
        <v>0.36216531312070716</v>
      </c>
      <c r="G10" s="155">
        <f>$E10/1000*'SM - Qty'!G10</f>
        <v>0.35797367353525544</v>
      </c>
      <c r="H10" s="155">
        <f>$E10/1000*'SM - Qty'!H10</f>
        <v>0.35349662420149552</v>
      </c>
      <c r="I10" s="155">
        <f>$E10/1000*'SM - Qty'!I10</f>
        <v>0.36049760795044367</v>
      </c>
      <c r="J10" s="155">
        <f>$E10/1000*'SM - Qty'!J10</f>
        <v>0.35825908328356365</v>
      </c>
      <c r="K10" s="155">
        <f>$E10/1000*'SM - Qty'!K10</f>
        <v>0.41460274628664034</v>
      </c>
      <c r="L10" s="155">
        <f>$E10/1000*'SM - Qty'!L10</f>
        <v>0.41712668070182857</v>
      </c>
      <c r="M10" s="155">
        <f>$E10/1000*'SM - Qty'!M10</f>
        <v>0.41731695386736734</v>
      </c>
      <c r="N10" s="155">
        <f>$E10/1000*'SM - Qty'!N10</f>
        <v>0.41674613437075086</v>
      </c>
      <c r="O10" s="155">
        <f>$E10/1000*'SM - Qty'!O10</f>
        <v>0.30815531136727975</v>
      </c>
      <c r="P10" s="155">
        <f>$E10/1000*'SM - Qty'!P10</f>
        <v>0.32196700569963715</v>
      </c>
      <c r="Q10" s="155">
        <f>$E10/1000*'SM - Qty'!Q10</f>
        <v>0.38874219937495846</v>
      </c>
      <c r="R10" s="155">
        <f t="shared" si="2"/>
        <v>2.206995048378106</v>
      </c>
      <c r="S10" s="155">
        <f t="shared" si="0"/>
        <v>2.2700542853818222</v>
      </c>
      <c r="T10" s="155">
        <f t="shared" si="1"/>
        <v>4.4770493337599282</v>
      </c>
    </row>
    <row r="11" spans="1:20" ht="18" customHeight="1">
      <c r="A11" s="1032"/>
      <c r="B11" s="1094"/>
      <c r="C11" s="130"/>
      <c r="D11" s="130" t="s">
        <v>88</v>
      </c>
      <c r="E11" s="155">
        <f>'[7]Falhas SM'!I11</f>
        <v>24.22</v>
      </c>
      <c r="F11" s="155">
        <f>$E11/1000*'SM - Qty'!F11</f>
        <v>0.89822940580664823</v>
      </c>
      <c r="G11" s="155">
        <f>$E11/1000*'SM - Qty'!G11</f>
        <v>0.88783345181052109</v>
      </c>
      <c r="H11" s="155">
        <f>$E11/1000*'SM - Qty'!H11</f>
        <v>0.87672963480447341</v>
      </c>
      <c r="I11" s="155">
        <f>$E11/1000*'SM - Qty'!I11</f>
        <v>0.89409322332346497</v>
      </c>
      <c r="J11" s="155">
        <f>$E11/1000*'SM - Qty'!J11</f>
        <v>0.88854131482044119</v>
      </c>
      <c r="K11" s="155">
        <f>$E11/1000*'SM - Qty'!K11</f>
        <v>1.0282828447425953</v>
      </c>
      <c r="L11" s="155">
        <f>$E11/1000*'SM - Qty'!L11</f>
        <v>1.0345426162555393</v>
      </c>
      <c r="M11" s="155">
        <f>$E11/1000*'SM - Qty'!M11</f>
        <v>1.0350145249288194</v>
      </c>
      <c r="N11" s="155">
        <f>$E11/1000*'SM - Qty'!N11</f>
        <v>1.033598798908979</v>
      </c>
      <c r="O11" s="155">
        <f>$E11/1000*'SM - Qty'!O11</f>
        <v>0.76427573872415788</v>
      </c>
      <c r="P11" s="155">
        <f>$E11/1000*'SM - Qty'!P11</f>
        <v>0.7985310070888606</v>
      </c>
      <c r="Q11" s="155">
        <f>$E11/1000*'SM - Qty'!Q11</f>
        <v>0.96414444483301298</v>
      </c>
      <c r="R11" s="155">
        <f t="shared" si="2"/>
        <v>5.4737098753081437</v>
      </c>
      <c r="S11" s="155">
        <f t="shared" si="0"/>
        <v>5.6301071307393693</v>
      </c>
      <c r="T11" s="155">
        <f t="shared" si="1"/>
        <v>11.103817006047514</v>
      </c>
    </row>
    <row r="12" spans="1:20" ht="18" customHeight="1">
      <c r="A12" s="1032"/>
      <c r="B12" s="1094"/>
      <c r="C12" s="130"/>
      <c r="D12" s="130" t="s">
        <v>87</v>
      </c>
      <c r="E12" s="155">
        <f>'[7]Falhas SM'!I12</f>
        <v>570</v>
      </c>
      <c r="F12" s="155">
        <f>$E12/1000*'SM - Qty'!F12</f>
        <v>0</v>
      </c>
      <c r="G12" s="155">
        <f>$E12/1000*'SM - Qty'!G12</f>
        <v>0</v>
      </c>
      <c r="H12" s="155">
        <f>$E12/1000*'SM - Qty'!H12</f>
        <v>0</v>
      </c>
      <c r="I12" s="155">
        <f>$E12/1000*'SM - Qty'!I12</f>
        <v>0</v>
      </c>
      <c r="J12" s="155">
        <f>$E12/1000*'SM - Qty'!J12</f>
        <v>0</v>
      </c>
      <c r="K12" s="155">
        <f>$E12/1000*'SM - Qty'!K12</f>
        <v>0</v>
      </c>
      <c r="L12" s="155">
        <f>$E12/1000*'SM - Qty'!L12</f>
        <v>0</v>
      </c>
      <c r="M12" s="155">
        <f>$E12/1000*'SM - Qty'!M12</f>
        <v>0</v>
      </c>
      <c r="N12" s="155">
        <f>$E12/1000*'SM - Qty'!N12</f>
        <v>0</v>
      </c>
      <c r="O12" s="155">
        <f>$E12/1000*'SM - Qty'!O12</f>
        <v>0</v>
      </c>
      <c r="P12" s="155">
        <f>$E12/1000*'SM - Qty'!P12</f>
        <v>0</v>
      </c>
      <c r="Q12" s="155">
        <f>$E12/1000*'SM - Qty'!Q12</f>
        <v>0</v>
      </c>
      <c r="R12" s="155">
        <f t="shared" si="2"/>
        <v>0</v>
      </c>
      <c r="S12" s="155">
        <f t="shared" si="0"/>
        <v>0</v>
      </c>
      <c r="T12" s="155">
        <f t="shared" si="1"/>
        <v>0</v>
      </c>
    </row>
    <row r="13" spans="1:20" ht="18" customHeight="1">
      <c r="A13" s="1032"/>
      <c r="B13" s="1094"/>
      <c r="C13" s="131" t="s">
        <v>83</v>
      </c>
      <c r="D13" s="131"/>
      <c r="E13" s="156"/>
      <c r="F13" s="156">
        <f>SUBTOTAL(109,F10:F12)</f>
        <v>1.2603947189273554</v>
      </c>
      <c r="G13" s="156">
        <f t="shared" ref="G13:Q13" si="4">SUBTOTAL(109,G10:G12)</f>
        <v>1.2458071253457765</v>
      </c>
      <c r="H13" s="156">
        <f t="shared" si="4"/>
        <v>1.2302262590059689</v>
      </c>
      <c r="I13" s="156">
        <f t="shared" si="4"/>
        <v>1.2545908312739087</v>
      </c>
      <c r="J13" s="156">
        <f t="shared" si="4"/>
        <v>1.2468003981040048</v>
      </c>
      <c r="K13" s="156">
        <f t="shared" si="4"/>
        <v>1.4428855910292357</v>
      </c>
      <c r="L13" s="156">
        <f t="shared" si="4"/>
        <v>1.4516692969573679</v>
      </c>
      <c r="M13" s="156">
        <f t="shared" si="4"/>
        <v>1.4523314787961867</v>
      </c>
      <c r="N13" s="156">
        <f t="shared" si="4"/>
        <v>1.4503449332797298</v>
      </c>
      <c r="O13" s="156">
        <f t="shared" si="4"/>
        <v>1.0724310500914376</v>
      </c>
      <c r="P13" s="156">
        <f t="shared" si="4"/>
        <v>1.1204980127884978</v>
      </c>
      <c r="Q13" s="156">
        <f t="shared" si="4"/>
        <v>1.3528866442079714</v>
      </c>
      <c r="R13" s="156">
        <f t="shared" si="2"/>
        <v>7.6807049236862506</v>
      </c>
      <c r="S13" s="156">
        <f t="shared" si="0"/>
        <v>7.9001614161211906</v>
      </c>
      <c r="T13" s="156">
        <f t="shared" si="1"/>
        <v>15.580866339807441</v>
      </c>
    </row>
    <row r="14" spans="1:20" ht="18" customHeight="1">
      <c r="A14" s="1032"/>
      <c r="B14" s="1094">
        <v>6030</v>
      </c>
      <c r="C14" s="130" t="s">
        <v>96</v>
      </c>
      <c r="D14" s="130" t="s">
        <v>89</v>
      </c>
      <c r="E14" s="157">
        <f>'[7]Falhas SM'!I14</f>
        <v>10</v>
      </c>
      <c r="F14" s="157">
        <f>$E14/1000*'SM - Qty'!F14</f>
        <v>28.771984766850782</v>
      </c>
      <c r="G14" s="157">
        <f>$E14/1000*'SM - Qty'!G14</f>
        <v>28.430028966494664</v>
      </c>
      <c r="H14" s="157">
        <f>$E14/1000*'SM - Qty'!H14</f>
        <v>28.074540834987225</v>
      </c>
      <c r="I14" s="157">
        <f>$E14/1000*'SM - Qty'!I14</f>
        <v>28.621305363399717</v>
      </c>
      <c r="J14" s="157">
        <f>$E14/1000*'SM - Qty'!J14</f>
        <v>28.443561297646003</v>
      </c>
      <c r="K14" s="157">
        <f>$E14/1000*'SM - Qty'!K14</f>
        <v>32.905206049690825</v>
      </c>
      <c r="L14" s="157">
        <f>$E14/1000*'SM - Qty'!L14</f>
        <v>33.096482446595886</v>
      </c>
      <c r="M14" s="157">
        <f>$E14/1000*'SM - Qty'!M14</f>
        <v>33.105504000696769</v>
      </c>
      <c r="N14" s="157">
        <f>$E14/1000*'SM - Qty'!N14</f>
        <v>33.078439338394112</v>
      </c>
      <c r="O14" s="157">
        <f>$E14/1000*'SM - Qty'!O14</f>
        <v>24.492594857610115</v>
      </c>
      <c r="P14" s="157">
        <f>$E14/1000*'SM - Qty'!P14</f>
        <v>25.577102360334226</v>
      </c>
      <c r="Q14" s="157">
        <f>$E14/1000*'SM - Qty'!Q14</f>
        <v>30.891381224744116</v>
      </c>
      <c r="R14" s="157">
        <f t="shared" si="2"/>
        <v>175.24662727906923</v>
      </c>
      <c r="S14" s="157">
        <f t="shared" si="0"/>
        <v>180.24150422837522</v>
      </c>
      <c r="T14" s="157">
        <f t="shared" si="1"/>
        <v>355.48813150744445</v>
      </c>
    </row>
    <row r="15" spans="1:20" ht="18" customHeight="1">
      <c r="A15" s="1032"/>
      <c r="B15" s="1094"/>
      <c r="C15" s="130"/>
      <c r="D15" s="130" t="s">
        <v>88</v>
      </c>
      <c r="E15" s="157">
        <f>'[7]Falhas SM'!I15</f>
        <v>19.795000000000002</v>
      </c>
      <c r="F15" s="157">
        <f>$E15/1000*'SM - Qty'!F15</f>
        <v>56.954143845981122</v>
      </c>
      <c r="G15" s="157">
        <f>$E15/1000*'SM - Qty'!G15</f>
        <v>56.27724233917619</v>
      </c>
      <c r="H15" s="157">
        <f>$E15/1000*'SM - Qty'!H15</f>
        <v>55.573553582857208</v>
      </c>
      <c r="I15" s="157">
        <f>$E15/1000*'SM - Qty'!I15</f>
        <v>56.65587396684974</v>
      </c>
      <c r="J15" s="157">
        <f>$E15/1000*'SM - Qty'!J15</f>
        <v>56.304029588690263</v>
      </c>
      <c r="K15" s="157">
        <f>$E15/1000*'SM - Qty'!K15</f>
        <v>65.135855375362993</v>
      </c>
      <c r="L15" s="157">
        <f>$E15/1000*'SM - Qty'!L15</f>
        <v>65.51448700303655</v>
      </c>
      <c r="M15" s="157">
        <f>$E15/1000*'SM - Qty'!M15</f>
        <v>65.532345169379255</v>
      </c>
      <c r="N15" s="157">
        <f>$E15/1000*'SM - Qty'!N15</f>
        <v>65.478770670351139</v>
      </c>
      <c r="O15" s="157">
        <f>$E15/1000*'SM - Qty'!O15</f>
        <v>48.483091520639221</v>
      </c>
      <c r="P15" s="157">
        <f>$E15/1000*'SM - Qty'!P15</f>
        <v>50.629874122281599</v>
      </c>
      <c r="Q15" s="157">
        <f>$E15/1000*'SM - Qty'!Q15</f>
        <v>61.149489134380971</v>
      </c>
      <c r="R15" s="157">
        <f t="shared" si="2"/>
        <v>346.90069869891749</v>
      </c>
      <c r="S15" s="157">
        <f t="shared" si="0"/>
        <v>356.78805762006874</v>
      </c>
      <c r="T15" s="157">
        <f t="shared" si="1"/>
        <v>703.68875631898618</v>
      </c>
    </row>
    <row r="16" spans="1:20" ht="18" customHeight="1">
      <c r="A16" s="1032"/>
      <c r="B16" s="1094"/>
      <c r="C16" s="130"/>
      <c r="D16" s="130" t="s">
        <v>87</v>
      </c>
      <c r="E16" s="157">
        <f>'[7]Falhas SM'!I16</f>
        <v>216.17370000000003</v>
      </c>
      <c r="F16" s="157">
        <f>$E16/1000*'SM - Qty'!F16</f>
        <v>42.557333100994462</v>
      </c>
      <c r="G16" s="157">
        <f>$E16/1000*'SM - Qty'!G16</f>
        <v>42.05153807088103</v>
      </c>
      <c r="H16" s="157">
        <f>$E16/1000*'SM - Qty'!H16</f>
        <v>41.525727045030543</v>
      </c>
      <c r="I16" s="157">
        <f>$E16/1000*'SM - Qty'!I16</f>
        <v>42.334459579543335</v>
      </c>
      <c r="J16" s="157">
        <f>$E16/1000*'SM - Qty'!J16</f>
        <v>42.071554066618098</v>
      </c>
      <c r="K16" s="157">
        <f>$E16/1000*'SM - Qty'!K16</f>
        <v>48.670879884065286</v>
      </c>
      <c r="L16" s="157">
        <f>$E16/1000*'SM - Qty'!L16</f>
        <v>48.953801392727591</v>
      </c>
      <c r="M16" s="157">
        <f>$E16/1000*'SM - Qty'!M16</f>
        <v>48.967145389885637</v>
      </c>
      <c r="N16" s="157">
        <f>$E16/1000*'SM - Qty'!N16</f>
        <v>48.927113398411514</v>
      </c>
      <c r="O16" s="157">
        <f>$E16/1000*'SM - Qty'!O16</f>
        <v>36.227584795051527</v>
      </c>
      <c r="P16" s="157">
        <f>$E16/1000*'SM - Qty'!P16</f>
        <v>37.83170586691908</v>
      </c>
      <c r="Q16" s="157">
        <f>$E16/1000*'SM - Qty'!Q16</f>
        <v>45.692183260360316</v>
      </c>
      <c r="R16" s="157">
        <f t="shared" si="2"/>
        <v>259.21149174713275</v>
      </c>
      <c r="S16" s="157">
        <f t="shared" si="0"/>
        <v>266.59953410335567</v>
      </c>
      <c r="T16" s="157">
        <f t="shared" si="1"/>
        <v>525.81102585048848</v>
      </c>
    </row>
    <row r="17" spans="1:20" ht="18" customHeight="1" thickBot="1">
      <c r="A17" s="1032"/>
      <c r="B17" s="1095"/>
      <c r="C17" s="133" t="s">
        <v>83</v>
      </c>
      <c r="D17" s="133"/>
      <c r="E17" s="158"/>
      <c r="F17" s="156">
        <f>SUBTOTAL(109,F14:F16)</f>
        <v>128.28346171382637</v>
      </c>
      <c r="G17" s="156">
        <f t="shared" ref="G17:Q17" si="5">SUBTOTAL(109,G14:G16)</f>
        <v>126.75880937655188</v>
      </c>
      <c r="H17" s="156">
        <f t="shared" si="5"/>
        <v>125.17382146287497</v>
      </c>
      <c r="I17" s="156">
        <f t="shared" si="5"/>
        <v>127.61163890979279</v>
      </c>
      <c r="J17" s="156">
        <f t="shared" si="5"/>
        <v>126.81914495295436</v>
      </c>
      <c r="K17" s="156">
        <f t="shared" si="5"/>
        <v>146.71194130911908</v>
      </c>
      <c r="L17" s="156">
        <f t="shared" si="5"/>
        <v>147.56477084236002</v>
      </c>
      <c r="M17" s="156">
        <f t="shared" si="5"/>
        <v>147.60499455996165</v>
      </c>
      <c r="N17" s="156">
        <f t="shared" si="5"/>
        <v>147.48432340715675</v>
      </c>
      <c r="O17" s="156">
        <f t="shared" si="5"/>
        <v>109.20327117330086</v>
      </c>
      <c r="P17" s="156">
        <f t="shared" si="5"/>
        <v>114.03868234953491</v>
      </c>
      <c r="Q17" s="156">
        <f t="shared" si="5"/>
        <v>137.73305361948539</v>
      </c>
      <c r="R17" s="158">
        <f t="shared" si="2"/>
        <v>781.35881772511948</v>
      </c>
      <c r="S17" s="158">
        <f t="shared" si="0"/>
        <v>803.62909595179963</v>
      </c>
      <c r="T17" s="158">
        <f t="shared" si="1"/>
        <v>1584.9879136769191</v>
      </c>
    </row>
    <row r="18" spans="1:20" ht="18" customHeight="1" thickTop="1">
      <c r="A18" s="1032"/>
      <c r="B18" s="1101">
        <v>6040</v>
      </c>
      <c r="C18" s="135" t="s">
        <v>95</v>
      </c>
      <c r="D18" s="135" t="s">
        <v>89</v>
      </c>
      <c r="E18" s="154">
        <f>'[7]Falhas SM'!I18</f>
        <v>20</v>
      </c>
      <c r="F18" s="154">
        <f>$E18/1000*'SM - Qty'!F18</f>
        <v>0.34662929464092962</v>
      </c>
      <c r="G18" s="154">
        <f>$E18/1000*'SM - Qty'!G18</f>
        <v>0.34883712454310117</v>
      </c>
      <c r="H18" s="154">
        <f>$E18/1000*'SM - Qty'!H18</f>
        <v>0.34442146473875812</v>
      </c>
      <c r="I18" s="154">
        <f>$E18/1000*'SM - Qty'!I18</f>
        <v>0.35766844415178722</v>
      </c>
      <c r="J18" s="154">
        <f>$E18/1000*'SM - Qty'!J18</f>
        <v>0.35546061424961573</v>
      </c>
      <c r="K18" s="154">
        <f>$E18/1000*'SM - Qty'!K18</f>
        <v>0.41948768141258996</v>
      </c>
      <c r="L18" s="154">
        <f>$E18/1000*'SM - Qty'!L18</f>
        <v>0.42831900102127612</v>
      </c>
      <c r="M18" s="154">
        <f>$E18/1000*'SM - Qty'!M18</f>
        <v>0.43273466082561918</v>
      </c>
      <c r="N18" s="154">
        <f>$E18/1000*'SM - Qty'!N18</f>
        <v>0.41948768141258996</v>
      </c>
      <c r="O18" s="154">
        <f>$E18/1000*'SM - Qty'!O18</f>
        <v>0.28701788728229838</v>
      </c>
      <c r="P18" s="154">
        <f>$E18/1000*'SM - Qty'!P18</f>
        <v>0.30909618630401364</v>
      </c>
      <c r="Q18" s="154">
        <f>$E18/1000*'SM - Qty'!Q18</f>
        <v>0.36649976376047333</v>
      </c>
      <c r="R18" s="154">
        <f t="shared" si="2"/>
        <v>2.1725046237367818</v>
      </c>
      <c r="S18" s="154">
        <f t="shared" si="0"/>
        <v>2.2431551806062706</v>
      </c>
      <c r="T18" s="154">
        <f t="shared" si="1"/>
        <v>4.4156598043430524</v>
      </c>
    </row>
    <row r="19" spans="1:20" ht="18" customHeight="1">
      <c r="A19" s="1032"/>
      <c r="B19" s="1094"/>
      <c r="C19" s="136"/>
      <c r="D19" s="136" t="s">
        <v>88</v>
      </c>
      <c r="E19" s="155">
        <f>'[7]Falhas SM'!I19</f>
        <v>26.07</v>
      </c>
      <c r="F19" s="155">
        <f>$E19/1000*'SM - Qty'!F19</f>
        <v>0.41940913825732001</v>
      </c>
      <c r="G19" s="155">
        <f>$E19/1000*'SM - Qty'!G19</f>
        <v>0.42208053404239843</v>
      </c>
      <c r="H19" s="155">
        <f>$E19/1000*'SM - Qty'!H19</f>
        <v>0.41673774247224149</v>
      </c>
      <c r="I19" s="155">
        <f>$E19/1000*'SM - Qty'!I19</f>
        <v>0.43276611718271235</v>
      </c>
      <c r="J19" s="155">
        <f>$E19/1000*'SM - Qty'!J19</f>
        <v>0.43009472139763388</v>
      </c>
      <c r="K19" s="155">
        <f>$E19/1000*'SM - Qty'!K19</f>
        <v>0.5075651991649095</v>
      </c>
      <c r="L19" s="155">
        <f>$E19/1000*'SM - Qty'!L19</f>
        <v>0.51825078230522348</v>
      </c>
      <c r="M19" s="155">
        <f>$E19/1000*'SM - Qty'!M19</f>
        <v>0.5235935738753803</v>
      </c>
      <c r="N19" s="155">
        <f>$E19/1000*'SM - Qty'!N19</f>
        <v>0.5075651991649095</v>
      </c>
      <c r="O19" s="155">
        <f>$E19/1000*'SM - Qty'!O19</f>
        <v>0.34728145206020122</v>
      </c>
      <c r="P19" s="155">
        <f>$E19/1000*'SM - Qty'!P19</f>
        <v>0.37399540991098595</v>
      </c>
      <c r="Q19" s="155">
        <f>$E19/1000*'SM - Qty'!Q19</f>
        <v>0.44345170032302622</v>
      </c>
      <c r="R19" s="155">
        <f t="shared" si="2"/>
        <v>2.628653452517216</v>
      </c>
      <c r="S19" s="155">
        <f t="shared" si="0"/>
        <v>2.714138117639727</v>
      </c>
      <c r="T19" s="155">
        <f t="shared" si="1"/>
        <v>5.3427915701569431</v>
      </c>
    </row>
    <row r="20" spans="1:20" ht="18" customHeight="1">
      <c r="A20" s="1032"/>
      <c r="B20" s="1094"/>
      <c r="C20" s="136"/>
      <c r="D20" s="136" t="s">
        <v>87</v>
      </c>
      <c r="E20" s="155">
        <f>'[7]Falhas SM'!I20</f>
        <v>1763.52</v>
      </c>
      <c r="F20" s="155">
        <f>$E20/1000*'SM - Qty'!F20</f>
        <v>4.0309737209143304</v>
      </c>
      <c r="G20" s="155">
        <f>$E20/1000*'SM - Qty'!G20</f>
        <v>4.0566487127672879</v>
      </c>
      <c r="H20" s="155">
        <f>$E20/1000*'SM - Qty'!H20</f>
        <v>4.0052987290613737</v>
      </c>
      <c r="I20" s="155">
        <f>$E20/1000*'SM - Qty'!I20</f>
        <v>4.1593486801791189</v>
      </c>
      <c r="J20" s="155">
        <f>$E20/1000*'SM - Qty'!J20</f>
        <v>4.1336736883261613</v>
      </c>
      <c r="K20" s="155">
        <f>$E20/1000*'SM - Qty'!K20</f>
        <v>4.8782484520619294</v>
      </c>
      <c r="L20" s="155">
        <f>$E20/1000*'SM - Qty'!L20</f>
        <v>4.9809484194737594</v>
      </c>
      <c r="M20" s="155">
        <f>$E20/1000*'SM - Qty'!M20</f>
        <v>5.0322984031796745</v>
      </c>
      <c r="N20" s="155">
        <f>$E20/1000*'SM - Qty'!N20</f>
        <v>4.8782484520619294</v>
      </c>
      <c r="O20" s="155">
        <f>$E20/1000*'SM - Qty'!O20</f>
        <v>3.3377489408844778</v>
      </c>
      <c r="P20" s="155">
        <f>$E20/1000*'SM - Qty'!P20</f>
        <v>3.594498859414053</v>
      </c>
      <c r="Q20" s="155">
        <f>$E20/1000*'SM - Qty'!Q20</f>
        <v>4.262048647590948</v>
      </c>
      <c r="R20" s="155">
        <f t="shared" si="2"/>
        <v>25.264191983310202</v>
      </c>
      <c r="S20" s="155">
        <f t="shared" si="0"/>
        <v>26.085791722604842</v>
      </c>
      <c r="T20" s="155">
        <f t="shared" si="1"/>
        <v>51.349983705915044</v>
      </c>
    </row>
    <row r="21" spans="1:20" ht="18" customHeight="1">
      <c r="A21" s="1032"/>
      <c r="B21" s="1094"/>
      <c r="C21" s="137" t="s">
        <v>92</v>
      </c>
      <c r="D21" s="137"/>
      <c r="E21" s="156"/>
      <c r="F21" s="156">
        <f>SUBTOTAL(109,F18:F20)</f>
        <v>4.7970121538125801</v>
      </c>
      <c r="G21" s="156">
        <f t="shared" ref="G21:Q21" si="6">SUBTOTAL(109,G18:G20)</f>
        <v>4.8275663713527877</v>
      </c>
      <c r="H21" s="156">
        <f t="shared" si="6"/>
        <v>4.7664579362723734</v>
      </c>
      <c r="I21" s="156">
        <f t="shared" si="6"/>
        <v>4.949783241513618</v>
      </c>
      <c r="J21" s="156">
        <f t="shared" si="6"/>
        <v>4.9192290239734113</v>
      </c>
      <c r="K21" s="156">
        <f t="shared" si="6"/>
        <v>5.8053013326394289</v>
      </c>
      <c r="L21" s="156">
        <f t="shared" si="6"/>
        <v>5.9275182028002593</v>
      </c>
      <c r="M21" s="156">
        <f t="shared" si="6"/>
        <v>5.9886266378806736</v>
      </c>
      <c r="N21" s="156">
        <f t="shared" si="6"/>
        <v>5.8053013326394289</v>
      </c>
      <c r="O21" s="156">
        <f t="shared" si="6"/>
        <v>3.9720482802269776</v>
      </c>
      <c r="P21" s="156">
        <f t="shared" si="6"/>
        <v>4.2775904556290527</v>
      </c>
      <c r="Q21" s="156">
        <f t="shared" si="6"/>
        <v>5.0720001116744475</v>
      </c>
      <c r="R21" s="156">
        <f t="shared" si="2"/>
        <v>30.065350059564203</v>
      </c>
      <c r="S21" s="156">
        <f t="shared" si="0"/>
        <v>31.043085020850839</v>
      </c>
      <c r="T21" s="156">
        <f t="shared" si="1"/>
        <v>61.108435080415042</v>
      </c>
    </row>
    <row r="22" spans="1:20" ht="18" customHeight="1">
      <c r="A22" s="1032"/>
      <c r="B22" s="1094">
        <v>6050</v>
      </c>
      <c r="C22" s="138" t="s">
        <v>94</v>
      </c>
      <c r="D22" s="138" t="s">
        <v>89</v>
      </c>
      <c r="E22" s="155">
        <f>'[7]Falhas SM'!I22</f>
        <v>10</v>
      </c>
      <c r="F22" s="155">
        <f>$E22/1000*'SM - Qty'!F22</f>
        <v>1.6589019775884967E-2</v>
      </c>
      <c r="G22" s="155">
        <f>$E22/1000*'SM - Qty'!G22</f>
        <v>1.6694682322228184E-2</v>
      </c>
      <c r="H22" s="155">
        <f>$E22/1000*'SM - Qty'!H22</f>
        <v>1.6483357229541751E-2</v>
      </c>
      <c r="I22" s="155">
        <f>$E22/1000*'SM - Qty'!I22</f>
        <v>1.711733250760105E-2</v>
      </c>
      <c r="J22" s="155">
        <f>$E22/1000*'SM - Qty'!J22</f>
        <v>1.7011669961257834E-2</v>
      </c>
      <c r="K22" s="155">
        <f>$E22/1000*'SM - Qty'!K22</f>
        <v>2.0075883805211109E-2</v>
      </c>
      <c r="L22" s="155">
        <f>$E22/1000*'SM - Qty'!L22</f>
        <v>2.0498533990583975E-2</v>
      </c>
      <c r="M22" s="155">
        <f>$E22/1000*'SM - Qty'!M22</f>
        <v>2.0709859083270405E-2</v>
      </c>
      <c r="N22" s="155">
        <f>$E22/1000*'SM - Qty'!N22</f>
        <v>2.0075883805211109E-2</v>
      </c>
      <c r="O22" s="155">
        <f>$E22/1000*'SM - Qty'!O22</f>
        <v>1.3736131024618126E-2</v>
      </c>
      <c r="P22" s="155">
        <f>$E22/1000*'SM - Qty'!P22</f>
        <v>1.4792756488050294E-2</v>
      </c>
      <c r="Q22" s="155">
        <f>$E22/1000*'SM - Qty'!Q22</f>
        <v>1.7539982692973917E-2</v>
      </c>
      <c r="R22" s="155">
        <f t="shared" si="2"/>
        <v>0.1039719456017249</v>
      </c>
      <c r="S22" s="155">
        <f t="shared" si="0"/>
        <v>0.10735314708470783</v>
      </c>
      <c r="T22" s="155">
        <f t="shared" si="1"/>
        <v>0.21132509268643274</v>
      </c>
    </row>
    <row r="23" spans="1:20" ht="18" customHeight="1">
      <c r="A23" s="1032"/>
      <c r="B23" s="1094"/>
      <c r="C23" s="138"/>
      <c r="D23" s="138" t="s">
        <v>88</v>
      </c>
      <c r="E23" s="155">
        <f>'[7]Falhas SM'!I23</f>
        <v>24.22</v>
      </c>
      <c r="F23" s="155">
        <f>$E23/1000*'SM - Qty'!F23</f>
        <v>3.4131271450197655E-2</v>
      </c>
      <c r="G23" s="155">
        <f>$E23/1000*'SM - Qty'!G23</f>
        <v>3.4348668083638408E-2</v>
      </c>
      <c r="H23" s="155">
        <f>$E23/1000*'SM - Qty'!H23</f>
        <v>3.3913874816756909E-2</v>
      </c>
      <c r="I23" s="155">
        <f>$E23/1000*'SM - Qty'!I23</f>
        <v>3.5218254617401412E-2</v>
      </c>
      <c r="J23" s="155">
        <f>$E23/1000*'SM - Qty'!J23</f>
        <v>3.5000857983960659E-2</v>
      </c>
      <c r="K23" s="155">
        <f>$E23/1000*'SM - Qty'!K23</f>
        <v>4.1305360353742396E-2</v>
      </c>
      <c r="L23" s="155">
        <f>$E23/1000*'SM - Qty'!L23</f>
        <v>4.2174946887505393E-2</v>
      </c>
      <c r="M23" s="155">
        <f>$E23/1000*'SM - Qty'!M23</f>
        <v>4.2609740154386892E-2</v>
      </c>
      <c r="N23" s="155">
        <f>$E23/1000*'SM - Qty'!N23</f>
        <v>4.1305360353742396E-2</v>
      </c>
      <c r="O23" s="155">
        <f>$E23/1000*'SM - Qty'!O23</f>
        <v>2.8261562347297427E-2</v>
      </c>
      <c r="P23" s="155">
        <f>$E23/1000*'SM - Qty'!P23</f>
        <v>3.0435528681704929E-2</v>
      </c>
      <c r="Q23" s="155">
        <f>$E23/1000*'SM - Qty'!Q23</f>
        <v>3.608784115116441E-2</v>
      </c>
      <c r="R23" s="155">
        <f t="shared" si="2"/>
        <v>0.21391828730569745</v>
      </c>
      <c r="S23" s="155">
        <f t="shared" si="0"/>
        <v>0.22087497957580143</v>
      </c>
      <c r="T23" s="155">
        <f t="shared" si="1"/>
        <v>0.43479326688149889</v>
      </c>
    </row>
    <row r="24" spans="1:20" ht="18" customHeight="1">
      <c r="A24" s="1032"/>
      <c r="B24" s="1094"/>
      <c r="C24" s="138"/>
      <c r="D24" s="138" t="s">
        <v>87</v>
      </c>
      <c r="E24" s="155">
        <f>'[7]Falhas SM'!I24</f>
        <v>1027.44</v>
      </c>
      <c r="F24" s="155">
        <f>$E24/1000*'SM - Qty'!F24</f>
        <v>0</v>
      </c>
      <c r="G24" s="155">
        <f>$E24/1000*'SM - Qty'!G24</f>
        <v>0</v>
      </c>
      <c r="H24" s="155">
        <f>$E24/1000*'SM - Qty'!H24</f>
        <v>0</v>
      </c>
      <c r="I24" s="155">
        <f>$E24/1000*'SM - Qty'!I24</f>
        <v>0</v>
      </c>
      <c r="J24" s="155">
        <f>$E24/1000*'SM - Qty'!J24</f>
        <v>0</v>
      </c>
      <c r="K24" s="155">
        <f>$E24/1000*'SM - Qty'!K24</f>
        <v>0</v>
      </c>
      <c r="L24" s="155">
        <f>$E24/1000*'SM - Qty'!L24</f>
        <v>0</v>
      </c>
      <c r="M24" s="155">
        <f>$E24/1000*'SM - Qty'!M24</f>
        <v>0</v>
      </c>
      <c r="N24" s="155">
        <f>$E24/1000*'SM - Qty'!N24</f>
        <v>0</v>
      </c>
      <c r="O24" s="155">
        <f>$E24/1000*'SM - Qty'!O24</f>
        <v>0</v>
      </c>
      <c r="P24" s="155">
        <f>$E24/1000*'SM - Qty'!P24</f>
        <v>0</v>
      </c>
      <c r="Q24" s="155">
        <f>$E24/1000*'SM - Qty'!Q24</f>
        <v>0</v>
      </c>
      <c r="R24" s="155">
        <f t="shared" si="2"/>
        <v>0</v>
      </c>
      <c r="S24" s="155">
        <f t="shared" si="0"/>
        <v>0</v>
      </c>
      <c r="T24" s="155">
        <f t="shared" si="1"/>
        <v>0</v>
      </c>
    </row>
    <row r="25" spans="1:20" ht="18" customHeight="1">
      <c r="A25" s="1032"/>
      <c r="B25" s="1094"/>
      <c r="C25" s="137" t="s">
        <v>92</v>
      </c>
      <c r="D25" s="137"/>
      <c r="E25" s="156"/>
      <c r="F25" s="156">
        <f>SUBTOTAL(109,F22:F24)</f>
        <v>5.0720291226082626E-2</v>
      </c>
      <c r="G25" s="156">
        <f t="shared" ref="G25:Q25" si="7">SUBTOTAL(109,G22:G24)</f>
        <v>5.1043350405866592E-2</v>
      </c>
      <c r="H25" s="156">
        <f t="shared" si="7"/>
        <v>5.0397232046298659E-2</v>
      </c>
      <c r="I25" s="156">
        <f t="shared" si="7"/>
        <v>5.2335587125002463E-2</v>
      </c>
      <c r="J25" s="156">
        <f t="shared" si="7"/>
        <v>5.201252794521849E-2</v>
      </c>
      <c r="K25" s="156">
        <f t="shared" si="7"/>
        <v>6.1381244158953505E-2</v>
      </c>
      <c r="L25" s="156">
        <f t="shared" si="7"/>
        <v>6.2673480878089369E-2</v>
      </c>
      <c r="M25" s="156">
        <f t="shared" si="7"/>
        <v>6.3319599237657301E-2</v>
      </c>
      <c r="N25" s="156">
        <f t="shared" si="7"/>
        <v>6.1381244158953505E-2</v>
      </c>
      <c r="O25" s="156">
        <f t="shared" si="7"/>
        <v>4.1997693371915557E-2</v>
      </c>
      <c r="P25" s="156">
        <f t="shared" si="7"/>
        <v>4.5228285169755224E-2</v>
      </c>
      <c r="Q25" s="156">
        <f t="shared" si="7"/>
        <v>5.3627823844138327E-2</v>
      </c>
      <c r="R25" s="156">
        <f t="shared" si="2"/>
        <v>0.31789023290742235</v>
      </c>
      <c r="S25" s="156">
        <f t="shared" si="0"/>
        <v>0.32822812666050932</v>
      </c>
      <c r="T25" s="156">
        <f t="shared" si="1"/>
        <v>0.64611835956793162</v>
      </c>
    </row>
    <row r="26" spans="1:20" ht="18" customHeight="1">
      <c r="A26" s="1032"/>
      <c r="B26" s="1094">
        <v>6060</v>
      </c>
      <c r="C26" s="138" t="s">
        <v>93</v>
      </c>
      <c r="D26" s="138" t="s">
        <v>89</v>
      </c>
      <c r="E26" s="155">
        <f>'[7]Falhas SM'!I26</f>
        <v>10</v>
      </c>
      <c r="F26" s="155">
        <f>$E26/1000*'SM - Qty'!F26</f>
        <v>34.457070849090798</v>
      </c>
      <c r="G26" s="155">
        <f>$E26/1000*'SM - Qty'!G26</f>
        <v>38.284892343462104</v>
      </c>
      <c r="H26" s="155">
        <f>$E26/1000*'SM - Qty'!H26</f>
        <v>37.182198027155586</v>
      </c>
      <c r="I26" s="155">
        <f>$E26/1000*'SM - Qty'!I26</f>
        <v>37.872649499520385</v>
      </c>
      <c r="J26" s="155">
        <f>$E26/1000*'SM - Qty'!J26</f>
        <v>37.757574254126247</v>
      </c>
      <c r="K26" s="155">
        <f>$E26/1000*'SM - Qty'!K26</f>
        <v>41.699639881065295</v>
      </c>
      <c r="L26" s="155">
        <f>$E26/1000*'SM - Qty'!L26</f>
        <v>42.577527036456139</v>
      </c>
      <c r="M26" s="155">
        <f>$E26/1000*'SM - Qty'!M26</f>
        <v>43.016470614151565</v>
      </c>
      <c r="N26" s="155">
        <f>$E26/1000*'SM - Qty'!N26</f>
        <v>39.892852636451742</v>
      </c>
      <c r="O26" s="155">
        <f>$E26/1000*'SM - Qty'!O26</f>
        <v>25.77691550817719</v>
      </c>
      <c r="P26" s="155">
        <f>$E26/1000*'SM - Qty'!P26</f>
        <v>29.331475430327359</v>
      </c>
      <c r="Q26" s="155">
        <f>$E26/1000*'SM - Qty'!Q26</f>
        <v>37.131046746992524</v>
      </c>
      <c r="R26" s="155">
        <f t="shared" si="2"/>
        <v>227.25402485442038</v>
      </c>
      <c r="S26" s="155">
        <f t="shared" si="0"/>
        <v>217.72628797255652</v>
      </c>
      <c r="T26" s="155">
        <f t="shared" si="1"/>
        <v>444.9803128269769</v>
      </c>
    </row>
    <row r="27" spans="1:20" ht="18" customHeight="1">
      <c r="A27" s="1032"/>
      <c r="B27" s="1094"/>
      <c r="C27" s="138"/>
      <c r="D27" s="138" t="s">
        <v>88</v>
      </c>
      <c r="E27" s="155">
        <f>'[7]Falhas SM'!I27</f>
        <v>19.795000000000002</v>
      </c>
      <c r="F27" s="155">
        <f>$E27/1000*'SM - Qty'!F27</f>
        <v>62.054626738182044</v>
      </c>
      <c r="G27" s="155">
        <f>$E27/1000*'SM - Qty'!G27</f>
        <v>68.948249097839749</v>
      </c>
      <c r="H27" s="155">
        <f>$E27/1000*'SM - Qty'!H27</f>
        <v>66.962378490776175</v>
      </c>
      <c r="I27" s="155">
        <f>$E27/1000*'SM - Qty'!I27</f>
        <v>68.205830338034872</v>
      </c>
      <c r="J27" s="155">
        <f>$E27/1000*'SM - Qty'!J27</f>
        <v>67.998588363491763</v>
      </c>
      <c r="K27" s="155">
        <f>$E27/1000*'SM - Qty'!K27</f>
        <v>75.097955925188458</v>
      </c>
      <c r="L27" s="155">
        <f>$E27/1000*'SM - Qty'!L27</f>
        <v>76.678965523613471</v>
      </c>
      <c r="M27" s="155">
        <f>$E27/1000*'SM - Qty'!M27</f>
        <v>77.469470322825984</v>
      </c>
      <c r="N27" s="155">
        <f>$E27/1000*'SM - Qty'!N27</f>
        <v>71.844066221364116</v>
      </c>
      <c r="O27" s="155">
        <f>$E27/1000*'SM - Qty'!O27</f>
        <v>46.42231132550836</v>
      </c>
      <c r="P27" s="155">
        <f>$E27/1000*'SM - Qty'!P27</f>
        <v>52.823809878695748</v>
      </c>
      <c r="Q27" s="155">
        <f>$E27/1000*'SM - Qty'!Q27</f>
        <v>66.870258832329284</v>
      </c>
      <c r="R27" s="155">
        <f t="shared" si="2"/>
        <v>409.26762895351305</v>
      </c>
      <c r="S27" s="155">
        <f t="shared" si="0"/>
        <v>392.10888210433694</v>
      </c>
      <c r="T27" s="155">
        <f t="shared" si="1"/>
        <v>801.37651105784994</v>
      </c>
    </row>
    <row r="28" spans="1:20" ht="18" customHeight="1">
      <c r="A28" s="1032"/>
      <c r="B28" s="1094"/>
      <c r="C28" s="138"/>
      <c r="D28" s="138" t="s">
        <v>87</v>
      </c>
      <c r="E28" s="155">
        <f>'[7]Falhas SM'!I28</f>
        <v>469.2800196</v>
      </c>
      <c r="F28" s="155">
        <f>$E28/1000*'SM - Qty'!F28</f>
        <v>29.580705045201196</v>
      </c>
      <c r="G28" s="155">
        <f>$E28/1000*'SM - Qty'!G28</f>
        <v>32.866813115343987</v>
      </c>
      <c r="H28" s="155">
        <f>$E28/1000*'SM - Qty'!H28</f>
        <v>31.920172135077848</v>
      </c>
      <c r="I28" s="155">
        <f>$E28/1000*'SM - Qty'!I28</f>
        <v>32.512910892283813</v>
      </c>
      <c r="J28" s="155">
        <f>$E28/1000*'SM - Qty'!J28</f>
        <v>32.41412109941615</v>
      </c>
      <c r="K28" s="155">
        <f>$E28/1000*'SM - Qty'!K28</f>
        <v>35.798305468714823</v>
      </c>
      <c r="L28" s="155">
        <f>$E28/1000*'SM - Qty'!L28</f>
        <v>36.551954004898292</v>
      </c>
      <c r="M28" s="155">
        <f>$E28/1000*'SM - Qty'!M28</f>
        <v>36.92877827299003</v>
      </c>
      <c r="N28" s="155">
        <f>$E28/1000*'SM - Qty'!N28</f>
        <v>34.247214814595701</v>
      </c>
      <c r="O28" s="155">
        <f>$E28/1000*'SM - Qty'!O28</f>
        <v>22.128965574640006</v>
      </c>
      <c r="P28" s="155">
        <f>$E28/1000*'SM - Qty'!P28</f>
        <v>25.180484059281948</v>
      </c>
      <c r="Q28" s="155">
        <f>$E28/1000*'SM - Qty'!Q28</f>
        <v>31.876259785771815</v>
      </c>
      <c r="R28" s="155">
        <f t="shared" si="2"/>
        <v>195.09302775603783</v>
      </c>
      <c r="S28" s="155">
        <f t="shared" si="0"/>
        <v>186.91365651217779</v>
      </c>
      <c r="T28" s="155">
        <f t="shared" si="1"/>
        <v>382.00668426821562</v>
      </c>
    </row>
    <row r="29" spans="1:20" ht="18" customHeight="1">
      <c r="A29" s="1032"/>
      <c r="B29" s="1094"/>
      <c r="C29" s="137" t="s">
        <v>92</v>
      </c>
      <c r="D29" s="137"/>
      <c r="E29" s="156"/>
      <c r="F29" s="156">
        <f>SUBTOTAL(109,F26:F28)</f>
        <v>126.09240263247403</v>
      </c>
      <c r="G29" s="156">
        <f t="shared" ref="G29:Q29" si="8">SUBTOTAL(109,G26:G28)</f>
        <v>140.09995455664586</v>
      </c>
      <c r="H29" s="156">
        <f t="shared" si="8"/>
        <v>136.06474865300962</v>
      </c>
      <c r="I29" s="156">
        <f t="shared" si="8"/>
        <v>138.59139072983908</v>
      </c>
      <c r="J29" s="156">
        <f t="shared" si="8"/>
        <v>138.17028371703415</v>
      </c>
      <c r="K29" s="156">
        <f t="shared" si="8"/>
        <v>152.59590127496858</v>
      </c>
      <c r="L29" s="156">
        <f t="shared" si="8"/>
        <v>155.80844656496788</v>
      </c>
      <c r="M29" s="156">
        <f t="shared" si="8"/>
        <v>157.41471920996759</v>
      </c>
      <c r="N29" s="156">
        <f t="shared" si="8"/>
        <v>145.98413367241156</v>
      </c>
      <c r="O29" s="156">
        <f t="shared" si="8"/>
        <v>94.328192408325549</v>
      </c>
      <c r="P29" s="156">
        <f t="shared" si="8"/>
        <v>107.33576936830505</v>
      </c>
      <c r="Q29" s="156">
        <f t="shared" si="8"/>
        <v>135.87756536509363</v>
      </c>
      <c r="R29" s="156">
        <f t="shared" si="2"/>
        <v>831.61468156397132</v>
      </c>
      <c r="S29" s="156">
        <f t="shared" si="0"/>
        <v>796.74882658907131</v>
      </c>
      <c r="T29" s="156">
        <f t="shared" si="1"/>
        <v>1628.3635081530426</v>
      </c>
    </row>
    <row r="30" spans="1:20" ht="18" customHeight="1">
      <c r="A30" s="1032"/>
      <c r="B30" s="139"/>
      <c r="C30" s="139" t="s">
        <v>83</v>
      </c>
      <c r="D30" s="137" t="s">
        <v>91</v>
      </c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>
        <f t="shared" si="2"/>
        <v>0</v>
      </c>
      <c r="S30" s="156">
        <f t="shared" si="0"/>
        <v>0</v>
      </c>
      <c r="T30" s="156">
        <f t="shared" si="1"/>
        <v>0</v>
      </c>
    </row>
    <row r="31" spans="1:20" ht="18" customHeight="1">
      <c r="A31" s="1032"/>
      <c r="B31" s="1094">
        <v>6070</v>
      </c>
      <c r="C31" s="138" t="s">
        <v>90</v>
      </c>
      <c r="D31" s="138" t="s">
        <v>89</v>
      </c>
      <c r="E31" s="155">
        <f>'[7]Falhas SM'!I31</f>
        <v>20</v>
      </c>
      <c r="F31" s="155">
        <f>$E31/1000*'SM - Qty'!F31</f>
        <v>21.645908521637491</v>
      </c>
      <c r="G31" s="155">
        <f>$E31/1000*'SM - Qty'!G31</f>
        <v>20.201212985151237</v>
      </c>
      <c r="H31" s="155">
        <f>$E31/1000*'SM - Qty'!H31</f>
        <v>20.864684385337394</v>
      </c>
      <c r="I31" s="155">
        <f>$E31/1000*'SM - Qty'!I31</f>
        <v>21.490817144548256</v>
      </c>
      <c r="J31" s="155">
        <f>$E31/1000*'SM - Qty'!J31</f>
        <v>22.256806770235627</v>
      </c>
      <c r="K31" s="155">
        <f>$E31/1000*'SM - Qty'!K31</f>
        <v>26.408195338969207</v>
      </c>
      <c r="L31" s="155">
        <f>$E31/1000*'SM - Qty'!L31</f>
        <v>26.910528894107102</v>
      </c>
      <c r="M31" s="155">
        <f>$E31/1000*'SM - Qty'!M31</f>
        <v>27.022917644846807</v>
      </c>
      <c r="N31" s="155">
        <f>$E31/1000*'SM - Qty'!N31</f>
        <v>25.458367071099346</v>
      </c>
      <c r="O31" s="155">
        <f>$E31/1000*'SM - Qty'!O31</f>
        <v>17.923363744031043</v>
      </c>
      <c r="P31" s="155">
        <f>$E31/1000*'SM - Qty'!P31</f>
        <v>19.621588672443369</v>
      </c>
      <c r="Q31" s="155">
        <f>$E31/1000*'SM - Qty'!Q31</f>
        <v>22.886756780839633</v>
      </c>
      <c r="R31" s="155">
        <f t="shared" si="2"/>
        <v>132.86762514587923</v>
      </c>
      <c r="S31" s="155">
        <f t="shared" si="0"/>
        <v>139.82352280736728</v>
      </c>
      <c r="T31" s="155">
        <f t="shared" si="1"/>
        <v>272.69114795324651</v>
      </c>
    </row>
    <row r="32" spans="1:20" ht="18" customHeight="1">
      <c r="A32" s="1032"/>
      <c r="B32" s="1094"/>
      <c r="C32" s="138"/>
      <c r="D32" s="138" t="s">
        <v>88</v>
      </c>
      <c r="E32" s="155">
        <f>'[7]Falhas SM'!I32</f>
        <v>48.44</v>
      </c>
      <c r="F32" s="155">
        <f>$E32/1000*'SM - Qty'!F32</f>
        <v>51.118241856504106</v>
      </c>
      <c r="G32" s="155">
        <f>$E32/1000*'SM - Qty'!G32</f>
        <v>47.706497980321011</v>
      </c>
      <c r="H32" s="155">
        <f>$E32/1000*'SM - Qty'!H32</f>
        <v>49.27332948871841</v>
      </c>
      <c r="I32" s="155">
        <f>$E32/1000*'SM - Qty'!I32</f>
        <v>50.751983331666452</v>
      </c>
      <c r="J32" s="155">
        <f>$E32/1000*'SM - Qty'!J32</f>
        <v>52.560918396984647</v>
      </c>
      <c r="K32" s="155">
        <f>$E32/1000*'SM - Qty'!K32</f>
        <v>62.36469654215793</v>
      </c>
      <c r="L32" s="155">
        <f>$E32/1000*'SM - Qty'!L32</f>
        <v>63.550990392494953</v>
      </c>
      <c r="M32" s="155">
        <f>$E32/1000*'SM - Qty'!M32</f>
        <v>63.816403846336343</v>
      </c>
      <c r="N32" s="155">
        <f>$E32/1000*'SM - Qty'!N32</f>
        <v>60.121614387829261</v>
      </c>
      <c r="O32" s="155">
        <f>$E32/1000*'SM - Qty'!O32</f>
        <v>42.3272066327741</v>
      </c>
      <c r="P32" s="155">
        <f>$E32/1000*'SM - Qty'!P32</f>
        <v>46.337676903890198</v>
      </c>
      <c r="Q32" s="155">
        <f>$E32/1000*'SM - Qty'!Q32</f>
        <v>54.048586931080763</v>
      </c>
      <c r="R32" s="155">
        <f t="shared" si="2"/>
        <v>313.77566759635255</v>
      </c>
      <c r="S32" s="155">
        <f t="shared" si="0"/>
        <v>330.20247909440565</v>
      </c>
      <c r="T32" s="155">
        <f t="shared" si="1"/>
        <v>643.97814669075819</v>
      </c>
    </row>
    <row r="33" spans="1:20" ht="18" customHeight="1">
      <c r="A33" s="1032"/>
      <c r="B33" s="1094"/>
      <c r="C33" s="138"/>
      <c r="D33" s="138" t="s">
        <v>87</v>
      </c>
      <c r="E33" s="155">
        <f>'[7]Falhas SM'!I33</f>
        <v>460</v>
      </c>
      <c r="F33" s="155">
        <f>$E33/1000*'SM - Qty'!F33</f>
        <v>9.0950816450136589</v>
      </c>
      <c r="G33" s="155">
        <f>$E33/1000*'SM - Qty'!G33</f>
        <v>8.4880558949327725</v>
      </c>
      <c r="H33" s="155">
        <f>$E33/1000*'SM - Qty'!H33</f>
        <v>8.7668303592982966</v>
      </c>
      <c r="I33" s="155">
        <f>$E33/1000*'SM - Qty'!I33</f>
        <v>9.0299160394372446</v>
      </c>
      <c r="J33" s="155">
        <f>$E33/1000*'SM - Qty'!J33</f>
        <v>9.3517661561877645</v>
      </c>
      <c r="K33" s="155">
        <f>$E33/1000*'SM - Qty'!K33</f>
        <v>11.096078155615544</v>
      </c>
      <c r="L33" s="155">
        <f>$E33/1000*'SM - Qty'!L33</f>
        <v>11.307146436369024</v>
      </c>
      <c r="M33" s="155">
        <f>$E33/1000*'SM - Qty'!M33</f>
        <v>11.35436944218266</v>
      </c>
      <c r="N33" s="155">
        <f>$E33/1000*'SM - Qty'!N33</f>
        <v>10.696983535198811</v>
      </c>
      <c r="O33" s="155">
        <f>$E33/1000*'SM - Qty'!O33</f>
        <v>7.5309593238966617</v>
      </c>
      <c r="P33" s="155">
        <f>$E33/1000*'SM - Qty'!P33</f>
        <v>8.2445119271550613</v>
      </c>
      <c r="Q33" s="155">
        <f>$E33/1000*'SM - Qty'!Q33</f>
        <v>9.6164557520526568</v>
      </c>
      <c r="R33" s="155">
        <f t="shared" si="2"/>
        <v>55.827728250485279</v>
      </c>
      <c r="S33" s="155">
        <f t="shared" si="0"/>
        <v>58.750426416854872</v>
      </c>
      <c r="T33" s="155">
        <f t="shared" si="1"/>
        <v>114.57815466734016</v>
      </c>
    </row>
    <row r="34" spans="1:20" ht="18" customHeight="1" thickBot="1">
      <c r="A34" s="1032"/>
      <c r="B34" s="1095"/>
      <c r="C34" s="140" t="s">
        <v>83</v>
      </c>
      <c r="D34" s="140"/>
      <c r="E34" s="159"/>
      <c r="F34" s="156">
        <f>SUBTOTAL(109,F31:F33)</f>
        <v>81.859232023155258</v>
      </c>
      <c r="G34" s="156">
        <f t="shared" ref="G34:Q34" si="9">SUBTOTAL(109,G31:G33)</f>
        <v>76.395766860405018</v>
      </c>
      <c r="H34" s="156">
        <f t="shared" si="9"/>
        <v>78.904844233354098</v>
      </c>
      <c r="I34" s="156">
        <f t="shared" si="9"/>
        <v>81.27271651565195</v>
      </c>
      <c r="J34" s="156">
        <f t="shared" si="9"/>
        <v>84.169491323408039</v>
      </c>
      <c r="K34" s="156">
        <f t="shared" si="9"/>
        <v>99.868970036742681</v>
      </c>
      <c r="L34" s="156">
        <f t="shared" si="9"/>
        <v>101.76866572297108</v>
      </c>
      <c r="M34" s="156">
        <f t="shared" si="9"/>
        <v>102.1936909333658</v>
      </c>
      <c r="N34" s="156">
        <f t="shared" si="9"/>
        <v>96.276964994127425</v>
      </c>
      <c r="O34" s="156">
        <f t="shared" si="9"/>
        <v>67.78152970070181</v>
      </c>
      <c r="P34" s="156">
        <f t="shared" si="9"/>
        <v>74.203777503488624</v>
      </c>
      <c r="Q34" s="156">
        <f t="shared" si="9"/>
        <v>86.551799463973055</v>
      </c>
      <c r="R34" s="159">
        <f t="shared" si="2"/>
        <v>502.47102099271706</v>
      </c>
      <c r="S34" s="159">
        <f t="shared" si="0"/>
        <v>528.77642831862772</v>
      </c>
      <c r="T34" s="159">
        <f t="shared" si="1"/>
        <v>1031.2474493113448</v>
      </c>
    </row>
    <row r="35" spans="1:20" ht="18" customHeight="1" thickTop="1">
      <c r="A35" s="1032"/>
      <c r="B35" s="142">
        <v>6075</v>
      </c>
      <c r="C35" s="143" t="s">
        <v>117</v>
      </c>
      <c r="D35" s="143"/>
      <c r="E35" s="160">
        <f>'[7]Falhas SM'!I35</f>
        <v>42.16</v>
      </c>
      <c r="F35" s="160">
        <f>$E35/1000*'SM - Qty'!F35</f>
        <v>0.16694518219827406</v>
      </c>
      <c r="G35" s="160">
        <f>$E35/1000*'SM - Qty'!G35</f>
        <v>0.16488413056619661</v>
      </c>
      <c r="H35" s="160">
        <f>$E35/1000*'SM - Qty'!H35</f>
        <v>0.16282307893411913</v>
      </c>
      <c r="I35" s="160">
        <f>$E35/1000*'SM - Qty'!I35</f>
        <v>0.16591465638223532</v>
      </c>
      <c r="J35" s="160">
        <f>$E35/1000*'SM - Qty'!J35</f>
        <v>0.16488413056619661</v>
      </c>
      <c r="K35" s="160">
        <f>$E35/1000*'SM - Qty'!K35</f>
        <v>0.19064727596716483</v>
      </c>
      <c r="L35" s="160">
        <f>$E35/1000*'SM - Qty'!L35</f>
        <v>0.19167780178320354</v>
      </c>
      <c r="M35" s="160">
        <f>$E35/1000*'SM - Qty'!M35</f>
        <v>0.19167780178320354</v>
      </c>
      <c r="N35" s="160">
        <f>$E35/1000*'SM - Qty'!N35</f>
        <v>0.19167780178320354</v>
      </c>
      <c r="O35" s="160">
        <f>$E35/1000*'SM - Qty'!O35</f>
        <v>0.14221256261334456</v>
      </c>
      <c r="P35" s="160">
        <f>$E35/1000*'SM - Qty'!P35</f>
        <v>0.14839571750957692</v>
      </c>
      <c r="Q35" s="160">
        <f>$E35/1000*'SM - Qty'!Q35</f>
        <v>0.17931149199073876</v>
      </c>
      <c r="R35" s="160">
        <f t="shared" si="2"/>
        <v>1.0160984546141867</v>
      </c>
      <c r="S35" s="160">
        <f t="shared" si="0"/>
        <v>1.044953177463271</v>
      </c>
      <c r="T35" s="160">
        <f t="shared" si="1"/>
        <v>2.0610516320774579</v>
      </c>
    </row>
    <row r="36" spans="1:20" ht="18" customHeight="1">
      <c r="A36" s="1032"/>
      <c r="B36" s="1094"/>
      <c r="C36" s="130" t="s">
        <v>118</v>
      </c>
      <c r="D36" s="130"/>
      <c r="E36" s="157">
        <f>'[7]Falhas SM'!I36</f>
        <v>10</v>
      </c>
      <c r="F36" s="157">
        <f>$E36/1000*'SM - Qty'!F36</f>
        <v>94.478400000000008</v>
      </c>
      <c r="G36" s="157">
        <f>$E36/1000*'SM - Qty'!G36</f>
        <v>93.312000000000012</v>
      </c>
      <c r="H36" s="157">
        <f>$E36/1000*'SM - Qty'!H36</f>
        <v>92.145600000000002</v>
      </c>
      <c r="I36" s="157">
        <f>$E36/1000*'SM - Qty'!I36</f>
        <v>93.895200000000003</v>
      </c>
      <c r="J36" s="157">
        <f>$E36/1000*'SM - Qty'!J36</f>
        <v>93.312000000000012</v>
      </c>
      <c r="K36" s="157">
        <f>$E36/1000*'SM - Qty'!K36</f>
        <v>107.89200000000001</v>
      </c>
      <c r="L36" s="157">
        <f>$E36/1000*'SM - Qty'!L36</f>
        <v>108.4752</v>
      </c>
      <c r="M36" s="157">
        <f>$E36/1000*'SM - Qty'!M36</f>
        <v>108.4752</v>
      </c>
      <c r="N36" s="157">
        <f>$E36/1000*'SM - Qty'!N36</f>
        <v>108.4752</v>
      </c>
      <c r="O36" s="157">
        <f>$E36/1000*'SM - Qty'!O36</f>
        <v>80.481600000000014</v>
      </c>
      <c r="P36" s="157">
        <f>$E36/1000*'SM - Qty'!P36</f>
        <v>83.980800000000002</v>
      </c>
      <c r="Q36" s="157">
        <f>$E36/1000*'SM - Qty'!Q36</f>
        <v>101.47679999999998</v>
      </c>
      <c r="R36" s="157">
        <f t="shared" si="2"/>
        <v>575.03520000000003</v>
      </c>
      <c r="S36" s="157">
        <f t="shared" si="0"/>
        <v>591.36480000000006</v>
      </c>
      <c r="T36" s="157">
        <f t="shared" si="1"/>
        <v>1166.4000000000001</v>
      </c>
    </row>
    <row r="37" spans="1:20" ht="18" customHeight="1">
      <c r="A37" s="1032"/>
      <c r="B37" s="1094"/>
      <c r="C37" s="130" t="s">
        <v>86</v>
      </c>
      <c r="D37" s="130"/>
      <c r="E37" s="144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>
        <f t="shared" si="2"/>
        <v>0</v>
      </c>
      <c r="S37" s="161">
        <f t="shared" si="0"/>
        <v>0</v>
      </c>
      <c r="T37" s="161">
        <f t="shared" si="1"/>
        <v>0</v>
      </c>
    </row>
    <row r="38" spans="1:20" ht="18" customHeight="1">
      <c r="A38" s="1032"/>
      <c r="B38" s="1094"/>
      <c r="C38" s="130" t="s">
        <v>85</v>
      </c>
      <c r="D38" s="130"/>
      <c r="E38" s="144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>
        <f t="shared" si="2"/>
        <v>0</v>
      </c>
      <c r="S38" s="161">
        <f t="shared" si="0"/>
        <v>0</v>
      </c>
      <c r="T38" s="161">
        <f t="shared" si="1"/>
        <v>0</v>
      </c>
    </row>
    <row r="39" spans="1:20" ht="18" customHeight="1">
      <c r="A39" s="1032"/>
      <c r="B39" s="1094"/>
      <c r="C39" s="130" t="s">
        <v>84</v>
      </c>
      <c r="D39" s="130"/>
      <c r="E39" s="144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>
        <f t="shared" si="2"/>
        <v>0</v>
      </c>
      <c r="S39" s="161">
        <f t="shared" si="0"/>
        <v>0</v>
      </c>
      <c r="T39" s="161">
        <f t="shared" si="1"/>
        <v>0</v>
      </c>
    </row>
    <row r="40" spans="1:20" ht="18" customHeight="1">
      <c r="A40" s="1032"/>
      <c r="B40" s="1094"/>
      <c r="C40" s="131" t="s">
        <v>83</v>
      </c>
      <c r="D40" s="131"/>
      <c r="E40" s="145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>
        <f t="shared" si="2"/>
        <v>0</v>
      </c>
      <c r="S40" s="162">
        <f t="shared" si="0"/>
        <v>0</v>
      </c>
      <c r="T40" s="162">
        <f t="shared" si="1"/>
        <v>0</v>
      </c>
    </row>
    <row r="41" spans="1:20" ht="18" customHeight="1" thickBot="1">
      <c r="A41" s="1033"/>
      <c r="B41" s="84">
        <v>6080</v>
      </c>
      <c r="C41" s="146" t="s">
        <v>1</v>
      </c>
      <c r="D41" s="147" t="s">
        <v>165</v>
      </c>
      <c r="E41" s="148"/>
      <c r="F41" s="163">
        <f>SUBTOTAL(109,F6:F40)</f>
        <v>473.84157738339468</v>
      </c>
      <c r="G41" s="163">
        <f t="shared" ref="G41:Q41" si="10">SUBTOTAL(109,G6:G40)</f>
        <v>479.27901192554521</v>
      </c>
      <c r="H41" s="163">
        <f t="shared" si="10"/>
        <v>474.4665952978541</v>
      </c>
      <c r="I41" s="163">
        <f t="shared" si="10"/>
        <v>484.47017768022016</v>
      </c>
      <c r="J41" s="163">
        <f t="shared" si="10"/>
        <v>485.30270142666939</v>
      </c>
      <c r="K41" s="163">
        <f t="shared" si="10"/>
        <v>556.74591341413179</v>
      </c>
      <c r="L41" s="163">
        <f t="shared" si="10"/>
        <v>563.68093431659429</v>
      </c>
      <c r="M41" s="163">
        <f t="shared" si="10"/>
        <v>565.83198942381068</v>
      </c>
      <c r="N41" s="163">
        <f t="shared" si="10"/>
        <v>548.1254061915505</v>
      </c>
      <c r="O41" s="163">
        <f t="shared" si="10"/>
        <v>388.38457179501245</v>
      </c>
      <c r="P41" s="163">
        <f t="shared" si="10"/>
        <v>417.91277535243449</v>
      </c>
      <c r="Q41" s="163">
        <f t="shared" si="10"/>
        <v>507.8574002611229</v>
      </c>
      <c r="R41" s="163">
        <f t="shared" si="2"/>
        <v>2954.1059771278151</v>
      </c>
      <c r="S41" s="163">
        <f t="shared" si="0"/>
        <v>2991.7930773405255</v>
      </c>
      <c r="T41" s="163">
        <f t="shared" si="1"/>
        <v>5945.8990544683402</v>
      </c>
    </row>
    <row r="42" spans="1:20" ht="20.100000000000001" customHeight="1" thickTop="1" thickBot="1">
      <c r="A42" s="149"/>
      <c r="B42" s="150"/>
      <c r="C42" s="151" t="s">
        <v>59</v>
      </c>
      <c r="D42" s="151"/>
      <c r="E42" s="152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>
        <f t="shared" si="2"/>
        <v>0</v>
      </c>
      <c r="S42" s="164">
        <f t="shared" si="0"/>
        <v>0</v>
      </c>
      <c r="T42" s="164">
        <f t="shared" si="1"/>
        <v>0</v>
      </c>
    </row>
    <row r="43" spans="1:20" ht="13.5" customHeight="1">
      <c r="D43" s="75" t="s">
        <v>176</v>
      </c>
      <c r="F43" s="413">
        <f>F41</f>
        <v>473.84157738339468</v>
      </c>
      <c r="G43" s="413">
        <f t="shared" ref="G43:Q43" si="11">G41</f>
        <v>479.27901192554521</v>
      </c>
      <c r="H43" s="413">
        <f t="shared" si="11"/>
        <v>474.4665952978541</v>
      </c>
      <c r="I43" s="413">
        <f t="shared" si="11"/>
        <v>484.47017768022016</v>
      </c>
      <c r="J43" s="413">
        <f t="shared" si="11"/>
        <v>485.30270142666939</v>
      </c>
      <c r="K43" s="413">
        <f t="shared" si="11"/>
        <v>556.74591341413179</v>
      </c>
      <c r="L43" s="413">
        <f t="shared" si="11"/>
        <v>563.68093431659429</v>
      </c>
      <c r="M43" s="413">
        <f t="shared" si="11"/>
        <v>565.83198942381068</v>
      </c>
      <c r="N43" s="413">
        <f t="shared" si="11"/>
        <v>548.1254061915505</v>
      </c>
      <c r="O43" s="413">
        <f t="shared" si="11"/>
        <v>388.38457179501245</v>
      </c>
      <c r="P43" s="413">
        <f t="shared" si="11"/>
        <v>417.91277535243449</v>
      </c>
      <c r="Q43" s="413">
        <f t="shared" si="11"/>
        <v>507.8574002611229</v>
      </c>
      <c r="R43" s="413">
        <f t="shared" ref="R43" si="12">SUM(F43:K43)</f>
        <v>2954.1059771278151</v>
      </c>
      <c r="S43" s="413">
        <f t="shared" si="0"/>
        <v>2991.7930773405255</v>
      </c>
      <c r="T43" s="413">
        <f t="shared" si="1"/>
        <v>5945.8990544683402</v>
      </c>
    </row>
    <row r="44" spans="1:20">
      <c r="C44" s="1102"/>
      <c r="D44" s="1102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</row>
    <row r="45" spans="1:20">
      <c r="E45" s="414"/>
      <c r="G45" s="413"/>
      <c r="H45" s="413"/>
      <c r="I45" s="413"/>
      <c r="J45" s="413"/>
      <c r="K45" s="413"/>
      <c r="L45" s="413"/>
      <c r="M45" s="413"/>
      <c r="N45" s="413"/>
      <c r="O45" s="413"/>
      <c r="P45" s="413"/>
      <c r="Q45" s="413"/>
    </row>
    <row r="46" spans="1:20">
      <c r="E46" s="413"/>
      <c r="G46" s="413"/>
      <c r="H46" s="413"/>
      <c r="I46" s="413"/>
      <c r="J46" s="413"/>
      <c r="K46" s="413"/>
      <c r="L46" s="413"/>
      <c r="M46" s="413"/>
      <c r="N46" s="413"/>
      <c r="O46" s="413"/>
      <c r="P46" s="413"/>
      <c r="Q46" s="413"/>
    </row>
    <row r="47" spans="1:20"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</row>
  </sheetData>
  <mergeCells count="13">
    <mergeCell ref="C44:D44"/>
    <mergeCell ref="B31:B34"/>
    <mergeCell ref="B36:B40"/>
    <mergeCell ref="A1:E1"/>
    <mergeCell ref="B4:D4"/>
    <mergeCell ref="C5:D5"/>
    <mergeCell ref="A6:A41"/>
    <mergeCell ref="B6:B9"/>
    <mergeCell ref="B10:B13"/>
    <mergeCell ref="B14:B17"/>
    <mergeCell ref="B18:B21"/>
    <mergeCell ref="B22:B25"/>
    <mergeCell ref="B26:B29"/>
  </mergeCells>
  <printOptions gridLinesSet="0"/>
  <pageMargins left="0.78740157480314965" right="0.19685039370078741" top="0.59055118110236227" bottom="0.59055118110236227" header="0.51181102362204722" footer="0.31496062992125984"/>
  <pageSetup paperSize="9" scale="37" orientation="portrait" r:id="rId1"/>
  <headerFooter alignWithMargins="0">
    <oddFooter>&amp;L&amp;A&amp;R&amp;F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">
    <tabColor indexed="56"/>
  </sheetPr>
  <dimension ref="A1:R13"/>
  <sheetViews>
    <sheetView workbookViewId="0">
      <selection activeCell="O2" sqref="O2"/>
    </sheetView>
  </sheetViews>
  <sheetFormatPr defaultRowHeight="12.75"/>
  <cols>
    <col min="1" max="2" width="12.140625" customWidth="1"/>
    <col min="3" max="3" width="12" bestFit="1" customWidth="1"/>
    <col min="4" max="4" width="12" customWidth="1"/>
    <col min="5" max="5" width="13.7109375" bestFit="1" customWidth="1"/>
    <col min="6" max="6" width="13.7109375" customWidth="1"/>
    <col min="7" max="7" width="13.7109375" bestFit="1" customWidth="1"/>
    <col min="8" max="8" width="9.7109375" bestFit="1" customWidth="1"/>
    <col min="9" max="9" width="12" bestFit="1" customWidth="1"/>
    <col min="11" max="11" width="11.140625" bestFit="1" customWidth="1"/>
    <col min="13" max="13" width="11.42578125" bestFit="1" customWidth="1"/>
    <col min="14" max="14" width="11.85546875" bestFit="1" customWidth="1"/>
    <col min="15" max="15" width="15.42578125" bestFit="1" customWidth="1"/>
    <col min="16" max="16" width="11.85546875" bestFit="1" customWidth="1"/>
  </cols>
  <sheetData>
    <row r="1" spans="1:18">
      <c r="A1" t="s">
        <v>231</v>
      </c>
      <c r="B1" t="s">
        <v>233</v>
      </c>
      <c r="C1" t="s">
        <v>232</v>
      </c>
      <c r="D1" t="s">
        <v>235</v>
      </c>
      <c r="E1" t="s">
        <v>234</v>
      </c>
      <c r="F1" t="s">
        <v>237</v>
      </c>
      <c r="G1" t="s">
        <v>236</v>
      </c>
      <c r="H1" t="s">
        <v>239</v>
      </c>
      <c r="I1" t="s">
        <v>238</v>
      </c>
      <c r="J1" t="s">
        <v>241</v>
      </c>
      <c r="K1" t="s">
        <v>240</v>
      </c>
      <c r="L1" t="s">
        <v>243</v>
      </c>
      <c r="M1" t="s">
        <v>242</v>
      </c>
      <c r="N1" t="s">
        <v>245</v>
      </c>
      <c r="O1" t="s">
        <v>244</v>
      </c>
      <c r="P1" t="s">
        <v>165</v>
      </c>
      <c r="Q1" s="1" t="s">
        <v>176</v>
      </c>
      <c r="R1" s="1" t="s">
        <v>246</v>
      </c>
    </row>
    <row r="2" spans="1:18">
      <c r="A2" s="581">
        <f t="array" ref="A2:A13">TRANSPOSE('Falhas UM-1 - Qty'!F5:Q5)</f>
        <v>44652</v>
      </c>
      <c r="B2" s="516">
        <f t="array" ref="B2:B13">TRANSPOSE('Falhas UM-1 - Cost'!F70:Q70)</f>
        <v>4605.4622694100417</v>
      </c>
      <c r="C2" s="516">
        <f t="array" ref="C2:C13">TRANSPOSE([0]!UM1_Qloss)</f>
        <v>3035.2332533493836</v>
      </c>
      <c r="D2" s="516">
        <f t="array" ref="D2:D13">TRANSPOSE(UM3L1_BP)</f>
        <v>2077.765446177159</v>
      </c>
      <c r="E2" s="516">
        <f t="array" ref="E2:E13">TRANSPOSE(UM3L1_Qloss)</f>
        <v>2412.2935980348675</v>
      </c>
      <c r="F2" s="516">
        <f t="array" ref="F2:F13">TRANSPOSE(UM3L2_BP)</f>
        <v>8154.7947498654521</v>
      </c>
      <c r="G2" s="516">
        <f t="array" ref="G2:G13">TRANSPOSE(UM3L2_Qloss)</f>
        <v>6976.4935146877197</v>
      </c>
      <c r="H2" s="516">
        <f t="array" ref="H2:H13">TRANSPOSE(UM4_BP)</f>
        <v>2061.5599192637101</v>
      </c>
      <c r="I2" s="516">
        <f t="array" ref="I2:I13">TRANSPOSE(UM4_Qloss)</f>
        <v>2988.697666249649</v>
      </c>
      <c r="J2" s="516">
        <f t="array" ref="J2:J13">TRANSPOSE(BLD_BP)</f>
        <v>1089.2356924415797</v>
      </c>
      <c r="K2" s="516">
        <f t="array" ref="K2:K13">TRANSPOSE(BLD_TotalQloss)</f>
        <v>1089.2356924415797</v>
      </c>
      <c r="L2" s="516">
        <f t="array" ref="L2:L13">TRANSPOSE(PVC_BP)</f>
        <v>2332.5903129317189</v>
      </c>
      <c r="M2" s="516">
        <f t="array" ref="M2:M13">TRANSPOSE(PVC_Qloss)</f>
        <v>2332.5903129317189</v>
      </c>
      <c r="N2" s="516">
        <f t="array" ref="N2:N13">TRANSPOSE(PRENSA_BP)</f>
        <v>815.12541204359036</v>
      </c>
      <c r="O2" s="516">
        <f t="array" ref="O2:O13">TRANSPOSE(PRENSA_Qloss)</f>
        <v>815.12541204359036</v>
      </c>
      <c r="P2" s="516">
        <f t="array" ref="P2:P13">TRANSPOSE(SM_Qloss)</f>
        <v>0</v>
      </c>
      <c r="Q2" s="516">
        <f>SUM(B2,D2,F2,H2,J2,L2,N2)</f>
        <v>21136.533802133254</v>
      </c>
      <c r="R2" s="516">
        <f>SUM(C2,E2,G2,I2,K2,M2,O2,P2)</f>
        <v>19649.669449738511</v>
      </c>
    </row>
    <row r="3" spans="1:18">
      <c r="A3" s="581">
        <v>44682</v>
      </c>
      <c r="B3" s="516">
        <v>4679.5607101937167</v>
      </c>
      <c r="C3" s="516">
        <v>1656.2862610348693</v>
      </c>
      <c r="D3" s="516">
        <v>2015.8266915265965</v>
      </c>
      <c r="E3" s="516">
        <v>2524.6251105802753</v>
      </c>
      <c r="F3" s="516">
        <v>5335.2673649185435</v>
      </c>
      <c r="G3" s="516">
        <v>7301.3627882315823</v>
      </c>
      <c r="H3" s="516">
        <v>3801.756763171702</v>
      </c>
      <c r="I3" s="516">
        <v>3801.756763171702</v>
      </c>
      <c r="J3" s="516">
        <v>1062.0952272759112</v>
      </c>
      <c r="K3" s="516">
        <v>1062.0952272759112</v>
      </c>
      <c r="L3" s="516">
        <v>2121.3990542645734</v>
      </c>
      <c r="M3" s="516">
        <v>2121.3990542645734</v>
      </c>
      <c r="N3" s="516">
        <v>796.44391639121727</v>
      </c>
      <c r="O3" s="516">
        <v>796.44391639121727</v>
      </c>
      <c r="P3" s="516">
        <v>0</v>
      </c>
      <c r="Q3" s="516">
        <f t="shared" ref="Q3:Q13" si="0">SUM(B3,D3,F3,H3,J3,L3,N3)</f>
        <v>19812.349727742261</v>
      </c>
      <c r="R3" s="516">
        <f t="shared" ref="R3:R13" si="1">SUM(C3,E3,G3,I3,K3,M3,O3,P3)</f>
        <v>19263.969120950132</v>
      </c>
    </row>
    <row r="4" spans="1:18">
      <c r="A4" s="581">
        <v>44713</v>
      </c>
      <c r="B4" s="516">
        <v>2943.3037714297143</v>
      </c>
      <c r="C4" s="516">
        <v>1648.6859135955567</v>
      </c>
      <c r="D4" s="516">
        <v>1210.3443384703271</v>
      </c>
      <c r="E4" s="516">
        <v>2429.6601774794544</v>
      </c>
      <c r="F4" s="516">
        <v>4627.4525857269182</v>
      </c>
      <c r="G4" s="516">
        <v>7026.7186734188836</v>
      </c>
      <c r="H4" s="516">
        <v>2517.7117939257155</v>
      </c>
      <c r="I4" s="516">
        <v>2517.7117939257155</v>
      </c>
      <c r="J4" s="516">
        <v>1024.9455938579854</v>
      </c>
      <c r="K4" s="516">
        <v>1024.9455938579854</v>
      </c>
      <c r="L4" s="516">
        <v>2053.1088250103103</v>
      </c>
      <c r="M4" s="516">
        <v>2053.1088250103103</v>
      </c>
      <c r="N4" s="516">
        <v>748.62527620173546</v>
      </c>
      <c r="O4" s="516">
        <v>748.62527620173546</v>
      </c>
      <c r="P4" s="516">
        <v>0</v>
      </c>
      <c r="Q4" s="516">
        <f t="shared" si="0"/>
        <v>15125.492184622704</v>
      </c>
      <c r="R4" s="516">
        <f t="shared" si="1"/>
        <v>17449.456253489639</v>
      </c>
    </row>
    <row r="5" spans="1:18">
      <c r="A5" s="581">
        <v>44743</v>
      </c>
      <c r="B5" s="516">
        <v>4552.9948183563265</v>
      </c>
      <c r="C5" s="516">
        <v>1666.1181815694201</v>
      </c>
      <c r="D5" s="516">
        <v>1864.80441628072</v>
      </c>
      <c r="E5" s="516">
        <v>2445.3680552257301</v>
      </c>
      <c r="F5" s="516">
        <v>5011.742968832983</v>
      </c>
      <c r="G5" s="516">
        <v>7072.1467702789296</v>
      </c>
      <c r="H5" s="516">
        <v>3582.4234130501068</v>
      </c>
      <c r="I5" s="516">
        <v>3582.4234130501068</v>
      </c>
      <c r="J5" s="516">
        <v>1031.9188237191361</v>
      </c>
      <c r="K5" s="516">
        <v>1031.9188237191361</v>
      </c>
      <c r="L5" s="516">
        <v>2067.807154476769</v>
      </c>
      <c r="M5" s="516">
        <v>2067.807154476769</v>
      </c>
      <c r="N5" s="516">
        <v>753.37245424463549</v>
      </c>
      <c r="O5" s="516">
        <v>753.37245424463549</v>
      </c>
      <c r="P5" s="516">
        <v>0</v>
      </c>
      <c r="Q5" s="516">
        <f t="shared" si="0"/>
        <v>18865.064048960678</v>
      </c>
      <c r="R5" s="516">
        <f t="shared" si="1"/>
        <v>18619.154852564727</v>
      </c>
    </row>
    <row r="6" spans="1:18">
      <c r="A6" s="581">
        <v>44774</v>
      </c>
      <c r="B6" s="516">
        <v>4301.5417738451069</v>
      </c>
      <c r="C6" s="516">
        <v>3009.7006214889557</v>
      </c>
      <c r="D6" s="516">
        <v>2361.3107130551816</v>
      </c>
      <c r="E6" s="516">
        <v>2475.2415269566495</v>
      </c>
      <c r="F6" s="516">
        <v>6964.492353935766</v>
      </c>
      <c r="G6" s="516">
        <v>7158.5425895779335</v>
      </c>
      <c r="H6" s="516">
        <v>3899.7266270056975</v>
      </c>
      <c r="I6" s="516">
        <v>3899.7266270056975</v>
      </c>
      <c r="J6" s="516">
        <v>1112.294808632178</v>
      </c>
      <c r="K6" s="516">
        <v>1112.294808632178</v>
      </c>
      <c r="L6" s="516">
        <v>2371.4258965582917</v>
      </c>
      <c r="M6" s="516">
        <v>2371.4258965582917</v>
      </c>
      <c r="N6" s="516">
        <v>861.54664594356109</v>
      </c>
      <c r="O6" s="516">
        <v>861.54664594356109</v>
      </c>
      <c r="P6" s="516">
        <v>0</v>
      </c>
      <c r="Q6" s="516">
        <f t="shared" si="0"/>
        <v>21872.338818975782</v>
      </c>
      <c r="R6" s="516">
        <f t="shared" si="1"/>
        <v>20888.47871616327</v>
      </c>
    </row>
    <row r="7" spans="1:18">
      <c r="A7" s="581">
        <v>44805</v>
      </c>
      <c r="B7" s="516">
        <v>4644.647599723633</v>
      </c>
      <c r="C7" s="516">
        <v>3487.6945192031881</v>
      </c>
      <c r="D7" s="516">
        <v>2720.4269641422911</v>
      </c>
      <c r="E7" s="516">
        <v>2814.303925485292</v>
      </c>
      <c r="F7" s="516">
        <v>7024.808770773443</v>
      </c>
      <c r="G7" s="516">
        <v>8139.1307842887763</v>
      </c>
      <c r="H7" s="516">
        <v>3921.8965134373011</v>
      </c>
      <c r="I7" s="516">
        <v>3921.8965134373011</v>
      </c>
      <c r="J7" s="516">
        <v>1268.0245667596744</v>
      </c>
      <c r="K7" s="516">
        <v>1268.0245667596744</v>
      </c>
      <c r="L7" s="516">
        <v>2710.092593137218</v>
      </c>
      <c r="M7" s="516">
        <v>2710.092593137218</v>
      </c>
      <c r="N7" s="516">
        <v>953.0155259987805</v>
      </c>
      <c r="O7" s="516">
        <v>953.0155259987805</v>
      </c>
      <c r="P7" s="516">
        <v>0</v>
      </c>
      <c r="Q7" s="516">
        <f t="shared" si="0"/>
        <v>23242.912533972343</v>
      </c>
      <c r="R7" s="516">
        <f t="shared" si="1"/>
        <v>23294.158428310235</v>
      </c>
    </row>
    <row r="8" spans="1:18">
      <c r="A8" s="581">
        <v>44835</v>
      </c>
      <c r="B8" s="516">
        <v>1511.0425264903513</v>
      </c>
      <c r="C8" s="516">
        <v>3512.5243287631911</v>
      </c>
      <c r="D8" s="516">
        <v>102.16506556073583</v>
      </c>
      <c r="E8" s="516">
        <v>2779.6876192731711</v>
      </c>
      <c r="F8" s="516">
        <v>2144.8487617068295</v>
      </c>
      <c r="G8" s="516">
        <v>8039.018411570948</v>
      </c>
      <c r="H8" s="516">
        <v>3787.3580781191786</v>
      </c>
      <c r="I8" s="516">
        <v>3787.3580781191786</v>
      </c>
      <c r="J8" s="516">
        <v>1255.8964631450103</v>
      </c>
      <c r="K8" s="516">
        <v>1255.8964631450103</v>
      </c>
      <c r="L8" s="516">
        <v>2691.0057233436037</v>
      </c>
      <c r="M8" s="516">
        <v>2691.0057233436037</v>
      </c>
      <c r="N8" s="516">
        <v>940.59115802550718</v>
      </c>
      <c r="O8" s="516">
        <v>940.59115802550718</v>
      </c>
      <c r="P8" s="516">
        <v>0</v>
      </c>
      <c r="Q8" s="516">
        <f t="shared" si="0"/>
        <v>12432.907776391216</v>
      </c>
      <c r="R8" s="516">
        <f t="shared" si="1"/>
        <v>23006.081782240613</v>
      </c>
    </row>
    <row r="9" spans="1:18">
      <c r="A9" s="581">
        <v>44866</v>
      </c>
      <c r="B9" s="516">
        <v>719.42684626137043</v>
      </c>
      <c r="C9" s="516">
        <v>3516.5454933064543</v>
      </c>
      <c r="D9" s="516">
        <v>2325.4985181262555</v>
      </c>
      <c r="E9" s="516">
        <v>2781.1456472046793</v>
      </c>
      <c r="F9" s="516">
        <v>5970.3481714972268</v>
      </c>
      <c r="G9" s="516">
        <v>8043.2351132264539</v>
      </c>
      <c r="H9" s="516">
        <v>3950.8139313174561</v>
      </c>
      <c r="I9" s="516">
        <v>3950.8139313174561</v>
      </c>
      <c r="J9" s="516">
        <v>1256.666802979114</v>
      </c>
      <c r="K9" s="516">
        <v>1256.666802979114</v>
      </c>
      <c r="L9" s="516">
        <v>2692.875560698827</v>
      </c>
      <c r="M9" s="516">
        <v>2692.875560698827</v>
      </c>
      <c r="N9" s="516">
        <v>940.26352788923123</v>
      </c>
      <c r="O9" s="516">
        <v>940.26352788923123</v>
      </c>
      <c r="P9" s="516">
        <v>0</v>
      </c>
      <c r="Q9" s="516">
        <f t="shared" si="0"/>
        <v>17855.893358769481</v>
      </c>
      <c r="R9" s="516">
        <f t="shared" si="1"/>
        <v>23181.546076622217</v>
      </c>
    </row>
    <row r="10" spans="1:18">
      <c r="A10" s="581">
        <v>44896</v>
      </c>
      <c r="B10" s="516">
        <v>1008.1926523914865</v>
      </c>
      <c r="C10" s="516">
        <v>2819.4339018088422</v>
      </c>
      <c r="D10" s="516">
        <v>2665.1160679261939</v>
      </c>
      <c r="E10" s="516">
        <v>2646.1797717329177</v>
      </c>
      <c r="F10" s="516">
        <v>5655.1925741622736</v>
      </c>
      <c r="G10" s="516">
        <v>7652.9059444636041</v>
      </c>
      <c r="H10" s="516">
        <v>3760.784136607409</v>
      </c>
      <c r="I10" s="516">
        <v>3760.784136607409</v>
      </c>
      <c r="J10" s="516">
        <v>1168.719428738633</v>
      </c>
      <c r="K10" s="516">
        <v>1168.719428738633</v>
      </c>
      <c r="L10" s="516">
        <v>2451.4463916460554</v>
      </c>
      <c r="M10" s="516">
        <v>2451.4463916460554</v>
      </c>
      <c r="N10" s="516">
        <v>882.02096822942622</v>
      </c>
      <c r="O10" s="516">
        <v>882.02096822942622</v>
      </c>
      <c r="P10" s="516">
        <v>0</v>
      </c>
      <c r="Q10" s="516">
        <f t="shared" si="0"/>
        <v>17591.472219701478</v>
      </c>
      <c r="R10" s="516">
        <f t="shared" si="1"/>
        <v>21381.49054322689</v>
      </c>
    </row>
    <row r="11" spans="1:18">
      <c r="A11" s="581">
        <v>44927</v>
      </c>
      <c r="B11" s="516">
        <v>1845.8988045699998</v>
      </c>
      <c r="C11" s="516">
        <v>2612.8985760057599</v>
      </c>
      <c r="D11" s="516">
        <v>1102.2378402894863</v>
      </c>
      <c r="E11" s="516">
        <v>2052.1897164541042</v>
      </c>
      <c r="F11" s="516">
        <v>2979.1592677595672</v>
      </c>
      <c r="G11" s="516">
        <v>5935.0521260820215</v>
      </c>
      <c r="H11" s="516">
        <v>3358.0266990965456</v>
      </c>
      <c r="I11" s="516">
        <v>3358.0266990965456</v>
      </c>
      <c r="J11" s="516">
        <v>928.21150768903794</v>
      </c>
      <c r="K11" s="516">
        <v>928.21150768903794</v>
      </c>
      <c r="L11" s="516">
        <v>1990.8553439550594</v>
      </c>
      <c r="M11" s="516">
        <v>1990.8553439550594</v>
      </c>
      <c r="N11" s="516">
        <v>695.34837399739786</v>
      </c>
      <c r="O11" s="516">
        <v>695.34837399739786</v>
      </c>
      <c r="P11" s="516">
        <v>0</v>
      </c>
      <c r="Q11" s="516">
        <f t="shared" si="0"/>
        <v>12899.737837357095</v>
      </c>
      <c r="R11" s="516">
        <f t="shared" si="1"/>
        <v>17572.582343279926</v>
      </c>
    </row>
    <row r="12" spans="1:18">
      <c r="A12" s="581">
        <v>44958</v>
      </c>
      <c r="B12" s="516">
        <v>1878.3257282199997</v>
      </c>
      <c r="C12" s="516">
        <v>2643.7419474102244</v>
      </c>
      <c r="D12" s="516">
        <v>1228.0378248110455</v>
      </c>
      <c r="E12" s="516">
        <v>1969.7301199257458</v>
      </c>
      <c r="F12" s="516">
        <v>3319.1749849417893</v>
      </c>
      <c r="G12" s="516">
        <v>5696.5741726220867</v>
      </c>
      <c r="H12" s="516">
        <v>3390.8338489089228</v>
      </c>
      <c r="I12" s="516">
        <v>3390.8338489089228</v>
      </c>
      <c r="J12" s="516">
        <v>897.87152913255591</v>
      </c>
      <c r="K12" s="516">
        <v>897.87152913255591</v>
      </c>
      <c r="L12" s="516">
        <v>1939.4344044827508</v>
      </c>
      <c r="M12" s="516">
        <v>1939.4344044827508</v>
      </c>
      <c r="N12" s="516">
        <v>698.64348027984443</v>
      </c>
      <c r="O12" s="516">
        <v>698.64348027984443</v>
      </c>
      <c r="P12" s="516">
        <v>0</v>
      </c>
      <c r="Q12" s="516">
        <f t="shared" si="0"/>
        <v>13352.321800776908</v>
      </c>
      <c r="R12" s="516">
        <f t="shared" si="1"/>
        <v>17236.829502762128</v>
      </c>
    </row>
    <row r="13" spans="1:18">
      <c r="A13" s="581">
        <v>44986</v>
      </c>
      <c r="B13" s="516">
        <v>2289.9406609799998</v>
      </c>
      <c r="C13" s="516">
        <v>3254.7782594757873</v>
      </c>
      <c r="D13" s="516">
        <v>1258.3398077062914</v>
      </c>
      <c r="E13" s="516">
        <v>2497.3972182130028</v>
      </c>
      <c r="F13" s="516">
        <v>3401.0760319518922</v>
      </c>
      <c r="G13" s="516">
        <v>7222.6181384619049</v>
      </c>
      <c r="H13" s="516">
        <v>3836.0484668561312</v>
      </c>
      <c r="I13" s="516">
        <v>3286.5593007357961</v>
      </c>
      <c r="J13" s="516">
        <v>1133.4229027083406</v>
      </c>
      <c r="K13" s="516">
        <v>1133.4229027083406</v>
      </c>
      <c r="L13" s="516">
        <v>2438.5404100720889</v>
      </c>
      <c r="M13" s="516">
        <v>2438.5404100720889</v>
      </c>
      <c r="N13" s="516">
        <v>871.28108642738994</v>
      </c>
      <c r="O13" s="516">
        <v>871.28108642738994</v>
      </c>
      <c r="P13" s="516">
        <v>0</v>
      </c>
      <c r="Q13" s="516">
        <f t="shared" si="0"/>
        <v>15228.649366702133</v>
      </c>
      <c r="R13" s="516">
        <f t="shared" si="1"/>
        <v>20704.59731609431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34</vt:i4>
      </vt:variant>
    </vt:vector>
  </HeadingPairs>
  <TitlesOfParts>
    <vt:vector size="50" baseType="lpstr">
      <vt:lpstr>Configurações</vt:lpstr>
      <vt:lpstr>Prod &amp; Defects - Qty</vt:lpstr>
      <vt:lpstr>Prod &amp; Defects - Costs</vt:lpstr>
      <vt:lpstr>Falhas UM-1 - Qty</vt:lpstr>
      <vt:lpstr>Falhas UM-1 - Cost</vt:lpstr>
      <vt:lpstr>Falhas UM-3-1 Qty</vt:lpstr>
      <vt:lpstr>Falhas UM-3-1 Cost</vt:lpstr>
      <vt:lpstr>Falhas UM-3-2 Qty</vt:lpstr>
      <vt:lpstr>Falhas UM-3-2 Cost</vt:lpstr>
      <vt:lpstr>Falhas UM-4 Qty</vt:lpstr>
      <vt:lpstr>Falhas UM-4 Cost</vt:lpstr>
      <vt:lpstr>BLIND-PVC-PRE - Qty</vt:lpstr>
      <vt:lpstr>BLIND-PVC-PRE - Cost</vt:lpstr>
      <vt:lpstr>SM - Qty</vt:lpstr>
      <vt:lpstr>SM Cost</vt:lpstr>
      <vt:lpstr>RESUMO - QLOSS-BP</vt:lpstr>
      <vt:lpstr>BLD_BP</vt:lpstr>
      <vt:lpstr>BLD_TotalQloss</vt:lpstr>
      <vt:lpstr>Custo_LR6</vt:lpstr>
      <vt:lpstr>Custo_UM_1</vt:lpstr>
      <vt:lpstr>Custo_UM_3</vt:lpstr>
      <vt:lpstr>Custo_UM_4</vt:lpstr>
      <vt:lpstr>PesoPVC_UM1</vt:lpstr>
      <vt:lpstr>PesoPVC_UM3</vt:lpstr>
      <vt:lpstr>PRENSA_BP</vt:lpstr>
      <vt:lpstr>PRENSA_Qloss</vt:lpstr>
      <vt:lpstr>PVC_BP</vt:lpstr>
      <vt:lpstr>PVC_Qloss</vt:lpstr>
      <vt:lpstr>Redutor</vt:lpstr>
      <vt:lpstr>SM_Qloss</vt:lpstr>
      <vt:lpstr>UM1_BP</vt:lpstr>
      <vt:lpstr>UM1_Qloss</vt:lpstr>
      <vt:lpstr>UM3L1_BP</vt:lpstr>
      <vt:lpstr>UM3L1_Qloss</vt:lpstr>
      <vt:lpstr>UM3L2_BP</vt:lpstr>
      <vt:lpstr>UM3L2_Qloss</vt:lpstr>
      <vt:lpstr>UM4_BP</vt:lpstr>
      <vt:lpstr>UM4_Qloss</vt:lpstr>
      <vt:lpstr>V_BLD_UM1_BM1</vt:lpstr>
      <vt:lpstr>V_BLD_UM1_BM2</vt:lpstr>
      <vt:lpstr>V_BLD_UM1_BM3</vt:lpstr>
      <vt:lpstr>V_BLD_UM3_BM1</vt:lpstr>
      <vt:lpstr>V_BLD_UM3_BM2</vt:lpstr>
      <vt:lpstr>V_BLD_UM3_BM3</vt:lpstr>
      <vt:lpstr>V_BLD_UM3_BM4</vt:lpstr>
      <vt:lpstr>V_BLD_UM3_BM5</vt:lpstr>
      <vt:lpstr>V_BLD_UM3_OP1</vt:lpstr>
      <vt:lpstr>V_BLD_UM3_OP2</vt:lpstr>
      <vt:lpstr>V_BLD_UM3_OP3</vt:lpstr>
      <vt:lpstr>V_BLD_UM3_OP4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2022-02-04T20:30:54Z</cp:lastPrinted>
  <dcterms:created xsi:type="dcterms:W3CDTF">2014-04-07T12:28:32Z</dcterms:created>
  <dcterms:modified xsi:type="dcterms:W3CDTF">2022-02-04T20:38:53Z</dcterms:modified>
</cp:coreProperties>
</file>